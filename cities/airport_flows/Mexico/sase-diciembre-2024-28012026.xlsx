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dmendozc\OneDrive - Agencia Federal de Aviación Civil\Dropbox\AFAC\Productos\SASE\2024\12 Diciembre\"/>
    </mc:Choice>
  </mc:AlternateContent>
  <xr:revisionPtr revIDLastSave="0" documentId="13_ncr:1_{474BFA6C-90C3-4399-917A-781E27409009}" xr6:coauthVersionLast="47" xr6:coauthVersionMax="47" xr10:uidLastSave="{00000000-0000-0000-0000-000000000000}"/>
  <bookViews>
    <workbookView xWindow="-120" yWindow="-120" windowWidth="29040" windowHeight="15990" xr2:uid="{00000000-000D-0000-FFFF-FFFF00000000}"/>
  </bookViews>
  <sheets>
    <sheet name="Top Ten O-D Reg" sheetId="12" r:id="rId1"/>
    <sheet name="REG NAC" sheetId="6" r:id="rId2"/>
    <sheet name="REG INT" sheetId="9" r:id="rId3"/>
    <sheet name="FLET NAC" sheetId="10" r:id="rId4"/>
    <sheet name="FLET INT" sheetId="11" r:id="rId5"/>
    <sheet name="Historial de revisiones" sheetId="13" r:id="rId6"/>
  </sheets>
  <definedNames>
    <definedName name="_xlnm._FilterDatabase" localSheetId="4" hidden="1">'FLET INT'!$AQ$7:$AQ$133</definedName>
    <definedName name="_xlnm._FilterDatabase" localSheetId="3" hidden="1">'FLET NAC'!$C$381:$AO$381</definedName>
    <definedName name="_xlnm._FilterDatabase" localSheetId="2" hidden="1">'REG INT'!$A$6:$AQ$864</definedName>
    <definedName name="_xlnm._FilterDatabase" localSheetId="1" hidden="1">'REG NAC'!$A$6:$AO$414</definedName>
    <definedName name="_xlnm._FilterDatabase" localSheetId="0" hidden="1">'Top Ten O-D Reg'!$B$10:$E$41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Q929" i="9" l="1"/>
  <c r="AQ928" i="9"/>
  <c r="AQ927" i="9"/>
  <c r="AD929" i="9"/>
  <c r="AD928" i="9"/>
  <c r="AD927" i="9"/>
  <c r="Q929" i="9"/>
  <c r="Q928" i="9"/>
  <c r="O379" i="10"/>
  <c r="AB379" i="10"/>
  <c r="AO379" i="10"/>
  <c r="AQ579" i="11"/>
  <c r="AP579" i="11"/>
  <c r="AO579" i="11"/>
  <c r="AN579" i="11"/>
  <c r="AM579" i="11"/>
  <c r="AL579" i="11"/>
  <c r="AK579" i="11"/>
  <c r="AJ579" i="11"/>
  <c r="AI579" i="11"/>
  <c r="AH579" i="11"/>
  <c r="AG579" i="11"/>
  <c r="AF579" i="11"/>
  <c r="AE579" i="11"/>
  <c r="AD579" i="11"/>
  <c r="AC579" i="11"/>
  <c r="AB579" i="11"/>
  <c r="AA579" i="11"/>
  <c r="Z579" i="11"/>
  <c r="Y579" i="11"/>
  <c r="X579" i="11"/>
  <c r="W579" i="11"/>
  <c r="V579" i="11"/>
  <c r="U579" i="11"/>
  <c r="T579" i="11"/>
  <c r="S579" i="11"/>
  <c r="R579" i="11"/>
  <c r="Q579" i="11"/>
  <c r="P579" i="11"/>
  <c r="O579" i="11"/>
  <c r="N579" i="11"/>
  <c r="M579" i="11"/>
  <c r="L579" i="11"/>
  <c r="K579" i="11"/>
  <c r="J579" i="11"/>
  <c r="I579" i="11"/>
  <c r="H579" i="11"/>
  <c r="G579" i="11"/>
  <c r="F579" i="11"/>
  <c r="E579" i="11"/>
  <c r="AQ577" i="11"/>
  <c r="AQ576" i="11"/>
  <c r="AQ575" i="11"/>
  <c r="AQ574" i="11"/>
  <c r="AQ573" i="11"/>
  <c r="AQ572" i="11"/>
  <c r="AQ571" i="11"/>
  <c r="AQ570" i="11"/>
  <c r="AQ569" i="11"/>
  <c r="AQ568" i="11"/>
  <c r="AQ567" i="11"/>
  <c r="AQ566" i="11"/>
  <c r="AD577" i="11"/>
  <c r="AD576" i="11"/>
  <c r="AD575" i="11"/>
  <c r="AD574" i="11"/>
  <c r="AD573" i="11"/>
  <c r="AD572" i="11"/>
  <c r="AD571" i="11"/>
  <c r="AD570" i="11"/>
  <c r="AD569" i="11"/>
  <c r="AD568" i="11"/>
  <c r="AD567" i="11"/>
  <c r="AD566" i="11"/>
  <c r="Q577" i="11"/>
  <c r="Q576" i="11"/>
  <c r="Q575" i="11"/>
  <c r="Q574" i="11"/>
  <c r="Q573" i="11"/>
  <c r="Q572" i="11"/>
  <c r="Q571" i="11"/>
  <c r="Q570" i="11"/>
  <c r="Q569" i="11"/>
  <c r="Q568" i="11"/>
  <c r="Q567" i="11"/>
  <c r="Q566" i="11"/>
  <c r="AO381" i="10"/>
  <c r="AN381" i="10"/>
  <c r="AM381" i="10"/>
  <c r="AL381" i="10"/>
  <c r="AK381" i="10"/>
  <c r="AJ381" i="10"/>
  <c r="AI381" i="10"/>
  <c r="AH381" i="10"/>
  <c r="AG381" i="10"/>
  <c r="AF381" i="10"/>
  <c r="AE381" i="10"/>
  <c r="AD381" i="10"/>
  <c r="AC381" i="10"/>
  <c r="AB381" i="10"/>
  <c r="AA381" i="10"/>
  <c r="Z381" i="10"/>
  <c r="Y381" i="10"/>
  <c r="X381" i="10"/>
  <c r="W381" i="10"/>
  <c r="V381" i="10"/>
  <c r="U381" i="10"/>
  <c r="T381" i="10"/>
  <c r="S381" i="10"/>
  <c r="R381" i="10"/>
  <c r="Q381" i="10"/>
  <c r="P381" i="10"/>
  <c r="O381" i="10"/>
  <c r="N381" i="10"/>
  <c r="M381" i="10"/>
  <c r="L381" i="10"/>
  <c r="K381" i="10"/>
  <c r="J381" i="10"/>
  <c r="I381" i="10"/>
  <c r="H381" i="10"/>
  <c r="G381" i="10"/>
  <c r="F381" i="10"/>
  <c r="E381" i="10"/>
  <c r="D381" i="10"/>
  <c r="C381" i="10"/>
  <c r="AQ935" i="9"/>
  <c r="AQ934" i="9"/>
  <c r="AQ933" i="9"/>
  <c r="AQ932" i="9"/>
  <c r="AQ931" i="9"/>
  <c r="AQ930" i="9"/>
  <c r="AD935" i="9"/>
  <c r="AD934" i="9"/>
  <c r="AD933" i="9"/>
  <c r="AD932" i="9"/>
  <c r="AD931" i="9"/>
  <c r="Q935" i="9"/>
  <c r="Q934" i="9"/>
  <c r="Q933" i="9"/>
  <c r="Q932" i="9"/>
  <c r="Q931" i="9"/>
  <c r="AP937" i="9"/>
  <c r="AO937" i="9"/>
  <c r="AN937" i="9"/>
  <c r="AM937" i="9"/>
  <c r="AL937" i="9"/>
  <c r="AK937" i="9"/>
  <c r="AJ937" i="9"/>
  <c r="AI937" i="9"/>
  <c r="AH937" i="9"/>
  <c r="AG937" i="9"/>
  <c r="AF937" i="9"/>
  <c r="AE937" i="9"/>
  <c r="AC937" i="9"/>
  <c r="AB937" i="9"/>
  <c r="AA937" i="9"/>
  <c r="Z937" i="9"/>
  <c r="Y937" i="9"/>
  <c r="X937" i="9"/>
  <c r="W937" i="9"/>
  <c r="V937" i="9"/>
  <c r="U937" i="9"/>
  <c r="T937" i="9"/>
  <c r="S937" i="9"/>
  <c r="R937" i="9"/>
  <c r="P937" i="9"/>
  <c r="O937" i="9"/>
  <c r="N937" i="9"/>
  <c r="M937" i="9"/>
  <c r="L937" i="9"/>
  <c r="K937" i="9"/>
  <c r="J937" i="9"/>
  <c r="I937" i="9"/>
  <c r="H937" i="9"/>
  <c r="G937" i="9"/>
  <c r="F937" i="9"/>
  <c r="E937" i="9"/>
  <c r="Q565" i="11"/>
  <c r="Q564" i="11"/>
  <c r="Q563" i="11"/>
  <c r="Q562" i="11"/>
  <c r="Q561" i="11"/>
  <c r="Q560" i="11"/>
  <c r="Q559" i="11"/>
  <c r="Q558" i="11"/>
  <c r="Q557" i="11"/>
  <c r="Q556" i="11"/>
  <c r="Q555" i="11"/>
  <c r="Q554" i="11"/>
  <c r="Q553" i="11"/>
  <c r="Q552" i="11"/>
  <c r="Q551" i="11"/>
  <c r="Q550" i="11"/>
  <c r="Q549" i="11"/>
  <c r="Q548" i="11"/>
  <c r="Q547" i="11"/>
  <c r="Q546" i="11"/>
  <c r="Q545" i="11"/>
  <c r="Q544" i="11"/>
  <c r="Q543" i="11"/>
  <c r="Q542" i="11"/>
  <c r="Q541" i="11"/>
  <c r="Q540" i="11"/>
  <c r="Q539" i="11"/>
  <c r="Q538" i="11"/>
  <c r="Q537" i="11"/>
  <c r="Q536" i="11"/>
  <c r="Q535" i="11"/>
  <c r="Q534" i="11"/>
  <c r="Q533" i="11"/>
  <c r="Q532" i="11"/>
  <c r="Q531" i="11"/>
  <c r="Q530" i="11"/>
  <c r="Q529" i="11"/>
  <c r="Q528" i="11"/>
  <c r="Q527" i="11"/>
  <c r="Q526" i="11"/>
  <c r="Q525" i="11"/>
  <c r="Q524" i="11"/>
  <c r="Q523" i="11"/>
  <c r="Q522" i="11"/>
  <c r="Q521" i="11"/>
  <c r="Q520" i="11"/>
  <c r="Q519" i="11"/>
  <c r="Q518" i="11"/>
  <c r="Q517" i="11"/>
  <c r="Q516" i="11"/>
  <c r="Q515" i="11"/>
  <c r="Q514" i="11"/>
  <c r="Q513" i="11"/>
  <c r="Q512" i="11"/>
  <c r="Q511" i="11"/>
  <c r="Q510" i="11"/>
  <c r="Q509" i="11"/>
  <c r="Q508" i="11"/>
  <c r="Q507" i="11"/>
  <c r="Q506" i="11"/>
  <c r="Q505" i="11"/>
  <c r="Q504" i="11"/>
  <c r="Q503" i="11"/>
  <c r="Q502" i="11"/>
  <c r="Q501" i="11"/>
  <c r="Q500" i="11"/>
  <c r="Q499" i="11"/>
  <c r="Q498" i="11"/>
  <c r="Q497" i="11"/>
  <c r="Q496" i="11"/>
  <c r="Q495" i="11"/>
  <c r="Q494" i="11"/>
  <c r="Q493" i="11"/>
  <c r="Q492" i="11"/>
  <c r="Q491" i="11"/>
  <c r="Q490" i="11"/>
  <c r="Q489" i="11"/>
  <c r="Q488" i="11"/>
  <c r="Q487" i="11"/>
  <c r="Q486" i="11"/>
  <c r="Q485" i="11"/>
  <c r="Q484" i="11"/>
  <c r="Q483" i="11"/>
  <c r="Q482" i="11"/>
  <c r="Q481" i="11"/>
  <c r="Q480" i="11"/>
  <c r="Q479" i="11"/>
  <c r="Q478" i="11"/>
  <c r="Q477" i="11"/>
  <c r="Q476" i="11"/>
  <c r="Q475" i="11"/>
  <c r="Q474" i="11"/>
  <c r="Q473" i="11"/>
  <c r="Q472" i="11"/>
  <c r="Q471" i="11"/>
  <c r="Q470" i="11"/>
  <c r="Q469" i="11"/>
  <c r="Q468" i="11"/>
  <c r="Q467" i="11"/>
  <c r="Q466" i="11"/>
  <c r="Q465" i="11"/>
  <c r="Q464" i="11"/>
  <c r="Q463" i="11"/>
  <c r="Q462" i="11"/>
  <c r="Q461" i="11"/>
  <c r="Q460" i="11"/>
  <c r="Q459" i="11"/>
  <c r="Q458" i="11"/>
  <c r="Q457" i="11"/>
  <c r="Q456" i="11"/>
  <c r="Q455" i="11"/>
  <c r="Q454" i="11"/>
  <c r="Q453" i="11"/>
  <c r="Q452" i="11"/>
  <c r="Q451" i="11"/>
  <c r="Q450" i="11"/>
  <c r="Q449" i="11"/>
  <c r="Q448" i="11"/>
  <c r="Q447" i="11"/>
  <c r="Q446" i="11"/>
  <c r="Q445" i="11"/>
  <c r="Q444" i="11"/>
  <c r="Q443" i="11"/>
  <c r="Q442" i="11"/>
  <c r="Q441" i="11"/>
  <c r="Q440" i="11"/>
  <c r="Q439" i="11"/>
  <c r="Q438" i="11"/>
  <c r="Q437" i="11"/>
  <c r="Q436" i="11"/>
  <c r="Q435" i="11"/>
  <c r="Q434" i="11"/>
  <c r="Q433" i="11"/>
  <c r="Q432" i="11"/>
  <c r="Q431" i="11"/>
  <c r="Q430" i="11"/>
  <c r="Q429" i="11"/>
  <c r="Q428" i="11"/>
  <c r="Q427" i="11"/>
  <c r="Q426" i="11"/>
  <c r="Q425" i="11"/>
  <c r="Q424" i="11"/>
  <c r="Q423" i="11"/>
  <c r="Q422" i="11"/>
  <c r="Q421" i="11"/>
  <c r="Q420" i="11"/>
  <c r="Q419" i="11"/>
  <c r="Q418" i="11"/>
  <c r="Q417" i="11"/>
  <c r="Q416" i="11"/>
  <c r="Q415" i="11"/>
  <c r="Q414" i="11"/>
  <c r="Q413" i="11"/>
  <c r="Q412" i="11"/>
  <c r="Q411" i="11"/>
  <c r="Q410" i="11"/>
  <c r="Q409" i="11"/>
  <c r="Q408" i="11"/>
  <c r="Q407" i="11"/>
  <c r="Q406" i="11"/>
  <c r="Q405" i="11"/>
  <c r="Q404" i="11"/>
  <c r="Q403" i="11"/>
  <c r="Q402" i="11"/>
  <c r="Q401" i="11"/>
  <c r="Q400" i="11"/>
  <c r="Q399" i="11"/>
  <c r="Q398" i="11"/>
  <c r="Q397" i="11"/>
  <c r="Q396" i="11"/>
  <c r="Q395" i="11"/>
  <c r="Q394" i="11"/>
  <c r="Q393" i="11"/>
  <c r="Q392" i="11"/>
  <c r="Q391" i="11"/>
  <c r="Q390" i="11"/>
  <c r="Q389" i="11"/>
  <c r="Q388" i="11"/>
  <c r="Q387" i="11"/>
  <c r="Q386" i="11"/>
  <c r="Q385" i="11"/>
  <c r="Q384" i="11"/>
  <c r="Q383" i="11"/>
  <c r="Q382" i="11"/>
  <c r="Q381" i="11"/>
  <c r="Q380" i="11"/>
  <c r="Q379" i="11"/>
  <c r="Q378" i="11"/>
  <c r="Q377" i="11"/>
  <c r="Q376" i="11"/>
  <c r="Q375" i="11"/>
  <c r="Q374" i="11"/>
  <c r="Q373" i="11"/>
  <c r="Q372" i="11"/>
  <c r="Q371" i="11"/>
  <c r="Q370" i="11"/>
  <c r="Q369" i="11"/>
  <c r="Q368" i="11"/>
  <c r="Q367" i="11"/>
  <c r="Q366" i="11"/>
  <c r="Q365" i="11"/>
  <c r="Q364" i="11"/>
  <c r="Q363" i="11"/>
  <c r="Q362" i="11"/>
  <c r="Q361" i="11"/>
  <c r="Q360" i="11"/>
  <c r="Q359" i="11"/>
  <c r="Q358" i="11"/>
  <c r="Q357" i="11"/>
  <c r="Q356" i="11"/>
  <c r="Q355" i="11"/>
  <c r="Q354" i="11"/>
  <c r="Q353" i="11"/>
  <c r="Q352" i="11"/>
  <c r="Q351" i="11"/>
  <c r="Q350" i="11"/>
  <c r="Q349" i="11"/>
  <c r="Q348" i="11"/>
  <c r="Q347" i="11"/>
  <c r="Q346" i="11"/>
  <c r="Q345" i="11"/>
  <c r="Q344" i="11"/>
  <c r="Q343" i="11"/>
  <c r="Q342" i="11"/>
  <c r="Q341" i="11"/>
  <c r="Q340" i="11"/>
  <c r="Q339" i="11"/>
  <c r="Q338" i="11"/>
  <c r="Q337" i="11"/>
  <c r="Q336" i="11"/>
  <c r="Q335" i="11"/>
  <c r="Q334" i="11"/>
  <c r="Q333" i="11"/>
  <c r="Q332" i="11"/>
  <c r="Q331" i="11"/>
  <c r="Q330" i="11"/>
  <c r="Q329" i="11"/>
  <c r="Q328" i="11"/>
  <c r="Q327" i="11"/>
  <c r="Q326" i="11"/>
  <c r="Q325" i="11"/>
  <c r="Q324" i="11"/>
  <c r="Q323" i="11"/>
  <c r="Q322" i="11"/>
  <c r="Q321" i="11"/>
  <c r="Q320" i="11"/>
  <c r="Q319" i="11"/>
  <c r="Q318" i="11"/>
  <c r="Q317" i="11"/>
  <c r="Q316" i="11"/>
  <c r="Q315" i="11"/>
  <c r="Q314" i="11"/>
  <c r="Q313" i="11"/>
  <c r="Q312" i="11"/>
  <c r="Q311" i="11"/>
  <c r="Q310" i="11"/>
  <c r="Q309"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7" i="11"/>
  <c r="Q156" i="11"/>
  <c r="Q155" i="11"/>
  <c r="Q154" i="11"/>
  <c r="Q153" i="11"/>
  <c r="Q152" i="11"/>
  <c r="Q151" i="11"/>
  <c r="Q150" i="11"/>
  <c r="Q149" i="11"/>
  <c r="Q148" i="11"/>
  <c r="Q14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AD565" i="11"/>
  <c r="AD564" i="11"/>
  <c r="AD563" i="11"/>
  <c r="AD562" i="11"/>
  <c r="AD561" i="11"/>
  <c r="AD560" i="11"/>
  <c r="AD559" i="11"/>
  <c r="AD558" i="11"/>
  <c r="AD557" i="11"/>
  <c r="AD556" i="11"/>
  <c r="AD555" i="11"/>
  <c r="AD554" i="11"/>
  <c r="AD553" i="11"/>
  <c r="AD552" i="11"/>
  <c r="AD551" i="11"/>
  <c r="AD550" i="11"/>
  <c r="AD549" i="11"/>
  <c r="AD548" i="11"/>
  <c r="AD547" i="11"/>
  <c r="AD546" i="11"/>
  <c r="AD545" i="11"/>
  <c r="AD544" i="11"/>
  <c r="AD543" i="11"/>
  <c r="AD542" i="11"/>
  <c r="AD541" i="11"/>
  <c r="AD540" i="11"/>
  <c r="AD539" i="11"/>
  <c r="AD538" i="11"/>
  <c r="AD537" i="11"/>
  <c r="AD536" i="11"/>
  <c r="AD535" i="11"/>
  <c r="AD534" i="11"/>
  <c r="AD533" i="11"/>
  <c r="AD532" i="11"/>
  <c r="AD531" i="11"/>
  <c r="AD530" i="11"/>
  <c r="AD529" i="11"/>
  <c r="AD528" i="11"/>
  <c r="AD527" i="11"/>
  <c r="AD526" i="11"/>
  <c r="AD525" i="11"/>
  <c r="AD524" i="11"/>
  <c r="AD523" i="11"/>
  <c r="AD522" i="11"/>
  <c r="AD521" i="11"/>
  <c r="AD520" i="11"/>
  <c r="AD519" i="11"/>
  <c r="AD518" i="11"/>
  <c r="AD517" i="11"/>
  <c r="AD516" i="11"/>
  <c r="AD515" i="11"/>
  <c r="AD514" i="11"/>
  <c r="AD513" i="11"/>
  <c r="AD512" i="11"/>
  <c r="AD511" i="11"/>
  <c r="AD510" i="11"/>
  <c r="AD509" i="11"/>
  <c r="AD508" i="11"/>
  <c r="AD507" i="11"/>
  <c r="AD506" i="11"/>
  <c r="AD505" i="11"/>
  <c r="AD504" i="11"/>
  <c r="AD503" i="11"/>
  <c r="AD502" i="11"/>
  <c r="AD501" i="11"/>
  <c r="AD500" i="11"/>
  <c r="AD499" i="11"/>
  <c r="AD498" i="11"/>
  <c r="AD497" i="11"/>
  <c r="AD496" i="11"/>
  <c r="AD495" i="11"/>
  <c r="AD494" i="11"/>
  <c r="AD493" i="11"/>
  <c r="AD492" i="11"/>
  <c r="AD491" i="11"/>
  <c r="AD490" i="11"/>
  <c r="AD489" i="11"/>
  <c r="AD488" i="11"/>
  <c r="AD487" i="11"/>
  <c r="AD486" i="11"/>
  <c r="AD485" i="11"/>
  <c r="AD484" i="11"/>
  <c r="AD483" i="11"/>
  <c r="AD482" i="11"/>
  <c r="AD481" i="11"/>
  <c r="AD480" i="11"/>
  <c r="AD479" i="11"/>
  <c r="AD478" i="11"/>
  <c r="AD477" i="11"/>
  <c r="AD476" i="11"/>
  <c r="AD475" i="11"/>
  <c r="AD474" i="11"/>
  <c r="AD473" i="11"/>
  <c r="AD472" i="11"/>
  <c r="AD471" i="11"/>
  <c r="AD470" i="11"/>
  <c r="AD469" i="11"/>
  <c r="AD468" i="11"/>
  <c r="AD467" i="11"/>
  <c r="AD466" i="11"/>
  <c r="AD465" i="11"/>
  <c r="AD464" i="11"/>
  <c r="AD463" i="11"/>
  <c r="AD462" i="11"/>
  <c r="AD461" i="11"/>
  <c r="AD460" i="11"/>
  <c r="AD459" i="11"/>
  <c r="AD458" i="11"/>
  <c r="AD457" i="11"/>
  <c r="AD456" i="11"/>
  <c r="AD455" i="11"/>
  <c r="AD454" i="11"/>
  <c r="AD453" i="11"/>
  <c r="AD452" i="11"/>
  <c r="AD451" i="11"/>
  <c r="AD450" i="11"/>
  <c r="AD449" i="11"/>
  <c r="AD448" i="11"/>
  <c r="AD447" i="11"/>
  <c r="AD446" i="11"/>
  <c r="AD445" i="11"/>
  <c r="AD444" i="11"/>
  <c r="AD443" i="11"/>
  <c r="AD442" i="11"/>
  <c r="AD441" i="11"/>
  <c r="AD440" i="11"/>
  <c r="AD439" i="11"/>
  <c r="AD438" i="11"/>
  <c r="AD437" i="11"/>
  <c r="AD436" i="11"/>
  <c r="AD435" i="11"/>
  <c r="AD434" i="11"/>
  <c r="AD433" i="11"/>
  <c r="AD432" i="11"/>
  <c r="AD431" i="11"/>
  <c r="AD430" i="11"/>
  <c r="AD429" i="11"/>
  <c r="AD428" i="11"/>
  <c r="AD427" i="11"/>
  <c r="AD426" i="11"/>
  <c r="AD425" i="11"/>
  <c r="AD424" i="11"/>
  <c r="AD423" i="11"/>
  <c r="AD422" i="11"/>
  <c r="AD421" i="11"/>
  <c r="AD420" i="11"/>
  <c r="AD419" i="11"/>
  <c r="AD418" i="11"/>
  <c r="AD417" i="11"/>
  <c r="AD416" i="11"/>
  <c r="AD415" i="11"/>
  <c r="AD414" i="11"/>
  <c r="AD413" i="11"/>
  <c r="AD412" i="11"/>
  <c r="AD411" i="11"/>
  <c r="AD410" i="11"/>
  <c r="AD409" i="11"/>
  <c r="AD408" i="11"/>
  <c r="AD407" i="11"/>
  <c r="AD406" i="11"/>
  <c r="AD405" i="11"/>
  <c r="AD404" i="11"/>
  <c r="AD403" i="11"/>
  <c r="AD402" i="11"/>
  <c r="AD401" i="11"/>
  <c r="AD400" i="11"/>
  <c r="AD399" i="11"/>
  <c r="AD398" i="11"/>
  <c r="AD397" i="11"/>
  <c r="AD396" i="11"/>
  <c r="AD395" i="11"/>
  <c r="AD394" i="11"/>
  <c r="AD393" i="11"/>
  <c r="AD392" i="11"/>
  <c r="AD391" i="11"/>
  <c r="AD390" i="11"/>
  <c r="AD389" i="11"/>
  <c r="AD388" i="11"/>
  <c r="AD387" i="11"/>
  <c r="AD386" i="11"/>
  <c r="AD385" i="11"/>
  <c r="AD384" i="11"/>
  <c r="AD383" i="11"/>
  <c r="AD382" i="11"/>
  <c r="AD381" i="11"/>
  <c r="AD380" i="11"/>
  <c r="AD379" i="11"/>
  <c r="AD378" i="11"/>
  <c r="AD377" i="11"/>
  <c r="AD376" i="11"/>
  <c r="AD375" i="11"/>
  <c r="AD374" i="11"/>
  <c r="AD373" i="11"/>
  <c r="AD372" i="11"/>
  <c r="AD371" i="11"/>
  <c r="AD370" i="11"/>
  <c r="AD369" i="11"/>
  <c r="AD368" i="11"/>
  <c r="AD367" i="11"/>
  <c r="AD366" i="11"/>
  <c r="AD365" i="11"/>
  <c r="AD364" i="11"/>
  <c r="AD363" i="11"/>
  <c r="AD362" i="11"/>
  <c r="AD361" i="11"/>
  <c r="AD360" i="11"/>
  <c r="AD359" i="11"/>
  <c r="AD358" i="11"/>
  <c r="AD357" i="11"/>
  <c r="AD356" i="11"/>
  <c r="AD355" i="11"/>
  <c r="AD354" i="11"/>
  <c r="AD353" i="11"/>
  <c r="AD352" i="11"/>
  <c r="AD351" i="11"/>
  <c r="AD350" i="11"/>
  <c r="AD349" i="11"/>
  <c r="AD348" i="11"/>
  <c r="AD347" i="11"/>
  <c r="AD346" i="11"/>
  <c r="AD345" i="11"/>
  <c r="AD344" i="11"/>
  <c r="AD343" i="11"/>
  <c r="AD342" i="11"/>
  <c r="AD341" i="11"/>
  <c r="AD340" i="11"/>
  <c r="AD339" i="11"/>
  <c r="AD338" i="11"/>
  <c r="AD337" i="11"/>
  <c r="AD336" i="11"/>
  <c r="AD335" i="11"/>
  <c r="AD334" i="11"/>
  <c r="AD333" i="11"/>
  <c r="AD332" i="11"/>
  <c r="AD331" i="11"/>
  <c r="AD330" i="11"/>
  <c r="AD329" i="11"/>
  <c r="AD328" i="11"/>
  <c r="AD327" i="11"/>
  <c r="AD326" i="11"/>
  <c r="AD325" i="11"/>
  <c r="AD324" i="11"/>
  <c r="AD323" i="11"/>
  <c r="AD322" i="11"/>
  <c r="AD321" i="11"/>
  <c r="AD320" i="11"/>
  <c r="AD319" i="11"/>
  <c r="AD318" i="11"/>
  <c r="AD317" i="11"/>
  <c r="AD316" i="11"/>
  <c r="AD315" i="11"/>
  <c r="AD314" i="11"/>
  <c r="AD313" i="11"/>
  <c r="AD312" i="11"/>
  <c r="AD311" i="11"/>
  <c r="AD310" i="11"/>
  <c r="AD309" i="11"/>
  <c r="AD308" i="11"/>
  <c r="AD307" i="11"/>
  <c r="AD306" i="11"/>
  <c r="AD305" i="11"/>
  <c r="AD304" i="11"/>
  <c r="AD303" i="11"/>
  <c r="AD302" i="11"/>
  <c r="AD301" i="11"/>
  <c r="AD300" i="11"/>
  <c r="AD299" i="11"/>
  <c r="AD298" i="11"/>
  <c r="AD297" i="11"/>
  <c r="AD296" i="11"/>
  <c r="AD295" i="11"/>
  <c r="AD294" i="11"/>
  <c r="AD293" i="11"/>
  <c r="AD292" i="11"/>
  <c r="AD291" i="11"/>
  <c r="AD290" i="11"/>
  <c r="AD289" i="11"/>
  <c r="AD288" i="11"/>
  <c r="AD287" i="11"/>
  <c r="AD286" i="11"/>
  <c r="AD285" i="11"/>
  <c r="AD284" i="11"/>
  <c r="AD283" i="11"/>
  <c r="AD282" i="11"/>
  <c r="AD281" i="11"/>
  <c r="AD280" i="11"/>
  <c r="AD279" i="11"/>
  <c r="AD278" i="11"/>
  <c r="AD277" i="11"/>
  <c r="AD276" i="11"/>
  <c r="AD275" i="11"/>
  <c r="AD274" i="11"/>
  <c r="AD273" i="11"/>
  <c r="AD272" i="11"/>
  <c r="AD271" i="11"/>
  <c r="AD270" i="11"/>
  <c r="AD269" i="11"/>
  <c r="AD268" i="11"/>
  <c r="AD267" i="11"/>
  <c r="AD266" i="11"/>
  <c r="AD265" i="11"/>
  <c r="AD264" i="11"/>
  <c r="AD263" i="11"/>
  <c r="AD262" i="11"/>
  <c r="AD261" i="11"/>
  <c r="AD260" i="11"/>
  <c r="AD259" i="11"/>
  <c r="AD258" i="11"/>
  <c r="AD257" i="11"/>
  <c r="AD256" i="11"/>
  <c r="AD255" i="11"/>
  <c r="AD254" i="11"/>
  <c r="AD253" i="11"/>
  <c r="AD252" i="11"/>
  <c r="AD251" i="11"/>
  <c r="AD250" i="11"/>
  <c r="AD249" i="11"/>
  <c r="AD248" i="11"/>
  <c r="AD247" i="11"/>
  <c r="AD246" i="11"/>
  <c r="AD245" i="11"/>
  <c r="AD244" i="11"/>
  <c r="AD243" i="11"/>
  <c r="AD242" i="11"/>
  <c r="AD241" i="11"/>
  <c r="AD240" i="11"/>
  <c r="AD239" i="11"/>
  <c r="AD238" i="11"/>
  <c r="AD237" i="11"/>
  <c r="AD236" i="11"/>
  <c r="AD235" i="11"/>
  <c r="AD234" i="11"/>
  <c r="AD233" i="11"/>
  <c r="AD232" i="11"/>
  <c r="AD231" i="11"/>
  <c r="AD230" i="11"/>
  <c r="AD229" i="11"/>
  <c r="AD228" i="11"/>
  <c r="AD227" i="11"/>
  <c r="AD226" i="11"/>
  <c r="AD225" i="11"/>
  <c r="AD224" i="11"/>
  <c r="AD223" i="11"/>
  <c r="AD222" i="11"/>
  <c r="AD221" i="11"/>
  <c r="AD220" i="11"/>
  <c r="AD219" i="11"/>
  <c r="AD218" i="11"/>
  <c r="AD217" i="11"/>
  <c r="AD216" i="11"/>
  <c r="AD215" i="11"/>
  <c r="AD214" i="11"/>
  <c r="AD213" i="11"/>
  <c r="AD212" i="11"/>
  <c r="AD211" i="11"/>
  <c r="AD210" i="11"/>
  <c r="AD209" i="11"/>
  <c r="AD208" i="11"/>
  <c r="AD207" i="11"/>
  <c r="AD206" i="11"/>
  <c r="AD205" i="11"/>
  <c r="AD204" i="11"/>
  <c r="AD203" i="11"/>
  <c r="AD202" i="11"/>
  <c r="AD201" i="11"/>
  <c r="AD200" i="11"/>
  <c r="AD199" i="11"/>
  <c r="AD198" i="11"/>
  <c r="AD197" i="11"/>
  <c r="AD196" i="11"/>
  <c r="AD195" i="11"/>
  <c r="AD194" i="11"/>
  <c r="AD193" i="11"/>
  <c r="AD192" i="11"/>
  <c r="AD191" i="11"/>
  <c r="AD190" i="11"/>
  <c r="AD189" i="11"/>
  <c r="AD188" i="11"/>
  <c r="AD187" i="11"/>
  <c r="AD186" i="11"/>
  <c r="AD185" i="11"/>
  <c r="AD184" i="11"/>
  <c r="AD183" i="11"/>
  <c r="AD182" i="11"/>
  <c r="AD181" i="11"/>
  <c r="AD180" i="11"/>
  <c r="AD179" i="11"/>
  <c r="AD178" i="11"/>
  <c r="AD177" i="11"/>
  <c r="AD176" i="11"/>
  <c r="AD175" i="11"/>
  <c r="AD174" i="11"/>
  <c r="AD173" i="11"/>
  <c r="AD172" i="11"/>
  <c r="AD171" i="11"/>
  <c r="AD170" i="11"/>
  <c r="AD169" i="11"/>
  <c r="AD168" i="11"/>
  <c r="AD167" i="11"/>
  <c r="AD166" i="11"/>
  <c r="AD165" i="11"/>
  <c r="AD164" i="11"/>
  <c r="AD163" i="11"/>
  <c r="AD162" i="11"/>
  <c r="AD161" i="11"/>
  <c r="AD160" i="11"/>
  <c r="AD159" i="11"/>
  <c r="AD158" i="11"/>
  <c r="AD157" i="11"/>
  <c r="AD156" i="11"/>
  <c r="AD155" i="11"/>
  <c r="AD154" i="11"/>
  <c r="AD153" i="11"/>
  <c r="AD152" i="11"/>
  <c r="AD151" i="11"/>
  <c r="AD150" i="11"/>
  <c r="AD149" i="11"/>
  <c r="AD148" i="11"/>
  <c r="AD147" i="11"/>
  <c r="AD146" i="11"/>
  <c r="AD145" i="11"/>
  <c r="AD144" i="11"/>
  <c r="AD143" i="11"/>
  <c r="AD142" i="11"/>
  <c r="AD141" i="11"/>
  <c r="AD140" i="11"/>
  <c r="AD139" i="11"/>
  <c r="AD138" i="11"/>
  <c r="AD137" i="11"/>
  <c r="AD136" i="11"/>
  <c r="AD135" i="11"/>
  <c r="AD134" i="11"/>
  <c r="AD133" i="11"/>
  <c r="AD132" i="11"/>
  <c r="AD131" i="11"/>
  <c r="AD130" i="11"/>
  <c r="AD129" i="11"/>
  <c r="AD128" i="11"/>
  <c r="AD127" i="11"/>
  <c r="AD126" i="11"/>
  <c r="AD125" i="11"/>
  <c r="AD124" i="11"/>
  <c r="AD123" i="11"/>
  <c r="AD122" i="11"/>
  <c r="AD121" i="11"/>
  <c r="AD120" i="11"/>
  <c r="AD119" i="11"/>
  <c r="AD118" i="11"/>
  <c r="AD117" i="11"/>
  <c r="AD116" i="11"/>
  <c r="AD115" i="11"/>
  <c r="AD114" i="11"/>
  <c r="AD113" i="11"/>
  <c r="AD112" i="11"/>
  <c r="AD111" i="11"/>
  <c r="AD110" i="11"/>
  <c r="AD109" i="11"/>
  <c r="AD108" i="11"/>
  <c r="AD107" i="11"/>
  <c r="AD106" i="11"/>
  <c r="AD105" i="11"/>
  <c r="AD104" i="11"/>
  <c r="AD103" i="11"/>
  <c r="AD102" i="11"/>
  <c r="AD101" i="11"/>
  <c r="AD100" i="11"/>
  <c r="AD99" i="11"/>
  <c r="AD98" i="11"/>
  <c r="AD97" i="11"/>
  <c r="AD96" i="11"/>
  <c r="AD95" i="11"/>
  <c r="AD94" i="11"/>
  <c r="AD93" i="11"/>
  <c r="AD92" i="11"/>
  <c r="AD91" i="11"/>
  <c r="AD90" i="11"/>
  <c r="AD89" i="11"/>
  <c r="AD88" i="11"/>
  <c r="AD87" i="11"/>
  <c r="AD86" i="11"/>
  <c r="AD85" i="11"/>
  <c r="AD84" i="11"/>
  <c r="AD83" i="11"/>
  <c r="AD82" i="11"/>
  <c r="AD81" i="11"/>
  <c r="AD80" i="11"/>
  <c r="AD79" i="11"/>
  <c r="AD78" i="11"/>
  <c r="AD77" i="11"/>
  <c r="AD76" i="11"/>
  <c r="AD75" i="11"/>
  <c r="AD74" i="11"/>
  <c r="AD73" i="11"/>
  <c r="AD72" i="11"/>
  <c r="AD71" i="11"/>
  <c r="AD70" i="11"/>
  <c r="AD69" i="11"/>
  <c r="AD68" i="11"/>
  <c r="AD67" i="11"/>
  <c r="AD66" i="11"/>
  <c r="AD65" i="11"/>
  <c r="AD64" i="11"/>
  <c r="AD63" i="11"/>
  <c r="AD62" i="11"/>
  <c r="AD61" i="11"/>
  <c r="AD60" i="11"/>
  <c r="AD59" i="11"/>
  <c r="AD58" i="11"/>
  <c r="AD57" i="11"/>
  <c r="AD56" i="11"/>
  <c r="AD55" i="11"/>
  <c r="AD54" i="11"/>
  <c r="AD53" i="11"/>
  <c r="AD52" i="11"/>
  <c r="AD51" i="11"/>
  <c r="AD50" i="11"/>
  <c r="AD49" i="11"/>
  <c r="AD48" i="11"/>
  <c r="AD47" i="11"/>
  <c r="AD46" i="11"/>
  <c r="AD45" i="11"/>
  <c r="AD44" i="11"/>
  <c r="AD43" i="11"/>
  <c r="AD42" i="11"/>
  <c r="AD41" i="11"/>
  <c r="AD40" i="11"/>
  <c r="AD39" i="11"/>
  <c r="AD38" i="11"/>
  <c r="AD37" i="11"/>
  <c r="AD36" i="11"/>
  <c r="AD35" i="11"/>
  <c r="AD34" i="11"/>
  <c r="AD33" i="11"/>
  <c r="AD32" i="11"/>
  <c r="AD31" i="11"/>
  <c r="AD30" i="11"/>
  <c r="AD29" i="11"/>
  <c r="AD28" i="11"/>
  <c r="AD27" i="11"/>
  <c r="AD26" i="11"/>
  <c r="AD25" i="11"/>
  <c r="AD24" i="11"/>
  <c r="AD23" i="11"/>
  <c r="AD22" i="11"/>
  <c r="AD21" i="11"/>
  <c r="AD20" i="11"/>
  <c r="AD19" i="11"/>
  <c r="AD18" i="11"/>
  <c r="AD17" i="11"/>
  <c r="AD16" i="11"/>
  <c r="AD15" i="11"/>
  <c r="AD14" i="11"/>
  <c r="AD13" i="11"/>
  <c r="AD12" i="11"/>
  <c r="AD11" i="11"/>
  <c r="AD10" i="11"/>
  <c r="AD9" i="11"/>
  <c r="AD8" i="11"/>
  <c r="AD7" i="11"/>
  <c r="AQ565" i="11"/>
  <c r="AQ564" i="11"/>
  <c r="AQ563" i="11"/>
  <c r="AQ562" i="11"/>
  <c r="AQ561" i="11"/>
  <c r="AQ560" i="11"/>
  <c r="AQ559" i="11"/>
  <c r="AQ558" i="11"/>
  <c r="AQ557" i="11"/>
  <c r="AQ556" i="11"/>
  <c r="AQ555" i="11"/>
  <c r="AQ554" i="11"/>
  <c r="AQ553" i="11"/>
  <c r="AQ552" i="11"/>
  <c r="AQ551" i="11"/>
  <c r="AQ550" i="11"/>
  <c r="AQ549" i="11"/>
  <c r="AQ548" i="11"/>
  <c r="AQ547" i="11"/>
  <c r="AQ546" i="11"/>
  <c r="AQ545" i="11"/>
  <c r="AQ544" i="11"/>
  <c r="AQ543" i="11"/>
  <c r="AQ542" i="11"/>
  <c r="AQ541" i="11"/>
  <c r="AQ540" i="11"/>
  <c r="AQ539" i="11"/>
  <c r="AQ538" i="11"/>
  <c r="AQ537" i="11"/>
  <c r="AQ536" i="11"/>
  <c r="AQ535" i="11"/>
  <c r="AQ534" i="11"/>
  <c r="AQ533" i="11"/>
  <c r="AQ532" i="11"/>
  <c r="AQ531" i="11"/>
  <c r="AQ530" i="11"/>
  <c r="AQ529" i="11"/>
  <c r="AQ528" i="11"/>
  <c r="AQ527" i="11"/>
  <c r="AQ526" i="11"/>
  <c r="AQ525" i="11"/>
  <c r="AQ524" i="11"/>
  <c r="AQ523" i="11"/>
  <c r="AQ522" i="11"/>
  <c r="AQ521" i="11"/>
  <c r="AQ520" i="11"/>
  <c r="AQ519" i="11"/>
  <c r="AQ518" i="11"/>
  <c r="AQ517" i="11"/>
  <c r="AQ516" i="11"/>
  <c r="AQ515" i="11"/>
  <c r="AQ514" i="11"/>
  <c r="AQ513" i="11"/>
  <c r="AQ512" i="11"/>
  <c r="AQ511" i="11"/>
  <c r="AQ510" i="11"/>
  <c r="AQ509" i="11"/>
  <c r="AQ508" i="11"/>
  <c r="AQ507" i="11"/>
  <c r="AQ506" i="11"/>
  <c r="AQ505" i="11"/>
  <c r="AQ504" i="11"/>
  <c r="AQ503" i="11"/>
  <c r="AQ502" i="11"/>
  <c r="AQ501" i="11"/>
  <c r="AQ500" i="11"/>
  <c r="AQ499" i="11"/>
  <c r="AQ498" i="11"/>
  <c r="AQ497" i="11"/>
  <c r="AQ496" i="11"/>
  <c r="AQ495" i="11"/>
  <c r="AQ494" i="11"/>
  <c r="AQ493" i="11"/>
  <c r="AQ492" i="11"/>
  <c r="AQ491" i="11"/>
  <c r="AQ490" i="11"/>
  <c r="AQ489" i="11"/>
  <c r="AQ488" i="11"/>
  <c r="AQ487" i="11"/>
  <c r="AQ486" i="11"/>
  <c r="AQ485" i="11"/>
  <c r="AQ484" i="11"/>
  <c r="AQ483" i="11"/>
  <c r="AQ482" i="11"/>
  <c r="AQ481" i="11"/>
  <c r="AQ480" i="11"/>
  <c r="AQ479" i="11"/>
  <c r="AQ478" i="11"/>
  <c r="AQ477" i="11"/>
  <c r="AQ476" i="11"/>
  <c r="AQ475" i="11"/>
  <c r="AQ474" i="11"/>
  <c r="AQ473" i="11"/>
  <c r="AQ472" i="11"/>
  <c r="AQ471" i="11"/>
  <c r="AQ470" i="11"/>
  <c r="AQ469" i="11"/>
  <c r="AQ468" i="11"/>
  <c r="AQ467" i="11"/>
  <c r="AQ466" i="11"/>
  <c r="AQ465" i="11"/>
  <c r="AQ464" i="11"/>
  <c r="AQ463" i="11"/>
  <c r="AQ462" i="11"/>
  <c r="AQ461" i="11"/>
  <c r="AQ460" i="11"/>
  <c r="AQ459" i="11"/>
  <c r="AQ458" i="11"/>
  <c r="AQ457" i="11"/>
  <c r="AQ456" i="11"/>
  <c r="AQ455" i="11"/>
  <c r="AQ454" i="11"/>
  <c r="AQ453" i="11"/>
  <c r="AQ452" i="11"/>
  <c r="AQ451" i="11"/>
  <c r="AQ450" i="11"/>
  <c r="AQ449" i="11"/>
  <c r="AQ448" i="11"/>
  <c r="AQ447" i="11"/>
  <c r="AQ446" i="11"/>
  <c r="AQ445" i="11"/>
  <c r="AQ444" i="11"/>
  <c r="AQ443" i="11"/>
  <c r="AQ442" i="11"/>
  <c r="AQ441" i="11"/>
  <c r="AQ440" i="11"/>
  <c r="AQ439" i="11"/>
  <c r="AQ438" i="11"/>
  <c r="AQ437" i="11"/>
  <c r="AQ436" i="11"/>
  <c r="AQ435" i="11"/>
  <c r="AQ434" i="11"/>
  <c r="AQ433" i="11"/>
  <c r="AQ432" i="11"/>
  <c r="AQ431" i="11"/>
  <c r="AQ430" i="11"/>
  <c r="AQ429" i="11"/>
  <c r="AQ428" i="11"/>
  <c r="AQ427" i="11"/>
  <c r="AQ426" i="11"/>
  <c r="AQ425" i="11"/>
  <c r="AQ424" i="11"/>
  <c r="AQ423" i="11"/>
  <c r="AQ422" i="11"/>
  <c r="AQ421" i="11"/>
  <c r="AQ420" i="11"/>
  <c r="AQ419" i="11"/>
  <c r="AQ418" i="11"/>
  <c r="AQ417" i="11"/>
  <c r="AQ416" i="11"/>
  <c r="AQ415" i="11"/>
  <c r="AQ414" i="11"/>
  <c r="AQ413" i="11"/>
  <c r="AQ412" i="11"/>
  <c r="AQ411" i="11"/>
  <c r="AQ410" i="11"/>
  <c r="AQ409" i="11"/>
  <c r="AQ408" i="11"/>
  <c r="AQ407" i="11"/>
  <c r="AQ406" i="11"/>
  <c r="AQ405" i="11"/>
  <c r="AQ404" i="11"/>
  <c r="AQ403" i="11"/>
  <c r="AQ402" i="11"/>
  <c r="AQ401" i="11"/>
  <c r="AQ400" i="11"/>
  <c r="AQ399" i="11"/>
  <c r="AQ398" i="11"/>
  <c r="AQ397" i="11"/>
  <c r="AQ396" i="11"/>
  <c r="AQ395" i="11"/>
  <c r="AQ394" i="11"/>
  <c r="AQ393" i="11"/>
  <c r="AQ392" i="11"/>
  <c r="AQ391" i="11"/>
  <c r="AQ390" i="11"/>
  <c r="AQ389" i="11"/>
  <c r="AQ388" i="11"/>
  <c r="AQ387" i="11"/>
  <c r="AQ386" i="11"/>
  <c r="AQ385" i="11"/>
  <c r="AQ384" i="11"/>
  <c r="AQ383" i="11"/>
  <c r="AQ382" i="11"/>
  <c r="AQ381" i="11"/>
  <c r="AQ380" i="11"/>
  <c r="AQ379" i="11"/>
  <c r="AQ378" i="11"/>
  <c r="AQ377" i="11"/>
  <c r="AQ376" i="11"/>
  <c r="AQ375" i="11"/>
  <c r="AQ374" i="11"/>
  <c r="AQ373" i="11"/>
  <c r="AQ372" i="11"/>
  <c r="AQ371" i="11"/>
  <c r="AQ370" i="11"/>
  <c r="AQ369" i="11"/>
  <c r="AQ368" i="11"/>
  <c r="AQ367" i="11"/>
  <c r="AQ366" i="11"/>
  <c r="AQ365" i="11"/>
  <c r="AQ364" i="11"/>
  <c r="AQ363" i="11"/>
  <c r="AQ362" i="11"/>
  <c r="AQ361" i="11"/>
  <c r="AQ360" i="11"/>
  <c r="AQ359" i="11"/>
  <c r="AQ358" i="11"/>
  <c r="AQ357" i="11"/>
  <c r="AQ356" i="11"/>
  <c r="AQ355" i="11"/>
  <c r="AQ354" i="11"/>
  <c r="AQ353" i="11"/>
  <c r="AQ352" i="11"/>
  <c r="AQ351" i="11"/>
  <c r="AQ350" i="11"/>
  <c r="AQ349" i="11"/>
  <c r="AQ348" i="11"/>
  <c r="AQ347" i="11"/>
  <c r="AQ346" i="11"/>
  <c r="AQ345" i="11"/>
  <c r="AQ344" i="11"/>
  <c r="AQ343" i="11"/>
  <c r="AQ342" i="11"/>
  <c r="AQ341" i="11"/>
  <c r="AQ340" i="11"/>
  <c r="AQ339" i="11"/>
  <c r="AQ338" i="11"/>
  <c r="AQ337" i="11"/>
  <c r="AQ336" i="11"/>
  <c r="AQ335" i="11"/>
  <c r="AQ334" i="11"/>
  <c r="AQ333" i="11"/>
  <c r="AQ332" i="11"/>
  <c r="AQ331" i="11"/>
  <c r="AQ330" i="11"/>
  <c r="AQ329" i="11"/>
  <c r="AQ328" i="11"/>
  <c r="AQ327" i="11"/>
  <c r="AQ326" i="11"/>
  <c r="AQ325" i="11"/>
  <c r="AQ324" i="11"/>
  <c r="AQ323" i="11"/>
  <c r="AQ322" i="11"/>
  <c r="AQ321" i="11"/>
  <c r="AQ320" i="11"/>
  <c r="AQ319" i="11"/>
  <c r="AQ318" i="11"/>
  <c r="AQ317" i="11"/>
  <c r="AQ316" i="11"/>
  <c r="AQ315" i="11"/>
  <c r="AQ314" i="11"/>
  <c r="AQ313" i="11"/>
  <c r="AQ312" i="11"/>
  <c r="AQ311" i="11"/>
  <c r="AQ310" i="11"/>
  <c r="AQ309" i="11"/>
  <c r="AQ308" i="11"/>
  <c r="AQ307" i="11"/>
  <c r="AQ306" i="11"/>
  <c r="AQ305" i="11"/>
  <c r="AQ304" i="11"/>
  <c r="AQ303" i="11"/>
  <c r="AQ302" i="11"/>
  <c r="AQ301" i="11"/>
  <c r="AQ300" i="11"/>
  <c r="AQ299" i="11"/>
  <c r="AQ298" i="11"/>
  <c r="AQ297" i="11"/>
  <c r="AQ296" i="11"/>
  <c r="AQ295" i="11"/>
  <c r="AQ294" i="11"/>
  <c r="AQ293" i="11"/>
  <c r="AQ292" i="11"/>
  <c r="AQ291" i="11"/>
  <c r="AQ290" i="11"/>
  <c r="AQ289" i="11"/>
  <c r="AQ288" i="11"/>
  <c r="AQ287" i="11"/>
  <c r="AQ286" i="11"/>
  <c r="AQ285" i="11"/>
  <c r="AQ284" i="11"/>
  <c r="AQ283" i="11"/>
  <c r="AQ282" i="11"/>
  <c r="AQ281" i="11"/>
  <c r="AQ280" i="11"/>
  <c r="AQ279" i="11"/>
  <c r="AQ278" i="11"/>
  <c r="AQ277" i="11"/>
  <c r="AQ276" i="11"/>
  <c r="AQ275" i="11"/>
  <c r="AQ274" i="11"/>
  <c r="AQ273" i="11"/>
  <c r="AQ272" i="11"/>
  <c r="AQ271" i="11"/>
  <c r="AQ270" i="11"/>
  <c r="AQ269" i="11"/>
  <c r="AQ268" i="11"/>
  <c r="AQ267" i="11"/>
  <c r="AQ266" i="11"/>
  <c r="AQ265" i="11"/>
  <c r="AQ264" i="11"/>
  <c r="AQ263" i="11"/>
  <c r="AQ262" i="11"/>
  <c r="AQ261" i="11"/>
  <c r="AQ260" i="11"/>
  <c r="AQ259" i="11"/>
  <c r="AQ258" i="11"/>
  <c r="AQ257" i="11"/>
  <c r="AQ256" i="11"/>
  <c r="AQ255" i="11"/>
  <c r="AQ254" i="11"/>
  <c r="AQ253" i="11"/>
  <c r="AQ252" i="11"/>
  <c r="AQ251" i="11"/>
  <c r="AQ250" i="11"/>
  <c r="AQ249" i="11"/>
  <c r="AQ248" i="11"/>
  <c r="AQ247" i="11"/>
  <c r="AQ246" i="11"/>
  <c r="AQ245" i="11"/>
  <c r="AQ244" i="11"/>
  <c r="AQ243" i="11"/>
  <c r="AQ242" i="11"/>
  <c r="AQ241" i="11"/>
  <c r="AQ240" i="11"/>
  <c r="AQ239" i="11"/>
  <c r="AQ238" i="11"/>
  <c r="AQ237" i="11"/>
  <c r="AQ236" i="11"/>
  <c r="AQ235" i="11"/>
  <c r="AQ234" i="11"/>
  <c r="AQ233" i="11"/>
  <c r="AQ232" i="11"/>
  <c r="AQ231" i="11"/>
  <c r="AQ230" i="11"/>
  <c r="AQ229" i="11"/>
  <c r="AQ228" i="11"/>
  <c r="AQ227" i="11"/>
  <c r="AQ226" i="11"/>
  <c r="AQ225" i="11"/>
  <c r="AQ224" i="11"/>
  <c r="AQ223" i="11"/>
  <c r="AQ222" i="11"/>
  <c r="AQ221" i="11"/>
  <c r="AQ220" i="11"/>
  <c r="AQ219" i="11"/>
  <c r="AQ218" i="11"/>
  <c r="AQ217" i="11"/>
  <c r="AQ216" i="11"/>
  <c r="AQ215" i="11"/>
  <c r="AQ214" i="11"/>
  <c r="AQ213" i="11"/>
  <c r="AQ212" i="11"/>
  <c r="AQ211" i="11"/>
  <c r="AQ210" i="11"/>
  <c r="AQ209" i="11"/>
  <c r="AQ208" i="11"/>
  <c r="AQ207" i="11"/>
  <c r="AQ206" i="11"/>
  <c r="AQ205" i="11"/>
  <c r="AQ204" i="11"/>
  <c r="AQ203" i="11"/>
  <c r="AQ202" i="11"/>
  <c r="AQ201" i="11"/>
  <c r="AQ200" i="11"/>
  <c r="AQ199" i="11"/>
  <c r="AQ198" i="11"/>
  <c r="AQ197" i="11"/>
  <c r="AQ196" i="11"/>
  <c r="AQ195" i="11"/>
  <c r="AQ194" i="11"/>
  <c r="AQ193" i="11"/>
  <c r="AQ192" i="11"/>
  <c r="AQ191" i="11"/>
  <c r="AQ190" i="11"/>
  <c r="AQ189" i="11"/>
  <c r="AQ188" i="11"/>
  <c r="AQ187" i="11"/>
  <c r="AQ186" i="11"/>
  <c r="AQ185" i="11"/>
  <c r="AQ184" i="11"/>
  <c r="AQ183" i="11"/>
  <c r="AQ182" i="11"/>
  <c r="AQ181" i="11"/>
  <c r="AQ180" i="11"/>
  <c r="AQ179" i="11"/>
  <c r="AQ178" i="11"/>
  <c r="AQ177" i="11"/>
  <c r="AQ176" i="11"/>
  <c r="AQ175" i="11"/>
  <c r="AQ174" i="11"/>
  <c r="AQ173" i="11"/>
  <c r="AQ172" i="11"/>
  <c r="AQ171" i="11"/>
  <c r="AQ170" i="11"/>
  <c r="AQ169" i="11"/>
  <c r="AQ168" i="11"/>
  <c r="AQ167" i="11"/>
  <c r="AQ166" i="11"/>
  <c r="AQ165" i="11"/>
  <c r="AQ164" i="11"/>
  <c r="AQ163" i="11"/>
  <c r="AQ162" i="11"/>
  <c r="AQ161" i="11"/>
  <c r="AQ160" i="11"/>
  <c r="AQ159" i="11"/>
  <c r="AQ158" i="11"/>
  <c r="AQ157" i="11"/>
  <c r="AQ156" i="11"/>
  <c r="AQ155" i="11"/>
  <c r="AQ154" i="11"/>
  <c r="AQ153" i="11"/>
  <c r="AQ152" i="11"/>
  <c r="AQ151" i="11"/>
  <c r="AQ150" i="11"/>
  <c r="AQ149" i="11"/>
  <c r="AQ148" i="11"/>
  <c r="AQ147" i="11"/>
  <c r="AQ146" i="11"/>
  <c r="AQ145" i="11"/>
  <c r="AQ144" i="11"/>
  <c r="AQ143" i="11"/>
  <c r="AQ142" i="11"/>
  <c r="AQ141" i="11"/>
  <c r="AQ140" i="11"/>
  <c r="AQ139" i="11"/>
  <c r="AQ138" i="11"/>
  <c r="AQ137" i="11"/>
  <c r="AQ136" i="11"/>
  <c r="AQ135" i="11"/>
  <c r="AQ134" i="11"/>
  <c r="AQ133" i="11"/>
  <c r="AQ132" i="11"/>
  <c r="AQ131" i="11"/>
  <c r="AQ130" i="11"/>
  <c r="AQ129" i="11"/>
  <c r="AQ128" i="11"/>
  <c r="AQ127" i="11"/>
  <c r="AQ126" i="11"/>
  <c r="AQ125" i="11"/>
  <c r="AQ124" i="11"/>
  <c r="AQ123" i="11"/>
  <c r="AQ122" i="11"/>
  <c r="AQ121" i="11"/>
  <c r="AQ120" i="11"/>
  <c r="AQ119" i="11"/>
  <c r="AQ118" i="11"/>
  <c r="AQ117" i="11"/>
  <c r="AQ116" i="11"/>
  <c r="AQ115" i="11"/>
  <c r="AQ114" i="11"/>
  <c r="AQ113" i="11"/>
  <c r="AQ112" i="11"/>
  <c r="AQ111" i="11"/>
  <c r="AQ110" i="11"/>
  <c r="AQ109" i="11"/>
  <c r="AQ108" i="11"/>
  <c r="AQ107" i="11"/>
  <c r="AQ106" i="11"/>
  <c r="AQ105" i="11"/>
  <c r="AQ104" i="11"/>
  <c r="AQ103" i="11"/>
  <c r="AQ102" i="11"/>
  <c r="AQ101" i="11"/>
  <c r="AQ100" i="11"/>
  <c r="AQ99" i="11"/>
  <c r="AQ98" i="11"/>
  <c r="AQ97" i="11"/>
  <c r="AQ96" i="11"/>
  <c r="AQ95" i="11"/>
  <c r="AQ94" i="11"/>
  <c r="AQ93" i="11"/>
  <c r="AQ92" i="11"/>
  <c r="AQ91" i="11"/>
  <c r="AQ90" i="11"/>
  <c r="AQ89" i="11"/>
  <c r="AQ88" i="11"/>
  <c r="AQ87" i="11"/>
  <c r="AQ86" i="11"/>
  <c r="AQ85" i="11"/>
  <c r="AQ84" i="11"/>
  <c r="AQ83" i="11"/>
  <c r="AQ82" i="11"/>
  <c r="AQ81" i="11"/>
  <c r="AQ80" i="11"/>
  <c r="AQ79" i="11"/>
  <c r="AQ78" i="11"/>
  <c r="AQ77" i="11"/>
  <c r="AQ76" i="11"/>
  <c r="AQ75" i="11"/>
  <c r="AQ74" i="11"/>
  <c r="AQ73" i="11"/>
  <c r="AQ72" i="11"/>
  <c r="AQ71" i="11"/>
  <c r="AQ70" i="11"/>
  <c r="AQ69" i="11"/>
  <c r="AQ68" i="11"/>
  <c r="AQ67" i="11"/>
  <c r="AQ66" i="11"/>
  <c r="AQ65" i="11"/>
  <c r="AQ64" i="11"/>
  <c r="AQ63" i="11"/>
  <c r="AQ62" i="11"/>
  <c r="AQ61" i="11"/>
  <c r="AQ60" i="11"/>
  <c r="AQ59" i="11"/>
  <c r="AQ58" i="11"/>
  <c r="AQ57" i="11"/>
  <c r="AQ56" i="11"/>
  <c r="AQ55" i="11"/>
  <c r="AQ54" i="11"/>
  <c r="AQ53" i="11"/>
  <c r="AQ52" i="11"/>
  <c r="AQ51" i="11"/>
  <c r="AQ50" i="11"/>
  <c r="AQ49" i="11"/>
  <c r="AQ48" i="11"/>
  <c r="AQ47" i="11"/>
  <c r="AQ46" i="11"/>
  <c r="AQ45" i="11"/>
  <c r="AQ44" i="11"/>
  <c r="AQ43" i="11"/>
  <c r="AQ42" i="11"/>
  <c r="AQ41" i="11"/>
  <c r="AQ40" i="11"/>
  <c r="AQ39" i="11"/>
  <c r="AQ38" i="11"/>
  <c r="AQ37" i="11"/>
  <c r="AQ36" i="11"/>
  <c r="AQ35" i="11"/>
  <c r="AQ34" i="11"/>
  <c r="AQ33" i="11"/>
  <c r="AQ32" i="11"/>
  <c r="AQ31" i="11"/>
  <c r="AQ30" i="11"/>
  <c r="AQ29" i="11"/>
  <c r="AQ28" i="11"/>
  <c r="AQ27" i="11"/>
  <c r="AQ26" i="11"/>
  <c r="AQ25" i="11"/>
  <c r="AQ24" i="11"/>
  <c r="AQ23" i="11"/>
  <c r="AQ22" i="11"/>
  <c r="AQ21" i="11"/>
  <c r="AQ20" i="11"/>
  <c r="AQ19" i="11"/>
  <c r="AQ18" i="11"/>
  <c r="AQ17" i="11"/>
  <c r="AQ16" i="11"/>
  <c r="AQ15" i="11"/>
  <c r="AQ14" i="11"/>
  <c r="AQ13" i="11"/>
  <c r="AQ12" i="11"/>
  <c r="AQ11" i="11"/>
  <c r="AQ10" i="11"/>
  <c r="AQ9" i="11"/>
  <c r="AQ8" i="11"/>
  <c r="AQ7" i="11"/>
  <c r="O378" i="10"/>
  <c r="O377" i="10"/>
  <c r="O376" i="10"/>
  <c r="O375" i="10"/>
  <c r="O374" i="10"/>
  <c r="O373" i="10"/>
  <c r="O372" i="10"/>
  <c r="O371" i="10"/>
  <c r="O370" i="10"/>
  <c r="O369" i="10"/>
  <c r="O368" i="10"/>
  <c r="O367" i="10"/>
  <c r="O366" i="10"/>
  <c r="O365" i="10"/>
  <c r="O364" i="10"/>
  <c r="O363" i="10"/>
  <c r="O362" i="10"/>
  <c r="O361" i="10"/>
  <c r="O360" i="10"/>
  <c r="O359" i="10"/>
  <c r="O358" i="10"/>
  <c r="O357" i="10"/>
  <c r="O356" i="10"/>
  <c r="O355" i="10"/>
  <c r="O354" i="10"/>
  <c r="O353" i="10"/>
  <c r="O352" i="10"/>
  <c r="O351" i="10"/>
  <c r="O350" i="10"/>
  <c r="O349" i="10"/>
  <c r="O348" i="10"/>
  <c r="O347" i="10"/>
  <c r="O346" i="10"/>
  <c r="O345" i="10"/>
  <c r="O344" i="10"/>
  <c r="O343" i="10"/>
  <c r="O342" i="10"/>
  <c r="O341" i="10"/>
  <c r="O340" i="10"/>
  <c r="O339" i="10"/>
  <c r="O338" i="10"/>
  <c r="O337" i="10"/>
  <c r="O336" i="10"/>
  <c r="O335" i="10"/>
  <c r="O334" i="10"/>
  <c r="O333" i="10"/>
  <c r="O332" i="10"/>
  <c r="O331" i="10"/>
  <c r="O330" i="10"/>
  <c r="O329" i="10"/>
  <c r="O328" i="10"/>
  <c r="O327" i="10"/>
  <c r="O326" i="10"/>
  <c r="O325" i="10"/>
  <c r="O324" i="10"/>
  <c r="O323" i="10"/>
  <c r="O322" i="10"/>
  <c r="O321" i="10"/>
  <c r="O320" i="10"/>
  <c r="O319" i="10"/>
  <c r="O318" i="10"/>
  <c r="O317" i="10"/>
  <c r="O316" i="10"/>
  <c r="O315" i="10"/>
  <c r="O314" i="10"/>
  <c r="O313" i="10"/>
  <c r="O312" i="10"/>
  <c r="O311" i="10"/>
  <c r="O310" i="10"/>
  <c r="O309" i="10"/>
  <c r="O308" i="10"/>
  <c r="O307" i="10"/>
  <c r="O306" i="10"/>
  <c r="O305" i="10"/>
  <c r="O304" i="10"/>
  <c r="O303" i="10"/>
  <c r="O302" i="10"/>
  <c r="O301" i="10"/>
  <c r="O300" i="10"/>
  <c r="O299" i="10"/>
  <c r="O298" i="10"/>
  <c r="O297" i="10"/>
  <c r="O296" i="10"/>
  <c r="O295" i="10"/>
  <c r="O294" i="10"/>
  <c r="O293" i="10"/>
  <c r="O292" i="10"/>
  <c r="O291" i="10"/>
  <c r="O290" i="10"/>
  <c r="O289" i="10"/>
  <c r="O288" i="10"/>
  <c r="O287" i="10"/>
  <c r="O286" i="10"/>
  <c r="O285" i="10"/>
  <c r="O284" i="10"/>
  <c r="O283" i="10"/>
  <c r="O282" i="10"/>
  <c r="O281" i="10"/>
  <c r="O280" i="10"/>
  <c r="O279" i="10"/>
  <c r="O278" i="10"/>
  <c r="O277" i="10"/>
  <c r="O276" i="10"/>
  <c r="O275" i="10"/>
  <c r="O274" i="10"/>
  <c r="O273" i="10"/>
  <c r="O272" i="10"/>
  <c r="O271" i="10"/>
  <c r="O270" i="10"/>
  <c r="O269" i="10"/>
  <c r="O268" i="10"/>
  <c r="O267" i="10"/>
  <c r="O266" i="10"/>
  <c r="O265" i="10"/>
  <c r="O264" i="10"/>
  <c r="O263" i="10"/>
  <c r="O262" i="10"/>
  <c r="O261" i="10"/>
  <c r="O260" i="10"/>
  <c r="O259" i="10"/>
  <c r="O258" i="10"/>
  <c r="O257" i="10"/>
  <c r="O256" i="10"/>
  <c r="O255" i="10"/>
  <c r="O254" i="10"/>
  <c r="O253" i="10"/>
  <c r="O252" i="10"/>
  <c r="O251" i="10"/>
  <c r="O250" i="10"/>
  <c r="O249" i="10"/>
  <c r="O248" i="10"/>
  <c r="O247" i="10"/>
  <c r="O246" i="10"/>
  <c r="O245" i="10"/>
  <c r="O244" i="10"/>
  <c r="O243" i="10"/>
  <c r="O242" i="10"/>
  <c r="O241" i="10"/>
  <c r="O240" i="10"/>
  <c r="O239" i="10"/>
  <c r="O238" i="10"/>
  <c r="O237" i="10"/>
  <c r="O236" i="10"/>
  <c r="O235" i="10"/>
  <c r="O234" i="10"/>
  <c r="O233" i="10"/>
  <c r="O232" i="10"/>
  <c r="O231" i="10"/>
  <c r="O230" i="10"/>
  <c r="O229" i="10"/>
  <c r="O228" i="10"/>
  <c r="O227" i="10"/>
  <c r="O226" i="10"/>
  <c r="O225" i="10"/>
  <c r="O224" i="10"/>
  <c r="O223" i="10"/>
  <c r="O222" i="10"/>
  <c r="O221" i="10"/>
  <c r="O220" i="10"/>
  <c r="O219" i="10"/>
  <c r="O218" i="10"/>
  <c r="O217" i="10"/>
  <c r="O216" i="10"/>
  <c r="O215" i="10"/>
  <c r="O214" i="10"/>
  <c r="O213" i="10"/>
  <c r="O212" i="10"/>
  <c r="O211" i="10"/>
  <c r="O210" i="10"/>
  <c r="O209" i="10"/>
  <c r="O208" i="10"/>
  <c r="O207" i="10"/>
  <c r="O206" i="10"/>
  <c r="O205" i="10"/>
  <c r="O204" i="10"/>
  <c r="O203" i="10"/>
  <c r="O202" i="10"/>
  <c r="O201" i="10"/>
  <c r="O200" i="10"/>
  <c r="O199" i="10"/>
  <c r="O198" i="10"/>
  <c r="O197" i="10"/>
  <c r="O196" i="10"/>
  <c r="O195" i="10"/>
  <c r="O194" i="10"/>
  <c r="O193" i="10"/>
  <c r="O192" i="10"/>
  <c r="O191" i="10"/>
  <c r="O190" i="10"/>
  <c r="O189" i="10"/>
  <c r="O188" i="10"/>
  <c r="O187" i="10"/>
  <c r="O186" i="10"/>
  <c r="O185" i="10"/>
  <c r="O184" i="10"/>
  <c r="O183" i="10"/>
  <c r="O182" i="10"/>
  <c r="O181" i="10"/>
  <c r="O180" i="10"/>
  <c r="O179" i="10"/>
  <c r="O178" i="10"/>
  <c r="O177" i="10"/>
  <c r="O176" i="10"/>
  <c r="O175" i="10"/>
  <c r="O174" i="10"/>
  <c r="O173" i="10"/>
  <c r="O172" i="10"/>
  <c r="O171" i="10"/>
  <c r="O170" i="10"/>
  <c r="O169" i="10"/>
  <c r="O168" i="10"/>
  <c r="O167" i="10"/>
  <c r="O166" i="10"/>
  <c r="O165" i="10"/>
  <c r="O164" i="10"/>
  <c r="O163" i="10"/>
  <c r="O162" i="10"/>
  <c r="O161" i="10"/>
  <c r="O160" i="10"/>
  <c r="O159" i="10"/>
  <c r="O158" i="10"/>
  <c r="O157" i="10"/>
  <c r="O156" i="10"/>
  <c r="O155" i="10"/>
  <c r="O154" i="10"/>
  <c r="O153" i="10"/>
  <c r="O152" i="10"/>
  <c r="O151" i="10"/>
  <c r="O150" i="10"/>
  <c r="O149" i="10"/>
  <c r="O148" i="10"/>
  <c r="O147" i="10"/>
  <c r="O146" i="10"/>
  <c r="O145" i="10"/>
  <c r="O144" i="10"/>
  <c r="O143" i="10"/>
  <c r="O142" i="10"/>
  <c r="O141" i="10"/>
  <c r="O140" i="10"/>
  <c r="O139" i="10"/>
  <c r="O138" i="10"/>
  <c r="O137" i="10"/>
  <c r="O136" i="10"/>
  <c r="O135" i="10"/>
  <c r="O134" i="10"/>
  <c r="O133" i="10"/>
  <c r="O132" i="10"/>
  <c r="O131" i="10"/>
  <c r="O130" i="10"/>
  <c r="O129" i="10"/>
  <c r="O128" i="10"/>
  <c r="O127" i="10"/>
  <c r="O126" i="10"/>
  <c r="O125" i="10"/>
  <c r="O124" i="10"/>
  <c r="O123" i="10"/>
  <c r="O122" i="10"/>
  <c r="O121" i="10"/>
  <c r="O120" i="10"/>
  <c r="O119" i="10"/>
  <c r="O118" i="10"/>
  <c r="O117" i="10"/>
  <c r="O116" i="10"/>
  <c r="O115" i="10"/>
  <c r="O114" i="10"/>
  <c r="O113" i="10"/>
  <c r="O112" i="10"/>
  <c r="O111" i="10"/>
  <c r="O110" i="10"/>
  <c r="O109" i="10"/>
  <c r="O108" i="10"/>
  <c r="O107" i="10"/>
  <c r="O106" i="10"/>
  <c r="O105" i="10"/>
  <c r="O104" i="10"/>
  <c r="O103" i="10"/>
  <c r="O102" i="10"/>
  <c r="O101" i="10"/>
  <c r="O100" i="10"/>
  <c r="O99" i="10"/>
  <c r="O98" i="10"/>
  <c r="O97" i="10"/>
  <c r="O96" i="10"/>
  <c r="O95" i="10"/>
  <c r="O94" i="10"/>
  <c r="O93" i="10"/>
  <c r="O92" i="10"/>
  <c r="O91" i="10"/>
  <c r="O90" i="10"/>
  <c r="O89" i="10"/>
  <c r="O88" i="10"/>
  <c r="O87" i="10"/>
  <c r="O86" i="10"/>
  <c r="O85" i="10"/>
  <c r="O84" i="10"/>
  <c r="O83" i="10"/>
  <c r="O82" i="10"/>
  <c r="O81" i="10"/>
  <c r="O80" i="10"/>
  <c r="O79" i="10"/>
  <c r="O78" i="10"/>
  <c r="O77" i="10"/>
  <c r="O76" i="10"/>
  <c r="O75" i="10"/>
  <c r="O74" i="10"/>
  <c r="O73" i="10"/>
  <c r="O72" i="10"/>
  <c r="O71" i="10"/>
  <c r="O70" i="10"/>
  <c r="O69" i="10"/>
  <c r="O68" i="10"/>
  <c r="O67" i="10"/>
  <c r="O66" i="10"/>
  <c r="O65" i="10"/>
  <c r="O64" i="10"/>
  <c r="O63" i="10"/>
  <c r="O62" i="10"/>
  <c r="O61" i="10"/>
  <c r="O60" i="10"/>
  <c r="O59" i="10"/>
  <c r="O58" i="10"/>
  <c r="O57" i="10"/>
  <c r="O56" i="10"/>
  <c r="O55" i="10"/>
  <c r="O54" i="10"/>
  <c r="O53" i="10"/>
  <c r="O52" i="10"/>
  <c r="O51" i="10"/>
  <c r="O50" i="10"/>
  <c r="O49" i="10"/>
  <c r="O48" i="10"/>
  <c r="O47" i="10"/>
  <c r="O46" i="10"/>
  <c r="O45" i="10"/>
  <c r="O44" i="10"/>
  <c r="O43" i="10"/>
  <c r="O42" i="10"/>
  <c r="O41" i="10"/>
  <c r="O40" i="10"/>
  <c r="O39" i="10"/>
  <c r="O38" i="10"/>
  <c r="O37" i="10"/>
  <c r="O36" i="10"/>
  <c r="O35" i="10"/>
  <c r="O34" i="10"/>
  <c r="O33" i="10"/>
  <c r="O32" i="10"/>
  <c r="O31" i="10"/>
  <c r="O30" i="10"/>
  <c r="O29" i="10"/>
  <c r="O28" i="10"/>
  <c r="O27" i="10"/>
  <c r="O26" i="10"/>
  <c r="O25" i="10"/>
  <c r="O24" i="10"/>
  <c r="O23" i="10"/>
  <c r="O22" i="10"/>
  <c r="O21" i="10"/>
  <c r="O20" i="10"/>
  <c r="O19" i="10"/>
  <c r="O18" i="10"/>
  <c r="O17" i="10"/>
  <c r="O16" i="10"/>
  <c r="O15" i="10"/>
  <c r="O14" i="10"/>
  <c r="O13" i="10"/>
  <c r="O12" i="10"/>
  <c r="O11" i="10"/>
  <c r="O10" i="10"/>
  <c r="O9" i="10"/>
  <c r="O8" i="10"/>
  <c r="O7" i="10"/>
  <c r="AB378" i="10"/>
  <c r="AB377" i="10"/>
  <c r="AB376" i="10"/>
  <c r="AB375" i="10"/>
  <c r="AB374" i="10"/>
  <c r="AB373" i="10"/>
  <c r="AB372" i="10"/>
  <c r="AB371" i="10"/>
  <c r="AB370" i="10"/>
  <c r="AB369" i="10"/>
  <c r="AB368" i="10"/>
  <c r="AB367" i="10"/>
  <c r="AB366" i="10"/>
  <c r="AB365" i="10"/>
  <c r="AB364" i="10"/>
  <c r="AB363" i="10"/>
  <c r="AB362" i="10"/>
  <c r="AB361" i="10"/>
  <c r="AB360" i="10"/>
  <c r="AB359" i="10"/>
  <c r="AB358" i="10"/>
  <c r="AB357" i="10"/>
  <c r="AB356" i="10"/>
  <c r="AB355" i="10"/>
  <c r="AB354" i="10"/>
  <c r="AB353" i="10"/>
  <c r="AB352" i="10"/>
  <c r="AB351" i="10"/>
  <c r="AB350" i="10"/>
  <c r="AB349" i="10"/>
  <c r="AB348" i="10"/>
  <c r="AB347" i="10"/>
  <c r="AB346" i="10"/>
  <c r="AB345" i="10"/>
  <c r="AB344" i="10"/>
  <c r="AB343" i="10"/>
  <c r="AB342" i="10"/>
  <c r="AB341" i="10"/>
  <c r="AB340" i="10"/>
  <c r="AB339" i="10"/>
  <c r="AB338" i="10"/>
  <c r="AB337" i="10"/>
  <c r="AB336" i="10"/>
  <c r="AB335" i="10"/>
  <c r="AB334" i="10"/>
  <c r="AB333" i="10"/>
  <c r="AB332" i="10"/>
  <c r="AB331" i="10"/>
  <c r="AB330" i="10"/>
  <c r="AB329" i="10"/>
  <c r="AB328" i="10"/>
  <c r="AB327" i="10"/>
  <c r="AB326" i="10"/>
  <c r="AB325" i="10"/>
  <c r="AB324" i="10"/>
  <c r="AB323" i="10"/>
  <c r="AB322" i="10"/>
  <c r="AB321" i="10"/>
  <c r="AB320" i="10"/>
  <c r="AB319" i="10"/>
  <c r="AB318" i="10"/>
  <c r="AB317" i="10"/>
  <c r="AB316" i="10"/>
  <c r="AB315" i="10"/>
  <c r="AB314" i="10"/>
  <c r="AB313" i="10"/>
  <c r="AB312" i="10"/>
  <c r="AB311" i="10"/>
  <c r="AB310" i="10"/>
  <c r="AB309" i="10"/>
  <c r="AB308" i="10"/>
  <c r="AB307" i="10"/>
  <c r="AB306" i="10"/>
  <c r="AB305" i="10"/>
  <c r="AB304" i="10"/>
  <c r="AB303" i="10"/>
  <c r="AB302" i="10"/>
  <c r="AB301" i="10"/>
  <c r="AB300" i="10"/>
  <c r="AB299" i="10"/>
  <c r="AB298" i="10"/>
  <c r="AB297" i="10"/>
  <c r="AB296" i="10"/>
  <c r="AB295" i="10"/>
  <c r="AB294" i="10"/>
  <c r="AB293" i="10"/>
  <c r="AB292" i="10"/>
  <c r="AB291" i="10"/>
  <c r="AB290" i="10"/>
  <c r="AB289" i="10"/>
  <c r="AB288" i="10"/>
  <c r="AB287" i="10"/>
  <c r="AB286" i="10"/>
  <c r="AB285" i="10"/>
  <c r="AB284" i="10"/>
  <c r="AB283" i="10"/>
  <c r="AB282" i="10"/>
  <c r="AB281" i="10"/>
  <c r="AB280" i="10"/>
  <c r="AB279" i="10"/>
  <c r="AB278" i="10"/>
  <c r="AB277" i="10"/>
  <c r="AB276" i="10"/>
  <c r="AB275" i="10"/>
  <c r="AB274" i="10"/>
  <c r="AB273" i="10"/>
  <c r="AB272" i="10"/>
  <c r="AB271" i="10"/>
  <c r="AB270" i="10"/>
  <c r="AB269" i="10"/>
  <c r="AB268" i="10"/>
  <c r="AB267" i="10"/>
  <c r="AB266" i="10"/>
  <c r="AB265" i="10"/>
  <c r="AB264" i="10"/>
  <c r="AB263" i="10"/>
  <c r="AB262" i="10"/>
  <c r="AB261" i="10"/>
  <c r="AB260" i="10"/>
  <c r="AB259" i="10"/>
  <c r="AB258" i="10"/>
  <c r="AB257" i="10"/>
  <c r="AB256" i="10"/>
  <c r="AB255" i="10"/>
  <c r="AB254" i="10"/>
  <c r="AB253" i="10"/>
  <c r="AB252" i="10"/>
  <c r="AB251" i="10"/>
  <c r="AB250" i="10"/>
  <c r="AB249" i="10"/>
  <c r="AB248" i="10"/>
  <c r="AB247" i="10"/>
  <c r="AB246" i="10"/>
  <c r="AB245" i="10"/>
  <c r="AB244" i="10"/>
  <c r="AB243" i="10"/>
  <c r="AB242" i="10"/>
  <c r="AB241" i="10"/>
  <c r="AB240" i="10"/>
  <c r="AB239" i="10"/>
  <c r="AB238" i="10"/>
  <c r="AB237" i="10"/>
  <c r="AB236" i="10"/>
  <c r="AB235" i="10"/>
  <c r="AB234" i="10"/>
  <c r="AB233" i="10"/>
  <c r="AB232" i="10"/>
  <c r="AB231" i="10"/>
  <c r="AB230" i="10"/>
  <c r="AB229" i="10"/>
  <c r="AB228" i="10"/>
  <c r="AB227" i="10"/>
  <c r="AB226" i="10"/>
  <c r="AB225" i="10"/>
  <c r="AB224" i="10"/>
  <c r="AB223" i="10"/>
  <c r="AB222" i="10"/>
  <c r="AB221" i="10"/>
  <c r="AB220" i="10"/>
  <c r="AB219" i="10"/>
  <c r="AB218" i="10"/>
  <c r="AB217" i="10"/>
  <c r="AB216" i="10"/>
  <c r="AB215" i="10"/>
  <c r="AB214" i="10"/>
  <c r="AB213" i="10"/>
  <c r="AB212" i="10"/>
  <c r="AB211" i="10"/>
  <c r="AB210" i="10"/>
  <c r="AB209" i="10"/>
  <c r="AB208" i="10"/>
  <c r="AB207" i="10"/>
  <c r="AB206" i="10"/>
  <c r="AB205" i="10"/>
  <c r="AB204" i="10"/>
  <c r="AB203" i="10"/>
  <c r="AB202" i="10"/>
  <c r="AB201" i="10"/>
  <c r="AB200" i="10"/>
  <c r="AB199" i="10"/>
  <c r="AB198" i="10"/>
  <c r="AB197" i="10"/>
  <c r="AB196" i="10"/>
  <c r="AB195" i="10"/>
  <c r="AB194" i="10"/>
  <c r="AB193" i="10"/>
  <c r="AB192" i="10"/>
  <c r="AB191" i="10"/>
  <c r="AB190" i="10"/>
  <c r="AB189" i="10"/>
  <c r="AB188" i="10"/>
  <c r="AB187" i="10"/>
  <c r="AB186" i="10"/>
  <c r="AB185" i="10"/>
  <c r="AB184" i="10"/>
  <c r="AB183" i="10"/>
  <c r="AB182" i="10"/>
  <c r="AB181" i="10"/>
  <c r="AB180" i="10"/>
  <c r="AB179" i="10"/>
  <c r="AB178" i="10"/>
  <c r="AB177" i="10"/>
  <c r="AB176" i="10"/>
  <c r="AB175" i="10"/>
  <c r="AB174" i="10"/>
  <c r="AB173" i="10"/>
  <c r="AB172" i="10"/>
  <c r="AB171" i="10"/>
  <c r="AB170" i="10"/>
  <c r="AB169" i="10"/>
  <c r="AB168" i="10"/>
  <c r="AB167" i="10"/>
  <c r="AB166" i="10"/>
  <c r="AB165" i="10"/>
  <c r="AB164" i="10"/>
  <c r="AB163" i="10"/>
  <c r="AB162" i="10"/>
  <c r="AB161" i="10"/>
  <c r="AB160" i="10"/>
  <c r="AB159" i="10"/>
  <c r="AB158" i="10"/>
  <c r="AB157" i="10"/>
  <c r="AB156" i="10"/>
  <c r="AB155" i="10"/>
  <c r="AB154" i="10"/>
  <c r="AB153" i="10"/>
  <c r="AB152" i="10"/>
  <c r="AB151" i="10"/>
  <c r="AB150" i="10"/>
  <c r="AB149" i="10"/>
  <c r="AB148" i="10"/>
  <c r="AB147" i="10"/>
  <c r="AB146" i="10"/>
  <c r="AB145" i="10"/>
  <c r="AB144" i="10"/>
  <c r="AB143" i="10"/>
  <c r="AB142" i="10"/>
  <c r="AB141" i="10"/>
  <c r="AB140" i="10"/>
  <c r="AB139" i="10"/>
  <c r="AB138" i="10"/>
  <c r="AB137" i="10"/>
  <c r="AB136" i="10"/>
  <c r="AB135" i="10"/>
  <c r="AB134" i="10"/>
  <c r="AB133" i="10"/>
  <c r="AB132" i="10"/>
  <c r="AB131" i="10"/>
  <c r="AB130" i="10"/>
  <c r="AB129" i="10"/>
  <c r="AB128" i="10"/>
  <c r="AB127" i="10"/>
  <c r="AB126" i="10"/>
  <c r="AB125" i="10"/>
  <c r="AB124" i="10"/>
  <c r="AB123" i="10"/>
  <c r="AB122" i="10"/>
  <c r="AB121" i="10"/>
  <c r="AB120" i="10"/>
  <c r="AB119" i="10"/>
  <c r="AB118" i="10"/>
  <c r="AB117" i="10"/>
  <c r="AB116" i="10"/>
  <c r="AB115" i="10"/>
  <c r="AB114" i="10"/>
  <c r="AB113" i="10"/>
  <c r="AB112" i="10"/>
  <c r="AB111" i="10"/>
  <c r="AB110" i="10"/>
  <c r="AB109" i="10"/>
  <c r="AB108" i="10"/>
  <c r="AB107" i="10"/>
  <c r="AB106" i="10"/>
  <c r="AB105" i="10"/>
  <c r="AB104" i="10"/>
  <c r="AB103" i="10"/>
  <c r="AB102" i="10"/>
  <c r="AB101" i="10"/>
  <c r="AB100" i="10"/>
  <c r="AB99" i="10"/>
  <c r="AB98" i="10"/>
  <c r="AB97" i="10"/>
  <c r="AB96" i="10"/>
  <c r="AB95" i="10"/>
  <c r="AB94" i="10"/>
  <c r="AB93" i="10"/>
  <c r="AB92" i="10"/>
  <c r="AB91" i="10"/>
  <c r="AB90" i="10"/>
  <c r="AB89" i="10"/>
  <c r="AB88" i="10"/>
  <c r="AB87" i="10"/>
  <c r="AB86" i="10"/>
  <c r="AB85" i="10"/>
  <c r="AB84" i="10"/>
  <c r="AB83" i="10"/>
  <c r="AB82" i="10"/>
  <c r="AB81" i="10"/>
  <c r="AB80" i="10"/>
  <c r="AB79" i="10"/>
  <c r="AB78" i="10"/>
  <c r="AB77" i="10"/>
  <c r="AB76" i="10"/>
  <c r="AB75" i="10"/>
  <c r="AB74" i="10"/>
  <c r="AB73" i="10"/>
  <c r="AB72" i="10"/>
  <c r="AB71" i="10"/>
  <c r="AB70" i="10"/>
  <c r="AB69" i="10"/>
  <c r="AB68" i="10"/>
  <c r="AB67" i="10"/>
  <c r="AB66" i="10"/>
  <c r="AB65" i="10"/>
  <c r="AB64" i="10"/>
  <c r="AB63" i="10"/>
  <c r="AB62" i="10"/>
  <c r="AB61" i="10"/>
  <c r="AB60" i="10"/>
  <c r="AB59" i="10"/>
  <c r="AB58" i="10"/>
  <c r="AB57" i="10"/>
  <c r="AB56" i="10"/>
  <c r="AB55" i="10"/>
  <c r="AB54" i="10"/>
  <c r="AB53" i="10"/>
  <c r="AB52" i="10"/>
  <c r="AB51" i="10"/>
  <c r="AB50" i="10"/>
  <c r="AB49" i="10"/>
  <c r="AB48" i="10"/>
  <c r="AB47" i="10"/>
  <c r="AB46" i="10"/>
  <c r="AB45" i="10"/>
  <c r="AB44" i="10"/>
  <c r="AB43" i="10"/>
  <c r="AB42" i="10"/>
  <c r="AB41" i="10"/>
  <c r="AB40" i="10"/>
  <c r="AB39" i="10"/>
  <c r="AB38" i="10"/>
  <c r="AB37" i="10"/>
  <c r="AB36" i="10"/>
  <c r="AB35" i="10"/>
  <c r="AB34" i="10"/>
  <c r="AB33" i="10"/>
  <c r="AB32" i="10"/>
  <c r="AB31" i="10"/>
  <c r="AB30" i="10"/>
  <c r="AB29" i="10"/>
  <c r="AB28" i="10"/>
  <c r="AB27" i="10"/>
  <c r="AB26" i="10"/>
  <c r="AB25" i="10"/>
  <c r="AB24" i="10"/>
  <c r="AB23" i="10"/>
  <c r="AB22" i="10"/>
  <c r="AB21" i="10"/>
  <c r="AB20" i="10"/>
  <c r="AB19" i="10"/>
  <c r="AB18" i="10"/>
  <c r="AB17" i="10"/>
  <c r="AB16" i="10"/>
  <c r="AB15" i="10"/>
  <c r="AB14" i="10"/>
  <c r="AB13" i="10"/>
  <c r="AB12" i="10"/>
  <c r="AB11" i="10"/>
  <c r="AB10" i="10"/>
  <c r="AB9" i="10"/>
  <c r="AB8" i="10"/>
  <c r="AB7" i="10"/>
  <c r="AO378" i="10"/>
  <c r="AO377" i="10"/>
  <c r="AO376" i="10"/>
  <c r="AO375" i="10"/>
  <c r="AO374" i="10"/>
  <c r="AO373" i="10"/>
  <c r="AO372" i="10"/>
  <c r="AO371" i="10"/>
  <c r="AO370" i="10"/>
  <c r="AO369" i="10"/>
  <c r="AO368" i="10"/>
  <c r="AO367" i="10"/>
  <c r="AO366" i="10"/>
  <c r="AO365" i="10"/>
  <c r="AO364" i="10"/>
  <c r="AO363" i="10"/>
  <c r="AO362" i="10"/>
  <c r="AO361" i="10"/>
  <c r="AO360" i="10"/>
  <c r="AO359" i="10"/>
  <c r="AO358" i="10"/>
  <c r="AO357" i="10"/>
  <c r="AO356" i="10"/>
  <c r="AO355" i="10"/>
  <c r="AO354" i="10"/>
  <c r="AO353" i="10"/>
  <c r="AO352" i="10"/>
  <c r="AO351" i="10"/>
  <c r="AO350" i="10"/>
  <c r="AO349" i="10"/>
  <c r="AO348" i="10"/>
  <c r="AO347" i="10"/>
  <c r="AO346" i="10"/>
  <c r="AO345" i="10"/>
  <c r="AO344" i="10"/>
  <c r="AO343" i="10"/>
  <c r="AO342" i="10"/>
  <c r="AO341" i="10"/>
  <c r="AO340" i="10"/>
  <c r="AO339" i="10"/>
  <c r="AO338" i="10"/>
  <c r="AO337" i="10"/>
  <c r="AO336" i="10"/>
  <c r="AO335" i="10"/>
  <c r="AO334" i="10"/>
  <c r="AO333" i="10"/>
  <c r="AO332" i="10"/>
  <c r="AO331" i="10"/>
  <c r="AO330" i="10"/>
  <c r="AO329" i="10"/>
  <c r="AO328" i="10"/>
  <c r="AO327" i="10"/>
  <c r="AO326" i="10"/>
  <c r="AO325" i="10"/>
  <c r="AO324" i="10"/>
  <c r="AO323" i="10"/>
  <c r="AO322" i="10"/>
  <c r="AO321" i="10"/>
  <c r="AO320" i="10"/>
  <c r="AO319" i="10"/>
  <c r="AO318" i="10"/>
  <c r="AO317" i="10"/>
  <c r="AO316" i="10"/>
  <c r="AO315" i="10"/>
  <c r="AO314" i="10"/>
  <c r="AO313" i="10"/>
  <c r="AO312" i="10"/>
  <c r="AO311" i="10"/>
  <c r="AO310" i="10"/>
  <c r="AO309" i="10"/>
  <c r="AO308" i="10"/>
  <c r="AO307" i="10"/>
  <c r="AO306" i="10"/>
  <c r="AO305" i="10"/>
  <c r="AO304" i="10"/>
  <c r="AO303" i="10"/>
  <c r="AO302" i="10"/>
  <c r="AO301" i="10"/>
  <c r="AO300" i="10"/>
  <c r="AO299" i="10"/>
  <c r="AO298" i="10"/>
  <c r="AO297" i="10"/>
  <c r="AO296" i="10"/>
  <c r="AO295" i="10"/>
  <c r="AO294" i="10"/>
  <c r="AO293" i="10"/>
  <c r="AO292" i="10"/>
  <c r="AO291" i="10"/>
  <c r="AO290" i="10"/>
  <c r="AO289" i="10"/>
  <c r="AO288" i="10"/>
  <c r="AO287" i="10"/>
  <c r="AO286" i="10"/>
  <c r="AO285" i="10"/>
  <c r="AO284" i="10"/>
  <c r="AO283" i="10"/>
  <c r="AO282" i="10"/>
  <c r="AO281" i="10"/>
  <c r="AO280" i="10"/>
  <c r="AO279" i="10"/>
  <c r="AO278" i="10"/>
  <c r="AO277" i="10"/>
  <c r="AO276" i="10"/>
  <c r="AO275" i="10"/>
  <c r="AO274" i="10"/>
  <c r="AO273" i="10"/>
  <c r="AO272" i="10"/>
  <c r="AO271" i="10"/>
  <c r="AO270" i="10"/>
  <c r="AO269" i="10"/>
  <c r="AO268" i="10"/>
  <c r="AO267" i="10"/>
  <c r="AO266" i="10"/>
  <c r="AO265" i="10"/>
  <c r="AO264" i="10"/>
  <c r="AO263" i="10"/>
  <c r="AO262" i="10"/>
  <c r="AO261" i="10"/>
  <c r="AO260" i="10"/>
  <c r="AO259" i="10"/>
  <c r="AO258" i="10"/>
  <c r="AO257" i="10"/>
  <c r="AO256" i="10"/>
  <c r="AO255" i="10"/>
  <c r="AO254" i="10"/>
  <c r="AO253" i="10"/>
  <c r="AO252" i="10"/>
  <c r="AO251" i="10"/>
  <c r="AO250" i="10"/>
  <c r="AO249" i="10"/>
  <c r="AO248" i="10"/>
  <c r="AO247" i="10"/>
  <c r="AO246" i="10"/>
  <c r="AO245" i="10"/>
  <c r="AO244" i="10"/>
  <c r="AO243" i="10"/>
  <c r="AO242" i="10"/>
  <c r="AO241" i="10"/>
  <c r="AO240" i="10"/>
  <c r="AO239" i="10"/>
  <c r="AO238" i="10"/>
  <c r="AO237" i="10"/>
  <c r="AO236" i="10"/>
  <c r="AO235" i="10"/>
  <c r="AO234" i="10"/>
  <c r="AO233" i="10"/>
  <c r="AO232" i="10"/>
  <c r="AO231" i="10"/>
  <c r="AO230" i="10"/>
  <c r="AO229" i="10"/>
  <c r="AO228" i="10"/>
  <c r="AO227" i="10"/>
  <c r="AO226" i="10"/>
  <c r="AO225" i="10"/>
  <c r="AO224" i="10"/>
  <c r="AO223" i="10"/>
  <c r="AO222" i="10"/>
  <c r="AO221" i="10"/>
  <c r="AO220" i="10"/>
  <c r="AO219" i="10"/>
  <c r="AO218" i="10"/>
  <c r="AO217" i="10"/>
  <c r="AO216" i="10"/>
  <c r="AO215" i="10"/>
  <c r="AO214" i="10"/>
  <c r="AO213" i="10"/>
  <c r="AO212" i="10"/>
  <c r="AO211" i="10"/>
  <c r="AO210" i="10"/>
  <c r="AO209" i="10"/>
  <c r="AO208" i="10"/>
  <c r="AO207" i="10"/>
  <c r="AO206" i="10"/>
  <c r="AO205" i="10"/>
  <c r="AO204" i="10"/>
  <c r="AO203" i="10"/>
  <c r="AO202" i="10"/>
  <c r="AO201" i="10"/>
  <c r="AO200" i="10"/>
  <c r="AO199" i="10"/>
  <c r="AO198" i="10"/>
  <c r="AO197" i="10"/>
  <c r="AO196" i="10"/>
  <c r="AO195" i="10"/>
  <c r="AO194" i="10"/>
  <c r="AO193" i="10"/>
  <c r="AO192" i="10"/>
  <c r="AO191" i="10"/>
  <c r="AO190" i="10"/>
  <c r="AO189" i="10"/>
  <c r="AO188" i="10"/>
  <c r="AO187" i="10"/>
  <c r="AO186" i="10"/>
  <c r="AO185" i="10"/>
  <c r="AO184" i="10"/>
  <c r="AO183" i="10"/>
  <c r="AO182" i="10"/>
  <c r="AO181" i="10"/>
  <c r="AO180" i="10"/>
  <c r="AO179" i="10"/>
  <c r="AO178" i="10"/>
  <c r="AO177" i="10"/>
  <c r="AO176" i="10"/>
  <c r="AO175" i="10"/>
  <c r="AO174" i="10"/>
  <c r="AO173" i="10"/>
  <c r="AO172" i="10"/>
  <c r="AO171" i="10"/>
  <c r="AO170" i="10"/>
  <c r="AO169" i="10"/>
  <c r="AO168" i="10"/>
  <c r="AO167" i="10"/>
  <c r="AO166" i="10"/>
  <c r="AO165" i="10"/>
  <c r="AO164" i="10"/>
  <c r="AO163" i="10"/>
  <c r="AO162" i="10"/>
  <c r="AO161" i="10"/>
  <c r="AO160" i="10"/>
  <c r="AO159" i="10"/>
  <c r="AO158" i="10"/>
  <c r="AO157" i="10"/>
  <c r="AO156" i="10"/>
  <c r="AO155" i="10"/>
  <c r="AO154" i="10"/>
  <c r="AO153" i="10"/>
  <c r="AO152" i="10"/>
  <c r="AO151" i="10"/>
  <c r="AO150" i="10"/>
  <c r="AO149" i="10"/>
  <c r="AO148" i="10"/>
  <c r="AO147" i="10"/>
  <c r="AO146" i="10"/>
  <c r="AO145" i="10"/>
  <c r="AO144" i="10"/>
  <c r="AO143" i="10"/>
  <c r="AO142" i="10"/>
  <c r="AO141" i="10"/>
  <c r="AO140" i="10"/>
  <c r="AO139" i="10"/>
  <c r="AO138" i="10"/>
  <c r="AO137" i="10"/>
  <c r="AO136" i="10"/>
  <c r="AO135" i="10"/>
  <c r="AO134" i="10"/>
  <c r="AO133" i="10"/>
  <c r="AO132" i="10"/>
  <c r="AO131" i="10"/>
  <c r="AO130" i="10"/>
  <c r="AO129" i="10"/>
  <c r="AO128" i="10"/>
  <c r="AO127" i="10"/>
  <c r="AO126" i="10"/>
  <c r="AO125" i="10"/>
  <c r="AO124" i="10"/>
  <c r="AO123" i="10"/>
  <c r="AO122" i="10"/>
  <c r="AO121" i="10"/>
  <c r="AO120" i="10"/>
  <c r="AO119" i="10"/>
  <c r="AO118" i="10"/>
  <c r="AO117" i="10"/>
  <c r="AO116" i="10"/>
  <c r="AO115" i="10"/>
  <c r="AO114" i="10"/>
  <c r="AO113" i="10"/>
  <c r="AO112" i="10"/>
  <c r="AO111" i="10"/>
  <c r="AO110" i="10"/>
  <c r="AO109" i="10"/>
  <c r="AO108" i="10"/>
  <c r="AO107" i="10"/>
  <c r="AO106" i="10"/>
  <c r="AO105" i="10"/>
  <c r="AO104" i="10"/>
  <c r="AO103" i="10"/>
  <c r="AO102" i="10"/>
  <c r="AO101" i="10"/>
  <c r="AO100" i="10"/>
  <c r="AO99" i="10"/>
  <c r="AO98" i="10"/>
  <c r="AO97" i="10"/>
  <c r="AO96" i="10"/>
  <c r="AO95" i="10"/>
  <c r="AO94" i="10"/>
  <c r="AO93" i="10"/>
  <c r="AO92" i="10"/>
  <c r="AO91" i="10"/>
  <c r="AO90" i="10"/>
  <c r="AO89" i="10"/>
  <c r="AO88" i="10"/>
  <c r="AO87" i="10"/>
  <c r="AO86" i="10"/>
  <c r="AO85" i="10"/>
  <c r="AO84" i="10"/>
  <c r="AO83" i="10"/>
  <c r="AO82" i="10"/>
  <c r="AO81" i="10"/>
  <c r="AO80" i="10"/>
  <c r="AO79" i="10"/>
  <c r="AO78" i="10"/>
  <c r="AO77" i="10"/>
  <c r="AO76" i="10"/>
  <c r="AO75" i="10"/>
  <c r="AO74" i="10"/>
  <c r="AO73" i="10"/>
  <c r="AO72" i="10"/>
  <c r="AO71" i="10"/>
  <c r="AO70" i="10"/>
  <c r="AO69" i="10"/>
  <c r="AO68" i="10"/>
  <c r="AO67" i="10"/>
  <c r="AO66" i="10"/>
  <c r="AO65" i="10"/>
  <c r="AO64" i="10"/>
  <c r="AO63" i="10"/>
  <c r="AO62" i="10"/>
  <c r="AO61" i="10"/>
  <c r="AO60" i="10"/>
  <c r="AO59" i="10"/>
  <c r="AO58" i="10"/>
  <c r="AO57" i="10"/>
  <c r="AO56" i="10"/>
  <c r="AO55" i="10"/>
  <c r="AO54" i="10"/>
  <c r="AO53" i="10"/>
  <c r="AO52" i="10"/>
  <c r="AO51" i="10"/>
  <c r="AO50" i="10"/>
  <c r="AO49" i="10"/>
  <c r="AO48" i="10"/>
  <c r="AO47" i="10"/>
  <c r="AO46" i="10"/>
  <c r="AO45" i="10"/>
  <c r="AO44" i="10"/>
  <c r="AO43" i="10"/>
  <c r="AO42" i="10"/>
  <c r="AO41" i="10"/>
  <c r="AO40" i="10"/>
  <c r="AO39" i="10"/>
  <c r="AO38" i="10"/>
  <c r="AO37" i="10"/>
  <c r="AO36" i="10"/>
  <c r="AO35" i="10"/>
  <c r="AO34" i="10"/>
  <c r="AO33" i="10"/>
  <c r="AO32" i="10"/>
  <c r="AO31" i="10"/>
  <c r="AO30" i="10"/>
  <c r="AO29" i="10"/>
  <c r="AO28" i="10"/>
  <c r="AO27" i="10"/>
  <c r="AO26" i="10"/>
  <c r="AO25" i="10"/>
  <c r="AO24" i="10"/>
  <c r="AO23" i="10"/>
  <c r="AO22" i="10"/>
  <c r="AO21" i="10"/>
  <c r="AO20" i="10"/>
  <c r="AO19" i="10"/>
  <c r="AO18" i="10"/>
  <c r="AO17" i="10"/>
  <c r="AO16" i="10"/>
  <c r="AO15" i="10"/>
  <c r="AO14" i="10"/>
  <c r="AO13" i="10"/>
  <c r="AO12" i="10"/>
  <c r="AO11" i="10"/>
  <c r="AO10" i="10"/>
  <c r="AO9" i="10"/>
  <c r="AO8" i="10"/>
  <c r="AO7" i="10"/>
  <c r="Q930" i="9"/>
  <c r="Q927" i="9"/>
  <c r="Q926" i="9"/>
  <c r="Q925" i="9"/>
  <c r="Q924" i="9"/>
  <c r="Q923" i="9"/>
  <c r="Q922" i="9"/>
  <c r="Q921" i="9"/>
  <c r="Q920" i="9"/>
  <c r="Q919" i="9"/>
  <c r="Q918" i="9"/>
  <c r="Q917" i="9"/>
  <c r="Q916" i="9"/>
  <c r="Q915" i="9"/>
  <c r="Q914" i="9"/>
  <c r="Q913" i="9"/>
  <c r="Q912" i="9"/>
  <c r="Q911" i="9"/>
  <c r="Q910" i="9"/>
  <c r="Q909" i="9"/>
  <c r="Q908" i="9"/>
  <c r="Q907" i="9"/>
  <c r="Q906" i="9"/>
  <c r="Q905" i="9"/>
  <c r="Q904" i="9"/>
  <c r="Q903" i="9"/>
  <c r="Q902" i="9"/>
  <c r="Q901" i="9"/>
  <c r="Q900" i="9"/>
  <c r="Q899" i="9"/>
  <c r="Q898" i="9"/>
  <c r="Q897" i="9"/>
  <c r="Q896" i="9"/>
  <c r="Q895" i="9"/>
  <c r="Q894" i="9"/>
  <c r="Q893" i="9"/>
  <c r="Q892" i="9"/>
  <c r="Q891" i="9"/>
  <c r="Q890" i="9"/>
  <c r="Q889" i="9"/>
  <c r="Q888" i="9"/>
  <c r="Q887" i="9"/>
  <c r="Q886" i="9"/>
  <c r="Q885" i="9"/>
  <c r="Q884" i="9"/>
  <c r="Q883" i="9"/>
  <c r="Q882" i="9"/>
  <c r="Q881" i="9"/>
  <c r="Q880" i="9"/>
  <c r="Q879" i="9"/>
  <c r="Q878" i="9"/>
  <c r="Q877" i="9"/>
  <c r="Q876" i="9"/>
  <c r="Q875" i="9"/>
  <c r="Q874" i="9"/>
  <c r="Q873" i="9"/>
  <c r="Q872" i="9"/>
  <c r="Q871" i="9"/>
  <c r="Q870" i="9"/>
  <c r="Q869" i="9"/>
  <c r="Q868" i="9"/>
  <c r="Q867" i="9"/>
  <c r="Q866" i="9"/>
  <c r="Q865" i="9"/>
  <c r="Q864" i="9"/>
  <c r="Q863" i="9"/>
  <c r="Q862" i="9"/>
  <c r="Q861" i="9"/>
  <c r="Q860" i="9"/>
  <c r="Q859" i="9"/>
  <c r="Q858" i="9"/>
  <c r="Q857" i="9"/>
  <c r="Q856" i="9"/>
  <c r="Q855" i="9"/>
  <c r="Q854" i="9"/>
  <c r="Q853" i="9"/>
  <c r="Q852" i="9"/>
  <c r="Q851" i="9"/>
  <c r="Q850" i="9"/>
  <c r="Q849" i="9"/>
  <c r="Q848" i="9"/>
  <c r="Q847" i="9"/>
  <c r="Q846" i="9"/>
  <c r="Q845" i="9"/>
  <c r="Q844" i="9"/>
  <c r="Q843" i="9"/>
  <c r="Q842" i="9"/>
  <c r="Q841" i="9"/>
  <c r="Q840" i="9"/>
  <c r="Q839" i="9"/>
  <c r="Q838" i="9"/>
  <c r="Q837" i="9"/>
  <c r="Q836" i="9"/>
  <c r="Q835" i="9"/>
  <c r="Q834" i="9"/>
  <c r="Q833" i="9"/>
  <c r="Q832" i="9"/>
  <c r="Q831" i="9"/>
  <c r="Q830" i="9"/>
  <c r="Q829" i="9"/>
  <c r="Q828" i="9"/>
  <c r="Q827" i="9"/>
  <c r="Q826" i="9"/>
  <c r="Q825" i="9"/>
  <c r="Q824" i="9"/>
  <c r="Q823" i="9"/>
  <c r="Q822" i="9"/>
  <c r="Q821" i="9"/>
  <c r="Q820" i="9"/>
  <c r="Q819" i="9"/>
  <c r="Q818" i="9"/>
  <c r="Q817" i="9"/>
  <c r="Q816" i="9"/>
  <c r="Q815" i="9"/>
  <c r="Q814" i="9"/>
  <c r="Q813" i="9"/>
  <c r="Q812" i="9"/>
  <c r="Q811" i="9"/>
  <c r="Q810" i="9"/>
  <c r="Q809" i="9"/>
  <c r="Q808" i="9"/>
  <c r="Q807" i="9"/>
  <c r="Q806" i="9"/>
  <c r="Q805" i="9"/>
  <c r="Q804" i="9"/>
  <c r="Q803" i="9"/>
  <c r="Q802" i="9"/>
  <c r="Q801" i="9"/>
  <c r="Q800" i="9"/>
  <c r="Q799" i="9"/>
  <c r="Q798" i="9"/>
  <c r="Q797" i="9"/>
  <c r="Q796" i="9"/>
  <c r="Q795" i="9"/>
  <c r="Q794" i="9"/>
  <c r="Q793" i="9"/>
  <c r="Q792" i="9"/>
  <c r="Q791" i="9"/>
  <c r="Q790" i="9"/>
  <c r="Q789" i="9"/>
  <c r="Q788" i="9"/>
  <c r="Q787" i="9"/>
  <c r="Q786" i="9"/>
  <c r="Q785" i="9"/>
  <c r="Q784" i="9"/>
  <c r="Q783" i="9"/>
  <c r="Q782" i="9"/>
  <c r="Q781" i="9"/>
  <c r="Q780" i="9"/>
  <c r="Q779" i="9"/>
  <c r="Q778" i="9"/>
  <c r="Q777" i="9"/>
  <c r="Q776" i="9"/>
  <c r="Q775" i="9"/>
  <c r="Q774" i="9"/>
  <c r="Q773" i="9"/>
  <c r="Q772" i="9"/>
  <c r="Q771" i="9"/>
  <c r="Q770" i="9"/>
  <c r="Q769" i="9"/>
  <c r="Q768" i="9"/>
  <c r="Q767" i="9"/>
  <c r="Q766" i="9"/>
  <c r="Q765" i="9"/>
  <c r="Q764" i="9"/>
  <c r="Q763" i="9"/>
  <c r="Q762" i="9"/>
  <c r="Q761" i="9"/>
  <c r="Q760" i="9"/>
  <c r="Q759" i="9"/>
  <c r="Q758" i="9"/>
  <c r="Q757" i="9"/>
  <c r="Q756" i="9"/>
  <c r="Q755" i="9"/>
  <c r="Q754" i="9"/>
  <c r="Q753" i="9"/>
  <c r="Q752" i="9"/>
  <c r="Q751" i="9"/>
  <c r="Q750" i="9"/>
  <c r="Q749" i="9"/>
  <c r="Q748" i="9"/>
  <c r="Q747" i="9"/>
  <c r="Q746" i="9"/>
  <c r="Q745" i="9"/>
  <c r="Q744" i="9"/>
  <c r="Q743" i="9"/>
  <c r="Q742" i="9"/>
  <c r="Q741" i="9"/>
  <c r="Q740" i="9"/>
  <c r="Q739" i="9"/>
  <c r="Q738" i="9"/>
  <c r="Q737" i="9"/>
  <c r="Q736" i="9"/>
  <c r="Q735" i="9"/>
  <c r="Q734" i="9"/>
  <c r="Q733" i="9"/>
  <c r="Q732" i="9"/>
  <c r="Q731" i="9"/>
  <c r="Q730" i="9"/>
  <c r="Q729" i="9"/>
  <c r="Q728" i="9"/>
  <c r="Q727" i="9"/>
  <c r="Q726" i="9"/>
  <c r="Q725" i="9"/>
  <c r="Q724" i="9"/>
  <c r="Q723" i="9"/>
  <c r="Q722" i="9"/>
  <c r="Q721" i="9"/>
  <c r="Q720" i="9"/>
  <c r="Q719" i="9"/>
  <c r="Q718" i="9"/>
  <c r="Q717" i="9"/>
  <c r="Q716" i="9"/>
  <c r="Q715" i="9"/>
  <c r="Q714" i="9"/>
  <c r="Q713" i="9"/>
  <c r="Q712" i="9"/>
  <c r="Q711" i="9"/>
  <c r="Q710" i="9"/>
  <c r="Q709" i="9"/>
  <c r="Q708" i="9"/>
  <c r="Q707" i="9"/>
  <c r="Q706" i="9"/>
  <c r="Q705" i="9"/>
  <c r="Q704" i="9"/>
  <c r="Q703" i="9"/>
  <c r="Q702" i="9"/>
  <c r="Q701" i="9"/>
  <c r="Q700" i="9"/>
  <c r="Q699" i="9"/>
  <c r="Q698" i="9"/>
  <c r="Q697" i="9"/>
  <c r="Q696" i="9"/>
  <c r="Q695" i="9"/>
  <c r="Q694" i="9"/>
  <c r="Q693" i="9"/>
  <c r="Q692" i="9"/>
  <c r="Q691" i="9"/>
  <c r="Q690" i="9"/>
  <c r="Q689" i="9"/>
  <c r="Q688" i="9"/>
  <c r="Q687" i="9"/>
  <c r="Q686" i="9"/>
  <c r="Q685" i="9"/>
  <c r="Q684" i="9"/>
  <c r="Q683" i="9"/>
  <c r="Q682" i="9"/>
  <c r="Q681" i="9"/>
  <c r="Q680" i="9"/>
  <c r="Q679" i="9"/>
  <c r="Q678" i="9"/>
  <c r="Q677" i="9"/>
  <c r="Q676" i="9"/>
  <c r="Q675" i="9"/>
  <c r="Q674" i="9"/>
  <c r="Q673" i="9"/>
  <c r="Q672" i="9"/>
  <c r="Q671" i="9"/>
  <c r="Q670" i="9"/>
  <c r="Q669" i="9"/>
  <c r="Q668" i="9"/>
  <c r="Q667" i="9"/>
  <c r="Q666" i="9"/>
  <c r="Q665" i="9"/>
  <c r="Q664" i="9"/>
  <c r="Q663" i="9"/>
  <c r="Q662" i="9"/>
  <c r="Q661" i="9"/>
  <c r="Q660" i="9"/>
  <c r="Q659" i="9"/>
  <c r="Q658" i="9"/>
  <c r="Q657" i="9"/>
  <c r="Q656" i="9"/>
  <c r="Q655" i="9"/>
  <c r="Q654" i="9"/>
  <c r="Q653" i="9"/>
  <c r="Q652" i="9"/>
  <c r="Q651" i="9"/>
  <c r="Q650" i="9"/>
  <c r="Q649" i="9"/>
  <c r="Q648" i="9"/>
  <c r="Q647" i="9"/>
  <c r="Q646" i="9"/>
  <c r="Q645" i="9"/>
  <c r="Q644" i="9"/>
  <c r="Q643" i="9"/>
  <c r="Q642" i="9"/>
  <c r="Q641" i="9"/>
  <c r="Q640" i="9"/>
  <c r="Q639" i="9"/>
  <c r="Q638" i="9"/>
  <c r="Q637" i="9"/>
  <c r="Q636" i="9"/>
  <c r="Q635" i="9"/>
  <c r="Q634" i="9"/>
  <c r="Q633" i="9"/>
  <c r="Q632" i="9"/>
  <c r="Q631" i="9"/>
  <c r="Q630" i="9"/>
  <c r="Q629" i="9"/>
  <c r="Q628" i="9"/>
  <c r="Q627" i="9"/>
  <c r="Q626" i="9"/>
  <c r="Q625" i="9"/>
  <c r="Q624" i="9"/>
  <c r="Q623" i="9"/>
  <c r="Q622" i="9"/>
  <c r="Q621" i="9"/>
  <c r="Q620" i="9"/>
  <c r="Q619" i="9"/>
  <c r="Q618" i="9"/>
  <c r="Q617" i="9"/>
  <c r="Q616" i="9"/>
  <c r="Q615" i="9"/>
  <c r="Q614" i="9"/>
  <c r="Q613" i="9"/>
  <c r="Q612" i="9"/>
  <c r="Q611" i="9"/>
  <c r="Q610" i="9"/>
  <c r="Q609" i="9"/>
  <c r="Q608" i="9"/>
  <c r="Q607" i="9"/>
  <c r="Q606" i="9"/>
  <c r="Q605" i="9"/>
  <c r="Q604" i="9"/>
  <c r="Q603" i="9"/>
  <c r="Q602" i="9"/>
  <c r="Q601" i="9"/>
  <c r="Q600" i="9"/>
  <c r="Q599" i="9"/>
  <c r="Q598" i="9"/>
  <c r="Q597" i="9"/>
  <c r="Q596" i="9"/>
  <c r="Q595" i="9"/>
  <c r="Q594" i="9"/>
  <c r="Q593" i="9"/>
  <c r="Q592" i="9"/>
  <c r="Q591" i="9"/>
  <c r="Q590" i="9"/>
  <c r="Q589" i="9"/>
  <c r="Q588" i="9"/>
  <c r="Q587" i="9"/>
  <c r="Q586" i="9"/>
  <c r="Q585" i="9"/>
  <c r="Q584" i="9"/>
  <c r="Q583" i="9"/>
  <c r="Q582" i="9"/>
  <c r="Q581" i="9"/>
  <c r="Q580" i="9"/>
  <c r="Q579" i="9"/>
  <c r="Q578" i="9"/>
  <c r="Q577" i="9"/>
  <c r="Q576" i="9"/>
  <c r="Q575" i="9"/>
  <c r="Q574" i="9"/>
  <c r="Q573" i="9"/>
  <c r="Q572" i="9"/>
  <c r="Q571" i="9"/>
  <c r="Q570" i="9"/>
  <c r="Q569" i="9"/>
  <c r="Q568" i="9"/>
  <c r="Q567" i="9"/>
  <c r="Q566" i="9"/>
  <c r="Q565" i="9"/>
  <c r="Q564" i="9"/>
  <c r="Q563" i="9"/>
  <c r="Q562" i="9"/>
  <c r="Q561" i="9"/>
  <c r="Q560" i="9"/>
  <c r="Q559" i="9"/>
  <c r="Q558" i="9"/>
  <c r="Q557" i="9"/>
  <c r="Q556" i="9"/>
  <c r="Q555" i="9"/>
  <c r="Q554" i="9"/>
  <c r="Q553" i="9"/>
  <c r="Q552" i="9"/>
  <c r="Q551" i="9"/>
  <c r="Q550" i="9"/>
  <c r="Q549" i="9"/>
  <c r="Q548" i="9"/>
  <c r="Q547" i="9"/>
  <c r="Q546" i="9"/>
  <c r="Q545" i="9"/>
  <c r="Q544" i="9"/>
  <c r="Q543" i="9"/>
  <c r="Q542" i="9"/>
  <c r="Q541" i="9"/>
  <c r="Q540" i="9"/>
  <c r="Q539" i="9"/>
  <c r="Q538" i="9"/>
  <c r="Q537" i="9"/>
  <c r="Q536" i="9"/>
  <c r="Q535" i="9"/>
  <c r="Q534" i="9"/>
  <c r="Q533" i="9"/>
  <c r="Q532" i="9"/>
  <c r="Q531" i="9"/>
  <c r="Q530" i="9"/>
  <c r="Q529" i="9"/>
  <c r="Q528" i="9"/>
  <c r="Q527" i="9"/>
  <c r="Q526" i="9"/>
  <c r="Q525" i="9"/>
  <c r="Q524" i="9"/>
  <c r="Q523" i="9"/>
  <c r="Q522" i="9"/>
  <c r="Q521" i="9"/>
  <c r="Q520" i="9"/>
  <c r="Q519" i="9"/>
  <c r="Q518" i="9"/>
  <c r="Q517" i="9"/>
  <c r="Q516" i="9"/>
  <c r="Q515" i="9"/>
  <c r="Q514" i="9"/>
  <c r="Q513" i="9"/>
  <c r="Q512" i="9"/>
  <c r="Q511" i="9"/>
  <c r="Q510" i="9"/>
  <c r="Q509" i="9"/>
  <c r="Q508" i="9"/>
  <c r="Q507" i="9"/>
  <c r="Q506" i="9"/>
  <c r="Q505" i="9"/>
  <c r="Q504" i="9"/>
  <c r="Q503" i="9"/>
  <c r="Q502" i="9"/>
  <c r="Q501" i="9"/>
  <c r="Q500" i="9"/>
  <c r="Q499" i="9"/>
  <c r="Q498" i="9"/>
  <c r="Q497" i="9"/>
  <c r="Q496" i="9"/>
  <c r="Q495" i="9"/>
  <c r="Q494" i="9"/>
  <c r="Q493" i="9"/>
  <c r="Q492" i="9"/>
  <c r="Q491" i="9"/>
  <c r="Q490" i="9"/>
  <c r="Q489" i="9"/>
  <c r="Q488" i="9"/>
  <c r="Q487" i="9"/>
  <c r="Q486" i="9"/>
  <c r="Q485" i="9"/>
  <c r="Q484" i="9"/>
  <c r="Q483" i="9"/>
  <c r="Q482" i="9"/>
  <c r="Q481" i="9"/>
  <c r="Q480" i="9"/>
  <c r="Q479" i="9"/>
  <c r="Q478" i="9"/>
  <c r="Q477" i="9"/>
  <c r="Q476" i="9"/>
  <c r="Q475" i="9"/>
  <c r="Q474" i="9"/>
  <c r="Q473" i="9"/>
  <c r="Q472" i="9"/>
  <c r="Q471" i="9"/>
  <c r="Q470" i="9"/>
  <c r="Q469" i="9"/>
  <c r="Q468" i="9"/>
  <c r="Q467" i="9"/>
  <c r="Q466" i="9"/>
  <c r="Q465" i="9"/>
  <c r="Q464" i="9"/>
  <c r="Q463" i="9"/>
  <c r="Q462" i="9"/>
  <c r="Q461" i="9"/>
  <c r="Q460" i="9"/>
  <c r="Q459" i="9"/>
  <c r="Q458" i="9"/>
  <c r="Q457" i="9"/>
  <c r="Q456" i="9"/>
  <c r="Q455" i="9"/>
  <c r="Q454" i="9"/>
  <c r="Q453" i="9"/>
  <c r="Q452" i="9"/>
  <c r="Q451" i="9"/>
  <c r="Q450" i="9"/>
  <c r="Q449" i="9"/>
  <c r="Q448" i="9"/>
  <c r="Q447" i="9"/>
  <c r="Q446" i="9"/>
  <c r="Q445" i="9"/>
  <c r="Q444" i="9"/>
  <c r="Q443" i="9"/>
  <c r="Q442" i="9"/>
  <c r="Q441" i="9"/>
  <c r="Q440" i="9"/>
  <c r="Q439" i="9"/>
  <c r="Q438" i="9"/>
  <c r="Q437" i="9"/>
  <c r="Q436" i="9"/>
  <c r="Q435" i="9"/>
  <c r="Q434" i="9"/>
  <c r="Q433" i="9"/>
  <c r="Q432" i="9"/>
  <c r="Q431" i="9"/>
  <c r="Q430" i="9"/>
  <c r="Q429" i="9"/>
  <c r="Q428" i="9"/>
  <c r="Q427" i="9"/>
  <c r="Q426" i="9"/>
  <c r="Q425" i="9"/>
  <c r="Q424" i="9"/>
  <c r="Q423" i="9"/>
  <c r="Q422" i="9"/>
  <c r="Q421" i="9"/>
  <c r="Q420" i="9"/>
  <c r="Q419" i="9"/>
  <c r="Q418" i="9"/>
  <c r="Q417" i="9"/>
  <c r="Q416" i="9"/>
  <c r="Q415" i="9"/>
  <c r="Q414" i="9"/>
  <c r="Q413" i="9"/>
  <c r="Q412" i="9"/>
  <c r="Q411" i="9"/>
  <c r="Q410" i="9"/>
  <c r="Q409" i="9"/>
  <c r="Q408" i="9"/>
  <c r="Q407" i="9"/>
  <c r="Q406" i="9"/>
  <c r="Q405" i="9"/>
  <c r="Q404" i="9"/>
  <c r="Q403" i="9"/>
  <c r="Q402" i="9"/>
  <c r="Q401" i="9"/>
  <c r="Q400" i="9"/>
  <c r="Q399" i="9"/>
  <c r="Q398" i="9"/>
  <c r="Q397" i="9"/>
  <c r="Q396" i="9"/>
  <c r="Q395" i="9"/>
  <c r="Q394" i="9"/>
  <c r="Q393" i="9"/>
  <c r="Q392" i="9"/>
  <c r="Q391" i="9"/>
  <c r="Q390" i="9"/>
  <c r="Q389" i="9"/>
  <c r="Q388" i="9"/>
  <c r="Q387" i="9"/>
  <c r="Q386" i="9"/>
  <c r="Q385" i="9"/>
  <c r="Q384" i="9"/>
  <c r="Q383" i="9"/>
  <c r="Q382" i="9"/>
  <c r="Q381" i="9"/>
  <c r="Q380" i="9"/>
  <c r="Q379" i="9"/>
  <c r="Q378" i="9"/>
  <c r="Q377" i="9"/>
  <c r="Q376" i="9"/>
  <c r="Q375" i="9"/>
  <c r="Q374" i="9"/>
  <c r="Q373" i="9"/>
  <c r="Q372" i="9"/>
  <c r="Q371" i="9"/>
  <c r="Q370" i="9"/>
  <c r="Q369" i="9"/>
  <c r="Q368" i="9"/>
  <c r="Q367" i="9"/>
  <c r="Q366" i="9"/>
  <c r="Q365" i="9"/>
  <c r="Q364" i="9"/>
  <c r="Q363" i="9"/>
  <c r="Q362" i="9"/>
  <c r="Q361" i="9"/>
  <c r="Q360" i="9"/>
  <c r="Q359" i="9"/>
  <c r="Q358" i="9"/>
  <c r="Q357" i="9"/>
  <c r="Q356" i="9"/>
  <c r="Q355" i="9"/>
  <c r="Q354" i="9"/>
  <c r="Q353" i="9"/>
  <c r="Q352" i="9"/>
  <c r="Q351" i="9"/>
  <c r="Q350" i="9"/>
  <c r="Q349" i="9"/>
  <c r="Q348" i="9"/>
  <c r="Q347" i="9"/>
  <c r="Q346" i="9"/>
  <c r="Q345" i="9"/>
  <c r="Q344" i="9"/>
  <c r="Q343" i="9"/>
  <c r="Q342" i="9"/>
  <c r="Q341" i="9"/>
  <c r="Q340" i="9"/>
  <c r="Q339" i="9"/>
  <c r="Q338" i="9"/>
  <c r="Q337" i="9"/>
  <c r="Q336" i="9"/>
  <c r="Q335" i="9"/>
  <c r="Q334" i="9"/>
  <c r="Q333" i="9"/>
  <c r="Q332" i="9"/>
  <c r="Q331" i="9"/>
  <c r="Q330" i="9"/>
  <c r="Q329" i="9"/>
  <c r="Q328" i="9"/>
  <c r="Q327" i="9"/>
  <c r="Q326" i="9"/>
  <c r="Q325" i="9"/>
  <c r="Q324" i="9"/>
  <c r="Q323" i="9"/>
  <c r="Q322" i="9"/>
  <c r="Q321" i="9"/>
  <c r="Q320" i="9"/>
  <c r="Q319" i="9"/>
  <c r="Q318" i="9"/>
  <c r="Q317" i="9"/>
  <c r="Q316" i="9"/>
  <c r="Q315" i="9"/>
  <c r="Q314" i="9"/>
  <c r="Q313" i="9"/>
  <c r="Q312" i="9"/>
  <c r="Q311" i="9"/>
  <c r="Q310" i="9"/>
  <c r="Q309" i="9"/>
  <c r="Q308" i="9"/>
  <c r="Q307" i="9"/>
  <c r="Q306" i="9"/>
  <c r="Q305" i="9"/>
  <c r="Q304" i="9"/>
  <c r="Q303" i="9"/>
  <c r="Q302" i="9"/>
  <c r="Q301" i="9"/>
  <c r="Q300" i="9"/>
  <c r="Q299" i="9"/>
  <c r="Q298" i="9"/>
  <c r="Q297" i="9"/>
  <c r="Q296" i="9"/>
  <c r="Q295" i="9"/>
  <c r="Q294" i="9"/>
  <c r="Q293" i="9"/>
  <c r="Q292" i="9"/>
  <c r="Q291" i="9"/>
  <c r="Q290" i="9"/>
  <c r="Q289" i="9"/>
  <c r="Q288" i="9"/>
  <c r="Q287" i="9"/>
  <c r="Q286" i="9"/>
  <c r="Q285" i="9"/>
  <c r="Q284" i="9"/>
  <c r="Q283" i="9"/>
  <c r="Q282" i="9"/>
  <c r="Q281" i="9"/>
  <c r="Q280" i="9"/>
  <c r="Q279" i="9"/>
  <c r="Q278" i="9"/>
  <c r="Q277" i="9"/>
  <c r="Q276" i="9"/>
  <c r="Q275" i="9"/>
  <c r="Q274" i="9"/>
  <c r="Q273" i="9"/>
  <c r="Q272" i="9"/>
  <c r="Q271" i="9"/>
  <c r="Q270" i="9"/>
  <c r="Q269" i="9"/>
  <c r="Q268" i="9"/>
  <c r="Q267" i="9"/>
  <c r="Q266" i="9"/>
  <c r="Q265" i="9"/>
  <c r="Q264" i="9"/>
  <c r="Q263" i="9"/>
  <c r="Q262" i="9"/>
  <c r="Q261" i="9"/>
  <c r="Q260" i="9"/>
  <c r="Q259" i="9"/>
  <c r="Q258" i="9"/>
  <c r="Q257" i="9"/>
  <c r="Q256" i="9"/>
  <c r="Q255" i="9"/>
  <c r="Q254" i="9"/>
  <c r="Q253" i="9"/>
  <c r="Q252" i="9"/>
  <c r="Q251" i="9"/>
  <c r="Q250" i="9"/>
  <c r="Q249" i="9"/>
  <c r="Q248" i="9"/>
  <c r="Q247" i="9"/>
  <c r="Q246" i="9"/>
  <c r="Q245" i="9"/>
  <c r="Q244" i="9"/>
  <c r="Q243" i="9"/>
  <c r="Q242" i="9"/>
  <c r="Q241" i="9"/>
  <c r="Q240" i="9"/>
  <c r="Q239" i="9"/>
  <c r="Q238" i="9"/>
  <c r="Q237" i="9"/>
  <c r="Q236" i="9"/>
  <c r="Q235" i="9"/>
  <c r="Q234" i="9"/>
  <c r="Q233" i="9"/>
  <c r="Q232" i="9"/>
  <c r="Q231" i="9"/>
  <c r="Q230" i="9"/>
  <c r="Q229" i="9"/>
  <c r="Q228" i="9"/>
  <c r="Q227" i="9"/>
  <c r="Q226" i="9"/>
  <c r="Q225" i="9"/>
  <c r="Q224" i="9"/>
  <c r="Q223" i="9"/>
  <c r="Q222" i="9"/>
  <c r="Q221" i="9"/>
  <c r="Q220" i="9"/>
  <c r="Q219" i="9"/>
  <c r="Q218" i="9"/>
  <c r="Q217" i="9"/>
  <c r="Q216" i="9"/>
  <c r="Q215" i="9"/>
  <c r="Q214" i="9"/>
  <c r="Q213" i="9"/>
  <c r="Q212" i="9"/>
  <c r="Q211" i="9"/>
  <c r="Q210" i="9"/>
  <c r="Q209" i="9"/>
  <c r="Q208" i="9"/>
  <c r="Q207" i="9"/>
  <c r="Q206" i="9"/>
  <c r="Q205" i="9"/>
  <c r="Q204" i="9"/>
  <c r="Q203" i="9"/>
  <c r="Q202" i="9"/>
  <c r="Q201" i="9"/>
  <c r="Q200" i="9"/>
  <c r="Q199" i="9"/>
  <c r="Q198" i="9"/>
  <c r="Q197" i="9"/>
  <c r="Q196" i="9"/>
  <c r="Q195" i="9"/>
  <c r="Q194" i="9"/>
  <c r="Q193" i="9"/>
  <c r="Q192" i="9"/>
  <c r="Q191" i="9"/>
  <c r="Q190" i="9"/>
  <c r="Q189" i="9"/>
  <c r="Q188" i="9"/>
  <c r="Q187" i="9"/>
  <c r="Q186" i="9"/>
  <c r="Q185" i="9"/>
  <c r="Q184" i="9"/>
  <c r="Q183" i="9"/>
  <c r="Q182" i="9"/>
  <c r="Q181" i="9"/>
  <c r="Q180" i="9"/>
  <c r="Q179" i="9"/>
  <c r="Q178" i="9"/>
  <c r="Q177" i="9"/>
  <c r="Q176" i="9"/>
  <c r="Q175" i="9"/>
  <c r="Q174" i="9"/>
  <c r="Q173" i="9"/>
  <c r="Q172" i="9"/>
  <c r="Q171" i="9"/>
  <c r="Q170" i="9"/>
  <c r="Q169" i="9"/>
  <c r="Q168" i="9"/>
  <c r="Q167" i="9"/>
  <c r="Q166" i="9"/>
  <c r="Q165" i="9"/>
  <c r="Q164" i="9"/>
  <c r="Q163" i="9"/>
  <c r="Q162" i="9"/>
  <c r="Q161" i="9"/>
  <c r="Q160" i="9"/>
  <c r="Q159" i="9"/>
  <c r="Q158" i="9"/>
  <c r="Q157" i="9"/>
  <c r="Q156" i="9"/>
  <c r="Q155" i="9"/>
  <c r="Q154" i="9"/>
  <c r="Q153" i="9"/>
  <c r="Q152" i="9"/>
  <c r="Q151" i="9"/>
  <c r="Q150" i="9"/>
  <c r="Q149" i="9"/>
  <c r="Q148" i="9"/>
  <c r="Q147" i="9"/>
  <c r="Q146" i="9"/>
  <c r="Q145" i="9"/>
  <c r="Q144" i="9"/>
  <c r="Q143" i="9"/>
  <c r="Q142" i="9"/>
  <c r="Q141" i="9"/>
  <c r="Q140" i="9"/>
  <c r="Q139" i="9"/>
  <c r="Q138" i="9"/>
  <c r="Q137" i="9"/>
  <c r="Q136" i="9"/>
  <c r="Q135" i="9"/>
  <c r="Q134" i="9"/>
  <c r="Q133" i="9"/>
  <c r="Q132" i="9"/>
  <c r="Q131" i="9"/>
  <c r="Q130" i="9"/>
  <c r="Q129" i="9"/>
  <c r="Q128" i="9"/>
  <c r="Q127" i="9"/>
  <c r="Q126" i="9"/>
  <c r="Q125" i="9"/>
  <c r="Q124" i="9"/>
  <c r="Q123" i="9"/>
  <c r="Q122" i="9"/>
  <c r="Q121" i="9"/>
  <c r="Q120" i="9"/>
  <c r="Q119" i="9"/>
  <c r="Q118" i="9"/>
  <c r="Q117" i="9"/>
  <c r="Q116" i="9"/>
  <c r="Q115" i="9"/>
  <c r="Q114" i="9"/>
  <c r="Q113" i="9"/>
  <c r="Q112" i="9"/>
  <c r="Q111" i="9"/>
  <c r="Q110" i="9"/>
  <c r="Q109" i="9"/>
  <c r="Q108" i="9"/>
  <c r="Q107" i="9"/>
  <c r="Q106" i="9"/>
  <c r="Q105" i="9"/>
  <c r="Q104" i="9"/>
  <c r="Q103" i="9"/>
  <c r="Q102" i="9"/>
  <c r="Q101" i="9"/>
  <c r="Q100" i="9"/>
  <c r="Q99" i="9"/>
  <c r="Q98" i="9"/>
  <c r="Q97" i="9"/>
  <c r="Q96" i="9"/>
  <c r="Q95" i="9"/>
  <c r="Q94" i="9"/>
  <c r="Q93" i="9"/>
  <c r="Q92" i="9"/>
  <c r="Q91" i="9"/>
  <c r="Q90" i="9"/>
  <c r="Q89" i="9"/>
  <c r="Q88" i="9"/>
  <c r="Q87" i="9"/>
  <c r="Q86" i="9"/>
  <c r="Q85" i="9"/>
  <c r="Q84" i="9"/>
  <c r="Q83" i="9"/>
  <c r="Q82" i="9"/>
  <c r="Q81" i="9"/>
  <c r="Q80" i="9"/>
  <c r="Q79" i="9"/>
  <c r="Q78" i="9"/>
  <c r="Q77" i="9"/>
  <c r="Q76" i="9"/>
  <c r="Q75" i="9"/>
  <c r="Q74" i="9"/>
  <c r="Q73" i="9"/>
  <c r="Q72" i="9"/>
  <c r="Q71" i="9"/>
  <c r="Q70" i="9"/>
  <c r="Q69" i="9"/>
  <c r="Q68" i="9"/>
  <c r="Q67" i="9"/>
  <c r="Q66" i="9"/>
  <c r="Q65" i="9"/>
  <c r="Q64" i="9"/>
  <c r="Q63" i="9"/>
  <c r="Q62" i="9"/>
  <c r="Q61" i="9"/>
  <c r="Q60" i="9"/>
  <c r="Q59" i="9"/>
  <c r="Q58" i="9"/>
  <c r="Q57" i="9"/>
  <c r="Q56" i="9"/>
  <c r="Q55" i="9"/>
  <c r="Q54" i="9"/>
  <c r="Q53" i="9"/>
  <c r="Q52" i="9"/>
  <c r="Q51" i="9"/>
  <c r="Q50" i="9"/>
  <c r="Q49" i="9"/>
  <c r="Q48" i="9"/>
  <c r="Q47" i="9"/>
  <c r="Q46" i="9"/>
  <c r="Q45" i="9"/>
  <c r="Q44" i="9"/>
  <c r="Q43" i="9"/>
  <c r="Q42" i="9"/>
  <c r="Q41" i="9"/>
  <c r="Q40" i="9"/>
  <c r="Q39" i="9"/>
  <c r="Q38" i="9"/>
  <c r="Q37" i="9"/>
  <c r="Q36" i="9"/>
  <c r="Q35" i="9"/>
  <c r="Q34" i="9"/>
  <c r="Q33" i="9"/>
  <c r="Q32" i="9"/>
  <c r="Q31" i="9"/>
  <c r="Q30" i="9"/>
  <c r="Q29" i="9"/>
  <c r="Q28" i="9"/>
  <c r="Q27" i="9"/>
  <c r="Q26" i="9"/>
  <c r="Q25" i="9"/>
  <c r="Q24" i="9"/>
  <c r="Q23" i="9"/>
  <c r="Q22" i="9"/>
  <c r="Q21" i="9"/>
  <c r="Q20" i="9"/>
  <c r="Q19" i="9"/>
  <c r="Q18" i="9"/>
  <c r="Q17" i="9"/>
  <c r="Q16" i="9"/>
  <c r="Q15" i="9"/>
  <c r="Q14" i="9"/>
  <c r="Q13" i="9"/>
  <c r="Q12" i="9"/>
  <c r="Q11" i="9"/>
  <c r="Q10" i="9"/>
  <c r="Q9" i="9"/>
  <c r="Q8" i="9"/>
  <c r="Q7" i="9"/>
  <c r="AD930" i="9"/>
  <c r="AD926" i="9"/>
  <c r="AD925" i="9"/>
  <c r="AD924" i="9"/>
  <c r="AD923" i="9"/>
  <c r="AD922" i="9"/>
  <c r="AD921" i="9"/>
  <c r="AD920" i="9"/>
  <c r="AD919" i="9"/>
  <c r="AD918" i="9"/>
  <c r="AD917" i="9"/>
  <c r="AD916" i="9"/>
  <c r="AD915" i="9"/>
  <c r="AD914" i="9"/>
  <c r="AD913" i="9"/>
  <c r="AD912" i="9"/>
  <c r="AD911" i="9"/>
  <c r="AD910" i="9"/>
  <c r="AD909" i="9"/>
  <c r="AD908" i="9"/>
  <c r="AD907" i="9"/>
  <c r="AD906" i="9"/>
  <c r="AD905" i="9"/>
  <c r="AD904" i="9"/>
  <c r="AD903" i="9"/>
  <c r="AD902" i="9"/>
  <c r="AD901" i="9"/>
  <c r="AD900" i="9"/>
  <c r="AD899" i="9"/>
  <c r="AD898" i="9"/>
  <c r="AD897" i="9"/>
  <c r="AD896" i="9"/>
  <c r="AD895" i="9"/>
  <c r="AD894" i="9"/>
  <c r="AD893" i="9"/>
  <c r="AD892" i="9"/>
  <c r="AD891" i="9"/>
  <c r="AD890" i="9"/>
  <c r="AD889" i="9"/>
  <c r="AD888" i="9"/>
  <c r="AD887" i="9"/>
  <c r="AD886" i="9"/>
  <c r="AD885" i="9"/>
  <c r="AD884" i="9"/>
  <c r="AD883" i="9"/>
  <c r="AD882" i="9"/>
  <c r="AD881" i="9"/>
  <c r="AD880" i="9"/>
  <c r="AD879" i="9"/>
  <c r="AD878" i="9"/>
  <c r="AD877" i="9"/>
  <c r="AD876" i="9"/>
  <c r="AD875" i="9"/>
  <c r="AD874" i="9"/>
  <c r="AD873" i="9"/>
  <c r="AD872" i="9"/>
  <c r="AD871" i="9"/>
  <c r="AD870" i="9"/>
  <c r="AD869" i="9"/>
  <c r="AD868" i="9"/>
  <c r="AD867" i="9"/>
  <c r="AD866" i="9"/>
  <c r="AD865" i="9"/>
  <c r="AD864" i="9"/>
  <c r="AD863" i="9"/>
  <c r="AD862" i="9"/>
  <c r="AD861" i="9"/>
  <c r="AD860" i="9"/>
  <c r="AD859" i="9"/>
  <c r="AD858" i="9"/>
  <c r="AD857" i="9"/>
  <c r="AD856" i="9"/>
  <c r="AD855" i="9"/>
  <c r="AD854" i="9"/>
  <c r="AD853" i="9"/>
  <c r="AD852" i="9"/>
  <c r="AD851" i="9"/>
  <c r="AD850" i="9"/>
  <c r="AD849" i="9"/>
  <c r="AD848" i="9"/>
  <c r="AD847" i="9"/>
  <c r="AD846" i="9"/>
  <c r="AD845" i="9"/>
  <c r="AD844" i="9"/>
  <c r="AD843" i="9"/>
  <c r="AD842" i="9"/>
  <c r="AD841" i="9"/>
  <c r="AD840" i="9"/>
  <c r="AD839" i="9"/>
  <c r="AD838" i="9"/>
  <c r="AD837" i="9"/>
  <c r="AD836" i="9"/>
  <c r="AD835" i="9"/>
  <c r="AD834" i="9"/>
  <c r="AD833" i="9"/>
  <c r="AD832" i="9"/>
  <c r="AD831" i="9"/>
  <c r="AD830" i="9"/>
  <c r="AD829" i="9"/>
  <c r="AD828" i="9"/>
  <c r="AD827" i="9"/>
  <c r="AD826" i="9"/>
  <c r="AD825" i="9"/>
  <c r="AD824" i="9"/>
  <c r="AD823" i="9"/>
  <c r="AD822" i="9"/>
  <c r="AD821" i="9"/>
  <c r="AD820" i="9"/>
  <c r="AD819" i="9"/>
  <c r="AD818" i="9"/>
  <c r="AD817" i="9"/>
  <c r="AD816" i="9"/>
  <c r="AD815" i="9"/>
  <c r="AD814" i="9"/>
  <c r="AD813" i="9"/>
  <c r="AD812" i="9"/>
  <c r="AD811" i="9"/>
  <c r="AD810" i="9"/>
  <c r="AD809" i="9"/>
  <c r="AD808" i="9"/>
  <c r="AD807" i="9"/>
  <c r="AD806" i="9"/>
  <c r="AD805" i="9"/>
  <c r="AD804" i="9"/>
  <c r="AD803" i="9"/>
  <c r="AD802" i="9"/>
  <c r="AD801" i="9"/>
  <c r="AD800" i="9"/>
  <c r="AD799" i="9"/>
  <c r="AD798" i="9"/>
  <c r="AD797" i="9"/>
  <c r="AD796" i="9"/>
  <c r="AD795" i="9"/>
  <c r="AD794" i="9"/>
  <c r="AD793" i="9"/>
  <c r="AD792" i="9"/>
  <c r="AD791" i="9"/>
  <c r="AD790" i="9"/>
  <c r="AD789" i="9"/>
  <c r="AD788" i="9"/>
  <c r="AD787" i="9"/>
  <c r="AD786" i="9"/>
  <c r="AD785" i="9"/>
  <c r="AD784" i="9"/>
  <c r="AD783" i="9"/>
  <c r="AD782" i="9"/>
  <c r="AD781" i="9"/>
  <c r="AD780" i="9"/>
  <c r="AD779" i="9"/>
  <c r="AD778" i="9"/>
  <c r="AD777" i="9"/>
  <c r="AD776" i="9"/>
  <c r="AD775" i="9"/>
  <c r="AD774" i="9"/>
  <c r="AD773" i="9"/>
  <c r="AD772" i="9"/>
  <c r="AD771" i="9"/>
  <c r="AD770" i="9"/>
  <c r="AD769" i="9"/>
  <c r="AD768" i="9"/>
  <c r="AD767" i="9"/>
  <c r="AD766" i="9"/>
  <c r="AD765" i="9"/>
  <c r="AD764" i="9"/>
  <c r="AD763" i="9"/>
  <c r="AD762" i="9"/>
  <c r="AD761" i="9"/>
  <c r="AD760" i="9"/>
  <c r="AD759" i="9"/>
  <c r="AD758" i="9"/>
  <c r="AD757" i="9"/>
  <c r="AD756" i="9"/>
  <c r="AD755" i="9"/>
  <c r="AD754" i="9"/>
  <c r="AD753" i="9"/>
  <c r="AD752" i="9"/>
  <c r="AD751" i="9"/>
  <c r="AD750" i="9"/>
  <c r="AD749" i="9"/>
  <c r="AD748" i="9"/>
  <c r="AD747" i="9"/>
  <c r="AD746" i="9"/>
  <c r="AD745" i="9"/>
  <c r="AD744" i="9"/>
  <c r="AD743" i="9"/>
  <c r="AD742" i="9"/>
  <c r="AD741" i="9"/>
  <c r="AD740" i="9"/>
  <c r="AD739" i="9"/>
  <c r="AD738" i="9"/>
  <c r="AD737" i="9"/>
  <c r="AD736" i="9"/>
  <c r="AD735" i="9"/>
  <c r="AD734" i="9"/>
  <c r="AD733" i="9"/>
  <c r="AD732" i="9"/>
  <c r="AD731" i="9"/>
  <c r="AD730" i="9"/>
  <c r="AD729" i="9"/>
  <c r="AD728" i="9"/>
  <c r="AD727" i="9"/>
  <c r="AD726" i="9"/>
  <c r="AD725" i="9"/>
  <c r="AD724" i="9"/>
  <c r="AD723" i="9"/>
  <c r="AD722" i="9"/>
  <c r="AD721" i="9"/>
  <c r="AD720" i="9"/>
  <c r="AD719" i="9"/>
  <c r="AD718" i="9"/>
  <c r="AD717" i="9"/>
  <c r="AD716" i="9"/>
  <c r="AD715" i="9"/>
  <c r="AD714" i="9"/>
  <c r="AD713" i="9"/>
  <c r="AD712" i="9"/>
  <c r="AD711" i="9"/>
  <c r="AD710" i="9"/>
  <c r="AD709" i="9"/>
  <c r="AD708" i="9"/>
  <c r="AD707" i="9"/>
  <c r="AD706" i="9"/>
  <c r="AD705" i="9"/>
  <c r="AD704" i="9"/>
  <c r="AD703" i="9"/>
  <c r="AD702" i="9"/>
  <c r="AD701" i="9"/>
  <c r="AD700" i="9"/>
  <c r="AD699" i="9"/>
  <c r="AD698" i="9"/>
  <c r="AD697" i="9"/>
  <c r="AD696" i="9"/>
  <c r="AD695" i="9"/>
  <c r="AD694" i="9"/>
  <c r="AD693" i="9"/>
  <c r="AD692" i="9"/>
  <c r="AD691" i="9"/>
  <c r="AD690" i="9"/>
  <c r="AD689" i="9"/>
  <c r="AD688" i="9"/>
  <c r="AD687" i="9"/>
  <c r="AD686" i="9"/>
  <c r="AD685" i="9"/>
  <c r="AD684" i="9"/>
  <c r="AD683" i="9"/>
  <c r="AD682" i="9"/>
  <c r="AD681" i="9"/>
  <c r="AD680" i="9"/>
  <c r="AD679" i="9"/>
  <c r="AD678" i="9"/>
  <c r="AD677" i="9"/>
  <c r="AD676" i="9"/>
  <c r="AD675" i="9"/>
  <c r="AD674" i="9"/>
  <c r="AD673" i="9"/>
  <c r="AD672" i="9"/>
  <c r="AD671" i="9"/>
  <c r="AD670" i="9"/>
  <c r="AD669" i="9"/>
  <c r="AD668" i="9"/>
  <c r="AD667" i="9"/>
  <c r="AD666" i="9"/>
  <c r="AD665" i="9"/>
  <c r="AD664" i="9"/>
  <c r="AD663" i="9"/>
  <c r="AD662" i="9"/>
  <c r="AD661" i="9"/>
  <c r="AD660" i="9"/>
  <c r="AD659" i="9"/>
  <c r="AD658" i="9"/>
  <c r="AD657" i="9"/>
  <c r="AD656" i="9"/>
  <c r="AD655" i="9"/>
  <c r="AD654" i="9"/>
  <c r="AD653" i="9"/>
  <c r="AD652" i="9"/>
  <c r="AD651" i="9"/>
  <c r="AD650" i="9"/>
  <c r="AD649" i="9"/>
  <c r="AD648" i="9"/>
  <c r="AD647" i="9"/>
  <c r="AD646" i="9"/>
  <c r="AD645" i="9"/>
  <c r="AD644" i="9"/>
  <c r="AD643" i="9"/>
  <c r="AD642" i="9"/>
  <c r="AD641" i="9"/>
  <c r="AD640" i="9"/>
  <c r="AD639" i="9"/>
  <c r="AD638" i="9"/>
  <c r="AD637" i="9"/>
  <c r="AD636" i="9"/>
  <c r="AD635" i="9"/>
  <c r="AD634" i="9"/>
  <c r="AD633" i="9"/>
  <c r="AD632" i="9"/>
  <c r="AD631" i="9"/>
  <c r="AD630" i="9"/>
  <c r="AD629" i="9"/>
  <c r="AD628" i="9"/>
  <c r="AD627" i="9"/>
  <c r="AD626" i="9"/>
  <c r="AD625" i="9"/>
  <c r="AD624" i="9"/>
  <c r="AD623" i="9"/>
  <c r="AD622" i="9"/>
  <c r="AD621" i="9"/>
  <c r="AD620" i="9"/>
  <c r="AD619" i="9"/>
  <c r="AD618" i="9"/>
  <c r="AD617" i="9"/>
  <c r="AD616" i="9"/>
  <c r="AD615" i="9"/>
  <c r="AD614" i="9"/>
  <c r="AD613" i="9"/>
  <c r="AD612" i="9"/>
  <c r="AD611" i="9"/>
  <c r="AD610" i="9"/>
  <c r="AD609" i="9"/>
  <c r="AD608" i="9"/>
  <c r="AD607" i="9"/>
  <c r="AD606" i="9"/>
  <c r="AD605" i="9"/>
  <c r="AD604" i="9"/>
  <c r="AD603" i="9"/>
  <c r="AD602" i="9"/>
  <c r="AD601" i="9"/>
  <c r="AD600" i="9"/>
  <c r="AD599" i="9"/>
  <c r="AD598" i="9"/>
  <c r="AD597" i="9"/>
  <c r="AD596" i="9"/>
  <c r="AD595" i="9"/>
  <c r="AD594" i="9"/>
  <c r="AD593" i="9"/>
  <c r="AD592" i="9"/>
  <c r="AD591" i="9"/>
  <c r="AD590" i="9"/>
  <c r="AD589" i="9"/>
  <c r="AD588" i="9"/>
  <c r="AD587" i="9"/>
  <c r="AD586" i="9"/>
  <c r="AD585" i="9"/>
  <c r="AD584" i="9"/>
  <c r="AD583" i="9"/>
  <c r="AD582" i="9"/>
  <c r="AD581" i="9"/>
  <c r="AD580" i="9"/>
  <c r="AD579" i="9"/>
  <c r="AD578" i="9"/>
  <c r="AD577" i="9"/>
  <c r="AD576" i="9"/>
  <c r="AD575" i="9"/>
  <c r="AD574" i="9"/>
  <c r="AD573" i="9"/>
  <c r="AD572" i="9"/>
  <c r="AD571" i="9"/>
  <c r="AD570" i="9"/>
  <c r="AD569" i="9"/>
  <c r="AD568" i="9"/>
  <c r="AD567" i="9"/>
  <c r="AD566" i="9"/>
  <c r="AD565" i="9"/>
  <c r="AD564" i="9"/>
  <c r="AD563" i="9"/>
  <c r="AD562" i="9"/>
  <c r="AD561" i="9"/>
  <c r="AD560" i="9"/>
  <c r="AD559" i="9"/>
  <c r="AD558" i="9"/>
  <c r="AD557" i="9"/>
  <c r="AD556" i="9"/>
  <c r="AD555" i="9"/>
  <c r="AD554" i="9"/>
  <c r="AD553" i="9"/>
  <c r="AD552" i="9"/>
  <c r="AD551" i="9"/>
  <c r="AD550" i="9"/>
  <c r="AD549" i="9"/>
  <c r="AD548" i="9"/>
  <c r="AD547" i="9"/>
  <c r="AD546" i="9"/>
  <c r="AD545" i="9"/>
  <c r="AD544" i="9"/>
  <c r="AD543" i="9"/>
  <c r="AD542" i="9"/>
  <c r="AD541" i="9"/>
  <c r="AD540" i="9"/>
  <c r="AD539" i="9"/>
  <c r="AD538" i="9"/>
  <c r="AD537" i="9"/>
  <c r="AD536" i="9"/>
  <c r="AD535" i="9"/>
  <c r="AD534" i="9"/>
  <c r="AD533" i="9"/>
  <c r="AD532" i="9"/>
  <c r="AD531" i="9"/>
  <c r="AD530" i="9"/>
  <c r="AD529" i="9"/>
  <c r="AD528" i="9"/>
  <c r="AD527" i="9"/>
  <c r="AD526" i="9"/>
  <c r="AD525" i="9"/>
  <c r="AD524" i="9"/>
  <c r="AD523" i="9"/>
  <c r="AD522" i="9"/>
  <c r="AD521" i="9"/>
  <c r="AD520" i="9"/>
  <c r="AD519" i="9"/>
  <c r="AD518" i="9"/>
  <c r="AD517" i="9"/>
  <c r="AD516" i="9"/>
  <c r="AD515" i="9"/>
  <c r="AD514" i="9"/>
  <c r="AD513" i="9"/>
  <c r="AD512" i="9"/>
  <c r="AD511" i="9"/>
  <c r="AD510" i="9"/>
  <c r="AD509" i="9"/>
  <c r="AD508" i="9"/>
  <c r="AD507" i="9"/>
  <c r="AD506" i="9"/>
  <c r="AD505" i="9"/>
  <c r="AD504" i="9"/>
  <c r="AD503" i="9"/>
  <c r="AD502" i="9"/>
  <c r="AD501" i="9"/>
  <c r="AD500" i="9"/>
  <c r="AD499" i="9"/>
  <c r="AD498" i="9"/>
  <c r="AD497" i="9"/>
  <c r="AD496" i="9"/>
  <c r="AD495" i="9"/>
  <c r="AD494" i="9"/>
  <c r="AD493" i="9"/>
  <c r="AD492" i="9"/>
  <c r="AD491" i="9"/>
  <c r="AD490" i="9"/>
  <c r="AD489" i="9"/>
  <c r="AD488" i="9"/>
  <c r="AD487" i="9"/>
  <c r="AD486" i="9"/>
  <c r="AD485" i="9"/>
  <c r="AD484" i="9"/>
  <c r="AD483" i="9"/>
  <c r="AD482" i="9"/>
  <c r="AD481" i="9"/>
  <c r="AD480" i="9"/>
  <c r="AD479" i="9"/>
  <c r="AD478" i="9"/>
  <c r="AD477" i="9"/>
  <c r="AD476" i="9"/>
  <c r="AD475" i="9"/>
  <c r="AD474" i="9"/>
  <c r="AD473" i="9"/>
  <c r="AD472" i="9"/>
  <c r="AD471" i="9"/>
  <c r="AD470" i="9"/>
  <c r="AD469" i="9"/>
  <c r="AD468" i="9"/>
  <c r="AD467" i="9"/>
  <c r="AD466" i="9"/>
  <c r="AD465" i="9"/>
  <c r="AD464" i="9"/>
  <c r="AD463" i="9"/>
  <c r="AD462" i="9"/>
  <c r="AD461" i="9"/>
  <c r="AD460" i="9"/>
  <c r="AD459" i="9"/>
  <c r="AD458" i="9"/>
  <c r="AD457" i="9"/>
  <c r="AD456" i="9"/>
  <c r="AD455" i="9"/>
  <c r="AD454" i="9"/>
  <c r="AD453" i="9"/>
  <c r="AD452" i="9"/>
  <c r="AD451" i="9"/>
  <c r="AD450" i="9"/>
  <c r="AD449" i="9"/>
  <c r="AD448" i="9"/>
  <c r="AD447" i="9"/>
  <c r="AD446" i="9"/>
  <c r="AD445" i="9"/>
  <c r="AD444" i="9"/>
  <c r="AD443" i="9"/>
  <c r="AD442" i="9"/>
  <c r="AD441" i="9"/>
  <c r="AD440" i="9"/>
  <c r="AD439" i="9"/>
  <c r="AD438" i="9"/>
  <c r="AD437" i="9"/>
  <c r="AD436" i="9"/>
  <c r="AD435" i="9"/>
  <c r="AD434" i="9"/>
  <c r="AD433" i="9"/>
  <c r="AD432" i="9"/>
  <c r="AD431" i="9"/>
  <c r="AD430" i="9"/>
  <c r="AD429" i="9"/>
  <c r="AD428" i="9"/>
  <c r="AD427" i="9"/>
  <c r="AD426" i="9"/>
  <c r="AD425" i="9"/>
  <c r="AD424" i="9"/>
  <c r="AD423" i="9"/>
  <c r="AD422" i="9"/>
  <c r="AD421" i="9"/>
  <c r="AD420" i="9"/>
  <c r="AD419" i="9"/>
  <c r="AD418" i="9"/>
  <c r="AD417" i="9"/>
  <c r="AD416" i="9"/>
  <c r="AD415" i="9"/>
  <c r="AD414" i="9"/>
  <c r="AD413" i="9"/>
  <c r="AD412" i="9"/>
  <c r="AD411" i="9"/>
  <c r="AD410" i="9"/>
  <c r="AD409" i="9"/>
  <c r="AD408" i="9"/>
  <c r="AD407" i="9"/>
  <c r="AD406" i="9"/>
  <c r="AD405" i="9"/>
  <c r="AD404" i="9"/>
  <c r="AD403" i="9"/>
  <c r="AD402" i="9"/>
  <c r="AD401" i="9"/>
  <c r="AD400" i="9"/>
  <c r="AD399" i="9"/>
  <c r="AD398" i="9"/>
  <c r="AD397" i="9"/>
  <c r="AD396" i="9"/>
  <c r="AD395" i="9"/>
  <c r="AD394" i="9"/>
  <c r="AD393" i="9"/>
  <c r="AD392" i="9"/>
  <c r="AD391" i="9"/>
  <c r="AD390" i="9"/>
  <c r="AD389" i="9"/>
  <c r="AD388" i="9"/>
  <c r="AD387" i="9"/>
  <c r="AD386" i="9"/>
  <c r="AD385" i="9"/>
  <c r="AD384" i="9"/>
  <c r="AD383" i="9"/>
  <c r="AD382" i="9"/>
  <c r="AD381" i="9"/>
  <c r="AD380" i="9"/>
  <c r="AD379" i="9"/>
  <c r="AD378" i="9"/>
  <c r="AD377" i="9"/>
  <c r="AD376" i="9"/>
  <c r="AD375" i="9"/>
  <c r="AD374" i="9"/>
  <c r="AD373" i="9"/>
  <c r="AD372" i="9"/>
  <c r="AD371" i="9"/>
  <c r="AD370" i="9"/>
  <c r="AD369" i="9"/>
  <c r="AD368" i="9"/>
  <c r="AD367" i="9"/>
  <c r="AD366" i="9"/>
  <c r="AD365" i="9"/>
  <c r="AD364" i="9"/>
  <c r="AD363" i="9"/>
  <c r="AD362" i="9"/>
  <c r="AD361" i="9"/>
  <c r="AD360" i="9"/>
  <c r="AD359" i="9"/>
  <c r="AD358" i="9"/>
  <c r="AD357" i="9"/>
  <c r="AD356" i="9"/>
  <c r="AD355" i="9"/>
  <c r="AD354" i="9"/>
  <c r="AD353" i="9"/>
  <c r="AD352" i="9"/>
  <c r="AD351" i="9"/>
  <c r="AD350" i="9"/>
  <c r="AD349" i="9"/>
  <c r="AD348" i="9"/>
  <c r="AD347" i="9"/>
  <c r="AD346" i="9"/>
  <c r="AD345" i="9"/>
  <c r="AD344" i="9"/>
  <c r="AD343" i="9"/>
  <c r="AD342" i="9"/>
  <c r="AD341" i="9"/>
  <c r="AD340" i="9"/>
  <c r="AD339" i="9"/>
  <c r="AD338" i="9"/>
  <c r="AD337" i="9"/>
  <c r="AD336" i="9"/>
  <c r="AD335" i="9"/>
  <c r="AD334" i="9"/>
  <c r="AD333" i="9"/>
  <c r="AD332" i="9"/>
  <c r="AD331" i="9"/>
  <c r="AD330" i="9"/>
  <c r="AD329" i="9"/>
  <c r="AD328" i="9"/>
  <c r="AD327" i="9"/>
  <c r="AD326" i="9"/>
  <c r="AD325" i="9"/>
  <c r="AD324" i="9"/>
  <c r="AD323" i="9"/>
  <c r="AD322" i="9"/>
  <c r="AD321" i="9"/>
  <c r="AD320" i="9"/>
  <c r="AD319" i="9"/>
  <c r="AD318" i="9"/>
  <c r="AD317" i="9"/>
  <c r="AD316" i="9"/>
  <c r="AD315" i="9"/>
  <c r="AD314" i="9"/>
  <c r="AD313" i="9"/>
  <c r="AD312" i="9"/>
  <c r="AD311" i="9"/>
  <c r="AD310" i="9"/>
  <c r="AD309" i="9"/>
  <c r="AD308" i="9"/>
  <c r="AD307" i="9"/>
  <c r="AD306" i="9"/>
  <c r="AD305" i="9"/>
  <c r="AD304" i="9"/>
  <c r="AD303" i="9"/>
  <c r="AD302" i="9"/>
  <c r="AD301" i="9"/>
  <c r="AD300" i="9"/>
  <c r="AD299" i="9"/>
  <c r="AD298" i="9"/>
  <c r="AD297" i="9"/>
  <c r="AD296" i="9"/>
  <c r="AD295" i="9"/>
  <c r="AD294" i="9"/>
  <c r="AD293" i="9"/>
  <c r="AD292" i="9"/>
  <c r="AD291" i="9"/>
  <c r="AD290" i="9"/>
  <c r="AD289" i="9"/>
  <c r="AD288" i="9"/>
  <c r="AD287" i="9"/>
  <c r="AD286" i="9"/>
  <c r="AD285" i="9"/>
  <c r="AD284" i="9"/>
  <c r="AD283" i="9"/>
  <c r="AD282" i="9"/>
  <c r="AD281" i="9"/>
  <c r="AD280" i="9"/>
  <c r="AD279" i="9"/>
  <c r="AD278" i="9"/>
  <c r="AD277" i="9"/>
  <c r="AD276" i="9"/>
  <c r="AD275" i="9"/>
  <c r="AD274" i="9"/>
  <c r="AD273" i="9"/>
  <c r="AD272" i="9"/>
  <c r="AD271" i="9"/>
  <c r="AD270" i="9"/>
  <c r="AD269" i="9"/>
  <c r="AD268" i="9"/>
  <c r="AD267" i="9"/>
  <c r="AD266" i="9"/>
  <c r="AD265" i="9"/>
  <c r="AD264" i="9"/>
  <c r="AD263" i="9"/>
  <c r="AD262" i="9"/>
  <c r="AD261" i="9"/>
  <c r="AD260" i="9"/>
  <c r="AD259" i="9"/>
  <c r="AD258" i="9"/>
  <c r="AD257" i="9"/>
  <c r="AD256" i="9"/>
  <c r="AD255" i="9"/>
  <c r="AD254" i="9"/>
  <c r="AD253" i="9"/>
  <c r="AD252" i="9"/>
  <c r="AD251" i="9"/>
  <c r="AD250" i="9"/>
  <c r="AD249" i="9"/>
  <c r="AD248" i="9"/>
  <c r="AD247" i="9"/>
  <c r="AD246" i="9"/>
  <c r="AD245" i="9"/>
  <c r="AD244" i="9"/>
  <c r="AD243" i="9"/>
  <c r="AD242" i="9"/>
  <c r="AD241" i="9"/>
  <c r="AD240" i="9"/>
  <c r="AD239" i="9"/>
  <c r="AD238" i="9"/>
  <c r="AD237" i="9"/>
  <c r="AD236" i="9"/>
  <c r="AD235" i="9"/>
  <c r="AD234" i="9"/>
  <c r="AD233" i="9"/>
  <c r="AD232" i="9"/>
  <c r="AD231" i="9"/>
  <c r="AD230" i="9"/>
  <c r="AD229" i="9"/>
  <c r="AD228" i="9"/>
  <c r="AD227" i="9"/>
  <c r="AD226" i="9"/>
  <c r="AD225" i="9"/>
  <c r="AD224" i="9"/>
  <c r="AD223" i="9"/>
  <c r="AD222" i="9"/>
  <c r="AD221" i="9"/>
  <c r="AD220" i="9"/>
  <c r="AD219" i="9"/>
  <c r="AD218" i="9"/>
  <c r="AD217" i="9"/>
  <c r="AD216" i="9"/>
  <c r="AD215" i="9"/>
  <c r="AD214" i="9"/>
  <c r="AD213" i="9"/>
  <c r="AD212" i="9"/>
  <c r="AD211" i="9"/>
  <c r="AD210" i="9"/>
  <c r="AD209" i="9"/>
  <c r="AD208" i="9"/>
  <c r="AD207" i="9"/>
  <c r="AD206" i="9"/>
  <c r="AD205" i="9"/>
  <c r="AD204" i="9"/>
  <c r="AD203" i="9"/>
  <c r="AD202" i="9"/>
  <c r="AD201" i="9"/>
  <c r="AD200" i="9"/>
  <c r="AD199" i="9"/>
  <c r="AD198" i="9"/>
  <c r="AD197" i="9"/>
  <c r="AD196" i="9"/>
  <c r="AD195" i="9"/>
  <c r="AD194" i="9"/>
  <c r="AD193" i="9"/>
  <c r="AD192" i="9"/>
  <c r="AD191" i="9"/>
  <c r="AD190" i="9"/>
  <c r="AD189" i="9"/>
  <c r="AD188" i="9"/>
  <c r="AD187" i="9"/>
  <c r="AD186" i="9"/>
  <c r="AD185" i="9"/>
  <c r="AD184" i="9"/>
  <c r="AD183" i="9"/>
  <c r="AD182" i="9"/>
  <c r="AD181" i="9"/>
  <c r="AD180" i="9"/>
  <c r="AD179" i="9"/>
  <c r="AD178" i="9"/>
  <c r="AD177" i="9"/>
  <c r="AD176" i="9"/>
  <c r="AD175" i="9"/>
  <c r="AD174" i="9"/>
  <c r="AD173" i="9"/>
  <c r="AD172" i="9"/>
  <c r="AD171" i="9"/>
  <c r="AD170" i="9"/>
  <c r="AD169" i="9"/>
  <c r="AD168" i="9"/>
  <c r="AD167" i="9"/>
  <c r="AD166" i="9"/>
  <c r="AD165" i="9"/>
  <c r="AD164" i="9"/>
  <c r="AD163" i="9"/>
  <c r="AD162" i="9"/>
  <c r="AD161" i="9"/>
  <c r="AD160" i="9"/>
  <c r="AD159" i="9"/>
  <c r="AD158" i="9"/>
  <c r="AD157" i="9"/>
  <c r="AD156" i="9"/>
  <c r="AD155" i="9"/>
  <c r="AD154" i="9"/>
  <c r="AD153" i="9"/>
  <c r="AD152" i="9"/>
  <c r="AD151" i="9"/>
  <c r="AD150" i="9"/>
  <c r="AD149" i="9"/>
  <c r="AD148" i="9"/>
  <c r="AD147" i="9"/>
  <c r="AD146" i="9"/>
  <c r="AD145" i="9"/>
  <c r="AD144" i="9"/>
  <c r="AD143" i="9"/>
  <c r="AD142" i="9"/>
  <c r="AD141" i="9"/>
  <c r="AD140" i="9"/>
  <c r="AD139" i="9"/>
  <c r="AD138" i="9"/>
  <c r="AD137" i="9"/>
  <c r="AD136" i="9"/>
  <c r="AD135" i="9"/>
  <c r="AD134" i="9"/>
  <c r="AD133" i="9"/>
  <c r="AD132" i="9"/>
  <c r="AD131" i="9"/>
  <c r="AD130" i="9"/>
  <c r="AD129" i="9"/>
  <c r="AD128" i="9"/>
  <c r="AD127" i="9"/>
  <c r="AD126" i="9"/>
  <c r="AD125" i="9"/>
  <c r="AD124" i="9"/>
  <c r="AD123" i="9"/>
  <c r="AD122" i="9"/>
  <c r="AD121" i="9"/>
  <c r="AD120" i="9"/>
  <c r="AD119" i="9"/>
  <c r="AD118" i="9"/>
  <c r="AD117" i="9"/>
  <c r="AD116" i="9"/>
  <c r="AD115" i="9"/>
  <c r="AD114" i="9"/>
  <c r="AD113" i="9"/>
  <c r="AD112" i="9"/>
  <c r="AD111" i="9"/>
  <c r="AD110" i="9"/>
  <c r="AD109" i="9"/>
  <c r="AD108" i="9"/>
  <c r="AD107" i="9"/>
  <c r="AD106" i="9"/>
  <c r="AD105" i="9"/>
  <c r="AD104" i="9"/>
  <c r="AD103" i="9"/>
  <c r="AD102" i="9"/>
  <c r="AD101" i="9"/>
  <c r="AD100" i="9"/>
  <c r="AD99" i="9"/>
  <c r="AD98" i="9"/>
  <c r="AD97" i="9"/>
  <c r="AD96" i="9"/>
  <c r="AD95" i="9"/>
  <c r="AD94" i="9"/>
  <c r="AD93" i="9"/>
  <c r="AD92" i="9"/>
  <c r="AD91" i="9"/>
  <c r="AD90" i="9"/>
  <c r="AD89" i="9"/>
  <c r="AD88" i="9"/>
  <c r="AD87" i="9"/>
  <c r="AD86" i="9"/>
  <c r="AD85" i="9"/>
  <c r="AD84" i="9"/>
  <c r="AD83" i="9"/>
  <c r="AD82" i="9"/>
  <c r="AD81" i="9"/>
  <c r="AD80" i="9"/>
  <c r="AD79" i="9"/>
  <c r="AD78" i="9"/>
  <c r="AD77" i="9"/>
  <c r="AD76" i="9"/>
  <c r="AD75" i="9"/>
  <c r="AD74" i="9"/>
  <c r="AD73" i="9"/>
  <c r="AD72" i="9"/>
  <c r="AD71" i="9"/>
  <c r="AD70" i="9"/>
  <c r="AD69" i="9"/>
  <c r="AD68" i="9"/>
  <c r="AD67" i="9"/>
  <c r="AD66" i="9"/>
  <c r="AD65" i="9"/>
  <c r="AD64" i="9"/>
  <c r="AD63" i="9"/>
  <c r="AD62" i="9"/>
  <c r="AD61" i="9"/>
  <c r="AD60" i="9"/>
  <c r="AD59" i="9"/>
  <c r="AD58" i="9"/>
  <c r="AD57" i="9"/>
  <c r="AD56" i="9"/>
  <c r="AD55" i="9"/>
  <c r="AD54" i="9"/>
  <c r="AD53" i="9"/>
  <c r="AD52" i="9"/>
  <c r="AD51" i="9"/>
  <c r="AD50" i="9"/>
  <c r="AD49" i="9"/>
  <c r="AD48" i="9"/>
  <c r="AD47" i="9"/>
  <c r="AD46" i="9"/>
  <c r="AD45" i="9"/>
  <c r="AD44" i="9"/>
  <c r="AD43" i="9"/>
  <c r="AD42" i="9"/>
  <c r="AD41" i="9"/>
  <c r="AD40" i="9"/>
  <c r="AD39" i="9"/>
  <c r="AD38" i="9"/>
  <c r="AD37" i="9"/>
  <c r="AD36" i="9"/>
  <c r="AD35" i="9"/>
  <c r="AD34" i="9"/>
  <c r="AD33" i="9"/>
  <c r="AD32" i="9"/>
  <c r="AD31" i="9"/>
  <c r="AD30" i="9"/>
  <c r="AD29" i="9"/>
  <c r="AD28" i="9"/>
  <c r="AD27" i="9"/>
  <c r="AD26" i="9"/>
  <c r="AD25" i="9"/>
  <c r="AD24" i="9"/>
  <c r="AD23" i="9"/>
  <c r="AD22" i="9"/>
  <c r="AD21" i="9"/>
  <c r="AD20" i="9"/>
  <c r="AD19" i="9"/>
  <c r="AD18" i="9"/>
  <c r="AD17" i="9"/>
  <c r="AD16" i="9"/>
  <c r="AD15" i="9"/>
  <c r="AD14" i="9"/>
  <c r="AD13" i="9"/>
  <c r="AD12" i="9"/>
  <c r="AD11" i="9"/>
  <c r="AD10" i="9"/>
  <c r="AD9" i="9"/>
  <c r="AD8" i="9"/>
  <c r="AD7" i="9"/>
  <c r="AQ926" i="9"/>
  <c r="AQ925" i="9"/>
  <c r="AQ924" i="9"/>
  <c r="AQ923" i="9"/>
  <c r="AQ922" i="9"/>
  <c r="AQ921" i="9"/>
  <c r="AQ920" i="9"/>
  <c r="AQ919" i="9"/>
  <c r="AQ918" i="9"/>
  <c r="AQ917" i="9"/>
  <c r="AQ916" i="9"/>
  <c r="AQ915" i="9"/>
  <c r="AQ914" i="9"/>
  <c r="AQ913" i="9"/>
  <c r="AQ912" i="9"/>
  <c r="AQ911" i="9"/>
  <c r="AQ910" i="9"/>
  <c r="AQ909" i="9"/>
  <c r="AQ908" i="9"/>
  <c r="AQ907" i="9"/>
  <c r="AQ906" i="9"/>
  <c r="AQ905" i="9"/>
  <c r="AQ904" i="9"/>
  <c r="AQ903" i="9"/>
  <c r="AQ902" i="9"/>
  <c r="AQ901" i="9"/>
  <c r="AQ900" i="9"/>
  <c r="AQ899" i="9"/>
  <c r="AQ898" i="9"/>
  <c r="AQ897" i="9"/>
  <c r="AQ896" i="9"/>
  <c r="AQ895" i="9"/>
  <c r="AQ894" i="9"/>
  <c r="AQ893" i="9"/>
  <c r="AQ892" i="9"/>
  <c r="AQ891" i="9"/>
  <c r="AQ890" i="9"/>
  <c r="AQ889" i="9"/>
  <c r="AQ888" i="9"/>
  <c r="AQ887" i="9"/>
  <c r="AQ886" i="9"/>
  <c r="AQ885" i="9"/>
  <c r="AQ884" i="9"/>
  <c r="AQ883" i="9"/>
  <c r="AQ882" i="9"/>
  <c r="AQ881" i="9"/>
  <c r="AQ880" i="9"/>
  <c r="AQ879" i="9"/>
  <c r="AQ878" i="9"/>
  <c r="AQ877" i="9"/>
  <c r="AQ876" i="9"/>
  <c r="AQ875" i="9"/>
  <c r="AQ874" i="9"/>
  <c r="AQ873" i="9"/>
  <c r="AQ872" i="9"/>
  <c r="AQ871" i="9"/>
  <c r="AQ870" i="9"/>
  <c r="AQ869" i="9"/>
  <c r="AQ868" i="9"/>
  <c r="AQ867" i="9"/>
  <c r="AQ866" i="9"/>
  <c r="AQ865" i="9"/>
  <c r="AQ864" i="9"/>
  <c r="AQ863" i="9"/>
  <c r="AQ862" i="9"/>
  <c r="AQ861" i="9"/>
  <c r="AQ860" i="9"/>
  <c r="AQ859" i="9"/>
  <c r="AQ858" i="9"/>
  <c r="AQ857" i="9"/>
  <c r="AQ856" i="9"/>
  <c r="AQ855" i="9"/>
  <c r="AQ854" i="9"/>
  <c r="AQ853" i="9"/>
  <c r="AQ852" i="9"/>
  <c r="AQ851" i="9"/>
  <c r="AQ850" i="9"/>
  <c r="AQ849" i="9"/>
  <c r="AQ848" i="9"/>
  <c r="AQ847" i="9"/>
  <c r="AQ846" i="9"/>
  <c r="AQ845" i="9"/>
  <c r="AQ844" i="9"/>
  <c r="AQ843" i="9"/>
  <c r="AQ842" i="9"/>
  <c r="AQ841" i="9"/>
  <c r="AQ840" i="9"/>
  <c r="AQ839" i="9"/>
  <c r="AQ838" i="9"/>
  <c r="AQ837" i="9"/>
  <c r="AQ836" i="9"/>
  <c r="AQ835" i="9"/>
  <c r="AQ834" i="9"/>
  <c r="AQ833" i="9"/>
  <c r="AQ832" i="9"/>
  <c r="AQ831" i="9"/>
  <c r="AQ830" i="9"/>
  <c r="AQ829" i="9"/>
  <c r="AQ828" i="9"/>
  <c r="AQ827" i="9"/>
  <c r="AQ826" i="9"/>
  <c r="AQ825" i="9"/>
  <c r="AQ824" i="9"/>
  <c r="AQ823" i="9"/>
  <c r="AQ822" i="9"/>
  <c r="AQ821" i="9"/>
  <c r="AQ820" i="9"/>
  <c r="AQ819" i="9"/>
  <c r="AQ818" i="9"/>
  <c r="AQ817" i="9"/>
  <c r="AQ816" i="9"/>
  <c r="AQ815" i="9"/>
  <c r="AQ814" i="9"/>
  <c r="AQ813" i="9"/>
  <c r="AQ812" i="9"/>
  <c r="AQ811" i="9"/>
  <c r="AQ810" i="9"/>
  <c r="AQ809" i="9"/>
  <c r="AQ808" i="9"/>
  <c r="AQ807" i="9"/>
  <c r="AQ806" i="9"/>
  <c r="AQ805" i="9"/>
  <c r="AQ804" i="9"/>
  <c r="AQ803" i="9"/>
  <c r="AQ802" i="9"/>
  <c r="AQ801" i="9"/>
  <c r="AQ800" i="9"/>
  <c r="AQ799" i="9"/>
  <c r="AQ798" i="9"/>
  <c r="AQ797" i="9"/>
  <c r="AQ796" i="9"/>
  <c r="AQ795" i="9"/>
  <c r="AQ794" i="9"/>
  <c r="AQ793" i="9"/>
  <c r="AQ792" i="9"/>
  <c r="AQ791" i="9"/>
  <c r="AQ790" i="9"/>
  <c r="AQ789" i="9"/>
  <c r="AQ788" i="9"/>
  <c r="AQ787" i="9"/>
  <c r="AQ786" i="9"/>
  <c r="AQ785" i="9"/>
  <c r="AQ784" i="9"/>
  <c r="AQ783" i="9"/>
  <c r="AQ782" i="9"/>
  <c r="AQ781" i="9"/>
  <c r="AQ780" i="9"/>
  <c r="AQ779" i="9"/>
  <c r="AQ778" i="9"/>
  <c r="AQ777" i="9"/>
  <c r="AQ776" i="9"/>
  <c r="AQ775" i="9"/>
  <c r="AQ774" i="9"/>
  <c r="AQ773" i="9"/>
  <c r="AQ772" i="9"/>
  <c r="AQ771" i="9"/>
  <c r="AQ770" i="9"/>
  <c r="AQ769" i="9"/>
  <c r="AQ768" i="9"/>
  <c r="AQ767" i="9"/>
  <c r="AQ766" i="9"/>
  <c r="AQ765" i="9"/>
  <c r="AQ764" i="9"/>
  <c r="AQ763" i="9"/>
  <c r="AQ762" i="9"/>
  <c r="AQ761" i="9"/>
  <c r="AQ760" i="9"/>
  <c r="AQ759" i="9"/>
  <c r="AQ758" i="9"/>
  <c r="AQ757" i="9"/>
  <c r="AQ756" i="9"/>
  <c r="AQ755" i="9"/>
  <c r="AQ754" i="9"/>
  <c r="AQ753" i="9"/>
  <c r="AQ752" i="9"/>
  <c r="AQ751" i="9"/>
  <c r="AQ750" i="9"/>
  <c r="AQ749" i="9"/>
  <c r="AQ748" i="9"/>
  <c r="AQ747" i="9"/>
  <c r="AQ746" i="9"/>
  <c r="AQ745" i="9"/>
  <c r="AQ744" i="9"/>
  <c r="AQ743" i="9"/>
  <c r="AQ742" i="9"/>
  <c r="AQ741" i="9"/>
  <c r="AQ740" i="9"/>
  <c r="AQ739" i="9"/>
  <c r="AQ738" i="9"/>
  <c r="AQ737" i="9"/>
  <c r="AQ736" i="9"/>
  <c r="AQ735" i="9"/>
  <c r="AQ734" i="9"/>
  <c r="AQ733" i="9"/>
  <c r="AQ732" i="9"/>
  <c r="AQ731" i="9"/>
  <c r="AQ730" i="9"/>
  <c r="AQ729" i="9"/>
  <c r="AQ728" i="9"/>
  <c r="AQ727" i="9"/>
  <c r="AQ726" i="9"/>
  <c r="AQ725" i="9"/>
  <c r="AQ724" i="9"/>
  <c r="AQ723" i="9"/>
  <c r="AQ722" i="9"/>
  <c r="AQ721" i="9"/>
  <c r="AQ720" i="9"/>
  <c r="AQ719" i="9"/>
  <c r="AQ718" i="9"/>
  <c r="AQ717" i="9"/>
  <c r="AQ716" i="9"/>
  <c r="AQ715" i="9"/>
  <c r="AQ714" i="9"/>
  <c r="AQ713" i="9"/>
  <c r="AQ712" i="9"/>
  <c r="AQ711" i="9"/>
  <c r="AQ710" i="9"/>
  <c r="AQ709" i="9"/>
  <c r="AQ708" i="9"/>
  <c r="AQ707" i="9"/>
  <c r="AQ706" i="9"/>
  <c r="AQ705" i="9"/>
  <c r="AQ704" i="9"/>
  <c r="AQ703" i="9"/>
  <c r="AQ702" i="9"/>
  <c r="AQ701" i="9"/>
  <c r="AQ700" i="9"/>
  <c r="AQ699" i="9"/>
  <c r="AQ698" i="9"/>
  <c r="AQ697" i="9"/>
  <c r="AQ696" i="9"/>
  <c r="AQ695" i="9"/>
  <c r="AQ694" i="9"/>
  <c r="AQ693" i="9"/>
  <c r="AQ692" i="9"/>
  <c r="AQ691" i="9"/>
  <c r="AQ690" i="9"/>
  <c r="AQ689" i="9"/>
  <c r="AQ688" i="9"/>
  <c r="AQ687" i="9"/>
  <c r="AQ686" i="9"/>
  <c r="AQ685" i="9"/>
  <c r="AQ684" i="9"/>
  <c r="AQ683" i="9"/>
  <c r="AQ682" i="9"/>
  <c r="AQ681" i="9"/>
  <c r="AQ680" i="9"/>
  <c r="AQ679" i="9"/>
  <c r="AQ678" i="9"/>
  <c r="AQ677" i="9"/>
  <c r="AQ676" i="9"/>
  <c r="AQ675" i="9"/>
  <c r="AQ674" i="9"/>
  <c r="AQ673" i="9"/>
  <c r="AQ672" i="9"/>
  <c r="AQ671" i="9"/>
  <c r="AQ670" i="9"/>
  <c r="AQ669" i="9"/>
  <c r="AQ668" i="9"/>
  <c r="AQ667" i="9"/>
  <c r="AQ666" i="9"/>
  <c r="AQ665" i="9"/>
  <c r="AQ664" i="9"/>
  <c r="AQ663" i="9"/>
  <c r="AQ662" i="9"/>
  <c r="AQ661" i="9"/>
  <c r="AQ660" i="9"/>
  <c r="AQ659" i="9"/>
  <c r="AQ658" i="9"/>
  <c r="AQ657" i="9"/>
  <c r="AQ656" i="9"/>
  <c r="AQ655" i="9"/>
  <c r="AQ654" i="9"/>
  <c r="AQ653" i="9"/>
  <c r="AQ652" i="9"/>
  <c r="AQ651" i="9"/>
  <c r="AQ650" i="9"/>
  <c r="AQ649" i="9"/>
  <c r="AQ648" i="9"/>
  <c r="AQ647" i="9"/>
  <c r="AQ646" i="9"/>
  <c r="AQ645" i="9"/>
  <c r="AQ644" i="9"/>
  <c r="AQ643" i="9"/>
  <c r="AQ642" i="9"/>
  <c r="AQ641" i="9"/>
  <c r="AQ640" i="9"/>
  <c r="AQ639" i="9"/>
  <c r="AQ638" i="9"/>
  <c r="AQ637" i="9"/>
  <c r="AQ636" i="9"/>
  <c r="AQ635" i="9"/>
  <c r="AQ634" i="9"/>
  <c r="AQ633" i="9"/>
  <c r="AQ632" i="9"/>
  <c r="AQ631" i="9"/>
  <c r="AQ630" i="9"/>
  <c r="AQ629" i="9"/>
  <c r="AQ628" i="9"/>
  <c r="AQ627" i="9"/>
  <c r="AQ626" i="9"/>
  <c r="AQ625" i="9"/>
  <c r="AQ624" i="9"/>
  <c r="AQ623" i="9"/>
  <c r="AQ622" i="9"/>
  <c r="AQ621" i="9"/>
  <c r="AQ620" i="9"/>
  <c r="AQ619" i="9"/>
  <c r="AQ618" i="9"/>
  <c r="AQ617" i="9"/>
  <c r="AQ616" i="9"/>
  <c r="AQ615" i="9"/>
  <c r="AQ614" i="9"/>
  <c r="AQ613" i="9"/>
  <c r="AQ612" i="9"/>
  <c r="AQ611" i="9"/>
  <c r="AQ610" i="9"/>
  <c r="AQ609" i="9"/>
  <c r="AQ608" i="9"/>
  <c r="AQ607" i="9"/>
  <c r="AQ606" i="9"/>
  <c r="AQ605" i="9"/>
  <c r="AQ604" i="9"/>
  <c r="AQ603" i="9"/>
  <c r="AQ602" i="9"/>
  <c r="AQ601" i="9"/>
  <c r="AQ600" i="9"/>
  <c r="AQ599" i="9"/>
  <c r="AQ598" i="9"/>
  <c r="AQ597" i="9"/>
  <c r="AQ596" i="9"/>
  <c r="AQ595" i="9"/>
  <c r="AQ594" i="9"/>
  <c r="AQ593" i="9"/>
  <c r="AQ592" i="9"/>
  <c r="AQ591" i="9"/>
  <c r="AQ590" i="9"/>
  <c r="AQ589" i="9"/>
  <c r="AQ588" i="9"/>
  <c r="AQ587" i="9"/>
  <c r="AQ586" i="9"/>
  <c r="AQ585" i="9"/>
  <c r="AQ584" i="9"/>
  <c r="AQ583" i="9"/>
  <c r="AQ582" i="9"/>
  <c r="AQ581" i="9"/>
  <c r="AQ580" i="9"/>
  <c r="AQ579" i="9"/>
  <c r="AQ578" i="9"/>
  <c r="AQ577" i="9"/>
  <c r="AQ576" i="9"/>
  <c r="AQ575" i="9"/>
  <c r="AQ574" i="9"/>
  <c r="AQ573" i="9"/>
  <c r="AQ572" i="9"/>
  <c r="AQ571" i="9"/>
  <c r="AQ570" i="9"/>
  <c r="AQ569" i="9"/>
  <c r="AQ568" i="9"/>
  <c r="AQ567" i="9"/>
  <c r="AQ566" i="9"/>
  <c r="AQ565" i="9"/>
  <c r="AQ564" i="9"/>
  <c r="AQ563" i="9"/>
  <c r="AQ562" i="9"/>
  <c r="AQ561" i="9"/>
  <c r="AQ560" i="9"/>
  <c r="AQ559" i="9"/>
  <c r="AQ558" i="9"/>
  <c r="AQ557" i="9"/>
  <c r="AQ556" i="9"/>
  <c r="AQ555" i="9"/>
  <c r="AQ554" i="9"/>
  <c r="AQ553" i="9"/>
  <c r="AQ552" i="9"/>
  <c r="AQ551" i="9"/>
  <c r="AQ550" i="9"/>
  <c r="AQ549" i="9"/>
  <c r="AQ548" i="9"/>
  <c r="AQ547" i="9"/>
  <c r="AQ546" i="9"/>
  <c r="AQ545" i="9"/>
  <c r="AQ544" i="9"/>
  <c r="AQ543" i="9"/>
  <c r="AQ542" i="9"/>
  <c r="AQ541" i="9"/>
  <c r="AQ540" i="9"/>
  <c r="AQ539" i="9"/>
  <c r="AQ538" i="9"/>
  <c r="AQ537" i="9"/>
  <c r="AQ536" i="9"/>
  <c r="AQ535" i="9"/>
  <c r="AQ534" i="9"/>
  <c r="AQ533" i="9"/>
  <c r="AQ532" i="9"/>
  <c r="AQ531" i="9"/>
  <c r="AQ530" i="9"/>
  <c r="AQ529" i="9"/>
  <c r="AQ528" i="9"/>
  <c r="AQ527" i="9"/>
  <c r="AQ526" i="9"/>
  <c r="AQ525" i="9"/>
  <c r="AQ524" i="9"/>
  <c r="AQ523" i="9"/>
  <c r="AQ522" i="9"/>
  <c r="AQ521" i="9"/>
  <c r="AQ520" i="9"/>
  <c r="AQ519" i="9"/>
  <c r="AQ518" i="9"/>
  <c r="AQ517" i="9"/>
  <c r="AQ516" i="9"/>
  <c r="AQ515" i="9"/>
  <c r="AQ514" i="9"/>
  <c r="AQ513" i="9"/>
  <c r="AQ512" i="9"/>
  <c r="AQ511" i="9"/>
  <c r="AQ510" i="9"/>
  <c r="AQ509" i="9"/>
  <c r="AQ508" i="9"/>
  <c r="AQ507" i="9"/>
  <c r="AQ506" i="9"/>
  <c r="AQ505" i="9"/>
  <c r="AQ504" i="9"/>
  <c r="AQ503" i="9"/>
  <c r="AQ502" i="9"/>
  <c r="AQ501" i="9"/>
  <c r="AQ500" i="9"/>
  <c r="AQ499" i="9"/>
  <c r="AQ498" i="9"/>
  <c r="AQ497" i="9"/>
  <c r="AQ496" i="9"/>
  <c r="AQ495" i="9"/>
  <c r="AQ494" i="9"/>
  <c r="AQ493" i="9"/>
  <c r="AQ492" i="9"/>
  <c r="AQ491" i="9"/>
  <c r="AQ490" i="9"/>
  <c r="AQ489" i="9"/>
  <c r="AQ488" i="9"/>
  <c r="AQ487" i="9"/>
  <c r="AQ486" i="9"/>
  <c r="AQ485" i="9"/>
  <c r="AQ484" i="9"/>
  <c r="AQ483" i="9"/>
  <c r="AQ482" i="9"/>
  <c r="AQ481" i="9"/>
  <c r="AQ480" i="9"/>
  <c r="AQ479" i="9"/>
  <c r="AQ478" i="9"/>
  <c r="AQ477" i="9"/>
  <c r="AQ476" i="9"/>
  <c r="AQ475" i="9"/>
  <c r="AQ474" i="9"/>
  <c r="AQ473" i="9"/>
  <c r="AQ472" i="9"/>
  <c r="AQ471" i="9"/>
  <c r="AQ470" i="9"/>
  <c r="AQ469" i="9"/>
  <c r="AQ468" i="9"/>
  <c r="AQ467" i="9"/>
  <c r="AQ466" i="9"/>
  <c r="AQ465" i="9"/>
  <c r="AQ464" i="9"/>
  <c r="AQ463" i="9"/>
  <c r="AQ462" i="9"/>
  <c r="AQ461" i="9"/>
  <c r="AQ460" i="9"/>
  <c r="AQ459" i="9"/>
  <c r="AQ458" i="9"/>
  <c r="AQ457" i="9"/>
  <c r="AQ456" i="9"/>
  <c r="AQ455" i="9"/>
  <c r="AQ454" i="9"/>
  <c r="AQ453" i="9"/>
  <c r="AQ452" i="9"/>
  <c r="AQ451" i="9"/>
  <c r="AQ450" i="9"/>
  <c r="AQ449" i="9"/>
  <c r="AQ448" i="9"/>
  <c r="AQ447" i="9"/>
  <c r="AQ446" i="9"/>
  <c r="AQ445" i="9"/>
  <c r="AQ444" i="9"/>
  <c r="AQ443" i="9"/>
  <c r="AQ442" i="9"/>
  <c r="AQ441" i="9"/>
  <c r="AQ440" i="9"/>
  <c r="AQ439" i="9"/>
  <c r="AQ438" i="9"/>
  <c r="AQ437" i="9"/>
  <c r="AQ436" i="9"/>
  <c r="AQ435" i="9"/>
  <c r="AQ434" i="9"/>
  <c r="AQ433" i="9"/>
  <c r="AQ432" i="9"/>
  <c r="AQ431" i="9"/>
  <c r="AQ430" i="9"/>
  <c r="AQ429" i="9"/>
  <c r="AQ428" i="9"/>
  <c r="AQ427" i="9"/>
  <c r="AQ426" i="9"/>
  <c r="AQ425" i="9"/>
  <c r="AQ424" i="9"/>
  <c r="AQ423" i="9"/>
  <c r="AQ422" i="9"/>
  <c r="AQ421" i="9"/>
  <c r="AQ420" i="9"/>
  <c r="AQ419" i="9"/>
  <c r="AQ418" i="9"/>
  <c r="AQ417" i="9"/>
  <c r="AQ416" i="9"/>
  <c r="AQ415" i="9"/>
  <c r="AQ414" i="9"/>
  <c r="AQ413" i="9"/>
  <c r="AQ412" i="9"/>
  <c r="AQ411" i="9"/>
  <c r="AQ410" i="9"/>
  <c r="AQ409" i="9"/>
  <c r="AQ408" i="9"/>
  <c r="AQ407" i="9"/>
  <c r="AQ406" i="9"/>
  <c r="AQ405" i="9"/>
  <c r="AQ404" i="9"/>
  <c r="AQ403" i="9"/>
  <c r="AQ402" i="9"/>
  <c r="AQ401" i="9"/>
  <c r="AQ400" i="9"/>
  <c r="AQ399" i="9"/>
  <c r="AQ398" i="9"/>
  <c r="AQ397" i="9"/>
  <c r="AQ396" i="9"/>
  <c r="AQ395" i="9"/>
  <c r="AQ394" i="9"/>
  <c r="AQ393" i="9"/>
  <c r="AQ392" i="9"/>
  <c r="AQ391" i="9"/>
  <c r="AQ390" i="9"/>
  <c r="AQ389" i="9"/>
  <c r="AQ388" i="9"/>
  <c r="AQ387" i="9"/>
  <c r="AQ386" i="9"/>
  <c r="AQ385" i="9"/>
  <c r="AQ384" i="9"/>
  <c r="AQ383" i="9"/>
  <c r="AQ382" i="9"/>
  <c r="AQ381" i="9"/>
  <c r="AQ380" i="9"/>
  <c r="AQ379" i="9"/>
  <c r="AQ378" i="9"/>
  <c r="AQ377" i="9"/>
  <c r="AQ376" i="9"/>
  <c r="AQ375" i="9"/>
  <c r="AQ374" i="9"/>
  <c r="AQ373" i="9"/>
  <c r="AQ372" i="9"/>
  <c r="AQ371" i="9"/>
  <c r="AQ370" i="9"/>
  <c r="AQ369" i="9"/>
  <c r="AQ368" i="9"/>
  <c r="AQ367" i="9"/>
  <c r="AQ366" i="9"/>
  <c r="AQ365" i="9"/>
  <c r="AQ364" i="9"/>
  <c r="AQ363" i="9"/>
  <c r="AQ362" i="9"/>
  <c r="AQ361" i="9"/>
  <c r="AQ360" i="9"/>
  <c r="AQ359" i="9"/>
  <c r="AQ358" i="9"/>
  <c r="AQ357" i="9"/>
  <c r="AQ356" i="9"/>
  <c r="AQ355" i="9"/>
  <c r="AQ354" i="9"/>
  <c r="AQ353" i="9"/>
  <c r="AQ352" i="9"/>
  <c r="AQ351" i="9"/>
  <c r="AQ350" i="9"/>
  <c r="AQ349" i="9"/>
  <c r="AQ348" i="9"/>
  <c r="AQ347" i="9"/>
  <c r="AQ346" i="9"/>
  <c r="AQ345" i="9"/>
  <c r="AQ344" i="9"/>
  <c r="AQ343" i="9"/>
  <c r="AQ342" i="9"/>
  <c r="AQ341" i="9"/>
  <c r="AQ340" i="9"/>
  <c r="AQ339" i="9"/>
  <c r="AQ338" i="9"/>
  <c r="AQ337" i="9"/>
  <c r="AQ336" i="9"/>
  <c r="AQ335" i="9"/>
  <c r="AQ334" i="9"/>
  <c r="AQ333" i="9"/>
  <c r="AQ332" i="9"/>
  <c r="AQ331" i="9"/>
  <c r="AQ330" i="9"/>
  <c r="AQ329" i="9"/>
  <c r="AQ328" i="9"/>
  <c r="AQ327" i="9"/>
  <c r="AQ326" i="9"/>
  <c r="AQ325" i="9"/>
  <c r="AQ324" i="9"/>
  <c r="AQ323" i="9"/>
  <c r="AQ322" i="9"/>
  <c r="AQ321" i="9"/>
  <c r="AQ320" i="9"/>
  <c r="AQ319" i="9"/>
  <c r="AQ318" i="9"/>
  <c r="AQ317" i="9"/>
  <c r="AQ316" i="9"/>
  <c r="AQ315" i="9"/>
  <c r="AQ314" i="9"/>
  <c r="AQ313" i="9"/>
  <c r="AQ312" i="9"/>
  <c r="AQ311" i="9"/>
  <c r="AQ310" i="9"/>
  <c r="AQ309" i="9"/>
  <c r="AQ308" i="9"/>
  <c r="AQ307" i="9"/>
  <c r="AQ306" i="9"/>
  <c r="AQ305" i="9"/>
  <c r="AQ304" i="9"/>
  <c r="AQ303" i="9"/>
  <c r="AQ302" i="9"/>
  <c r="AQ301" i="9"/>
  <c r="AQ300" i="9"/>
  <c r="AQ299" i="9"/>
  <c r="AQ298" i="9"/>
  <c r="AQ297" i="9"/>
  <c r="AQ296" i="9"/>
  <c r="AQ295" i="9"/>
  <c r="AQ294" i="9"/>
  <c r="AQ293" i="9"/>
  <c r="AQ292" i="9"/>
  <c r="AQ291" i="9"/>
  <c r="AQ290" i="9"/>
  <c r="AQ289" i="9"/>
  <c r="AQ288" i="9"/>
  <c r="AQ287" i="9"/>
  <c r="AQ286" i="9"/>
  <c r="AQ285" i="9"/>
  <c r="AQ284" i="9"/>
  <c r="AQ283" i="9"/>
  <c r="AQ282" i="9"/>
  <c r="AQ281" i="9"/>
  <c r="AQ280" i="9"/>
  <c r="AQ279" i="9"/>
  <c r="AQ278" i="9"/>
  <c r="AQ277" i="9"/>
  <c r="AQ276" i="9"/>
  <c r="AQ275" i="9"/>
  <c r="AQ274" i="9"/>
  <c r="AQ273" i="9"/>
  <c r="AQ272" i="9"/>
  <c r="AQ271" i="9"/>
  <c r="AQ270" i="9"/>
  <c r="AQ269" i="9"/>
  <c r="AQ268" i="9"/>
  <c r="AQ267" i="9"/>
  <c r="AQ266" i="9"/>
  <c r="AQ265" i="9"/>
  <c r="AQ264" i="9"/>
  <c r="AQ263" i="9"/>
  <c r="AQ262" i="9"/>
  <c r="AQ261" i="9"/>
  <c r="AQ260" i="9"/>
  <c r="AQ259" i="9"/>
  <c r="AQ258" i="9"/>
  <c r="AQ257" i="9"/>
  <c r="AQ256" i="9"/>
  <c r="AQ255" i="9"/>
  <c r="AQ254" i="9"/>
  <c r="AQ253" i="9"/>
  <c r="AQ252" i="9"/>
  <c r="AQ251" i="9"/>
  <c r="AQ250" i="9"/>
  <c r="AQ249" i="9"/>
  <c r="AQ248" i="9"/>
  <c r="AQ247" i="9"/>
  <c r="AQ246" i="9"/>
  <c r="AQ245" i="9"/>
  <c r="AQ244" i="9"/>
  <c r="AQ243" i="9"/>
  <c r="AQ242" i="9"/>
  <c r="AQ241" i="9"/>
  <c r="AQ240" i="9"/>
  <c r="AQ239" i="9"/>
  <c r="AQ238" i="9"/>
  <c r="AQ237" i="9"/>
  <c r="AQ236" i="9"/>
  <c r="AQ235" i="9"/>
  <c r="AQ234" i="9"/>
  <c r="AQ233" i="9"/>
  <c r="AQ232" i="9"/>
  <c r="AQ231" i="9"/>
  <c r="AQ230" i="9"/>
  <c r="AQ229" i="9"/>
  <c r="AQ228" i="9"/>
  <c r="AQ227" i="9"/>
  <c r="AQ226" i="9"/>
  <c r="AQ225" i="9"/>
  <c r="AQ224" i="9"/>
  <c r="AQ223" i="9"/>
  <c r="AQ222" i="9"/>
  <c r="AQ221" i="9"/>
  <c r="AQ220" i="9"/>
  <c r="AQ219" i="9"/>
  <c r="AQ218" i="9"/>
  <c r="AQ217" i="9"/>
  <c r="AQ216" i="9"/>
  <c r="AQ215" i="9"/>
  <c r="AQ214" i="9"/>
  <c r="AQ213" i="9"/>
  <c r="AQ212" i="9"/>
  <c r="AQ211" i="9"/>
  <c r="AQ210" i="9"/>
  <c r="AQ209" i="9"/>
  <c r="AQ208" i="9"/>
  <c r="AQ207" i="9"/>
  <c r="AQ206" i="9"/>
  <c r="AQ205" i="9"/>
  <c r="AQ204" i="9"/>
  <c r="AQ203" i="9"/>
  <c r="AQ202" i="9"/>
  <c r="AQ201" i="9"/>
  <c r="AQ200" i="9"/>
  <c r="AQ199" i="9"/>
  <c r="AQ198" i="9"/>
  <c r="AQ197" i="9"/>
  <c r="AQ196" i="9"/>
  <c r="AQ195" i="9"/>
  <c r="AQ194" i="9"/>
  <c r="AQ193" i="9"/>
  <c r="AQ192" i="9"/>
  <c r="AQ191" i="9"/>
  <c r="AQ190" i="9"/>
  <c r="AQ189" i="9"/>
  <c r="AQ188" i="9"/>
  <c r="AQ187" i="9"/>
  <c r="AQ186" i="9"/>
  <c r="AQ185" i="9"/>
  <c r="AQ184" i="9"/>
  <c r="AQ183" i="9"/>
  <c r="AQ182" i="9"/>
  <c r="AQ181" i="9"/>
  <c r="AQ180" i="9"/>
  <c r="AQ179" i="9"/>
  <c r="AQ178" i="9"/>
  <c r="AQ177" i="9"/>
  <c r="AQ176" i="9"/>
  <c r="AQ175" i="9"/>
  <c r="AQ174" i="9"/>
  <c r="AQ173" i="9"/>
  <c r="AQ172" i="9"/>
  <c r="AQ171" i="9"/>
  <c r="AQ170" i="9"/>
  <c r="AQ169" i="9"/>
  <c r="AQ168" i="9"/>
  <c r="AQ167" i="9"/>
  <c r="AQ166" i="9"/>
  <c r="AQ165" i="9"/>
  <c r="AQ164" i="9"/>
  <c r="AQ163" i="9"/>
  <c r="AQ162" i="9"/>
  <c r="AQ161" i="9"/>
  <c r="AQ160" i="9"/>
  <c r="AQ159" i="9"/>
  <c r="AQ158" i="9"/>
  <c r="AQ157" i="9"/>
  <c r="AQ156" i="9"/>
  <c r="AQ155" i="9"/>
  <c r="AQ154" i="9"/>
  <c r="AQ153" i="9"/>
  <c r="AQ152" i="9"/>
  <c r="AQ151" i="9"/>
  <c r="AQ150" i="9"/>
  <c r="AQ149" i="9"/>
  <c r="AQ148" i="9"/>
  <c r="AQ147" i="9"/>
  <c r="AQ146" i="9"/>
  <c r="AQ145" i="9"/>
  <c r="AQ144" i="9"/>
  <c r="AQ143" i="9"/>
  <c r="AQ142" i="9"/>
  <c r="AQ141" i="9"/>
  <c r="AQ140" i="9"/>
  <c r="AQ139" i="9"/>
  <c r="AQ138" i="9"/>
  <c r="AQ137" i="9"/>
  <c r="AQ136" i="9"/>
  <c r="AQ135" i="9"/>
  <c r="AQ134" i="9"/>
  <c r="AQ133" i="9"/>
  <c r="AQ132" i="9"/>
  <c r="AQ131" i="9"/>
  <c r="AQ130" i="9"/>
  <c r="AQ129" i="9"/>
  <c r="AQ128" i="9"/>
  <c r="AQ127" i="9"/>
  <c r="AQ126" i="9"/>
  <c r="AQ125" i="9"/>
  <c r="AQ124" i="9"/>
  <c r="AQ123" i="9"/>
  <c r="AQ122" i="9"/>
  <c r="AQ121" i="9"/>
  <c r="AQ120" i="9"/>
  <c r="AQ119" i="9"/>
  <c r="AQ118" i="9"/>
  <c r="AQ117" i="9"/>
  <c r="AQ116" i="9"/>
  <c r="AQ115" i="9"/>
  <c r="AQ114" i="9"/>
  <c r="AQ113" i="9"/>
  <c r="AQ112" i="9"/>
  <c r="AQ111" i="9"/>
  <c r="AQ110" i="9"/>
  <c r="AQ109" i="9"/>
  <c r="AQ108" i="9"/>
  <c r="AQ107" i="9"/>
  <c r="AQ106" i="9"/>
  <c r="AQ105" i="9"/>
  <c r="AQ104" i="9"/>
  <c r="AQ103" i="9"/>
  <c r="AQ102" i="9"/>
  <c r="AQ101" i="9"/>
  <c r="AQ100" i="9"/>
  <c r="AQ99" i="9"/>
  <c r="AQ98" i="9"/>
  <c r="AQ97" i="9"/>
  <c r="AQ96" i="9"/>
  <c r="AQ95" i="9"/>
  <c r="AQ94" i="9"/>
  <c r="AQ93" i="9"/>
  <c r="AQ92" i="9"/>
  <c r="AQ91" i="9"/>
  <c r="AQ90" i="9"/>
  <c r="AQ89" i="9"/>
  <c r="AQ88" i="9"/>
  <c r="AQ87" i="9"/>
  <c r="AQ86" i="9"/>
  <c r="AQ85" i="9"/>
  <c r="AQ84" i="9"/>
  <c r="AQ83" i="9"/>
  <c r="AQ82" i="9"/>
  <c r="AQ81" i="9"/>
  <c r="AQ80" i="9"/>
  <c r="AQ79" i="9"/>
  <c r="AQ78" i="9"/>
  <c r="AQ77" i="9"/>
  <c r="AQ76" i="9"/>
  <c r="AQ75" i="9"/>
  <c r="AQ74" i="9"/>
  <c r="AQ73" i="9"/>
  <c r="AQ72" i="9"/>
  <c r="AQ71" i="9"/>
  <c r="AQ70" i="9"/>
  <c r="AQ69" i="9"/>
  <c r="AQ68" i="9"/>
  <c r="AQ67" i="9"/>
  <c r="AQ66" i="9"/>
  <c r="AQ65" i="9"/>
  <c r="AQ64" i="9"/>
  <c r="AQ63" i="9"/>
  <c r="AQ62" i="9"/>
  <c r="AQ61" i="9"/>
  <c r="AQ60" i="9"/>
  <c r="AQ59" i="9"/>
  <c r="AQ58" i="9"/>
  <c r="AQ57" i="9"/>
  <c r="AQ56" i="9"/>
  <c r="AQ55" i="9"/>
  <c r="AQ54" i="9"/>
  <c r="AQ53" i="9"/>
  <c r="AQ52" i="9"/>
  <c r="AQ51" i="9"/>
  <c r="AQ50" i="9"/>
  <c r="AQ49" i="9"/>
  <c r="AQ48" i="9"/>
  <c r="AQ47" i="9"/>
  <c r="AQ46" i="9"/>
  <c r="AQ45" i="9"/>
  <c r="AQ44" i="9"/>
  <c r="AQ43" i="9"/>
  <c r="AQ42" i="9"/>
  <c r="AQ41" i="9"/>
  <c r="AQ40" i="9"/>
  <c r="AQ39" i="9"/>
  <c r="AQ38" i="9"/>
  <c r="AQ37" i="9"/>
  <c r="AQ36" i="9"/>
  <c r="AQ35" i="9"/>
  <c r="AQ34" i="9"/>
  <c r="AQ33" i="9"/>
  <c r="AQ32" i="9"/>
  <c r="AQ31" i="9"/>
  <c r="AQ30" i="9"/>
  <c r="AQ29" i="9"/>
  <c r="AQ28" i="9"/>
  <c r="AQ27" i="9"/>
  <c r="AQ26" i="9"/>
  <c r="AQ25" i="9"/>
  <c r="AQ24" i="9"/>
  <c r="AQ23" i="9"/>
  <c r="AQ22" i="9"/>
  <c r="AQ21" i="9"/>
  <c r="AQ20" i="9"/>
  <c r="AQ19" i="9"/>
  <c r="AQ18" i="9"/>
  <c r="AQ17" i="9"/>
  <c r="AQ16" i="9"/>
  <c r="AQ15" i="9"/>
  <c r="AQ14" i="9"/>
  <c r="AQ13" i="9"/>
  <c r="AQ12" i="9"/>
  <c r="AQ11" i="9"/>
  <c r="AQ10" i="9"/>
  <c r="AQ9" i="9"/>
  <c r="AQ8" i="9"/>
  <c r="AQ7" i="9"/>
  <c r="AN623" i="6"/>
  <c r="AM623" i="6"/>
  <c r="AL623" i="6"/>
  <c r="AK623" i="6"/>
  <c r="AJ623" i="6"/>
  <c r="AI623" i="6"/>
  <c r="AH623" i="6"/>
  <c r="AG623" i="6"/>
  <c r="AF623" i="6"/>
  <c r="AE623" i="6"/>
  <c r="AD623" i="6"/>
  <c r="AC623" i="6"/>
  <c r="AA623" i="6"/>
  <c r="Z623" i="6"/>
  <c r="Y623" i="6"/>
  <c r="X623" i="6"/>
  <c r="W623" i="6"/>
  <c r="V623" i="6"/>
  <c r="U623" i="6"/>
  <c r="T623" i="6"/>
  <c r="S623" i="6"/>
  <c r="R623" i="6"/>
  <c r="Q623" i="6"/>
  <c r="P623" i="6"/>
  <c r="N623" i="6"/>
  <c r="M623" i="6"/>
  <c r="L623" i="6"/>
  <c r="K623" i="6"/>
  <c r="J623" i="6"/>
  <c r="I623" i="6"/>
  <c r="H623" i="6"/>
  <c r="G623" i="6"/>
  <c r="F623" i="6"/>
  <c r="E623" i="6"/>
  <c r="D623" i="6"/>
  <c r="O621" i="6"/>
  <c r="O620" i="6"/>
  <c r="O619" i="6"/>
  <c r="O618" i="6"/>
  <c r="O617" i="6"/>
  <c r="O616" i="6"/>
  <c r="O615" i="6"/>
  <c r="O614" i="6"/>
  <c r="O613" i="6"/>
  <c r="O612" i="6"/>
  <c r="O611" i="6"/>
  <c r="O610" i="6"/>
  <c r="O609" i="6"/>
  <c r="O608" i="6"/>
  <c r="O607" i="6"/>
  <c r="O606" i="6"/>
  <c r="O605" i="6"/>
  <c r="O604" i="6"/>
  <c r="O603" i="6"/>
  <c r="O602" i="6"/>
  <c r="O601" i="6"/>
  <c r="O600" i="6"/>
  <c r="O599" i="6"/>
  <c r="O598" i="6"/>
  <c r="O597" i="6"/>
  <c r="O596" i="6"/>
  <c r="O595" i="6"/>
  <c r="O594" i="6"/>
  <c r="O593" i="6"/>
  <c r="O592" i="6"/>
  <c r="O591" i="6"/>
  <c r="O590" i="6"/>
  <c r="O589" i="6"/>
  <c r="O588" i="6"/>
  <c r="O587" i="6"/>
  <c r="O586" i="6"/>
  <c r="O585" i="6"/>
  <c r="O584" i="6"/>
  <c r="O583" i="6"/>
  <c r="O582" i="6"/>
  <c r="O581" i="6"/>
  <c r="O580" i="6"/>
  <c r="O579" i="6"/>
  <c r="O578" i="6"/>
  <c r="O577" i="6"/>
  <c r="O576" i="6"/>
  <c r="O575" i="6"/>
  <c r="O574" i="6"/>
  <c r="O573" i="6"/>
  <c r="O572" i="6"/>
  <c r="O571" i="6"/>
  <c r="O570" i="6"/>
  <c r="O569" i="6"/>
  <c r="O568" i="6"/>
  <c r="O567" i="6"/>
  <c r="O566" i="6"/>
  <c r="O565" i="6"/>
  <c r="O564" i="6"/>
  <c r="O563" i="6"/>
  <c r="O562" i="6"/>
  <c r="O561" i="6"/>
  <c r="O560" i="6"/>
  <c r="O559" i="6"/>
  <c r="O558" i="6"/>
  <c r="O557" i="6"/>
  <c r="O556" i="6"/>
  <c r="O555" i="6"/>
  <c r="O554" i="6"/>
  <c r="O553" i="6"/>
  <c r="O552" i="6"/>
  <c r="O551" i="6"/>
  <c r="O550" i="6"/>
  <c r="O549" i="6"/>
  <c r="O548" i="6"/>
  <c r="O547" i="6"/>
  <c r="O546" i="6"/>
  <c r="O545" i="6"/>
  <c r="O544" i="6"/>
  <c r="O543" i="6"/>
  <c r="O542" i="6"/>
  <c r="O541" i="6"/>
  <c r="O540" i="6"/>
  <c r="O539" i="6"/>
  <c r="O538" i="6"/>
  <c r="O537" i="6"/>
  <c r="O536" i="6"/>
  <c r="O535" i="6"/>
  <c r="O534" i="6"/>
  <c r="O533" i="6"/>
  <c r="O532" i="6"/>
  <c r="O531" i="6"/>
  <c r="O530" i="6"/>
  <c r="O529" i="6"/>
  <c r="O528" i="6"/>
  <c r="O527" i="6"/>
  <c r="O526" i="6"/>
  <c r="O525" i="6"/>
  <c r="O524" i="6"/>
  <c r="O523" i="6"/>
  <c r="O522" i="6"/>
  <c r="O521" i="6"/>
  <c r="O520" i="6"/>
  <c r="O519" i="6"/>
  <c r="O518" i="6"/>
  <c r="O517" i="6"/>
  <c r="O516" i="6"/>
  <c r="O515" i="6"/>
  <c r="O514" i="6"/>
  <c r="O513" i="6"/>
  <c r="O512" i="6"/>
  <c r="O511" i="6"/>
  <c r="O510" i="6"/>
  <c r="O509" i="6"/>
  <c r="O508" i="6"/>
  <c r="O507" i="6"/>
  <c r="O506" i="6"/>
  <c r="O505" i="6"/>
  <c r="O504" i="6"/>
  <c r="O503" i="6"/>
  <c r="O502" i="6"/>
  <c r="O501" i="6"/>
  <c r="O500" i="6"/>
  <c r="O499" i="6"/>
  <c r="O498" i="6"/>
  <c r="O497" i="6"/>
  <c r="O496" i="6"/>
  <c r="O495" i="6"/>
  <c r="O494" i="6"/>
  <c r="O493" i="6"/>
  <c r="O492" i="6"/>
  <c r="O491" i="6"/>
  <c r="O490" i="6"/>
  <c r="O489" i="6"/>
  <c r="O488" i="6"/>
  <c r="O487" i="6"/>
  <c r="O486" i="6"/>
  <c r="O485" i="6"/>
  <c r="O484" i="6"/>
  <c r="O483" i="6"/>
  <c r="O482" i="6"/>
  <c r="O481" i="6"/>
  <c r="O480" i="6"/>
  <c r="O479" i="6"/>
  <c r="O478" i="6"/>
  <c r="O477" i="6"/>
  <c r="O476" i="6"/>
  <c r="O475" i="6"/>
  <c r="O474" i="6"/>
  <c r="O473" i="6"/>
  <c r="O472" i="6"/>
  <c r="O471" i="6"/>
  <c r="O470" i="6"/>
  <c r="O469" i="6"/>
  <c r="O468" i="6"/>
  <c r="O467" i="6"/>
  <c r="O466" i="6"/>
  <c r="O465" i="6"/>
  <c r="O464" i="6"/>
  <c r="O463" i="6"/>
  <c r="O462" i="6"/>
  <c r="O461" i="6"/>
  <c r="O460" i="6"/>
  <c r="O459" i="6"/>
  <c r="O458" i="6"/>
  <c r="O457" i="6"/>
  <c r="O456" i="6"/>
  <c r="O455" i="6"/>
  <c r="O454" i="6"/>
  <c r="O453" i="6"/>
  <c r="O452" i="6"/>
  <c r="O451" i="6"/>
  <c r="O450" i="6"/>
  <c r="O449" i="6"/>
  <c r="O448" i="6"/>
  <c r="O447" i="6"/>
  <c r="O446" i="6"/>
  <c r="O445" i="6"/>
  <c r="O444" i="6"/>
  <c r="O443" i="6"/>
  <c r="O442" i="6"/>
  <c r="O441" i="6"/>
  <c r="O440" i="6"/>
  <c r="O439" i="6"/>
  <c r="O438" i="6"/>
  <c r="O437" i="6"/>
  <c r="O436" i="6"/>
  <c r="O435" i="6"/>
  <c r="O434" i="6"/>
  <c r="O433" i="6"/>
  <c r="O432" i="6"/>
  <c r="O431" i="6"/>
  <c r="O430" i="6"/>
  <c r="O429" i="6"/>
  <c r="O428" i="6"/>
  <c r="O427" i="6"/>
  <c r="O426" i="6"/>
  <c r="O425" i="6"/>
  <c r="O424" i="6"/>
  <c r="O423" i="6"/>
  <c r="O422" i="6"/>
  <c r="O421" i="6"/>
  <c r="O420" i="6"/>
  <c r="O419" i="6"/>
  <c r="O418" i="6"/>
  <c r="O417" i="6"/>
  <c r="O416" i="6"/>
  <c r="O415" i="6"/>
  <c r="O414" i="6"/>
  <c r="O413" i="6"/>
  <c r="O412" i="6"/>
  <c r="O411" i="6"/>
  <c r="O410" i="6"/>
  <c r="O409" i="6"/>
  <c r="O408" i="6"/>
  <c r="O407" i="6"/>
  <c r="O406" i="6"/>
  <c r="O405" i="6"/>
  <c r="O404" i="6"/>
  <c r="O403" i="6"/>
  <c r="O402" i="6"/>
  <c r="O401" i="6"/>
  <c r="O400" i="6"/>
  <c r="O399" i="6"/>
  <c r="O398" i="6"/>
  <c r="O397" i="6"/>
  <c r="O396" i="6"/>
  <c r="O395" i="6"/>
  <c r="O394" i="6"/>
  <c r="O393" i="6"/>
  <c r="O392" i="6"/>
  <c r="O391" i="6"/>
  <c r="O390" i="6"/>
  <c r="O389" i="6"/>
  <c r="O388" i="6"/>
  <c r="O387" i="6"/>
  <c r="O386" i="6"/>
  <c r="O385" i="6"/>
  <c r="O384" i="6"/>
  <c r="O383" i="6"/>
  <c r="O382" i="6"/>
  <c r="O381" i="6"/>
  <c r="O380" i="6"/>
  <c r="O379" i="6"/>
  <c r="O378" i="6"/>
  <c r="O377" i="6"/>
  <c r="O376" i="6"/>
  <c r="O375" i="6"/>
  <c r="O374" i="6"/>
  <c r="O373" i="6"/>
  <c r="O372" i="6"/>
  <c r="O371" i="6"/>
  <c r="O370" i="6"/>
  <c r="O369" i="6"/>
  <c r="O368" i="6"/>
  <c r="O367" i="6"/>
  <c r="O366" i="6"/>
  <c r="O365" i="6"/>
  <c r="O364" i="6"/>
  <c r="O363" i="6"/>
  <c r="O362" i="6"/>
  <c r="O361" i="6"/>
  <c r="O360" i="6"/>
  <c r="O359" i="6"/>
  <c r="O358" i="6"/>
  <c r="O357" i="6"/>
  <c r="O356" i="6"/>
  <c r="O355" i="6"/>
  <c r="O354" i="6"/>
  <c r="O353" i="6"/>
  <c r="O352" i="6"/>
  <c r="O351" i="6"/>
  <c r="O350" i="6"/>
  <c r="O349" i="6"/>
  <c r="O348" i="6"/>
  <c r="O347" i="6"/>
  <c r="O346" i="6"/>
  <c r="O345" i="6"/>
  <c r="O344" i="6"/>
  <c r="O343" i="6"/>
  <c r="O342" i="6"/>
  <c r="O341" i="6"/>
  <c r="O340" i="6"/>
  <c r="O339" i="6"/>
  <c r="O338" i="6"/>
  <c r="O337" i="6"/>
  <c r="O336" i="6"/>
  <c r="O335" i="6"/>
  <c r="O334" i="6"/>
  <c r="O333" i="6"/>
  <c r="O332" i="6"/>
  <c r="O331" i="6"/>
  <c r="O330" i="6"/>
  <c r="O329" i="6"/>
  <c r="O328" i="6"/>
  <c r="O327" i="6"/>
  <c r="O326" i="6"/>
  <c r="O325" i="6"/>
  <c r="O324" i="6"/>
  <c r="O323" i="6"/>
  <c r="O322" i="6"/>
  <c r="O321" i="6"/>
  <c r="O320" i="6"/>
  <c r="O319" i="6"/>
  <c r="O318" i="6"/>
  <c r="O317" i="6"/>
  <c r="O316" i="6"/>
  <c r="O315" i="6"/>
  <c r="O314" i="6"/>
  <c r="O313" i="6"/>
  <c r="O312" i="6"/>
  <c r="O311" i="6"/>
  <c r="O310" i="6"/>
  <c r="O309" i="6"/>
  <c r="O308" i="6"/>
  <c r="O307" i="6"/>
  <c r="O306" i="6"/>
  <c r="O305" i="6"/>
  <c r="O304" i="6"/>
  <c r="O303" i="6"/>
  <c r="O302" i="6"/>
  <c r="O301" i="6"/>
  <c r="O300" i="6"/>
  <c r="O299" i="6"/>
  <c r="O298" i="6"/>
  <c r="O297" i="6"/>
  <c r="O296" i="6"/>
  <c r="O295" i="6"/>
  <c r="O294" i="6"/>
  <c r="O293" i="6"/>
  <c r="O292" i="6"/>
  <c r="O291" i="6"/>
  <c r="O290" i="6"/>
  <c r="O289" i="6"/>
  <c r="O288" i="6"/>
  <c r="O287" i="6"/>
  <c r="O286" i="6"/>
  <c r="O285" i="6"/>
  <c r="O284" i="6"/>
  <c r="O283" i="6"/>
  <c r="O282" i="6"/>
  <c r="O281" i="6"/>
  <c r="O280" i="6"/>
  <c r="O279" i="6"/>
  <c r="O278" i="6"/>
  <c r="O277" i="6"/>
  <c r="O276" i="6"/>
  <c r="O275" i="6"/>
  <c r="O274" i="6"/>
  <c r="O273" i="6"/>
  <c r="O272" i="6"/>
  <c r="O271" i="6"/>
  <c r="O270" i="6"/>
  <c r="O269" i="6"/>
  <c r="O268" i="6"/>
  <c r="O267" i="6"/>
  <c r="O266" i="6"/>
  <c r="O265" i="6"/>
  <c r="O264" i="6"/>
  <c r="O263" i="6"/>
  <c r="O262" i="6"/>
  <c r="O261" i="6"/>
  <c r="O260" i="6"/>
  <c r="O259" i="6"/>
  <c r="O258" i="6"/>
  <c r="O257" i="6"/>
  <c r="O256" i="6"/>
  <c r="O255" i="6"/>
  <c r="O254" i="6"/>
  <c r="O253" i="6"/>
  <c r="O252" i="6"/>
  <c r="O251" i="6"/>
  <c r="O250" i="6"/>
  <c r="O249" i="6"/>
  <c r="O248" i="6"/>
  <c r="O247" i="6"/>
  <c r="O246" i="6"/>
  <c r="O245" i="6"/>
  <c r="O244" i="6"/>
  <c r="O243" i="6"/>
  <c r="O242" i="6"/>
  <c r="O241" i="6"/>
  <c r="O240" i="6"/>
  <c r="O239" i="6"/>
  <c r="O238" i="6"/>
  <c r="O237" i="6"/>
  <c r="O236" i="6"/>
  <c r="O235" i="6"/>
  <c r="O234" i="6"/>
  <c r="O233" i="6"/>
  <c r="O232" i="6"/>
  <c r="O231" i="6"/>
  <c r="O230" i="6"/>
  <c r="O229" i="6"/>
  <c r="O228" i="6"/>
  <c r="O227" i="6"/>
  <c r="O226" i="6"/>
  <c r="O225" i="6"/>
  <c r="O224" i="6"/>
  <c r="O223" i="6"/>
  <c r="O222" i="6"/>
  <c r="O221" i="6"/>
  <c r="O220" i="6"/>
  <c r="O219" i="6"/>
  <c r="O218" i="6"/>
  <c r="O217" i="6"/>
  <c r="O216" i="6"/>
  <c r="O215" i="6"/>
  <c r="O214" i="6"/>
  <c r="O213" i="6"/>
  <c r="O212" i="6"/>
  <c r="O211" i="6"/>
  <c r="O210" i="6"/>
  <c r="O209" i="6"/>
  <c r="O208" i="6"/>
  <c r="O207" i="6"/>
  <c r="O206" i="6"/>
  <c r="O205" i="6"/>
  <c r="O204" i="6"/>
  <c r="O203" i="6"/>
  <c r="O202" i="6"/>
  <c r="O201" i="6"/>
  <c r="O200" i="6"/>
  <c r="O199" i="6"/>
  <c r="O198" i="6"/>
  <c r="O197" i="6"/>
  <c r="O196" i="6"/>
  <c r="O195" i="6"/>
  <c r="O194" i="6"/>
  <c r="O193" i="6"/>
  <c r="O192" i="6"/>
  <c r="O191" i="6"/>
  <c r="O190" i="6"/>
  <c r="O189" i="6"/>
  <c r="O188" i="6"/>
  <c r="O187" i="6"/>
  <c r="O186" i="6"/>
  <c r="O185" i="6"/>
  <c r="O184" i="6"/>
  <c r="O183" i="6"/>
  <c r="O182" i="6"/>
  <c r="O181" i="6"/>
  <c r="O180" i="6"/>
  <c r="O179" i="6"/>
  <c r="O178" i="6"/>
  <c r="O177" i="6"/>
  <c r="O176" i="6"/>
  <c r="O175" i="6"/>
  <c r="O174" i="6"/>
  <c r="O173" i="6"/>
  <c r="O172" i="6"/>
  <c r="O171" i="6"/>
  <c r="O170" i="6"/>
  <c r="O169" i="6"/>
  <c r="O168" i="6"/>
  <c r="O167" i="6"/>
  <c r="O166" i="6"/>
  <c r="O165" i="6"/>
  <c r="O164" i="6"/>
  <c r="O163" i="6"/>
  <c r="O162" i="6"/>
  <c r="O161" i="6"/>
  <c r="O160" i="6"/>
  <c r="O159" i="6"/>
  <c r="O158" i="6"/>
  <c r="O157" i="6"/>
  <c r="O156" i="6"/>
  <c r="O155" i="6"/>
  <c r="O154" i="6"/>
  <c r="O153" i="6"/>
  <c r="O152" i="6"/>
  <c r="O151" i="6"/>
  <c r="O150" i="6"/>
  <c r="O149" i="6"/>
  <c r="O148" i="6"/>
  <c r="O147" i="6"/>
  <c r="O146" i="6"/>
  <c r="O145" i="6"/>
  <c r="O144" i="6"/>
  <c r="O143" i="6"/>
  <c r="O142" i="6"/>
  <c r="O141" i="6"/>
  <c r="O140" i="6"/>
  <c r="O139" i="6"/>
  <c r="O138" i="6"/>
  <c r="O137" i="6"/>
  <c r="O136" i="6"/>
  <c r="O135" i="6"/>
  <c r="O134" i="6"/>
  <c r="O133" i="6"/>
  <c r="O132" i="6"/>
  <c r="O131" i="6"/>
  <c r="O130" i="6"/>
  <c r="O129" i="6"/>
  <c r="O128" i="6"/>
  <c r="O127" i="6"/>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8" i="6"/>
  <c r="O37" i="6"/>
  <c r="O36" i="6"/>
  <c r="O35" i="6"/>
  <c r="O34" i="6"/>
  <c r="O33" i="6"/>
  <c r="O32" i="6"/>
  <c r="O31" i="6"/>
  <c r="O30" i="6"/>
  <c r="O29" i="6"/>
  <c r="O28" i="6"/>
  <c r="O27" i="6"/>
  <c r="O26" i="6"/>
  <c r="O25" i="6"/>
  <c r="O24" i="6"/>
  <c r="O23" i="6"/>
  <c r="O22" i="6"/>
  <c r="O21" i="6"/>
  <c r="O20" i="6"/>
  <c r="O19" i="6"/>
  <c r="O18" i="6"/>
  <c r="O17" i="6"/>
  <c r="O16" i="6"/>
  <c r="O15" i="6"/>
  <c r="O14" i="6"/>
  <c r="O13" i="6"/>
  <c r="O12" i="6"/>
  <c r="O11" i="6"/>
  <c r="O10" i="6"/>
  <c r="O9" i="6"/>
  <c r="O8" i="6"/>
  <c r="O7" i="6"/>
  <c r="AB621" i="6"/>
  <c r="AB620" i="6"/>
  <c r="AB619" i="6"/>
  <c r="AB618" i="6"/>
  <c r="AB617" i="6"/>
  <c r="AB616" i="6"/>
  <c r="AB615" i="6"/>
  <c r="AB614" i="6"/>
  <c r="AB613" i="6"/>
  <c r="AB612" i="6"/>
  <c r="AB611" i="6"/>
  <c r="AB610" i="6"/>
  <c r="AB609" i="6"/>
  <c r="AB608" i="6"/>
  <c r="AB607" i="6"/>
  <c r="AB606" i="6"/>
  <c r="AB605" i="6"/>
  <c r="AB604" i="6"/>
  <c r="AB603" i="6"/>
  <c r="AB602" i="6"/>
  <c r="AB601" i="6"/>
  <c r="AB600" i="6"/>
  <c r="AB599" i="6"/>
  <c r="AB598" i="6"/>
  <c r="AB597" i="6"/>
  <c r="AB596" i="6"/>
  <c r="AB595" i="6"/>
  <c r="AB594" i="6"/>
  <c r="AB593" i="6"/>
  <c r="AB592" i="6"/>
  <c r="AB591" i="6"/>
  <c r="AB590" i="6"/>
  <c r="AB589" i="6"/>
  <c r="AB588" i="6"/>
  <c r="AB587" i="6"/>
  <c r="AB586" i="6"/>
  <c r="AB585" i="6"/>
  <c r="AB584" i="6"/>
  <c r="AB583" i="6"/>
  <c r="AB582" i="6"/>
  <c r="AB581" i="6"/>
  <c r="AB580" i="6"/>
  <c r="AB579" i="6"/>
  <c r="AB578" i="6"/>
  <c r="AB577" i="6"/>
  <c r="AB576" i="6"/>
  <c r="AB575" i="6"/>
  <c r="AB574" i="6"/>
  <c r="AB573" i="6"/>
  <c r="AB572" i="6"/>
  <c r="AB571" i="6"/>
  <c r="AB570" i="6"/>
  <c r="AB569" i="6"/>
  <c r="AB568" i="6"/>
  <c r="AB567" i="6"/>
  <c r="AB566" i="6"/>
  <c r="AB565" i="6"/>
  <c r="AB564" i="6"/>
  <c r="AB563" i="6"/>
  <c r="AB562" i="6"/>
  <c r="AB561" i="6"/>
  <c r="AB560" i="6"/>
  <c r="AB559" i="6"/>
  <c r="AB558" i="6"/>
  <c r="AB557" i="6"/>
  <c r="AB556" i="6"/>
  <c r="AB555" i="6"/>
  <c r="AB554" i="6"/>
  <c r="AB553" i="6"/>
  <c r="AB552" i="6"/>
  <c r="AB551" i="6"/>
  <c r="AB550" i="6"/>
  <c r="AB549" i="6"/>
  <c r="AB548" i="6"/>
  <c r="AB547" i="6"/>
  <c r="AB546" i="6"/>
  <c r="AB545" i="6"/>
  <c r="AB544" i="6"/>
  <c r="AB543" i="6"/>
  <c r="AB542" i="6"/>
  <c r="AB541" i="6"/>
  <c r="AB540" i="6"/>
  <c r="AB539" i="6"/>
  <c r="AB538" i="6"/>
  <c r="AB537" i="6"/>
  <c r="AB536" i="6"/>
  <c r="AB535" i="6"/>
  <c r="AB534" i="6"/>
  <c r="AB533" i="6"/>
  <c r="AB532" i="6"/>
  <c r="AB531" i="6"/>
  <c r="AB530" i="6"/>
  <c r="AB529" i="6"/>
  <c r="AB528" i="6"/>
  <c r="AB527" i="6"/>
  <c r="AB526" i="6"/>
  <c r="AB525" i="6"/>
  <c r="AB524" i="6"/>
  <c r="AB523" i="6"/>
  <c r="AB522" i="6"/>
  <c r="AB521" i="6"/>
  <c r="AB520" i="6"/>
  <c r="AB519" i="6"/>
  <c r="AB518" i="6"/>
  <c r="AB517" i="6"/>
  <c r="AB516" i="6"/>
  <c r="AB515" i="6"/>
  <c r="AB514" i="6"/>
  <c r="AB513" i="6"/>
  <c r="AB512" i="6"/>
  <c r="AB511" i="6"/>
  <c r="AB510" i="6"/>
  <c r="AB509" i="6"/>
  <c r="AB508" i="6"/>
  <c r="AB507" i="6"/>
  <c r="AB506" i="6"/>
  <c r="AB505" i="6"/>
  <c r="AB504" i="6"/>
  <c r="AB503" i="6"/>
  <c r="AB502" i="6"/>
  <c r="AB501" i="6"/>
  <c r="AB500" i="6"/>
  <c r="AB499" i="6"/>
  <c r="AB498" i="6"/>
  <c r="AB497" i="6"/>
  <c r="AB496" i="6"/>
  <c r="AB495" i="6"/>
  <c r="AB494" i="6"/>
  <c r="AB493" i="6"/>
  <c r="AB492" i="6"/>
  <c r="AB491" i="6"/>
  <c r="AB490" i="6"/>
  <c r="AB489" i="6"/>
  <c r="AB488" i="6"/>
  <c r="AB487" i="6"/>
  <c r="AB486" i="6"/>
  <c r="AB485" i="6"/>
  <c r="AB484" i="6"/>
  <c r="AB483" i="6"/>
  <c r="AB482" i="6"/>
  <c r="AB481" i="6"/>
  <c r="AB480" i="6"/>
  <c r="AB479" i="6"/>
  <c r="AB478" i="6"/>
  <c r="AB477" i="6"/>
  <c r="AB476" i="6"/>
  <c r="AB475" i="6"/>
  <c r="AB474" i="6"/>
  <c r="AB473" i="6"/>
  <c r="AB472" i="6"/>
  <c r="AB471" i="6"/>
  <c r="AB470" i="6"/>
  <c r="AB469" i="6"/>
  <c r="AB468" i="6"/>
  <c r="AB467" i="6"/>
  <c r="AB466" i="6"/>
  <c r="AB465" i="6"/>
  <c r="AB464" i="6"/>
  <c r="AB463" i="6"/>
  <c r="AB462" i="6"/>
  <c r="AB461" i="6"/>
  <c r="AB460" i="6"/>
  <c r="AB459" i="6"/>
  <c r="AB458" i="6"/>
  <c r="AB457" i="6"/>
  <c r="AB456" i="6"/>
  <c r="AB455" i="6"/>
  <c r="AB454" i="6"/>
  <c r="AB453" i="6"/>
  <c r="AB452" i="6"/>
  <c r="AB451" i="6"/>
  <c r="AB450" i="6"/>
  <c r="AB449" i="6"/>
  <c r="AB448" i="6"/>
  <c r="AB447" i="6"/>
  <c r="AB446" i="6"/>
  <c r="AB445" i="6"/>
  <c r="AB444" i="6"/>
  <c r="AB443" i="6"/>
  <c r="AB442" i="6"/>
  <c r="AB441" i="6"/>
  <c r="AB440" i="6"/>
  <c r="AB439" i="6"/>
  <c r="AB438" i="6"/>
  <c r="AB437" i="6"/>
  <c r="AB436" i="6"/>
  <c r="AB435" i="6"/>
  <c r="AB434" i="6"/>
  <c r="AB433" i="6"/>
  <c r="AB432" i="6"/>
  <c r="AB431" i="6"/>
  <c r="AB430" i="6"/>
  <c r="AB429" i="6"/>
  <c r="AB428" i="6"/>
  <c r="AB427" i="6"/>
  <c r="AB426" i="6"/>
  <c r="AB425" i="6"/>
  <c r="AB424" i="6"/>
  <c r="AB423" i="6"/>
  <c r="AB422" i="6"/>
  <c r="AB421" i="6"/>
  <c r="AB420" i="6"/>
  <c r="AB419" i="6"/>
  <c r="AB418" i="6"/>
  <c r="AB417" i="6"/>
  <c r="AB416" i="6"/>
  <c r="AB415" i="6"/>
  <c r="AB414" i="6"/>
  <c r="AB413" i="6"/>
  <c r="AB412" i="6"/>
  <c r="AB411" i="6"/>
  <c r="AB410" i="6"/>
  <c r="AB409" i="6"/>
  <c r="AB408" i="6"/>
  <c r="AB407" i="6"/>
  <c r="AB406" i="6"/>
  <c r="AB405" i="6"/>
  <c r="AB404" i="6"/>
  <c r="AB403" i="6"/>
  <c r="AB402" i="6"/>
  <c r="AB401" i="6"/>
  <c r="AB400" i="6"/>
  <c r="AB399" i="6"/>
  <c r="AB398" i="6"/>
  <c r="AB397" i="6"/>
  <c r="AB396" i="6"/>
  <c r="AB395" i="6"/>
  <c r="AB394" i="6"/>
  <c r="AB393" i="6"/>
  <c r="AB392" i="6"/>
  <c r="AB391" i="6"/>
  <c r="AB390" i="6"/>
  <c r="AB389" i="6"/>
  <c r="AB388" i="6"/>
  <c r="AB387" i="6"/>
  <c r="AB386" i="6"/>
  <c r="AB385" i="6"/>
  <c r="AB384" i="6"/>
  <c r="AB383" i="6"/>
  <c r="AB382" i="6"/>
  <c r="AB381" i="6"/>
  <c r="AB380" i="6"/>
  <c r="AB379" i="6"/>
  <c r="AB378" i="6"/>
  <c r="AB377" i="6"/>
  <c r="AB376" i="6"/>
  <c r="AB375" i="6"/>
  <c r="AB374" i="6"/>
  <c r="AB373" i="6"/>
  <c r="AB372" i="6"/>
  <c r="AB371" i="6"/>
  <c r="AB370" i="6"/>
  <c r="AB369" i="6"/>
  <c r="AB368" i="6"/>
  <c r="AB367" i="6"/>
  <c r="AB366" i="6"/>
  <c r="AB365" i="6"/>
  <c r="AB364" i="6"/>
  <c r="AB363" i="6"/>
  <c r="AB362" i="6"/>
  <c r="AB361" i="6"/>
  <c r="AB360" i="6"/>
  <c r="AB359" i="6"/>
  <c r="AB358" i="6"/>
  <c r="AB357" i="6"/>
  <c r="AB356" i="6"/>
  <c r="AB355" i="6"/>
  <c r="AB354" i="6"/>
  <c r="AB353" i="6"/>
  <c r="AB352" i="6"/>
  <c r="AB351" i="6"/>
  <c r="AB350" i="6"/>
  <c r="AB349" i="6"/>
  <c r="AB348" i="6"/>
  <c r="AB347" i="6"/>
  <c r="AB346" i="6"/>
  <c r="AB345" i="6"/>
  <c r="AB344" i="6"/>
  <c r="AB343" i="6"/>
  <c r="AB342" i="6"/>
  <c r="AB341" i="6"/>
  <c r="AB340" i="6"/>
  <c r="AB339" i="6"/>
  <c r="AB338" i="6"/>
  <c r="AB337" i="6"/>
  <c r="AB336" i="6"/>
  <c r="AB335" i="6"/>
  <c r="AB334" i="6"/>
  <c r="AB333" i="6"/>
  <c r="AB332" i="6"/>
  <c r="AB331" i="6"/>
  <c r="AB330" i="6"/>
  <c r="AB329" i="6"/>
  <c r="AB328" i="6"/>
  <c r="AB327" i="6"/>
  <c r="AB326" i="6"/>
  <c r="AB325" i="6"/>
  <c r="AB324" i="6"/>
  <c r="AB323" i="6"/>
  <c r="AB322" i="6"/>
  <c r="AB321" i="6"/>
  <c r="AB320" i="6"/>
  <c r="AB319" i="6"/>
  <c r="AB318" i="6"/>
  <c r="AB317" i="6"/>
  <c r="AB316" i="6"/>
  <c r="AB315" i="6"/>
  <c r="AB314" i="6"/>
  <c r="AB313" i="6"/>
  <c r="AB312" i="6"/>
  <c r="AB311" i="6"/>
  <c r="AB310" i="6"/>
  <c r="AB309" i="6"/>
  <c r="AB308" i="6"/>
  <c r="AB307" i="6"/>
  <c r="AB306" i="6"/>
  <c r="AB305" i="6"/>
  <c r="AB304" i="6"/>
  <c r="AB303" i="6"/>
  <c r="AB302" i="6"/>
  <c r="AB301" i="6"/>
  <c r="AB300" i="6"/>
  <c r="AB299" i="6"/>
  <c r="AB298" i="6"/>
  <c r="AB297" i="6"/>
  <c r="AB296" i="6"/>
  <c r="AB295" i="6"/>
  <c r="AB294" i="6"/>
  <c r="AB293" i="6"/>
  <c r="AB292" i="6"/>
  <c r="AB291" i="6"/>
  <c r="AB290" i="6"/>
  <c r="AB289" i="6"/>
  <c r="AB288" i="6"/>
  <c r="AB287" i="6"/>
  <c r="AB286" i="6"/>
  <c r="AB285" i="6"/>
  <c r="AB284" i="6"/>
  <c r="AB283" i="6"/>
  <c r="AB282" i="6"/>
  <c r="AB281" i="6"/>
  <c r="AB280" i="6"/>
  <c r="AB279" i="6"/>
  <c r="AB278" i="6"/>
  <c r="AB277" i="6"/>
  <c r="AB276" i="6"/>
  <c r="AB275" i="6"/>
  <c r="AB274" i="6"/>
  <c r="AB273" i="6"/>
  <c r="AB272" i="6"/>
  <c r="AB271" i="6"/>
  <c r="AB270" i="6"/>
  <c r="AB269" i="6"/>
  <c r="AB268" i="6"/>
  <c r="AB267" i="6"/>
  <c r="AB266" i="6"/>
  <c r="AB265" i="6"/>
  <c r="AB264" i="6"/>
  <c r="AB263" i="6"/>
  <c r="AB262" i="6"/>
  <c r="AB261" i="6"/>
  <c r="AB260" i="6"/>
  <c r="AB259" i="6"/>
  <c r="AB258" i="6"/>
  <c r="AB257" i="6"/>
  <c r="AB256" i="6"/>
  <c r="AB255" i="6"/>
  <c r="AB254" i="6"/>
  <c r="AB253" i="6"/>
  <c r="AB252" i="6"/>
  <c r="AB251" i="6"/>
  <c r="AB250" i="6"/>
  <c r="AB249" i="6"/>
  <c r="AB248" i="6"/>
  <c r="AB247" i="6"/>
  <c r="AB246" i="6"/>
  <c r="AB245" i="6"/>
  <c r="AB244" i="6"/>
  <c r="AB243" i="6"/>
  <c r="AB242" i="6"/>
  <c r="AB241" i="6"/>
  <c r="AB240" i="6"/>
  <c r="AB239" i="6"/>
  <c r="AB238" i="6"/>
  <c r="AB237" i="6"/>
  <c r="AB236" i="6"/>
  <c r="AB235" i="6"/>
  <c r="AB234" i="6"/>
  <c r="AB233" i="6"/>
  <c r="AB232" i="6"/>
  <c r="AB231" i="6"/>
  <c r="AB230" i="6"/>
  <c r="AB229" i="6"/>
  <c r="AB228" i="6"/>
  <c r="AB227" i="6"/>
  <c r="AB226" i="6"/>
  <c r="AB225" i="6"/>
  <c r="AB224" i="6"/>
  <c r="AB223" i="6"/>
  <c r="AB222" i="6"/>
  <c r="AB221" i="6"/>
  <c r="AB220" i="6"/>
  <c r="AB219" i="6"/>
  <c r="AB218" i="6"/>
  <c r="AB217" i="6"/>
  <c r="AB216" i="6"/>
  <c r="AB215" i="6"/>
  <c r="AB214" i="6"/>
  <c r="AB213" i="6"/>
  <c r="AB212" i="6"/>
  <c r="AB211" i="6"/>
  <c r="AB210" i="6"/>
  <c r="AB209" i="6"/>
  <c r="AB208" i="6"/>
  <c r="AB207" i="6"/>
  <c r="AB206" i="6"/>
  <c r="AB205" i="6"/>
  <c r="AB204" i="6"/>
  <c r="AB203" i="6"/>
  <c r="AB202" i="6"/>
  <c r="AB201" i="6"/>
  <c r="AB200" i="6"/>
  <c r="AB199" i="6"/>
  <c r="AB198" i="6"/>
  <c r="AB197" i="6"/>
  <c r="AB196" i="6"/>
  <c r="AB195" i="6"/>
  <c r="AB194" i="6"/>
  <c r="AB193" i="6"/>
  <c r="AB192" i="6"/>
  <c r="AB191" i="6"/>
  <c r="AB190" i="6"/>
  <c r="AB189" i="6"/>
  <c r="AB188" i="6"/>
  <c r="AB187" i="6"/>
  <c r="AB186" i="6"/>
  <c r="AB185" i="6"/>
  <c r="AB184" i="6"/>
  <c r="AB183" i="6"/>
  <c r="AB182" i="6"/>
  <c r="AB181" i="6"/>
  <c r="AB180" i="6"/>
  <c r="AB179" i="6"/>
  <c r="AB178" i="6"/>
  <c r="AB177" i="6"/>
  <c r="AB176" i="6"/>
  <c r="AB175" i="6"/>
  <c r="AB174" i="6"/>
  <c r="AB173" i="6"/>
  <c r="AB172" i="6"/>
  <c r="AB171" i="6"/>
  <c r="AB170" i="6"/>
  <c r="AB169" i="6"/>
  <c r="AB168" i="6"/>
  <c r="AB167" i="6"/>
  <c r="AB166" i="6"/>
  <c r="AB165" i="6"/>
  <c r="AB164" i="6"/>
  <c r="AB163" i="6"/>
  <c r="AB162" i="6"/>
  <c r="AB161" i="6"/>
  <c r="AB160" i="6"/>
  <c r="AB159" i="6"/>
  <c r="AB158" i="6"/>
  <c r="AB157" i="6"/>
  <c r="AB156" i="6"/>
  <c r="AB155" i="6"/>
  <c r="AB154" i="6"/>
  <c r="AB153" i="6"/>
  <c r="AB152" i="6"/>
  <c r="AB151" i="6"/>
  <c r="AB150" i="6"/>
  <c r="AB149" i="6"/>
  <c r="AB148" i="6"/>
  <c r="AB147" i="6"/>
  <c r="AB146" i="6"/>
  <c r="AB145" i="6"/>
  <c r="AB144" i="6"/>
  <c r="AB143" i="6"/>
  <c r="AB142" i="6"/>
  <c r="AB141" i="6"/>
  <c r="AB140" i="6"/>
  <c r="AB139" i="6"/>
  <c r="AB138" i="6"/>
  <c r="AB137" i="6"/>
  <c r="AB136" i="6"/>
  <c r="AB135" i="6"/>
  <c r="AB134" i="6"/>
  <c r="AB133" i="6"/>
  <c r="AB132" i="6"/>
  <c r="AB131" i="6"/>
  <c r="AB130" i="6"/>
  <c r="AB129" i="6"/>
  <c r="AB128" i="6"/>
  <c r="AB127" i="6"/>
  <c r="AB126" i="6"/>
  <c r="AB125" i="6"/>
  <c r="AB124" i="6"/>
  <c r="AB123" i="6"/>
  <c r="AB122" i="6"/>
  <c r="AB121" i="6"/>
  <c r="AB120" i="6"/>
  <c r="AB119" i="6"/>
  <c r="AB118" i="6"/>
  <c r="AB117" i="6"/>
  <c r="AB116" i="6"/>
  <c r="AB115" i="6"/>
  <c r="AB114" i="6"/>
  <c r="AB113" i="6"/>
  <c r="AB112" i="6"/>
  <c r="AB111" i="6"/>
  <c r="AB110" i="6"/>
  <c r="AB109" i="6"/>
  <c r="AB108" i="6"/>
  <c r="AB107" i="6"/>
  <c r="AB106" i="6"/>
  <c r="AB105" i="6"/>
  <c r="AB104" i="6"/>
  <c r="AB103" i="6"/>
  <c r="AB102" i="6"/>
  <c r="AB101" i="6"/>
  <c r="AB100" i="6"/>
  <c r="AB99" i="6"/>
  <c r="AB98" i="6"/>
  <c r="AB97" i="6"/>
  <c r="AB96" i="6"/>
  <c r="AB95" i="6"/>
  <c r="AB94" i="6"/>
  <c r="AB93" i="6"/>
  <c r="AB92" i="6"/>
  <c r="AB91" i="6"/>
  <c r="AB90" i="6"/>
  <c r="AB89" i="6"/>
  <c r="AB88" i="6"/>
  <c r="AB87" i="6"/>
  <c r="AB86" i="6"/>
  <c r="AB85" i="6"/>
  <c r="AB84" i="6"/>
  <c r="AB83" i="6"/>
  <c r="AB82" i="6"/>
  <c r="AB81" i="6"/>
  <c r="AB80" i="6"/>
  <c r="AB79" i="6"/>
  <c r="AB78" i="6"/>
  <c r="AB77" i="6"/>
  <c r="AB76" i="6"/>
  <c r="AB75" i="6"/>
  <c r="AB74" i="6"/>
  <c r="AB73" i="6"/>
  <c r="AB72" i="6"/>
  <c r="AB71" i="6"/>
  <c r="AB70" i="6"/>
  <c r="AB69" i="6"/>
  <c r="AB68" i="6"/>
  <c r="AB67" i="6"/>
  <c r="AB66" i="6"/>
  <c r="AB65" i="6"/>
  <c r="AB64" i="6"/>
  <c r="AB63" i="6"/>
  <c r="AB62" i="6"/>
  <c r="AB61" i="6"/>
  <c r="AB60" i="6"/>
  <c r="AB59" i="6"/>
  <c r="AB58" i="6"/>
  <c r="AB57" i="6"/>
  <c r="AB56" i="6"/>
  <c r="AB55" i="6"/>
  <c r="AB54" i="6"/>
  <c r="AB53" i="6"/>
  <c r="AB52" i="6"/>
  <c r="AB51" i="6"/>
  <c r="AB50" i="6"/>
  <c r="AB49" i="6"/>
  <c r="AB48" i="6"/>
  <c r="AB47" i="6"/>
  <c r="AB46" i="6"/>
  <c r="AB45" i="6"/>
  <c r="AB44" i="6"/>
  <c r="AB43" i="6"/>
  <c r="AB42" i="6"/>
  <c r="AB41" i="6"/>
  <c r="AB40" i="6"/>
  <c r="AB39" i="6"/>
  <c r="AB38" i="6"/>
  <c r="AB37" i="6"/>
  <c r="AB36" i="6"/>
  <c r="AB35" i="6"/>
  <c r="AB34" i="6"/>
  <c r="AB33" i="6"/>
  <c r="AB32" i="6"/>
  <c r="AB31" i="6"/>
  <c r="AB30" i="6"/>
  <c r="AB29" i="6"/>
  <c r="AB28" i="6"/>
  <c r="AB27" i="6"/>
  <c r="AB26" i="6"/>
  <c r="AB25" i="6"/>
  <c r="AB24" i="6"/>
  <c r="AB23" i="6"/>
  <c r="AB22" i="6"/>
  <c r="AB21" i="6"/>
  <c r="AB20" i="6"/>
  <c r="AB19" i="6"/>
  <c r="AB18" i="6"/>
  <c r="AB17" i="6"/>
  <c r="AB16" i="6"/>
  <c r="AB15" i="6"/>
  <c r="AB14" i="6"/>
  <c r="AB13" i="6"/>
  <c r="AB12" i="6"/>
  <c r="AB11" i="6"/>
  <c r="AB10" i="6"/>
  <c r="AB9" i="6"/>
  <c r="AB8" i="6"/>
  <c r="AB7" i="6"/>
  <c r="AO621" i="6"/>
  <c r="AO620" i="6"/>
  <c r="AO619" i="6"/>
  <c r="AO618" i="6"/>
  <c r="AO617" i="6"/>
  <c r="AO616" i="6"/>
  <c r="AO615" i="6"/>
  <c r="AO614" i="6"/>
  <c r="AO613" i="6"/>
  <c r="AO612" i="6"/>
  <c r="AO611" i="6"/>
  <c r="AO610" i="6"/>
  <c r="AO609" i="6"/>
  <c r="AO608" i="6"/>
  <c r="AO607" i="6"/>
  <c r="AO606" i="6"/>
  <c r="AO605" i="6"/>
  <c r="AO604" i="6"/>
  <c r="AO603" i="6"/>
  <c r="AO602" i="6"/>
  <c r="AO601" i="6"/>
  <c r="AO600" i="6"/>
  <c r="AO599" i="6"/>
  <c r="AO598" i="6"/>
  <c r="AO597" i="6"/>
  <c r="AO596" i="6"/>
  <c r="AO595" i="6"/>
  <c r="AO594" i="6"/>
  <c r="AO593" i="6"/>
  <c r="AO592" i="6"/>
  <c r="AO591" i="6"/>
  <c r="AO590" i="6"/>
  <c r="AO589" i="6"/>
  <c r="AO588" i="6"/>
  <c r="AO587" i="6"/>
  <c r="AO586" i="6"/>
  <c r="AO585" i="6"/>
  <c r="AO584" i="6"/>
  <c r="AO583" i="6"/>
  <c r="AO582" i="6"/>
  <c r="AO581" i="6"/>
  <c r="AO580" i="6"/>
  <c r="AO579" i="6"/>
  <c r="AO578" i="6"/>
  <c r="AO577" i="6"/>
  <c r="AO576" i="6"/>
  <c r="AO575" i="6"/>
  <c r="AO574" i="6"/>
  <c r="AO573" i="6"/>
  <c r="AO572" i="6"/>
  <c r="AO571" i="6"/>
  <c r="AO570" i="6"/>
  <c r="AO569" i="6"/>
  <c r="AO568" i="6"/>
  <c r="AO567" i="6"/>
  <c r="AO566" i="6"/>
  <c r="AO565" i="6"/>
  <c r="AO564" i="6"/>
  <c r="AO563" i="6"/>
  <c r="AO562" i="6"/>
  <c r="AO561" i="6"/>
  <c r="AO560" i="6"/>
  <c r="AO559" i="6"/>
  <c r="AO558" i="6"/>
  <c r="AO557" i="6"/>
  <c r="AO556" i="6"/>
  <c r="AO555" i="6"/>
  <c r="AO554" i="6"/>
  <c r="AO553" i="6"/>
  <c r="AO552" i="6"/>
  <c r="AO551" i="6"/>
  <c r="AO550" i="6"/>
  <c r="AO549" i="6"/>
  <c r="AO548" i="6"/>
  <c r="AO547" i="6"/>
  <c r="AO546" i="6"/>
  <c r="AO545" i="6"/>
  <c r="AO544" i="6"/>
  <c r="AO543" i="6"/>
  <c r="AO542" i="6"/>
  <c r="AO541" i="6"/>
  <c r="AO540" i="6"/>
  <c r="AO539" i="6"/>
  <c r="AO538" i="6"/>
  <c r="AO537" i="6"/>
  <c r="AO536" i="6"/>
  <c r="AO535" i="6"/>
  <c r="AO534" i="6"/>
  <c r="AO533" i="6"/>
  <c r="AO532" i="6"/>
  <c r="AO531" i="6"/>
  <c r="AO530" i="6"/>
  <c r="AO529" i="6"/>
  <c r="AO528" i="6"/>
  <c r="AO527" i="6"/>
  <c r="AO526" i="6"/>
  <c r="AO525" i="6"/>
  <c r="AO524" i="6"/>
  <c r="AO523" i="6"/>
  <c r="AO522" i="6"/>
  <c r="AO521" i="6"/>
  <c r="AO520" i="6"/>
  <c r="AO519" i="6"/>
  <c r="AO518" i="6"/>
  <c r="AO517" i="6"/>
  <c r="AO516" i="6"/>
  <c r="AO515" i="6"/>
  <c r="AO514" i="6"/>
  <c r="AO513" i="6"/>
  <c r="AO512" i="6"/>
  <c r="AO511" i="6"/>
  <c r="AO510" i="6"/>
  <c r="AO509" i="6"/>
  <c r="AO508" i="6"/>
  <c r="AO507" i="6"/>
  <c r="AO506" i="6"/>
  <c r="AO505" i="6"/>
  <c r="AO504" i="6"/>
  <c r="AO503" i="6"/>
  <c r="AO502" i="6"/>
  <c r="AO501" i="6"/>
  <c r="AO500" i="6"/>
  <c r="AO499" i="6"/>
  <c r="AO498" i="6"/>
  <c r="AO497" i="6"/>
  <c r="AO496" i="6"/>
  <c r="AO495" i="6"/>
  <c r="AO494" i="6"/>
  <c r="AO493" i="6"/>
  <c r="AO492" i="6"/>
  <c r="AO491" i="6"/>
  <c r="AO490" i="6"/>
  <c r="AO489" i="6"/>
  <c r="AO488" i="6"/>
  <c r="AO487" i="6"/>
  <c r="AO486" i="6"/>
  <c r="AO485" i="6"/>
  <c r="AO484" i="6"/>
  <c r="AO483" i="6"/>
  <c r="AO482" i="6"/>
  <c r="AO481" i="6"/>
  <c r="AO480" i="6"/>
  <c r="AO479" i="6"/>
  <c r="AO478" i="6"/>
  <c r="AO477" i="6"/>
  <c r="AO476" i="6"/>
  <c r="AO475" i="6"/>
  <c r="AO474" i="6"/>
  <c r="AO473" i="6"/>
  <c r="AO472" i="6"/>
  <c r="AO471" i="6"/>
  <c r="AO470" i="6"/>
  <c r="AO469" i="6"/>
  <c r="AO468" i="6"/>
  <c r="AO467" i="6"/>
  <c r="AO466" i="6"/>
  <c r="AO465" i="6"/>
  <c r="AO464" i="6"/>
  <c r="AO463" i="6"/>
  <c r="AO462" i="6"/>
  <c r="AO461" i="6"/>
  <c r="AO460" i="6"/>
  <c r="AO459" i="6"/>
  <c r="AO458" i="6"/>
  <c r="AO457" i="6"/>
  <c r="AO456" i="6"/>
  <c r="AO455" i="6"/>
  <c r="AO454" i="6"/>
  <c r="AO453" i="6"/>
  <c r="AO452" i="6"/>
  <c r="AO451" i="6"/>
  <c r="AO450" i="6"/>
  <c r="AO449" i="6"/>
  <c r="AO448" i="6"/>
  <c r="AO447" i="6"/>
  <c r="AO446" i="6"/>
  <c r="AO445" i="6"/>
  <c r="AO444" i="6"/>
  <c r="AO443" i="6"/>
  <c r="AO442" i="6"/>
  <c r="AO441" i="6"/>
  <c r="AO440" i="6"/>
  <c r="AO439" i="6"/>
  <c r="AO438" i="6"/>
  <c r="AO437" i="6"/>
  <c r="AO436" i="6"/>
  <c r="AO435" i="6"/>
  <c r="AO434" i="6"/>
  <c r="AO433" i="6"/>
  <c r="AO432" i="6"/>
  <c r="AO431" i="6"/>
  <c r="AO430" i="6"/>
  <c r="AO429" i="6"/>
  <c r="AO428" i="6"/>
  <c r="AO427" i="6"/>
  <c r="AO426" i="6"/>
  <c r="AO425" i="6"/>
  <c r="AO424" i="6"/>
  <c r="AO423" i="6"/>
  <c r="AO422" i="6"/>
  <c r="AO421" i="6"/>
  <c r="AO420" i="6"/>
  <c r="AO419" i="6"/>
  <c r="AO418" i="6"/>
  <c r="AO417" i="6"/>
  <c r="AO416" i="6"/>
  <c r="AO415" i="6"/>
  <c r="AO414" i="6"/>
  <c r="AO413" i="6"/>
  <c r="AO412" i="6"/>
  <c r="AO411" i="6"/>
  <c r="AO410" i="6"/>
  <c r="AO409" i="6"/>
  <c r="AO408" i="6"/>
  <c r="AO407" i="6"/>
  <c r="AO406" i="6"/>
  <c r="AO405" i="6"/>
  <c r="AO404" i="6"/>
  <c r="AO403" i="6"/>
  <c r="AO402" i="6"/>
  <c r="AO401" i="6"/>
  <c r="AO400" i="6"/>
  <c r="AO399" i="6"/>
  <c r="AO398" i="6"/>
  <c r="AO397" i="6"/>
  <c r="AO396" i="6"/>
  <c r="AO395" i="6"/>
  <c r="AO394" i="6"/>
  <c r="AO393" i="6"/>
  <c r="AO392" i="6"/>
  <c r="AO391" i="6"/>
  <c r="AO390" i="6"/>
  <c r="AO389" i="6"/>
  <c r="AO388" i="6"/>
  <c r="AO387" i="6"/>
  <c r="AO386" i="6"/>
  <c r="AO385" i="6"/>
  <c r="AO384" i="6"/>
  <c r="AO383" i="6"/>
  <c r="AO382" i="6"/>
  <c r="AO381" i="6"/>
  <c r="AO380" i="6"/>
  <c r="AO379" i="6"/>
  <c r="AO378" i="6"/>
  <c r="AO377" i="6"/>
  <c r="AO376" i="6"/>
  <c r="AO375" i="6"/>
  <c r="AO374" i="6"/>
  <c r="AO373" i="6"/>
  <c r="AO372" i="6"/>
  <c r="AO371" i="6"/>
  <c r="AO370" i="6"/>
  <c r="AO369" i="6"/>
  <c r="AO368" i="6"/>
  <c r="AO367" i="6"/>
  <c r="AO366" i="6"/>
  <c r="AO365" i="6"/>
  <c r="AO364" i="6"/>
  <c r="AO363" i="6"/>
  <c r="AO362" i="6"/>
  <c r="AO361" i="6"/>
  <c r="AO360" i="6"/>
  <c r="AO359" i="6"/>
  <c r="AO358" i="6"/>
  <c r="AO357" i="6"/>
  <c r="AO356" i="6"/>
  <c r="AO355" i="6"/>
  <c r="AO354" i="6"/>
  <c r="AO353" i="6"/>
  <c r="AO352" i="6"/>
  <c r="AO351" i="6"/>
  <c r="AO350" i="6"/>
  <c r="AO349" i="6"/>
  <c r="AO348" i="6"/>
  <c r="AO347" i="6"/>
  <c r="AO346" i="6"/>
  <c r="AO345" i="6"/>
  <c r="AO344" i="6"/>
  <c r="AO343" i="6"/>
  <c r="AO342" i="6"/>
  <c r="AO341" i="6"/>
  <c r="AO340" i="6"/>
  <c r="AO339" i="6"/>
  <c r="AO338" i="6"/>
  <c r="AO337" i="6"/>
  <c r="AO336" i="6"/>
  <c r="AO335" i="6"/>
  <c r="AO334" i="6"/>
  <c r="AO333" i="6"/>
  <c r="AO332" i="6"/>
  <c r="AO331" i="6"/>
  <c r="AO330" i="6"/>
  <c r="AO329" i="6"/>
  <c r="AO328" i="6"/>
  <c r="AO327" i="6"/>
  <c r="AO326" i="6"/>
  <c r="AO325" i="6"/>
  <c r="AO324" i="6"/>
  <c r="AO323" i="6"/>
  <c r="AO322" i="6"/>
  <c r="AO321" i="6"/>
  <c r="AO320" i="6"/>
  <c r="AO319" i="6"/>
  <c r="AO318" i="6"/>
  <c r="AO317" i="6"/>
  <c r="AO316" i="6"/>
  <c r="AO315" i="6"/>
  <c r="AO314" i="6"/>
  <c r="AO313" i="6"/>
  <c r="AO312" i="6"/>
  <c r="AO311" i="6"/>
  <c r="AO310" i="6"/>
  <c r="AO309" i="6"/>
  <c r="AO308" i="6"/>
  <c r="AO307" i="6"/>
  <c r="AO306" i="6"/>
  <c r="AO305" i="6"/>
  <c r="AO304" i="6"/>
  <c r="AO303" i="6"/>
  <c r="AO302" i="6"/>
  <c r="AO301" i="6"/>
  <c r="AO300" i="6"/>
  <c r="AO299" i="6"/>
  <c r="AO298" i="6"/>
  <c r="AO297" i="6"/>
  <c r="AO296" i="6"/>
  <c r="AO295" i="6"/>
  <c r="AO294" i="6"/>
  <c r="AO293" i="6"/>
  <c r="AO292" i="6"/>
  <c r="AO291" i="6"/>
  <c r="AO290" i="6"/>
  <c r="AO289" i="6"/>
  <c r="AO288" i="6"/>
  <c r="AO287" i="6"/>
  <c r="AO286" i="6"/>
  <c r="AO285" i="6"/>
  <c r="AO284" i="6"/>
  <c r="AO283" i="6"/>
  <c r="AO282" i="6"/>
  <c r="AO281" i="6"/>
  <c r="AO280" i="6"/>
  <c r="AO279" i="6"/>
  <c r="AO278" i="6"/>
  <c r="AO277" i="6"/>
  <c r="AO276" i="6"/>
  <c r="AO275" i="6"/>
  <c r="AO274" i="6"/>
  <c r="AO273" i="6"/>
  <c r="AO272" i="6"/>
  <c r="AO271" i="6"/>
  <c r="AO270" i="6"/>
  <c r="AO269" i="6"/>
  <c r="AO268" i="6"/>
  <c r="AO267" i="6"/>
  <c r="AO266" i="6"/>
  <c r="AO265" i="6"/>
  <c r="AO264" i="6"/>
  <c r="AO263" i="6"/>
  <c r="AO262" i="6"/>
  <c r="AO261" i="6"/>
  <c r="AO260" i="6"/>
  <c r="AO259" i="6"/>
  <c r="AO258" i="6"/>
  <c r="AO257" i="6"/>
  <c r="AO256" i="6"/>
  <c r="AO255" i="6"/>
  <c r="AO254" i="6"/>
  <c r="AO253" i="6"/>
  <c r="AO252" i="6"/>
  <c r="AO251" i="6"/>
  <c r="AO250" i="6"/>
  <c r="AO249" i="6"/>
  <c r="AO248" i="6"/>
  <c r="AO247" i="6"/>
  <c r="AO246" i="6"/>
  <c r="AO245" i="6"/>
  <c r="AO244" i="6"/>
  <c r="AO243" i="6"/>
  <c r="AO242" i="6"/>
  <c r="AO241" i="6"/>
  <c r="AO240" i="6"/>
  <c r="AO239" i="6"/>
  <c r="AO238" i="6"/>
  <c r="AO237" i="6"/>
  <c r="AO236" i="6"/>
  <c r="AO235" i="6"/>
  <c r="AO234" i="6"/>
  <c r="AO233" i="6"/>
  <c r="AO232" i="6"/>
  <c r="AO231" i="6"/>
  <c r="AO230" i="6"/>
  <c r="AO229" i="6"/>
  <c r="AO228" i="6"/>
  <c r="AO227" i="6"/>
  <c r="AO226" i="6"/>
  <c r="AO225" i="6"/>
  <c r="AO224" i="6"/>
  <c r="AO223" i="6"/>
  <c r="AO222" i="6"/>
  <c r="AO221" i="6"/>
  <c r="AO220" i="6"/>
  <c r="AO219" i="6"/>
  <c r="AO218" i="6"/>
  <c r="AO217" i="6"/>
  <c r="AO216" i="6"/>
  <c r="AO215" i="6"/>
  <c r="AO214" i="6"/>
  <c r="AO213" i="6"/>
  <c r="AO212" i="6"/>
  <c r="AO211" i="6"/>
  <c r="AO210" i="6"/>
  <c r="AO209" i="6"/>
  <c r="AO208" i="6"/>
  <c r="AO207" i="6"/>
  <c r="AO206" i="6"/>
  <c r="AO205" i="6"/>
  <c r="AO204" i="6"/>
  <c r="AO203" i="6"/>
  <c r="AO202" i="6"/>
  <c r="AO201" i="6"/>
  <c r="AO200" i="6"/>
  <c r="AO199" i="6"/>
  <c r="AO198" i="6"/>
  <c r="AO197" i="6"/>
  <c r="AO196" i="6"/>
  <c r="AO195" i="6"/>
  <c r="AO194" i="6"/>
  <c r="AO193" i="6"/>
  <c r="AO192" i="6"/>
  <c r="AO191" i="6"/>
  <c r="AO190" i="6"/>
  <c r="AO189" i="6"/>
  <c r="AO188" i="6"/>
  <c r="AO187" i="6"/>
  <c r="AO186" i="6"/>
  <c r="AO185" i="6"/>
  <c r="AO184" i="6"/>
  <c r="AO183" i="6"/>
  <c r="AO182" i="6"/>
  <c r="AO181" i="6"/>
  <c r="AO180" i="6"/>
  <c r="AO179" i="6"/>
  <c r="AO178" i="6"/>
  <c r="AO177" i="6"/>
  <c r="AO176" i="6"/>
  <c r="AO175" i="6"/>
  <c r="AO174" i="6"/>
  <c r="AO173" i="6"/>
  <c r="AO172" i="6"/>
  <c r="AO171" i="6"/>
  <c r="AO170" i="6"/>
  <c r="AO169" i="6"/>
  <c r="AO168" i="6"/>
  <c r="AO167" i="6"/>
  <c r="AO166" i="6"/>
  <c r="AO165" i="6"/>
  <c r="AO164" i="6"/>
  <c r="AO163" i="6"/>
  <c r="AO162" i="6"/>
  <c r="AO161" i="6"/>
  <c r="AO160" i="6"/>
  <c r="AO159" i="6"/>
  <c r="AO158" i="6"/>
  <c r="AO157" i="6"/>
  <c r="AO156" i="6"/>
  <c r="AO155" i="6"/>
  <c r="AO154" i="6"/>
  <c r="AO153" i="6"/>
  <c r="AO152" i="6"/>
  <c r="AO151" i="6"/>
  <c r="AO150" i="6"/>
  <c r="AO149" i="6"/>
  <c r="AO148" i="6"/>
  <c r="AO147" i="6"/>
  <c r="AO146" i="6"/>
  <c r="AO145" i="6"/>
  <c r="AO144" i="6"/>
  <c r="AO143" i="6"/>
  <c r="AO142" i="6"/>
  <c r="AO141" i="6"/>
  <c r="AO140" i="6"/>
  <c r="AO139" i="6"/>
  <c r="AO138" i="6"/>
  <c r="AO137" i="6"/>
  <c r="AO136" i="6"/>
  <c r="AO135" i="6"/>
  <c r="AO134" i="6"/>
  <c r="AO133" i="6"/>
  <c r="AO132" i="6"/>
  <c r="AO131" i="6"/>
  <c r="AO130" i="6"/>
  <c r="AO129" i="6"/>
  <c r="AO128" i="6"/>
  <c r="AO127" i="6"/>
  <c r="AO126" i="6"/>
  <c r="AO125" i="6"/>
  <c r="AO124" i="6"/>
  <c r="AO123" i="6"/>
  <c r="AO122" i="6"/>
  <c r="AO121" i="6"/>
  <c r="AO120" i="6"/>
  <c r="AO119" i="6"/>
  <c r="AO118" i="6"/>
  <c r="AO117" i="6"/>
  <c r="AO116" i="6"/>
  <c r="AO115" i="6"/>
  <c r="AO114" i="6"/>
  <c r="AO113" i="6"/>
  <c r="AO112" i="6"/>
  <c r="AO111" i="6"/>
  <c r="AO110" i="6"/>
  <c r="AO109" i="6"/>
  <c r="AO108" i="6"/>
  <c r="AO107" i="6"/>
  <c r="AO106" i="6"/>
  <c r="AO105" i="6"/>
  <c r="AO104" i="6"/>
  <c r="AO103" i="6"/>
  <c r="AO102" i="6"/>
  <c r="AO101" i="6"/>
  <c r="AO100" i="6"/>
  <c r="AO99" i="6"/>
  <c r="AO98" i="6"/>
  <c r="AO97" i="6"/>
  <c r="AO96" i="6"/>
  <c r="AO95" i="6"/>
  <c r="AO94" i="6"/>
  <c r="AO93" i="6"/>
  <c r="AO92" i="6"/>
  <c r="AO91" i="6"/>
  <c r="AO90" i="6"/>
  <c r="AO89" i="6"/>
  <c r="AO88" i="6"/>
  <c r="AO87" i="6"/>
  <c r="AO86" i="6"/>
  <c r="AO85" i="6"/>
  <c r="AO84" i="6"/>
  <c r="AO83" i="6"/>
  <c r="AO82" i="6"/>
  <c r="AO81" i="6"/>
  <c r="AO80" i="6"/>
  <c r="AO79" i="6"/>
  <c r="AO78" i="6"/>
  <c r="AO77" i="6"/>
  <c r="AO76" i="6"/>
  <c r="AO75" i="6"/>
  <c r="AO74" i="6"/>
  <c r="AO73" i="6"/>
  <c r="AO72" i="6"/>
  <c r="AO71" i="6"/>
  <c r="AO70" i="6"/>
  <c r="AO69" i="6"/>
  <c r="AO68" i="6"/>
  <c r="AO67" i="6"/>
  <c r="AO66" i="6"/>
  <c r="AO65" i="6"/>
  <c r="AO64" i="6"/>
  <c r="AO63" i="6"/>
  <c r="AO62" i="6"/>
  <c r="AO61" i="6"/>
  <c r="AO60" i="6"/>
  <c r="AO59" i="6"/>
  <c r="AO58" i="6"/>
  <c r="AO57" i="6"/>
  <c r="AO56" i="6"/>
  <c r="AO55" i="6"/>
  <c r="AO54" i="6"/>
  <c r="AO53" i="6"/>
  <c r="AO52" i="6"/>
  <c r="AO51" i="6"/>
  <c r="AO50" i="6"/>
  <c r="AO49" i="6"/>
  <c r="AO48" i="6"/>
  <c r="AO47" i="6"/>
  <c r="AO46" i="6"/>
  <c r="AO45" i="6"/>
  <c r="AO44" i="6"/>
  <c r="AO43" i="6"/>
  <c r="AO42" i="6"/>
  <c r="AO41" i="6"/>
  <c r="AO40" i="6"/>
  <c r="AO39" i="6"/>
  <c r="AO38" i="6"/>
  <c r="AO37" i="6"/>
  <c r="AO36" i="6"/>
  <c r="AO35" i="6"/>
  <c r="AO34" i="6"/>
  <c r="AO33" i="6"/>
  <c r="AO32" i="6"/>
  <c r="AO31" i="6"/>
  <c r="AO30" i="6"/>
  <c r="AO29" i="6"/>
  <c r="AO28" i="6"/>
  <c r="AO27" i="6"/>
  <c r="AO26" i="6"/>
  <c r="AO25" i="6"/>
  <c r="AO24" i="6"/>
  <c r="AO23" i="6"/>
  <c r="AO22" i="6"/>
  <c r="AO21" i="6"/>
  <c r="AO20" i="6"/>
  <c r="AO19" i="6"/>
  <c r="AO18" i="6"/>
  <c r="AO17" i="6"/>
  <c r="AO16" i="6"/>
  <c r="AO15" i="6"/>
  <c r="AO14" i="6"/>
  <c r="AO13" i="6"/>
  <c r="AO12" i="6"/>
  <c r="AO11" i="6"/>
  <c r="AO10" i="6"/>
  <c r="AO9" i="6"/>
  <c r="AO8" i="6"/>
  <c r="AO7" i="6"/>
  <c r="C623" i="6"/>
  <c r="F10" i="12"/>
  <c r="F18" i="12" s="1"/>
  <c r="S29" i="12"/>
  <c r="S31" i="12" s="1"/>
  <c r="F29" i="12"/>
  <c r="F33" i="12" s="1"/>
  <c r="O28" i="12"/>
  <c r="S10" i="12"/>
  <c r="S11" i="12" s="1"/>
  <c r="B28" i="12"/>
  <c r="S20" i="12" l="1"/>
  <c r="AD937" i="9"/>
  <c r="D42" i="12" s="1"/>
  <c r="AQ937" i="9"/>
  <c r="Q42" i="12" s="1"/>
  <c r="Q937" i="9"/>
  <c r="AO623" i="6"/>
  <c r="Q23" i="12" s="1"/>
  <c r="AB623" i="6"/>
  <c r="D23" i="12" s="1"/>
  <c r="O623" i="6"/>
  <c r="F39" i="12"/>
  <c r="F30" i="12"/>
  <c r="F35" i="12"/>
  <c r="F37" i="12"/>
  <c r="F31" i="12"/>
  <c r="F36" i="12"/>
  <c r="F34" i="12"/>
  <c r="S12" i="12"/>
  <c r="S14" i="12"/>
  <c r="F32" i="12"/>
  <c r="F38" i="12"/>
  <c r="S37" i="12"/>
  <c r="S39" i="12"/>
  <c r="S33" i="12"/>
  <c r="S36" i="12"/>
  <c r="S35" i="12"/>
  <c r="S30" i="12"/>
  <c r="S38" i="12"/>
  <c r="S34" i="12"/>
  <c r="S32" i="12"/>
  <c r="S18" i="12"/>
  <c r="S13" i="12"/>
  <c r="S15" i="12"/>
  <c r="S17" i="12"/>
  <c r="S16" i="12"/>
  <c r="S19" i="12"/>
  <c r="F11" i="12"/>
  <c r="F19" i="12"/>
  <c r="F12" i="12"/>
  <c r="F13" i="12"/>
  <c r="F17" i="12"/>
  <c r="F16" i="12"/>
  <c r="F14" i="12"/>
  <c r="F15" i="12"/>
  <c r="F20" i="12"/>
</calcChain>
</file>

<file path=xl/sharedStrings.xml><?xml version="1.0" encoding="utf-8"?>
<sst xmlns="http://schemas.openxmlformats.org/spreadsheetml/2006/main" count="8314" uniqueCount="471">
  <si>
    <t>Total</t>
  </si>
  <si>
    <t>Var %</t>
  </si>
  <si>
    <t xml:space="preserve">TOP TEN ACUMULADO MENSUAL,  ESTADISTICA OPERACIONAL REGULAR ORIGEN-DESTINO </t>
  </si>
  <si>
    <t>T O T A L</t>
  </si>
  <si>
    <t>Ruta</t>
  </si>
  <si>
    <t>Top ten de las principales Rutas de transporte de pasajeros</t>
  </si>
  <si>
    <t>Top ten de las principales Rutas de transporte de mercancía</t>
  </si>
  <si>
    <t>en Servicio Regular Nacional</t>
  </si>
  <si>
    <t>en Servicio Regular Internacional</t>
  </si>
  <si>
    <t>ACAPULCO</t>
  </si>
  <si>
    <t>CANCUN</t>
  </si>
  <si>
    <t>GUADALAJARA</t>
  </si>
  <si>
    <t>MEXICO</t>
  </si>
  <si>
    <t>MONTERREY</t>
  </si>
  <si>
    <t>SANTA LUCÍA</t>
  </si>
  <si>
    <t>TIJUANA</t>
  </si>
  <si>
    <t>AGUASCALIENTES</t>
  </si>
  <si>
    <t>PUERTO VALLARTA</t>
  </si>
  <si>
    <t>CAMPECHE</t>
  </si>
  <si>
    <t>CHIHUAHUA</t>
  </si>
  <si>
    <t>CIUDAD JUAREZ</t>
  </si>
  <si>
    <t>CULIACAN</t>
  </si>
  <si>
    <t>DEL BAJIO</t>
  </si>
  <si>
    <t>MERIDA</t>
  </si>
  <si>
    <t>MEXICALI</t>
  </si>
  <si>
    <t>MORELIA</t>
  </si>
  <si>
    <t>OAXACA</t>
  </si>
  <si>
    <t>PUEBLA</t>
  </si>
  <si>
    <t>QUERETARO</t>
  </si>
  <si>
    <t>REYNOSA</t>
  </si>
  <si>
    <t>SAN LUIS POTOSI</t>
  </si>
  <si>
    <t>TAMPICO</t>
  </si>
  <si>
    <t>TOLUCA</t>
  </si>
  <si>
    <t>TORREON</t>
  </si>
  <si>
    <t>TUXTLA GUTIERREZ</t>
  </si>
  <si>
    <t>VERACRUZ</t>
  </si>
  <si>
    <t>VILLAHERMOSA</t>
  </si>
  <si>
    <t>CHETUMAL</t>
  </si>
  <si>
    <t>HERMOSILLO</t>
  </si>
  <si>
    <t>LOS MOCHIS</t>
  </si>
  <si>
    <t>MAZATLAN</t>
  </si>
  <si>
    <t>CIUDAD DEL CARMEN</t>
  </si>
  <si>
    <t>DURANGO</t>
  </si>
  <si>
    <t>CIUDAD OBREGON</t>
  </si>
  <si>
    <t>CIUDAD VICTORIA</t>
  </si>
  <si>
    <t>COLIMA</t>
  </si>
  <si>
    <t>COZUMEL</t>
  </si>
  <si>
    <t>LA PAZ</t>
  </si>
  <si>
    <t>SAN JOSÉ DEL CABO</t>
  </si>
  <si>
    <t>PUERTO ESCONDIDO</t>
  </si>
  <si>
    <t>TAPACHULA</t>
  </si>
  <si>
    <t>HUATULCO</t>
  </si>
  <si>
    <t>IXTAPA ZIHUATANEJO</t>
  </si>
  <si>
    <t>Ixtepec, Oaxaca</t>
  </si>
  <si>
    <t>LORETO</t>
  </si>
  <si>
    <t>Los Cabos</t>
  </si>
  <si>
    <t>MANZANILLO</t>
  </si>
  <si>
    <t>MATAMOROS</t>
  </si>
  <si>
    <t>MINATITLAN</t>
  </si>
  <si>
    <t>NUEVO LAREDO</t>
  </si>
  <si>
    <t>PIEDRAS NEGRAS</t>
  </si>
  <si>
    <t>TEPIC</t>
  </si>
  <si>
    <t>ZACATECAS</t>
  </si>
  <si>
    <t>URUAPAN</t>
  </si>
  <si>
    <t>ABBOTSFORD</t>
  </si>
  <si>
    <t>Canada</t>
  </si>
  <si>
    <t>Mexico</t>
  </si>
  <si>
    <t>DALLAS-FORT WORTH</t>
  </si>
  <si>
    <t>Estados Unidos</t>
  </si>
  <si>
    <t>HOUSTON</t>
  </si>
  <si>
    <t>MONTREAL</t>
  </si>
  <si>
    <t>TORONTO</t>
  </si>
  <si>
    <t>CHICAGO</t>
  </si>
  <si>
    <t>LOS ANGELES</t>
  </si>
  <si>
    <t>AMSTERDAM</t>
  </si>
  <si>
    <t>Paises Bajos</t>
  </si>
  <si>
    <t>ANCHORAGE</t>
  </si>
  <si>
    <t>ATLANTA</t>
  </si>
  <si>
    <t>AUSTIN</t>
  </si>
  <si>
    <t>BALTIMORE</t>
  </si>
  <si>
    <t>BARCELONA, España</t>
  </si>
  <si>
    <t>España</t>
  </si>
  <si>
    <t>BELICE</t>
  </si>
  <si>
    <t>Belice</t>
  </si>
  <si>
    <t>BIRMINGHAM, INGLATERRA</t>
  </si>
  <si>
    <t>Reino Unido</t>
  </si>
  <si>
    <t>BOGOTA</t>
  </si>
  <si>
    <t>Colombia</t>
  </si>
  <si>
    <t>BOSTON</t>
  </si>
  <si>
    <t>Brasil</t>
  </si>
  <si>
    <t>BRUSSELS</t>
  </si>
  <si>
    <t>Belgica</t>
  </si>
  <si>
    <t>BUENOS AIRES</t>
  </si>
  <si>
    <t>Argentina</t>
  </si>
  <si>
    <t>CALGARY</t>
  </si>
  <si>
    <t>CAMAGUEY</t>
  </si>
  <si>
    <t>Cuba</t>
  </si>
  <si>
    <t>CHARLOTTE</t>
  </si>
  <si>
    <t>CLEVELAND</t>
  </si>
  <si>
    <t>COVINGTON</t>
  </si>
  <si>
    <t>DENVER</t>
  </si>
  <si>
    <t>DETROIT</t>
  </si>
  <si>
    <t>EDMONTON</t>
  </si>
  <si>
    <t>FLORES</t>
  </si>
  <si>
    <t>Guatemala</t>
  </si>
  <si>
    <t>FORT LAUDERDALE</t>
  </si>
  <si>
    <t>FRANKFURT</t>
  </si>
  <si>
    <t>Alemania</t>
  </si>
  <si>
    <t>GUATEMALA</t>
  </si>
  <si>
    <t>HALIFAX</t>
  </si>
  <si>
    <t>HAMILTON</t>
  </si>
  <si>
    <t>HOLGUIN, Cuba</t>
  </si>
  <si>
    <t>INDIANAPOLIS</t>
  </si>
  <si>
    <t>KANSAS CITY</t>
  </si>
  <si>
    <t>KELOWNA</t>
  </si>
  <si>
    <t>KITCHENER</t>
  </si>
  <si>
    <t>LA HABANA</t>
  </si>
  <si>
    <t>LIMA</t>
  </si>
  <si>
    <t>Peru</t>
  </si>
  <si>
    <t>LISBON</t>
  </si>
  <si>
    <t>Portugal</t>
  </si>
  <si>
    <t>LONDON, ONTARIO</t>
  </si>
  <si>
    <t>LONDRES</t>
  </si>
  <si>
    <t>MADRID</t>
  </si>
  <si>
    <t>MANCHESTER</t>
  </si>
  <si>
    <t>MEDELLIN</t>
  </si>
  <si>
    <t>MIAMI</t>
  </si>
  <si>
    <t>MILAN</t>
  </si>
  <si>
    <t>Italia</t>
  </si>
  <si>
    <t>MILWAUKEE</t>
  </si>
  <si>
    <t>MINNEAPOLIS</t>
  </si>
  <si>
    <t>NASHVILLE</t>
  </si>
  <si>
    <t>NEWARK</t>
  </si>
  <si>
    <t>NUEVA ORLEANS</t>
  </si>
  <si>
    <t>NUEVA YORK</t>
  </si>
  <si>
    <t>ORLANDO</t>
  </si>
  <si>
    <t>OTTAWA</t>
  </si>
  <si>
    <t>PANAMA</t>
  </si>
  <si>
    <t>Panama</t>
  </si>
  <si>
    <t>PARIS</t>
  </si>
  <si>
    <t>Francia</t>
  </si>
  <si>
    <t>PHILADELPHIA</t>
  </si>
  <si>
    <t>PHOENIX</t>
  </si>
  <si>
    <t>PORTLAND, OREGON</t>
  </si>
  <si>
    <t>QUEBEC</t>
  </si>
  <si>
    <t>RALEIGH/DURHAM</t>
  </si>
  <si>
    <t>REGINA, Canada</t>
  </si>
  <si>
    <t>ROMA</t>
  </si>
  <si>
    <t>SALT LAKE CITY</t>
  </si>
  <si>
    <t>SAN ANTONIO</t>
  </si>
  <si>
    <t>SAN DIEGO</t>
  </si>
  <si>
    <t>SAN FRANCISCO</t>
  </si>
  <si>
    <t>SAN JOSE, COSTA RICA</t>
  </si>
  <si>
    <t>Costa Rica</t>
  </si>
  <si>
    <t>SAN SALVADOR</t>
  </si>
  <si>
    <t>El Salvador</t>
  </si>
  <si>
    <t>SANTIAGO DE CHILE</t>
  </si>
  <si>
    <t>Chile</t>
  </si>
  <si>
    <t>SANTO DOMINGO,REP DOM</t>
  </si>
  <si>
    <t>Republica Dominicana</t>
  </si>
  <si>
    <t>SASKATOON</t>
  </si>
  <si>
    <t>SEATTLE</t>
  </si>
  <si>
    <t>ST. LOUIS</t>
  </si>
  <si>
    <t>TAMPA</t>
  </si>
  <si>
    <t>THUNDER BAY</t>
  </si>
  <si>
    <t>VANCOUVER</t>
  </si>
  <si>
    <t>VICTORIA, COLUMBIA</t>
  </si>
  <si>
    <t>WASHINGTON</t>
  </si>
  <si>
    <t>WIEN</t>
  </si>
  <si>
    <t>Austria</t>
  </si>
  <si>
    <t>WINDSOR</t>
  </si>
  <si>
    <t>WINNIPEG</t>
  </si>
  <si>
    <t>Honduras</t>
  </si>
  <si>
    <t>COMOX</t>
  </si>
  <si>
    <t>FRESNO</t>
  </si>
  <si>
    <t>OAKLAND</t>
  </si>
  <si>
    <t>SACRAMENTO</t>
  </si>
  <si>
    <t>SAN JOSE, CALIFORNIA</t>
  </si>
  <si>
    <t>DOHA</t>
  </si>
  <si>
    <t>Qatar</t>
  </si>
  <si>
    <t>DUBAI</t>
  </si>
  <si>
    <t>Emiratos Arabes</t>
  </si>
  <si>
    <t>HONG KONG</t>
  </si>
  <si>
    <t xml:space="preserve">HONG KONG </t>
  </si>
  <si>
    <t>LAS VEGAS</t>
  </si>
  <si>
    <t>LOUISVILLE, KENTUCKY</t>
  </si>
  <si>
    <t>LUXEMBURGO</t>
  </si>
  <si>
    <t>Luxemburgo</t>
  </si>
  <si>
    <t>MEMPHIS</t>
  </si>
  <si>
    <t>ONTARIO</t>
  </si>
  <si>
    <t>RENO</t>
  </si>
  <si>
    <t>Seoul</t>
  </si>
  <si>
    <t>COREA DEL SUR</t>
  </si>
  <si>
    <t>JEBEL ALI</t>
  </si>
  <si>
    <t>LAREDO</t>
  </si>
  <si>
    <t>MANAGUA</t>
  </si>
  <si>
    <t>Nicaragua</t>
  </si>
  <si>
    <t>CAMPINAS</t>
  </si>
  <si>
    <t>QUITO</t>
  </si>
  <si>
    <t>Ecuador</t>
  </si>
  <si>
    <t>SAN PEDRO SULA</t>
  </si>
  <si>
    <t>SAO PAULO</t>
  </si>
  <si>
    <t>TOKYO</t>
  </si>
  <si>
    <t>Japon</t>
  </si>
  <si>
    <t>SANTA ANA, CALIFORNIA</t>
  </si>
  <si>
    <t>ZARAGOZA, ES</t>
  </si>
  <si>
    <t>SALTILLO</t>
  </si>
  <si>
    <t>BROWNSVILLE</t>
  </si>
  <si>
    <t>COPENHAGEN</t>
  </si>
  <si>
    <t>Dinamarca</t>
  </si>
  <si>
    <t>ESTOCOLMO</t>
  </si>
  <si>
    <t>Suecia</t>
  </si>
  <si>
    <t>HELSINKI, Finlandia</t>
  </si>
  <si>
    <t>Finlandia</t>
  </si>
  <si>
    <t>KATOWIZE</t>
  </si>
  <si>
    <t>Polonia</t>
  </si>
  <si>
    <t>PITTSBURGH</t>
  </si>
  <si>
    <t>SANTA CLARA, CUBA</t>
  </si>
  <si>
    <t>VARSOVIA</t>
  </si>
  <si>
    <t>CARACAS</t>
  </si>
  <si>
    <t>Venezuela</t>
  </si>
  <si>
    <t>EL PASO</t>
  </si>
  <si>
    <t>DES MOINES</t>
  </si>
  <si>
    <t>Fort Worth, Texas</t>
  </si>
  <si>
    <t>LANSING</t>
  </si>
  <si>
    <t>Toledo, Ohio</t>
  </si>
  <si>
    <t>SHREVEPORT</t>
  </si>
  <si>
    <t>DAYTON</t>
  </si>
  <si>
    <t>LIÈGE</t>
  </si>
  <si>
    <t>GRAND ISLAND, Nebraska</t>
  </si>
  <si>
    <t>MONCTON</t>
  </si>
  <si>
    <t>ALEXANDRIA, LOUSIANA</t>
  </si>
  <si>
    <t>GREER</t>
  </si>
  <si>
    <t>MUNICH</t>
  </si>
  <si>
    <t>CHATTANOOGA</t>
  </si>
  <si>
    <t>DALLAS</t>
  </si>
  <si>
    <t>SHANGHAI</t>
  </si>
  <si>
    <t>China</t>
  </si>
  <si>
    <t>XIAMEN</t>
  </si>
  <si>
    <t>Desde el 01 de septiembre de 2023, todas las operaciones de transporte aéreo, nacional e internacional regular y no regular exclusivo de carga dejaron de aterrizar en el Aeropuerto Internacional de la Ciudad de México (AICM), al entrar en vigor los decretos publicados en el Diario Oficial de la Federación. Permanecen en el AICM las operaciones mixtas de pasajeros y carga.</t>
  </si>
  <si>
    <t>Diario Oficial de la Federación – 02 de febrero de 2023</t>
  </si>
  <si>
    <t>Diario Oficial de la Federación – 07 de julio de 2023</t>
  </si>
  <si>
    <t>AVISO</t>
  </si>
  <si>
    <t>PALENQUE</t>
  </si>
  <si>
    <t>PRINCE GEORGE</t>
  </si>
  <si>
    <t>TUSCALOOSA, Alabama</t>
  </si>
  <si>
    <t>ZHENGZHOU</t>
  </si>
  <si>
    <t>TULUM</t>
  </si>
  <si>
    <t>POZA RICA</t>
  </si>
  <si>
    <t>BURBANK</t>
  </si>
  <si>
    <t>EAGLE</t>
  </si>
  <si>
    <t>Greensboro</t>
  </si>
  <si>
    <t>SHENZHEN</t>
  </si>
  <si>
    <t>ESTAMBUL (ARNAVUTKOY)</t>
  </si>
  <si>
    <t>Turquia</t>
  </si>
  <si>
    <t>Fredericton, Canada</t>
  </si>
  <si>
    <t>MC ALLEN</t>
  </si>
  <si>
    <t>GUAYMAS</t>
  </si>
  <si>
    <t>BUFFALO</t>
  </si>
  <si>
    <t>COLUMBUS, Ohio</t>
  </si>
  <si>
    <t>Göteborg, Suecia</t>
  </si>
  <si>
    <t>OSLO</t>
  </si>
  <si>
    <t>NORUEGA</t>
  </si>
  <si>
    <t>Chicago/West Chicago</t>
  </si>
  <si>
    <t>DEL RIO, Texas</t>
  </si>
  <si>
    <t>FARGO</t>
  </si>
  <si>
    <t>Gulfport, Mississippi</t>
  </si>
  <si>
    <t>HARLINGEN TEXAS</t>
  </si>
  <si>
    <t>SIOUX FALLS</t>
  </si>
  <si>
    <t>CEDROS</t>
  </si>
  <si>
    <t>GUERRERO NEGRO</t>
  </si>
  <si>
    <t>PUNTA CANA</t>
  </si>
  <si>
    <t>Gary, Indiana</t>
  </si>
  <si>
    <t>Chicago Executive</t>
  </si>
  <si>
    <t>TETERBORO</t>
  </si>
  <si>
    <t>HALSEY FIELD</t>
  </si>
  <si>
    <t>TACOMA</t>
  </si>
  <si>
    <t>SMYRNA</t>
  </si>
  <si>
    <t>TUCSON</t>
  </si>
  <si>
    <t>ST. JOHN'S</t>
  </si>
  <si>
    <t>CHICHEN ITZA</t>
  </si>
  <si>
    <t>ARLINGTON</t>
  </si>
  <si>
    <t>BEDFORD</t>
  </si>
  <si>
    <t>CHICAGO/ROCKFORD</t>
  </si>
  <si>
    <t>CHICO</t>
  </si>
  <si>
    <t>NIAGARA FALLS</t>
  </si>
  <si>
    <t>PONTIAC</t>
  </si>
  <si>
    <t>FAIRFIELD</t>
  </si>
  <si>
    <t>GLASGOW</t>
  </si>
  <si>
    <t>NEWCASTLE</t>
  </si>
  <si>
    <t>GUAYAQUIL</t>
  </si>
  <si>
    <t>ALBUQUERQUE</t>
  </si>
  <si>
    <t>CALI</t>
  </si>
  <si>
    <t>DOVER</t>
  </si>
  <si>
    <t>Hahn, Rhineland-Palatinate</t>
  </si>
  <si>
    <t>JACKSON, WYOMING</t>
  </si>
  <si>
    <t>NOGALES, ARIZONA</t>
  </si>
  <si>
    <t>ROCHESTER, NUEVA YORK</t>
  </si>
  <si>
    <t>SAN JUAN, PUERTO RICO</t>
  </si>
  <si>
    <t>Puerto rico</t>
  </si>
  <si>
    <t>YUMA</t>
  </si>
  <si>
    <t>DUBLIN</t>
  </si>
  <si>
    <t>Irlanda</t>
  </si>
  <si>
    <t>HONOLULU</t>
  </si>
  <si>
    <t>KIEV</t>
  </si>
  <si>
    <t>Ucrania</t>
  </si>
  <si>
    <t>LITTLE ROCK</t>
  </si>
  <si>
    <t>PUERTO ESPAÑA</t>
  </si>
  <si>
    <t>Trinidad y Tobago</t>
  </si>
  <si>
    <t>KNOXVILLE,TENNESSEE</t>
  </si>
  <si>
    <t>Porto, Porto</t>
  </si>
  <si>
    <t>SOFIA</t>
  </si>
  <si>
    <t>Bulgaria</t>
  </si>
  <si>
    <t>DENVER (CENTENNIAL)</t>
  </si>
  <si>
    <t>FAIRFORD</t>
  </si>
  <si>
    <t>MISAWA</t>
  </si>
  <si>
    <t>TEGUCIGALPA</t>
  </si>
  <si>
    <t>Van Nuys, California</t>
  </si>
  <si>
    <t>Youngstown/Warren</t>
  </si>
  <si>
    <t>FUENTE: SICT, AFAC, DREE. Información proporcionada por las aerolíneas.</t>
  </si>
  <si>
    <t>COLUMBIA, Sur de Carolina</t>
  </si>
  <si>
    <t>GREENVILLE, Sur de Carolina</t>
  </si>
  <si>
    <t>MANCHESTER, NH</t>
  </si>
  <si>
    <t>Charleston, Sur de Carolina</t>
  </si>
  <si>
    <t>BALBOA</t>
  </si>
  <si>
    <t>BARRANQUILLA, Colombia</t>
  </si>
  <si>
    <t>Battle Creek, Michigan</t>
  </si>
  <si>
    <t>LANGLEY, VA</t>
  </si>
  <si>
    <t>MONTGOMERY</t>
  </si>
  <si>
    <t>NORFOLK, VA</t>
  </si>
  <si>
    <t>PRAGA</t>
  </si>
  <si>
    <t>REPUBLICA CHECA</t>
  </si>
  <si>
    <t>RIO DE JANEIRO</t>
  </si>
  <si>
    <t>MANAUS</t>
  </si>
  <si>
    <t>VALENCIA, España</t>
  </si>
  <si>
    <t>SAO JOSE DOS CAMPOS</t>
  </si>
  <si>
    <t>BRASILIA</t>
  </si>
  <si>
    <t>ASPEN</t>
  </si>
  <si>
    <t>Palm Springs</t>
  </si>
  <si>
    <t>Ene-Dic (2023-2024) (Miles)</t>
  </si>
  <si>
    <t>Ene-Dic (2023-2024) (Ton)</t>
  </si>
  <si>
    <r>
      <t xml:space="preserve">ESTADISTICA OPERACIONAL ORIGEN-DESTINO / </t>
    </r>
    <r>
      <rPr>
        <b/>
        <i/>
        <sz val="10"/>
        <rFont val="Noto Sans"/>
        <family val="2"/>
        <scheme val="minor"/>
      </rPr>
      <t>AVIATION STATISTICS BY OFOD</t>
    </r>
  </si>
  <si>
    <r>
      <t xml:space="preserve">EN SERVICIO DE FLETAMENTO INTERNACIONAL, 2024 / </t>
    </r>
    <r>
      <rPr>
        <b/>
        <i/>
        <sz val="10"/>
        <rFont val="Noto Sans"/>
        <family val="2"/>
        <scheme val="minor"/>
      </rPr>
      <t>NON SCHEDULED INTERNATIONAL SERVICE, 2024</t>
    </r>
  </si>
  <si>
    <r>
      <t xml:space="preserve">PAR DE CIUDADES / </t>
    </r>
    <r>
      <rPr>
        <b/>
        <i/>
        <sz val="10"/>
        <color theme="0"/>
        <rFont val="Noto Sans"/>
        <family val="2"/>
        <scheme val="minor"/>
      </rPr>
      <t>CITY PAIR</t>
    </r>
  </si>
  <si>
    <r>
      <t xml:space="preserve">VUELOS / </t>
    </r>
    <r>
      <rPr>
        <b/>
        <i/>
        <sz val="10"/>
        <rFont val="Noto Sans"/>
        <family val="2"/>
        <scheme val="minor"/>
      </rPr>
      <t>FLIGHTS</t>
    </r>
  </si>
  <si>
    <r>
      <t xml:space="preserve">PASAJEROS / </t>
    </r>
    <r>
      <rPr>
        <b/>
        <i/>
        <sz val="10"/>
        <color theme="0"/>
        <rFont val="Noto Sans"/>
        <family val="2"/>
        <scheme val="minor"/>
      </rPr>
      <t>PASSENGERS</t>
    </r>
  </si>
  <si>
    <r>
      <t xml:space="preserve">CARGA (kg) / </t>
    </r>
    <r>
      <rPr>
        <b/>
        <i/>
        <sz val="10"/>
        <color theme="0"/>
        <rFont val="Noto Sans"/>
        <family val="2"/>
        <scheme val="minor"/>
      </rPr>
      <t>CARGO (kg)</t>
    </r>
  </si>
  <si>
    <r>
      <t xml:space="preserve">ORIGEN / </t>
    </r>
    <r>
      <rPr>
        <b/>
        <i/>
        <sz val="10"/>
        <color theme="0"/>
        <rFont val="Noto Sans"/>
        <family val="2"/>
        <scheme val="minor"/>
      </rPr>
      <t>FROM</t>
    </r>
  </si>
  <si>
    <r>
      <t xml:space="preserve">PAÍS ORIGEN / </t>
    </r>
    <r>
      <rPr>
        <b/>
        <i/>
        <sz val="10"/>
        <color theme="0"/>
        <rFont val="Noto Sans"/>
        <family val="2"/>
        <scheme val="minor"/>
      </rPr>
      <t>COUNTRY FROM</t>
    </r>
  </si>
  <si>
    <r>
      <t xml:space="preserve">DESTINO / </t>
    </r>
    <r>
      <rPr>
        <b/>
        <i/>
        <sz val="10"/>
        <color theme="0"/>
        <rFont val="Noto Sans"/>
        <family val="2"/>
        <scheme val="minor"/>
      </rPr>
      <t>TO</t>
    </r>
  </si>
  <si>
    <r>
      <t xml:space="preserve">PAÍS DESTINO / </t>
    </r>
    <r>
      <rPr>
        <b/>
        <i/>
        <sz val="10"/>
        <color theme="0"/>
        <rFont val="Noto Sans"/>
        <family val="2"/>
        <scheme val="minor"/>
      </rPr>
      <t>COUNTRY TO</t>
    </r>
  </si>
  <si>
    <r>
      <t>Ene/</t>
    </r>
    <r>
      <rPr>
        <b/>
        <i/>
        <sz val="10"/>
        <rFont val="Noto Sans"/>
        <family val="2"/>
        <scheme val="minor"/>
      </rPr>
      <t>Jan</t>
    </r>
  </si>
  <si>
    <r>
      <t>Feb/</t>
    </r>
    <r>
      <rPr>
        <b/>
        <i/>
        <sz val="10"/>
        <rFont val="Noto Sans"/>
        <family val="2"/>
        <scheme val="minor"/>
      </rPr>
      <t>Feb</t>
    </r>
  </si>
  <si>
    <r>
      <t>Mar/</t>
    </r>
    <r>
      <rPr>
        <b/>
        <i/>
        <sz val="10"/>
        <rFont val="Noto Sans"/>
        <family val="2"/>
        <scheme val="minor"/>
      </rPr>
      <t>Mar</t>
    </r>
  </si>
  <si>
    <r>
      <t>Abr/</t>
    </r>
    <r>
      <rPr>
        <b/>
        <i/>
        <sz val="10"/>
        <rFont val="Noto Sans"/>
        <family val="2"/>
        <scheme val="minor"/>
      </rPr>
      <t>Apr</t>
    </r>
  </si>
  <si>
    <r>
      <t>May/</t>
    </r>
    <r>
      <rPr>
        <b/>
        <i/>
        <sz val="10"/>
        <rFont val="Noto Sans"/>
        <family val="2"/>
        <scheme val="minor"/>
      </rPr>
      <t>May</t>
    </r>
  </si>
  <si>
    <r>
      <t>Jun/</t>
    </r>
    <r>
      <rPr>
        <b/>
        <i/>
        <sz val="10"/>
        <rFont val="Noto Sans"/>
        <family val="2"/>
        <scheme val="minor"/>
      </rPr>
      <t>Jun</t>
    </r>
  </si>
  <si>
    <r>
      <t>Jul/</t>
    </r>
    <r>
      <rPr>
        <b/>
        <i/>
        <sz val="10"/>
        <rFont val="Noto Sans"/>
        <family val="2"/>
        <scheme val="minor"/>
      </rPr>
      <t>Jul</t>
    </r>
  </si>
  <si>
    <r>
      <t>Ago/</t>
    </r>
    <r>
      <rPr>
        <b/>
        <i/>
        <sz val="10"/>
        <rFont val="Noto Sans"/>
        <family val="2"/>
        <scheme val="minor"/>
      </rPr>
      <t>Aug</t>
    </r>
  </si>
  <si>
    <r>
      <t>Sep/</t>
    </r>
    <r>
      <rPr>
        <b/>
        <i/>
        <sz val="10"/>
        <rFont val="Noto Sans"/>
        <family val="2"/>
        <scheme val="minor"/>
      </rPr>
      <t>Sep</t>
    </r>
  </si>
  <si>
    <r>
      <t>Oct/</t>
    </r>
    <r>
      <rPr>
        <b/>
        <i/>
        <sz val="10"/>
        <rFont val="Noto Sans"/>
        <family val="2"/>
        <scheme val="minor"/>
      </rPr>
      <t>Oct</t>
    </r>
  </si>
  <si>
    <r>
      <t>Nov/</t>
    </r>
    <r>
      <rPr>
        <b/>
        <i/>
        <sz val="10"/>
        <rFont val="Noto Sans"/>
        <family val="2"/>
        <scheme val="minor"/>
      </rPr>
      <t>Nov</t>
    </r>
  </si>
  <si>
    <r>
      <t>Dic/</t>
    </r>
    <r>
      <rPr>
        <b/>
        <i/>
        <sz val="10"/>
        <rFont val="Noto Sans"/>
        <family val="2"/>
        <scheme val="minor"/>
      </rPr>
      <t>Dec</t>
    </r>
  </si>
  <si>
    <r>
      <t>Ene/</t>
    </r>
    <r>
      <rPr>
        <b/>
        <i/>
        <sz val="10"/>
        <color theme="0"/>
        <rFont val="Noto Sans"/>
        <family val="2"/>
        <scheme val="minor"/>
      </rPr>
      <t>Jan</t>
    </r>
  </si>
  <si>
    <r>
      <t>Feb/</t>
    </r>
    <r>
      <rPr>
        <b/>
        <i/>
        <sz val="10"/>
        <color theme="0"/>
        <rFont val="Noto Sans"/>
        <family val="2"/>
        <scheme val="minor"/>
      </rPr>
      <t>Feb</t>
    </r>
  </si>
  <si>
    <r>
      <t>Mar/</t>
    </r>
    <r>
      <rPr>
        <b/>
        <i/>
        <sz val="10"/>
        <color theme="0"/>
        <rFont val="Noto Sans"/>
        <family val="2"/>
        <scheme val="minor"/>
      </rPr>
      <t>Mar</t>
    </r>
  </si>
  <si>
    <r>
      <t>Abr/</t>
    </r>
    <r>
      <rPr>
        <b/>
        <i/>
        <sz val="10"/>
        <color theme="0"/>
        <rFont val="Noto Sans"/>
        <family val="2"/>
        <scheme val="minor"/>
      </rPr>
      <t>Apr</t>
    </r>
  </si>
  <si>
    <r>
      <t>May/</t>
    </r>
    <r>
      <rPr>
        <b/>
        <i/>
        <sz val="10"/>
        <color theme="0"/>
        <rFont val="Noto Sans"/>
        <family val="2"/>
        <scheme val="minor"/>
      </rPr>
      <t>May</t>
    </r>
  </si>
  <si>
    <r>
      <t>Jun/</t>
    </r>
    <r>
      <rPr>
        <b/>
        <i/>
        <sz val="10"/>
        <color theme="0"/>
        <rFont val="Noto Sans"/>
        <family val="2"/>
        <scheme val="minor"/>
      </rPr>
      <t>Jun</t>
    </r>
  </si>
  <si>
    <r>
      <t>Jul/</t>
    </r>
    <r>
      <rPr>
        <b/>
        <i/>
        <sz val="10"/>
        <color theme="0"/>
        <rFont val="Noto Sans"/>
        <family val="2"/>
        <scheme val="minor"/>
      </rPr>
      <t>Jul</t>
    </r>
  </si>
  <si>
    <r>
      <t>Ago/</t>
    </r>
    <r>
      <rPr>
        <b/>
        <i/>
        <sz val="10"/>
        <color theme="0"/>
        <rFont val="Noto Sans"/>
        <family val="2"/>
        <scheme val="minor"/>
      </rPr>
      <t>Aug</t>
    </r>
  </si>
  <si>
    <r>
      <t>Sep/</t>
    </r>
    <r>
      <rPr>
        <b/>
        <i/>
        <sz val="10"/>
        <color theme="0"/>
        <rFont val="Noto Sans"/>
        <family val="2"/>
        <scheme val="minor"/>
      </rPr>
      <t>Sep</t>
    </r>
  </si>
  <si>
    <r>
      <t>Oct/</t>
    </r>
    <r>
      <rPr>
        <b/>
        <i/>
        <sz val="10"/>
        <color theme="0"/>
        <rFont val="Noto Sans"/>
        <family val="2"/>
        <scheme val="minor"/>
      </rPr>
      <t>Oct</t>
    </r>
  </si>
  <si>
    <r>
      <t>Nov/</t>
    </r>
    <r>
      <rPr>
        <b/>
        <i/>
        <sz val="10"/>
        <color theme="0"/>
        <rFont val="Noto Sans"/>
        <family val="2"/>
        <scheme val="minor"/>
      </rPr>
      <t>Nov</t>
    </r>
  </si>
  <si>
    <r>
      <t>Dic/</t>
    </r>
    <r>
      <rPr>
        <b/>
        <i/>
        <sz val="10"/>
        <color theme="0"/>
        <rFont val="Noto Sans"/>
        <family val="2"/>
        <scheme val="minor"/>
      </rPr>
      <t>Dec</t>
    </r>
  </si>
  <si>
    <r>
      <t xml:space="preserve">EN SERVICIO REGULAR NACIONAL, 2024 / </t>
    </r>
    <r>
      <rPr>
        <b/>
        <i/>
        <sz val="10"/>
        <rFont val="Noto Sans"/>
        <family val="2"/>
        <scheme val="minor"/>
      </rPr>
      <t>SCHEDULED DOMESTIC SERVICE, 2024</t>
    </r>
  </si>
  <si>
    <r>
      <t xml:space="preserve">EN SERVICIO REGULAR INTERNACIONAL, 2024 / </t>
    </r>
    <r>
      <rPr>
        <b/>
        <i/>
        <sz val="10"/>
        <rFont val="Noto Sans"/>
        <family val="2"/>
        <scheme val="minor"/>
      </rPr>
      <t>SCHEDULED INTERNATIONAL SERVICE, 2024</t>
    </r>
  </si>
  <si>
    <r>
      <t xml:space="preserve">EN SERVICIO DE FLETAMENTO NACIONAL, 2024 / </t>
    </r>
    <r>
      <rPr>
        <b/>
        <i/>
        <sz val="10"/>
        <rFont val="Noto Sans"/>
        <family val="2"/>
        <scheme val="minor"/>
      </rPr>
      <t>NON SCHEDULED DOMESTIC SERVICE, 2024</t>
    </r>
  </si>
  <si>
    <t>BAGOTVILLE</t>
  </si>
  <si>
    <t>HANGZHOU, China</t>
  </si>
  <si>
    <t>WUXI</t>
  </si>
  <si>
    <t>CAMARILLO, CA</t>
  </si>
  <si>
    <t>KINGSTON</t>
  </si>
  <si>
    <t>Jamaica</t>
  </si>
  <si>
    <t>NASSAU, BAHAMAS</t>
  </si>
  <si>
    <t>Bahamas</t>
  </si>
  <si>
    <t>SCOTTSDALE</t>
  </si>
  <si>
    <t>Otros</t>
  </si>
  <si>
    <t>TOTAL</t>
  </si>
  <si>
    <t>Mexico-
Cancun</t>
  </si>
  <si>
    <t>Monterrey-
Mexico</t>
  </si>
  <si>
    <t>Mexico-
Guadalajara</t>
  </si>
  <si>
    <t>Tijuana-
Mexico</t>
  </si>
  <si>
    <t>Tijuana-
Guadalajara</t>
  </si>
  <si>
    <t>Mexico-
Merida</t>
  </si>
  <si>
    <t>Monterrey-
Cancun</t>
  </si>
  <si>
    <t>Santa 
Lucía-
Cancun</t>
  </si>
  <si>
    <t>Puerto 
Vallarta-
Mexico</t>
  </si>
  <si>
    <t>Monterrey-
Guadalajara</t>
  </si>
  <si>
    <t>Dallas/
Fort Worth-
Cancun</t>
  </si>
  <si>
    <t>Mexico-
Madrid</t>
  </si>
  <si>
    <t>Los Angeles-
Guadalajara</t>
  </si>
  <si>
    <t>Houston-
Cancun</t>
  </si>
  <si>
    <t>Chicago-
Cancun</t>
  </si>
  <si>
    <t>Toronto-
Cancun</t>
  </si>
  <si>
    <t>Mexico-
Los Angeles</t>
  </si>
  <si>
    <t>Mexico-
Bogota</t>
  </si>
  <si>
    <t>Mexico-
Houston</t>
  </si>
  <si>
    <t>Miami-
Mexico</t>
  </si>
  <si>
    <t>Santa 
Lucía-
Guadalajara</t>
  </si>
  <si>
    <t>Santa 
Lucía-
San Luis 
Potosi</t>
  </si>
  <si>
    <t>San Luis 
Potosi-
Monterrey</t>
  </si>
  <si>
    <t>San Luis 
Potosi-
Culiacan</t>
  </si>
  <si>
    <t>Santa 
Lucía-
Hong 
Kong</t>
  </si>
  <si>
    <t>Shanghai-
Santa 
Lucía</t>
  </si>
  <si>
    <t>Santa 
Lucía-
Frankfurt</t>
  </si>
  <si>
    <t>Hong 
Kong-
Guadalajara</t>
  </si>
  <si>
    <t>Santa 
Lucía-
Doha</t>
  </si>
  <si>
    <t>Toluca-
Memphis</t>
  </si>
  <si>
    <t>Memphis-
Guadalajara</t>
  </si>
  <si>
    <t>Sao Paulo-
Mexico</t>
  </si>
  <si>
    <t>Santa 
Lucía-
Luxemburgo</t>
  </si>
  <si>
    <t>--</t>
  </si>
  <si>
    <t>Mexico↔Cancun</t>
  </si>
  <si>
    <t>Monterrey↔Mexico</t>
  </si>
  <si>
    <t>Mexico↔Guadalajara</t>
  </si>
  <si>
    <t>Tijuana↔Mexico</t>
  </si>
  <si>
    <t>Tijuana↔Guadalajara</t>
  </si>
  <si>
    <t>Mexico↔Merida</t>
  </si>
  <si>
    <t>Monterrey↔Cancun</t>
  </si>
  <si>
    <t>Santa Lucía↔Cancun</t>
  </si>
  <si>
    <t>Puerto Vallarta↔Mexico</t>
  </si>
  <si>
    <t>Monterrey↔Guadalajara</t>
  </si>
  <si>
    <t>Dallas/Fort Worth↔Cancun</t>
  </si>
  <si>
    <t>Mexico↔Madrid</t>
  </si>
  <si>
    <t>Los Angeles↔Guadalajara</t>
  </si>
  <si>
    <t>Houston↔Cancun</t>
  </si>
  <si>
    <t>Chicago↔Cancun</t>
  </si>
  <si>
    <t>Toronto↔Cancun</t>
  </si>
  <si>
    <t>Mexico↔Los Angeles</t>
  </si>
  <si>
    <t>Mexico↔Bogota</t>
  </si>
  <si>
    <t>Mexico↔Houston</t>
  </si>
  <si>
    <t>Miami↔Mexico</t>
  </si>
  <si>
    <t>Santa Lucía↔Guadalajara</t>
  </si>
  <si>
    <t>Santa Lucía↔San Luis Potosi</t>
  </si>
  <si>
    <t>San Luis Potosi↔Monterrey</t>
  </si>
  <si>
    <t>San Luis Potosi↔Culiacan</t>
  </si>
  <si>
    <t>Santa Lucía↔Hong Kong</t>
  </si>
  <si>
    <t>Shanghai↔Santa Lucía</t>
  </si>
  <si>
    <t>Santa Lucía↔Frankfurt</t>
  </si>
  <si>
    <t>Hong Kong↔Guadalajara</t>
  </si>
  <si>
    <t>Santa Lucía↔Doha</t>
  </si>
  <si>
    <t>Toluca↔Memphis</t>
  </si>
  <si>
    <t>Memphis↔Guadalajara</t>
  </si>
  <si>
    <t>Sao Paulo↔Mexico</t>
  </si>
  <si>
    <t>Santa Lucía↔Luxemburgo</t>
  </si>
  <si>
    <t>FORT WORTH  (MEACHAM)</t>
  </si>
  <si>
    <t>Hartford/Springfield</t>
  </si>
  <si>
    <t>Abril 2025</t>
  </si>
  <si>
    <t>Regular</t>
  </si>
  <si>
    <t>Se adicionan operaciones de Conviasa para ene-dic</t>
  </si>
  <si>
    <t>Se adicionan operaciones de China Southern</t>
  </si>
  <si>
    <t>Debido a modificaciones en algunos orígenes/destinos, se actualizan datos de Mas Air</t>
  </si>
  <si>
    <t>Debido a recategorización de algunas operaciones de Aerus, se actualizan sus datos de operaciones regulares y de fletamento</t>
  </si>
  <si>
    <t>Fletamento</t>
  </si>
  <si>
    <t>Se adicionan operaciones de Executive-Jet Management</t>
  </si>
  <si>
    <t>Se adicionan operaciones de Silk Way West Airlines</t>
  </si>
  <si>
    <t>Enero 2026</t>
  </si>
  <si>
    <t>Se adicionan operaciones de Edelweiss para ene-dic</t>
  </si>
  <si>
    <t>ZURICH</t>
  </si>
  <si>
    <t>Suiza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</si>
</sst>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
  </numFmts>
  <fonts count="16" x14ac:knownFonts="1">
    <font>
      <sz val="11"/>
      <color theme="1"/>
      <name val="Noto Sans"/>
      <family val="2"/>
      <scheme val="minor"/>
    </font>
    <font>
      <sz val="11"/>
      <color theme="1"/>
      <name val="Noto Sans"/>
      <family val="2"/>
      <scheme val="minor"/>
    </font>
    <font>
      <u/>
      <sz val="11"/>
      <color theme="10"/>
      <name val="Noto Sans"/>
      <family val="2"/>
      <scheme val="minor"/>
    </font>
    <font>
      <sz val="10"/>
      <color theme="1"/>
      <name val="Noto Sans"/>
      <family val="2"/>
      <scheme val="minor"/>
    </font>
    <font>
      <sz val="10"/>
      <name val="Noto Sans"/>
      <family val="2"/>
      <scheme val="minor"/>
    </font>
    <font>
      <sz val="10"/>
      <color theme="0"/>
      <name val="Noto Sans"/>
      <family val="2"/>
      <scheme val="minor"/>
    </font>
    <font>
      <sz val="10"/>
      <color rgb="FFFF0000"/>
      <name val="Noto Sans"/>
      <family val="2"/>
      <scheme val="minor"/>
    </font>
    <font>
      <sz val="10"/>
      <color rgb="FF00B0F0"/>
      <name val="Noto Sans"/>
      <family val="2"/>
      <scheme val="minor"/>
    </font>
    <font>
      <sz val="8"/>
      <color theme="1"/>
      <name val="Noto Sans"/>
      <family val="2"/>
      <scheme val="minor"/>
    </font>
    <font>
      <u/>
      <sz val="10"/>
      <color theme="10"/>
      <name val="Noto Sans"/>
      <family val="2"/>
      <scheme val="minor"/>
    </font>
    <font>
      <b/>
      <sz val="10"/>
      <name val="Noto Sans"/>
      <family val="2"/>
      <scheme val="minor"/>
    </font>
    <font>
      <b/>
      <i/>
      <sz val="10"/>
      <name val="Noto Sans"/>
      <family val="2"/>
      <scheme val="minor"/>
    </font>
    <font>
      <b/>
      <sz val="10"/>
      <color theme="0"/>
      <name val="Noto Sans"/>
      <family val="2"/>
      <scheme val="minor"/>
    </font>
    <font>
      <b/>
      <i/>
      <sz val="10"/>
      <color theme="0"/>
      <name val="Noto Sans"/>
      <family val="2"/>
      <scheme val="minor"/>
    </font>
    <font>
      <b/>
      <sz val="10"/>
      <color theme="1"/>
      <name val="Noto Sans"/>
      <family val="2"/>
      <scheme val="minor"/>
    </font>
    <font>
      <sz val="10"/>
      <name val="Arial"/>
      <family val="2"/>
    </font>
  </fonts>
  <fills count="9">
    <fill>
      <patternFill patternType="none"/>
    </fill>
    <fill>
      <patternFill patternType="gray125"/>
    </fill>
    <fill>
      <patternFill patternType="solid">
        <fgColor rgb="FF621132"/>
        <bgColor indexed="64"/>
      </patternFill>
    </fill>
    <fill>
      <patternFill patternType="solid">
        <fgColor rgb="FF9D2449"/>
        <bgColor indexed="64"/>
      </patternFill>
    </fill>
    <fill>
      <patternFill patternType="solid">
        <fgColor rgb="FFD4C19C"/>
        <bgColor indexed="64"/>
      </patternFill>
    </fill>
    <fill>
      <patternFill patternType="solid">
        <fgColor rgb="FF285C4D"/>
        <bgColor indexed="64"/>
      </patternFill>
    </fill>
    <fill>
      <patternFill patternType="solid">
        <fgColor theme="5" tint="0.59999389629810485"/>
        <bgColor indexed="64"/>
      </patternFill>
    </fill>
    <fill>
      <patternFill patternType="solid">
        <fgColor theme="6"/>
        <bgColor indexed="64"/>
      </patternFill>
    </fill>
    <fill>
      <patternFill patternType="solid">
        <fgColor theme="4"/>
        <bgColor indexed="64"/>
      </patternFill>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5">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15" fillId="0" borderId="0"/>
  </cellStyleXfs>
  <cellXfs count="69">
    <xf numFmtId="0" fontId="0" fillId="0" borderId="0" xfId="0"/>
    <xf numFmtId="164" fontId="3" fillId="0" borderId="0" xfId="1" applyNumberFormat="1" applyFont="1" applyBorder="1" applyAlignment="1">
      <alignment vertical="center"/>
    </xf>
    <xf numFmtId="0" fontId="3" fillId="0" borderId="0" xfId="0" applyFont="1" applyAlignment="1">
      <alignment vertical="center"/>
    </xf>
    <xf numFmtId="0" fontId="4" fillId="0" borderId="0" xfId="0" applyFont="1" applyAlignment="1">
      <alignment vertical="center"/>
    </xf>
    <xf numFmtId="164" fontId="5" fillId="0" borderId="0" xfId="1" applyNumberFormat="1" applyFont="1" applyBorder="1" applyAlignment="1">
      <alignment vertical="center"/>
    </xf>
    <xf numFmtId="0" fontId="5" fillId="0" borderId="0" xfId="1" applyNumberFormat="1" applyFont="1" applyBorder="1" applyAlignment="1">
      <alignment vertical="center" wrapText="1"/>
    </xf>
    <xf numFmtId="0" fontId="3" fillId="0" borderId="0" xfId="0" applyFont="1" applyAlignment="1">
      <alignment vertical="center" wrapText="1"/>
    </xf>
    <xf numFmtId="165" fontId="6" fillId="0" borderId="0" xfId="2" applyNumberFormat="1" applyFont="1" applyBorder="1" applyAlignment="1">
      <alignment horizontal="center" vertical="center"/>
    </xf>
    <xf numFmtId="165" fontId="7" fillId="0" borderId="0" xfId="2" applyNumberFormat="1" applyFont="1" applyBorder="1" applyAlignment="1">
      <alignment horizontal="center" vertical="center"/>
    </xf>
    <xf numFmtId="0" fontId="3" fillId="6" borderId="0" xfId="0" applyFont="1" applyFill="1" applyAlignment="1">
      <alignment vertical="center" wrapText="1"/>
    </xf>
    <xf numFmtId="164" fontId="3" fillId="6" borderId="0" xfId="1" applyNumberFormat="1" applyFont="1" applyFill="1" applyBorder="1" applyAlignment="1">
      <alignment vertical="center"/>
    </xf>
    <xf numFmtId="165" fontId="6" fillId="6" borderId="0" xfId="2" applyNumberFormat="1" applyFont="1" applyFill="1" applyBorder="1" applyAlignment="1">
      <alignment horizontal="center" vertical="center"/>
    </xf>
    <xf numFmtId="0" fontId="3" fillId="6" borderId="0" xfId="0" applyFont="1" applyFill="1" applyAlignment="1">
      <alignment vertical="center"/>
    </xf>
    <xf numFmtId="165" fontId="7" fillId="6" borderId="0" xfId="2" quotePrefix="1" applyNumberFormat="1" applyFont="1" applyFill="1" applyBorder="1" applyAlignment="1">
      <alignment horizontal="center" vertical="center"/>
    </xf>
    <xf numFmtId="165" fontId="7" fillId="0" borderId="0" xfId="2" quotePrefix="1" applyNumberFormat="1" applyFont="1" applyBorder="1" applyAlignment="1">
      <alignment horizontal="center" vertical="center"/>
    </xf>
    <xf numFmtId="165" fontId="7" fillId="6" borderId="0" xfId="2" applyNumberFormat="1" applyFont="1" applyFill="1" applyBorder="1" applyAlignment="1">
      <alignment horizontal="center" vertical="center"/>
    </xf>
    <xf numFmtId="0" fontId="5" fillId="0" borderId="0" xfId="1" applyNumberFormat="1" applyFont="1" applyBorder="1" applyAlignment="1">
      <alignment vertical="center"/>
    </xf>
    <xf numFmtId="0" fontId="5" fillId="0" borderId="0" xfId="0" applyFont="1" applyAlignment="1">
      <alignment vertical="center"/>
    </xf>
    <xf numFmtId="0" fontId="3" fillId="0" borderId="0" xfId="1" applyNumberFormat="1" applyFont="1" applyBorder="1" applyAlignment="1">
      <alignment vertical="center"/>
    </xf>
    <xf numFmtId="0" fontId="8" fillId="0" borderId="0" xfId="0" applyFont="1" applyAlignment="1">
      <alignment vertical="center"/>
    </xf>
    <xf numFmtId="0" fontId="5" fillId="8" borderId="0" xfId="0" applyFont="1" applyFill="1" applyAlignment="1">
      <alignment vertical="center"/>
    </xf>
    <xf numFmtId="0" fontId="9" fillId="0" borderId="0" xfId="3" applyFont="1" applyAlignment="1">
      <alignment vertical="center"/>
    </xf>
    <xf numFmtId="0" fontId="5" fillId="2" borderId="0" xfId="0" applyFont="1" applyFill="1" applyAlignment="1">
      <alignment horizontal="center" vertical="center"/>
    </xf>
    <xf numFmtId="164" fontId="3" fillId="0" borderId="4" xfId="1" applyNumberFormat="1" applyFont="1" applyBorder="1" applyAlignment="1">
      <alignment vertical="center"/>
    </xf>
    <xf numFmtId="164" fontId="3" fillId="0" borderId="5" xfId="1" applyNumberFormat="1" applyFont="1" applyBorder="1" applyAlignment="1">
      <alignment vertical="center"/>
    </xf>
    <xf numFmtId="164" fontId="3" fillId="6" borderId="4" xfId="1" applyNumberFormat="1" applyFont="1" applyFill="1" applyBorder="1" applyAlignment="1">
      <alignment vertical="center"/>
    </xf>
    <xf numFmtId="164" fontId="3" fillId="6" borderId="5" xfId="1" applyNumberFormat="1" applyFont="1" applyFill="1" applyBorder="1" applyAlignment="1">
      <alignment vertical="center"/>
    </xf>
    <xf numFmtId="164" fontId="4" fillId="4" borderId="6" xfId="1" applyNumberFormat="1" applyFont="1" applyFill="1" applyBorder="1" applyAlignment="1">
      <alignment horizontal="center" vertical="center"/>
    </xf>
    <xf numFmtId="164" fontId="4" fillId="4" borderId="7" xfId="1" applyNumberFormat="1" applyFont="1" applyFill="1" applyBorder="1" applyAlignment="1">
      <alignment horizontal="center" vertical="center"/>
    </xf>
    <xf numFmtId="164" fontId="4" fillId="4" borderId="8" xfId="1" applyNumberFormat="1" applyFont="1" applyFill="1" applyBorder="1" applyAlignment="1">
      <alignment horizontal="center" vertical="center"/>
    </xf>
    <xf numFmtId="164" fontId="5" fillId="3" borderId="6" xfId="1" applyNumberFormat="1" applyFont="1" applyFill="1" applyBorder="1" applyAlignment="1">
      <alignment horizontal="center" vertical="center"/>
    </xf>
    <xf numFmtId="164" fontId="5" fillId="3" borderId="7" xfId="1" applyNumberFormat="1" applyFont="1" applyFill="1" applyBorder="1" applyAlignment="1">
      <alignment horizontal="center" vertical="center"/>
    </xf>
    <xf numFmtId="164" fontId="5" fillId="3" borderId="8" xfId="1" applyNumberFormat="1" applyFont="1" applyFill="1" applyBorder="1" applyAlignment="1">
      <alignment horizontal="center" vertical="center"/>
    </xf>
    <xf numFmtId="164" fontId="5" fillId="5" borderId="6" xfId="1" applyNumberFormat="1" applyFont="1" applyFill="1" applyBorder="1" applyAlignment="1">
      <alignment horizontal="center" vertical="center"/>
    </xf>
    <xf numFmtId="164" fontId="5" fillId="5" borderId="7" xfId="1" applyNumberFormat="1" applyFont="1" applyFill="1" applyBorder="1" applyAlignment="1">
      <alignment horizontal="center" vertical="center"/>
    </xf>
    <xf numFmtId="164" fontId="5" fillId="5" borderId="8" xfId="1" applyNumberFormat="1" applyFont="1" applyFill="1" applyBorder="1" applyAlignment="1">
      <alignment horizontal="center" vertical="center"/>
    </xf>
    <xf numFmtId="0" fontId="12" fillId="2" borderId="0" xfId="0" applyFont="1" applyFill="1" applyAlignment="1">
      <alignment horizontal="center" vertical="center"/>
    </xf>
    <xf numFmtId="3" fontId="10" fillId="4" borderId="4" xfId="0" applyNumberFormat="1" applyFont="1" applyFill="1" applyBorder="1" applyAlignment="1">
      <alignment horizontal="center" vertical="center"/>
    </xf>
    <xf numFmtId="3" fontId="10" fillId="4" borderId="0" xfId="0" applyNumberFormat="1" applyFont="1" applyFill="1" applyAlignment="1">
      <alignment horizontal="center" vertical="center"/>
    </xf>
    <xf numFmtId="3" fontId="10" fillId="4" borderId="5" xfId="0" applyNumberFormat="1" applyFont="1" applyFill="1" applyBorder="1" applyAlignment="1">
      <alignment horizontal="center" vertical="center"/>
    </xf>
    <xf numFmtId="3" fontId="12" fillId="3" borderId="4" xfId="0" applyNumberFormat="1" applyFont="1" applyFill="1" applyBorder="1" applyAlignment="1">
      <alignment horizontal="center" vertical="center"/>
    </xf>
    <xf numFmtId="3" fontId="12" fillId="3" borderId="0" xfId="0" applyNumberFormat="1" applyFont="1" applyFill="1" applyAlignment="1">
      <alignment horizontal="center" vertical="center"/>
    </xf>
    <xf numFmtId="3" fontId="12" fillId="3" borderId="5" xfId="0" applyNumberFormat="1" applyFont="1" applyFill="1" applyBorder="1" applyAlignment="1">
      <alignment horizontal="center" vertical="center"/>
    </xf>
    <xf numFmtId="3" fontId="12" fillId="5" borderId="4" xfId="0" applyNumberFormat="1" applyFont="1" applyFill="1" applyBorder="1" applyAlignment="1">
      <alignment horizontal="center" vertical="center"/>
    </xf>
    <xf numFmtId="3" fontId="12" fillId="5" borderId="0" xfId="0" applyNumberFormat="1" applyFont="1" applyFill="1" applyAlignment="1">
      <alignment horizontal="center" vertical="center"/>
    </xf>
    <xf numFmtId="3" fontId="12" fillId="5" borderId="5" xfId="0" applyNumberFormat="1" applyFont="1" applyFill="1" applyBorder="1" applyAlignment="1">
      <alignment horizontal="center" vertical="center"/>
    </xf>
    <xf numFmtId="0" fontId="14" fillId="4" borderId="0" xfId="0" applyFont="1" applyFill="1" applyAlignment="1">
      <alignment horizontal="center" vertical="center"/>
    </xf>
    <xf numFmtId="0" fontId="12" fillId="7" borderId="0" xfId="0" applyFont="1" applyFill="1" applyAlignment="1">
      <alignment vertical="center"/>
    </xf>
    <xf numFmtId="164" fontId="12" fillId="7" borderId="0" xfId="0" applyNumberFormat="1" applyFont="1" applyFill="1" applyAlignment="1">
      <alignment vertical="center"/>
    </xf>
    <xf numFmtId="165" fontId="12" fillId="7" borderId="0" xfId="2" applyNumberFormat="1" applyFont="1" applyFill="1" applyBorder="1" applyAlignment="1">
      <alignment horizontal="center" vertical="center"/>
    </xf>
    <xf numFmtId="0" fontId="10" fillId="0" borderId="0" xfId="0" applyFont="1" applyAlignment="1">
      <alignment vertical="center"/>
    </xf>
    <xf numFmtId="0" fontId="12" fillId="8" borderId="0" xfId="0" applyFont="1" applyFill="1" applyAlignment="1">
      <alignment vertical="center"/>
    </xf>
    <xf numFmtId="0" fontId="15" fillId="0" borderId="0" xfId="4" quotePrefix="1"/>
    <xf numFmtId="0" fontId="15" fillId="0" borderId="0" xfId="4"/>
    <xf numFmtId="0" fontId="3" fillId="0" borderId="0" xfId="0" applyFont="1" applyAlignment="1">
      <alignment horizontal="left" vertical="center" wrapText="1"/>
    </xf>
    <xf numFmtId="0" fontId="12" fillId="3" borderId="0" xfId="0" applyFont="1" applyFill="1" applyAlignment="1">
      <alignment horizontal="center" vertical="center"/>
    </xf>
    <xf numFmtId="0" fontId="10" fillId="0" borderId="0" xfId="0" applyFont="1" applyAlignment="1">
      <alignment vertical="center"/>
    </xf>
    <xf numFmtId="3" fontId="12" fillId="5" borderId="1" xfId="0" applyNumberFormat="1" applyFont="1" applyFill="1" applyBorder="1" applyAlignment="1">
      <alignment horizontal="center" vertical="center" wrapText="1"/>
    </xf>
    <xf numFmtId="3" fontId="12" fillId="5" borderId="2" xfId="0" applyNumberFormat="1" applyFont="1" applyFill="1" applyBorder="1" applyAlignment="1">
      <alignment horizontal="center" vertical="center" wrapText="1"/>
    </xf>
    <xf numFmtId="3" fontId="12" fillId="5" borderId="3" xfId="0" applyNumberFormat="1" applyFont="1" applyFill="1" applyBorder="1" applyAlignment="1">
      <alignment horizontal="center" vertical="center" wrapText="1"/>
    </xf>
    <xf numFmtId="3" fontId="10" fillId="4" borderId="1" xfId="0" applyNumberFormat="1" applyFont="1" applyFill="1" applyBorder="1" applyAlignment="1">
      <alignment horizontal="center" vertical="center" wrapText="1"/>
    </xf>
    <xf numFmtId="3" fontId="10" fillId="4" borderId="2" xfId="0" applyNumberFormat="1" applyFont="1" applyFill="1" applyBorder="1" applyAlignment="1">
      <alignment horizontal="center" vertical="center" wrapText="1"/>
    </xf>
    <xf numFmtId="3" fontId="10" fillId="4" borderId="3" xfId="0" applyNumberFormat="1" applyFont="1" applyFill="1" applyBorder="1" applyAlignment="1">
      <alignment horizontal="center" vertical="center" wrapText="1"/>
    </xf>
    <xf numFmtId="0" fontId="5" fillId="2" borderId="0" xfId="0" applyFont="1" applyFill="1" applyAlignment="1">
      <alignment horizontal="center" vertical="center"/>
    </xf>
    <xf numFmtId="0" fontId="12" fillId="2" borderId="0" xfId="0" applyFont="1" applyFill="1" applyAlignment="1">
      <alignment horizontal="center" vertical="center" wrapText="1"/>
    </xf>
    <xf numFmtId="3" fontId="12" fillId="3" borderId="1" xfId="0" applyNumberFormat="1" applyFont="1" applyFill="1" applyBorder="1" applyAlignment="1">
      <alignment horizontal="center" vertical="center" wrapText="1"/>
    </xf>
    <xf numFmtId="3" fontId="12" fillId="3" borderId="2" xfId="0" applyNumberFormat="1" applyFont="1" applyFill="1" applyBorder="1" applyAlignment="1">
      <alignment horizontal="center" vertical="center" wrapText="1"/>
    </xf>
    <xf numFmtId="3" fontId="12" fillId="3" borderId="3" xfId="0" applyNumberFormat="1" applyFont="1" applyFill="1" applyBorder="1" applyAlignment="1">
      <alignment horizontal="center" vertical="center" wrapText="1"/>
    </xf>
    <xf numFmtId="164" fontId="12" fillId="0" borderId="0" xfId="0" applyNumberFormat="1" applyFont="1" applyFill="1" applyAlignment="1">
      <alignment vertical="center"/>
    </xf>
  </cellXfs>
  <cellStyles count="5">
    <cellStyle name="Hipervínculo" xfId="3" builtinId="8"/>
    <cellStyle name="Millares" xfId="1" builtinId="3"/>
    <cellStyle name="Normal" xfId="0" builtinId="0"/>
    <cellStyle name="Normal 2" xfId="4" xr:uid="{DBBEBDA6-39C3-44FD-9B54-B86BE51067F3}"/>
    <cellStyle name="Porcentaje" xfId="2" builtinId="5"/>
  </cellStyles>
  <dxfs count="0"/>
  <tableStyles count="0" defaultTableStyle="TableStyleMedium2" defaultPivotStyle="PivotStyleLight16"/>
  <colors>
    <mruColors>
      <color rgb="FF9D2449"/>
      <color rgb="FF621132"/>
      <color rgb="FFB38E5D"/>
      <color rgb="FF285C4D"/>
      <color rgb="FFD4C19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MX"/>
              <a:t>Top ten de Rutas por pasajeros transportados en Servicio Regular Nacional</a:t>
            </a:r>
          </a:p>
          <a:p>
            <a:pPr>
              <a:defRPr/>
            </a:pPr>
            <a:r>
              <a:rPr lang="es-MX"/>
              <a:t>(Miles)</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8.4129715037517885E-2"/>
          <c:y val="0.23993613298337704"/>
          <c:w val="0.89238482795767982"/>
          <c:h val="0.49053222513852435"/>
        </c:manualLayout>
      </c:layout>
      <c:barChart>
        <c:barDir val="col"/>
        <c:grouping val="clustered"/>
        <c:varyColors val="0"/>
        <c:ser>
          <c:idx val="0"/>
          <c:order val="0"/>
          <c:tx>
            <c:strRef>
              <c:f>'Top Ten O-D Reg'!$C$10</c:f>
              <c:strCache>
                <c:ptCount val="1"/>
                <c:pt idx="0">
                  <c:v>2023</c:v>
                </c:pt>
              </c:strCache>
            </c:strRef>
          </c:tx>
          <c:spPr>
            <a:solidFill>
              <a:srgbClr val="D4C19C"/>
            </a:solidFill>
            <a:ln>
              <a:noFill/>
            </a:ln>
            <a:effectLst/>
          </c:spPr>
          <c:invertIfNegative val="0"/>
          <c:cat>
            <c:strRef>
              <c:f>'Top Ten O-D Reg'!$A$11:$A$20</c:f>
              <c:strCache>
                <c:ptCount val="10"/>
                <c:pt idx="0">
                  <c:v>Mexico-
Cancun</c:v>
                </c:pt>
                <c:pt idx="1">
                  <c:v>Monterrey-
Mexico</c:v>
                </c:pt>
                <c:pt idx="2">
                  <c:v>Mexico-
Guadalajara</c:v>
                </c:pt>
                <c:pt idx="3">
                  <c:v>Tijuana-
Mexico</c:v>
                </c:pt>
                <c:pt idx="4">
                  <c:v>Tijuana-
Guadalajara</c:v>
                </c:pt>
                <c:pt idx="5">
                  <c:v>Mexico-
Merida</c:v>
                </c:pt>
                <c:pt idx="6">
                  <c:v>Monterrey-
Cancun</c:v>
                </c:pt>
                <c:pt idx="7">
                  <c:v>Santa 
Lucía-
Cancun</c:v>
                </c:pt>
                <c:pt idx="8">
                  <c:v>Puerto 
Vallarta-
Mexico</c:v>
                </c:pt>
                <c:pt idx="9">
                  <c:v>Monterrey-
Guadalajara</c:v>
                </c:pt>
              </c:strCache>
            </c:strRef>
          </c:cat>
          <c:val>
            <c:numRef>
              <c:f>'Top Ten O-D Reg'!$C$11:$C$20</c:f>
              <c:numCache>
                <c:formatCode>_-* #,##0_-;\-* #,##0_-;_-* "-"??_-;_-@_-</c:formatCode>
                <c:ptCount val="10"/>
                <c:pt idx="0">
                  <c:v>4335.174</c:v>
                </c:pt>
                <c:pt idx="1">
                  <c:v>3404.529</c:v>
                </c:pt>
                <c:pt idx="2">
                  <c:v>3012.8739999999998</c:v>
                </c:pt>
                <c:pt idx="3">
                  <c:v>2300.547</c:v>
                </c:pt>
                <c:pt idx="4">
                  <c:v>2142.087</c:v>
                </c:pt>
                <c:pt idx="5">
                  <c:v>1896.586</c:v>
                </c:pt>
                <c:pt idx="6">
                  <c:v>1810.7190000000001</c:v>
                </c:pt>
                <c:pt idx="7">
                  <c:v>715.91600000000005</c:v>
                </c:pt>
                <c:pt idx="8">
                  <c:v>1140.366</c:v>
                </c:pt>
                <c:pt idx="9">
                  <c:v>1003.927</c:v>
                </c:pt>
              </c:numCache>
            </c:numRef>
          </c:val>
          <c:extLst>
            <c:ext xmlns:c16="http://schemas.microsoft.com/office/drawing/2014/chart" uri="{C3380CC4-5D6E-409C-BE32-E72D297353CC}">
              <c16:uniqueId val="{00000000-4D72-4401-836B-6FCC3065544E}"/>
            </c:ext>
          </c:extLst>
        </c:ser>
        <c:ser>
          <c:idx val="1"/>
          <c:order val="1"/>
          <c:tx>
            <c:strRef>
              <c:f>'Top Ten O-D Reg'!$D$10</c:f>
              <c:strCache>
                <c:ptCount val="1"/>
                <c:pt idx="0">
                  <c:v>2024</c:v>
                </c:pt>
              </c:strCache>
            </c:strRef>
          </c:tx>
          <c:spPr>
            <a:solidFill>
              <a:schemeClr val="accent1"/>
            </a:solidFill>
            <a:ln>
              <a:solidFill>
                <a:schemeClr val="accent1"/>
              </a:solidFill>
            </a:ln>
            <a:effectLst/>
          </c:spPr>
          <c:invertIfNegative val="0"/>
          <c:cat>
            <c:strRef>
              <c:f>'Top Ten O-D Reg'!$A$11:$A$20</c:f>
              <c:strCache>
                <c:ptCount val="10"/>
                <c:pt idx="0">
                  <c:v>Mexico-
Cancun</c:v>
                </c:pt>
                <c:pt idx="1">
                  <c:v>Monterrey-
Mexico</c:v>
                </c:pt>
                <c:pt idx="2">
                  <c:v>Mexico-
Guadalajara</c:v>
                </c:pt>
                <c:pt idx="3">
                  <c:v>Tijuana-
Mexico</c:v>
                </c:pt>
                <c:pt idx="4">
                  <c:v>Tijuana-
Guadalajara</c:v>
                </c:pt>
                <c:pt idx="5">
                  <c:v>Mexico-
Merida</c:v>
                </c:pt>
                <c:pt idx="6">
                  <c:v>Monterrey-
Cancun</c:v>
                </c:pt>
                <c:pt idx="7">
                  <c:v>Santa 
Lucía-
Cancun</c:v>
                </c:pt>
                <c:pt idx="8">
                  <c:v>Puerto 
Vallarta-
Mexico</c:v>
                </c:pt>
                <c:pt idx="9">
                  <c:v>Monterrey-
Guadalajara</c:v>
                </c:pt>
              </c:strCache>
            </c:strRef>
          </c:cat>
          <c:val>
            <c:numRef>
              <c:f>'Top Ten O-D Reg'!$D$11:$D$20</c:f>
              <c:numCache>
                <c:formatCode>_-* #,##0_-;\-* #,##0_-;_-* "-"??_-;_-@_-</c:formatCode>
                <c:ptCount val="10"/>
                <c:pt idx="0">
                  <c:v>3394.3359999999998</c:v>
                </c:pt>
                <c:pt idx="1">
                  <c:v>3070.2330000000002</c:v>
                </c:pt>
                <c:pt idx="2">
                  <c:v>2798.5720000000001</c:v>
                </c:pt>
                <c:pt idx="3">
                  <c:v>2060.7170000000001</c:v>
                </c:pt>
                <c:pt idx="4">
                  <c:v>1869.239</c:v>
                </c:pt>
                <c:pt idx="5">
                  <c:v>1687.0609999999999</c:v>
                </c:pt>
                <c:pt idx="6">
                  <c:v>1535.6289999999999</c:v>
                </c:pt>
                <c:pt idx="7">
                  <c:v>1102.165</c:v>
                </c:pt>
                <c:pt idx="8">
                  <c:v>1029.528</c:v>
                </c:pt>
                <c:pt idx="9">
                  <c:v>993.77200000000005</c:v>
                </c:pt>
              </c:numCache>
            </c:numRef>
          </c:val>
          <c:extLst>
            <c:ext xmlns:c16="http://schemas.microsoft.com/office/drawing/2014/chart" uri="{C3380CC4-5D6E-409C-BE32-E72D297353CC}">
              <c16:uniqueId val="{00000001-4D72-4401-836B-6FCC3065544E}"/>
            </c:ext>
          </c:extLst>
        </c:ser>
        <c:dLbls>
          <c:showLegendKey val="0"/>
          <c:showVal val="0"/>
          <c:showCatName val="0"/>
          <c:showSerName val="0"/>
          <c:showPercent val="0"/>
          <c:showBubbleSize val="0"/>
        </c:dLbls>
        <c:gapWidth val="100"/>
        <c:axId val="-575138192"/>
        <c:axId val="-575140368"/>
      </c:barChart>
      <c:lineChart>
        <c:grouping val="stacked"/>
        <c:varyColors val="0"/>
        <c:ser>
          <c:idx val="2"/>
          <c:order val="2"/>
          <c:tx>
            <c:strRef>
              <c:f>'Top Ten O-D Reg'!$E$10</c:f>
              <c:strCache>
                <c:ptCount val="1"/>
                <c:pt idx="0">
                  <c:v>Var %</c:v>
                </c:pt>
              </c:strCache>
            </c:strRef>
          </c:tx>
          <c:spPr>
            <a:ln w="28575" cap="rnd">
              <a:noFill/>
              <a:round/>
            </a:ln>
            <a:effectLst/>
          </c:spPr>
          <c:marker>
            <c:symbol val="circle"/>
            <c:size val="5"/>
            <c:spPr>
              <a:noFill/>
              <a:ln w="9525">
                <a:noFill/>
              </a:ln>
              <a:effectLst/>
            </c:spPr>
          </c:marker>
          <c:dLbls>
            <c:dLbl>
              <c:idx val="0"/>
              <c:tx>
                <c:rich>
                  <a:bodyPr/>
                  <a:lstStyle/>
                  <a:p>
                    <a:fld id="{5929BB9C-C40A-484D-BFCD-739CC2F4731B}"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AF7-4233-B82B-91BBAB5283AF}"/>
                </c:ext>
              </c:extLst>
            </c:dLbl>
            <c:dLbl>
              <c:idx val="1"/>
              <c:tx>
                <c:rich>
                  <a:bodyPr/>
                  <a:lstStyle/>
                  <a:p>
                    <a:fld id="{65AE89CA-E3A8-40E7-8472-D7489EF4C1D2}"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AAF7-4233-B82B-91BBAB5283AF}"/>
                </c:ext>
              </c:extLst>
            </c:dLbl>
            <c:dLbl>
              <c:idx val="2"/>
              <c:tx>
                <c:rich>
                  <a:bodyPr/>
                  <a:lstStyle/>
                  <a:p>
                    <a:fld id="{2147B429-72ED-4D95-BA04-7D54398A6E6F}"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AAF7-4233-B82B-91BBAB5283AF}"/>
                </c:ext>
              </c:extLst>
            </c:dLbl>
            <c:dLbl>
              <c:idx val="3"/>
              <c:tx>
                <c:rich>
                  <a:bodyPr/>
                  <a:lstStyle/>
                  <a:p>
                    <a:fld id="{31EB2CE7-F8D8-4CB5-BCC3-2EFD631699AB}"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AAF7-4233-B82B-91BBAB5283AF}"/>
                </c:ext>
              </c:extLst>
            </c:dLbl>
            <c:dLbl>
              <c:idx val="4"/>
              <c:tx>
                <c:rich>
                  <a:bodyPr/>
                  <a:lstStyle/>
                  <a:p>
                    <a:fld id="{043E2A20-0458-4414-9539-34E78A19100D}"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1A26-4FB6-911A-A36200546758}"/>
                </c:ext>
              </c:extLst>
            </c:dLbl>
            <c:dLbl>
              <c:idx val="5"/>
              <c:tx>
                <c:rich>
                  <a:bodyPr/>
                  <a:lstStyle/>
                  <a:p>
                    <a:fld id="{961EE622-06E6-45F5-A7B5-EC1A204FDB6F}"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AAF7-4233-B82B-91BBAB5283AF}"/>
                </c:ext>
              </c:extLst>
            </c:dLbl>
            <c:dLbl>
              <c:idx val="6"/>
              <c:tx>
                <c:rich>
                  <a:bodyPr/>
                  <a:lstStyle/>
                  <a:p>
                    <a:fld id="{7B8F4D1F-75AF-4124-9C08-425B5957AD66}"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AF7-4233-B82B-91BBAB5283AF}"/>
                </c:ext>
              </c:extLst>
            </c:dLbl>
            <c:dLbl>
              <c:idx val="7"/>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817472EE-92DD-48C0-BAC1-FBDE76023F1C}" type="CELLRANGE">
                      <a:rPr lang="es-MX"/>
                      <a:pPr>
                        <a:defRPr>
                          <a:solidFill>
                            <a:srgbClr val="00B0F0"/>
                          </a:solidFill>
                        </a:defRPr>
                      </a:pPr>
                      <a:t>[CELLRANGE]</a:t>
                    </a:fld>
                    <a:endParaRPr lang="es-MX"/>
                  </a:p>
                </c:rich>
              </c:tx>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1A26-4FB6-911A-A36200546758}"/>
                </c:ext>
              </c:extLst>
            </c:dLbl>
            <c:dLbl>
              <c:idx val="8"/>
              <c:tx>
                <c:rich>
                  <a:bodyPr/>
                  <a:lstStyle/>
                  <a:p>
                    <a:fld id="{731A1440-5217-4D2B-BC47-D87DD2C8588E}"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AAF7-4233-B82B-91BBAB5283AF}"/>
                </c:ext>
              </c:extLst>
            </c:dLbl>
            <c:dLbl>
              <c:idx val="9"/>
              <c:tx>
                <c:rich>
                  <a:bodyPr/>
                  <a:lstStyle/>
                  <a:p>
                    <a:fld id="{406DEAC9-3B71-47FB-A9BB-38CC5B7F1E0F}"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AAF7-4233-B82B-91BBAB5283AF}"/>
                </c:ext>
              </c:extLst>
            </c:dLbl>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Reg'!$A$11:$A$20</c:f>
              <c:strCache>
                <c:ptCount val="10"/>
                <c:pt idx="0">
                  <c:v>Mexico-
Cancun</c:v>
                </c:pt>
                <c:pt idx="1">
                  <c:v>Monterrey-
Mexico</c:v>
                </c:pt>
                <c:pt idx="2">
                  <c:v>Mexico-
Guadalajara</c:v>
                </c:pt>
                <c:pt idx="3">
                  <c:v>Tijuana-
Mexico</c:v>
                </c:pt>
                <c:pt idx="4">
                  <c:v>Tijuana-
Guadalajara</c:v>
                </c:pt>
                <c:pt idx="5">
                  <c:v>Mexico-
Merida</c:v>
                </c:pt>
                <c:pt idx="6">
                  <c:v>Monterrey-
Cancun</c:v>
                </c:pt>
                <c:pt idx="7">
                  <c:v>Santa 
Lucía-
Cancun</c:v>
                </c:pt>
                <c:pt idx="8">
                  <c:v>Puerto 
Vallarta-
Mexico</c:v>
                </c:pt>
                <c:pt idx="9">
                  <c:v>Monterrey-
Guadalajara</c:v>
                </c:pt>
              </c:strCache>
            </c:strRef>
          </c:cat>
          <c:val>
            <c:numRef>
              <c:f>'Top Ten O-D Reg'!$F$11:$F$20</c:f>
              <c:numCache>
                <c:formatCode>_-* #,##0_-;\-* #,##0_-;_-* "-"??_-;_-@_-</c:formatCode>
                <c:ptCount val="10"/>
                <c:pt idx="0">
                  <c:v>4465.2292200000002</c:v>
                </c:pt>
                <c:pt idx="1">
                  <c:v>3534.5842200000002</c:v>
                </c:pt>
                <c:pt idx="2">
                  <c:v>3142.92922</c:v>
                </c:pt>
                <c:pt idx="3">
                  <c:v>2430.6022200000002</c:v>
                </c:pt>
                <c:pt idx="4">
                  <c:v>2272.1422200000002</c:v>
                </c:pt>
                <c:pt idx="5">
                  <c:v>2026.64122</c:v>
                </c:pt>
                <c:pt idx="6">
                  <c:v>1940.77422</c:v>
                </c:pt>
                <c:pt idx="7">
                  <c:v>1232.2202199999999</c:v>
                </c:pt>
                <c:pt idx="8">
                  <c:v>1270.4212199999999</c:v>
                </c:pt>
                <c:pt idx="9">
                  <c:v>1133.9822200000001</c:v>
                </c:pt>
              </c:numCache>
            </c:numRef>
          </c:val>
          <c:smooth val="0"/>
          <c:extLst>
            <c:ext xmlns:c15="http://schemas.microsoft.com/office/drawing/2012/chart" uri="{02D57815-91ED-43cb-92C2-25804820EDAC}">
              <c15:datalabelsRange>
                <c15:f>'Top Ten O-D Reg'!$E$11:$E$20</c15:f>
                <c15:dlblRangeCache>
                  <c:ptCount val="10"/>
                  <c:pt idx="0">
                    <c:v>-21.7%</c:v>
                  </c:pt>
                  <c:pt idx="1">
                    <c:v>-9.8%</c:v>
                  </c:pt>
                  <c:pt idx="2">
                    <c:v>-7.1%</c:v>
                  </c:pt>
                  <c:pt idx="3">
                    <c:v>-10.4%</c:v>
                  </c:pt>
                  <c:pt idx="4">
                    <c:v>-12.7%</c:v>
                  </c:pt>
                  <c:pt idx="5">
                    <c:v>-11.0%</c:v>
                  </c:pt>
                  <c:pt idx="6">
                    <c:v>-15.2%</c:v>
                  </c:pt>
                  <c:pt idx="7">
                    <c:v>54.0%</c:v>
                  </c:pt>
                  <c:pt idx="8">
                    <c:v>-9.7%</c:v>
                  </c:pt>
                  <c:pt idx="9">
                    <c:v>-1.0%</c:v>
                  </c:pt>
                </c15:dlblRangeCache>
              </c15:datalabelsRange>
            </c:ext>
            <c:ext xmlns:c16="http://schemas.microsoft.com/office/drawing/2014/chart" uri="{C3380CC4-5D6E-409C-BE32-E72D297353CC}">
              <c16:uniqueId val="{00000002-4D72-4401-836B-6FCC3065544E}"/>
            </c:ext>
          </c:extLst>
        </c:ser>
        <c:dLbls>
          <c:showLegendKey val="0"/>
          <c:showVal val="0"/>
          <c:showCatName val="0"/>
          <c:showSerName val="0"/>
          <c:showPercent val="0"/>
          <c:showBubbleSize val="0"/>
        </c:dLbls>
        <c:marker val="1"/>
        <c:smooth val="0"/>
        <c:axId val="-574851120"/>
        <c:axId val="-575139280"/>
      </c:lineChart>
      <c:catAx>
        <c:axId val="-57513819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5140368"/>
        <c:crosses val="autoZero"/>
        <c:auto val="1"/>
        <c:lblAlgn val="ctr"/>
        <c:lblOffset val="100"/>
        <c:noMultiLvlLbl val="0"/>
      </c:catAx>
      <c:valAx>
        <c:axId val="-575140368"/>
        <c:scaling>
          <c:orientation val="minMax"/>
        </c:scaling>
        <c:delete val="0"/>
        <c:axPos val="l"/>
        <c:majorGridlines>
          <c:spPr>
            <a:ln w="9525" cap="flat" cmpd="sng" algn="ctr">
              <a:solidFill>
                <a:schemeClr val="accent2">
                  <a:lumMod val="40000"/>
                  <a:lumOff val="6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5138192"/>
        <c:crossesAt val="1"/>
        <c:crossBetween val="between"/>
        <c:majorUnit val="1000"/>
      </c:valAx>
      <c:valAx>
        <c:axId val="-57513928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1120"/>
        <c:crosses val="max"/>
        <c:crossBetween val="between"/>
        <c:majorUnit val="1000"/>
      </c:valAx>
      <c:catAx>
        <c:axId val="-574851120"/>
        <c:scaling>
          <c:orientation val="minMax"/>
        </c:scaling>
        <c:delete val="1"/>
        <c:axPos val="b"/>
        <c:numFmt formatCode="General" sourceLinked="1"/>
        <c:majorTickMark val="out"/>
        <c:minorTickMark val="none"/>
        <c:tickLblPos val="nextTo"/>
        <c:crossAx val="-575139280"/>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sz="960" b="0" i="0" u="none" strike="noStrike" kern="1200" spc="0" baseline="0">
                <a:solidFill>
                  <a:schemeClr val="tx1">
                    <a:lumMod val="65000"/>
                    <a:lumOff val="35000"/>
                  </a:schemeClr>
                </a:solidFill>
                <a:latin typeface="+mn-lt"/>
                <a:ea typeface="+mn-ea"/>
                <a:cs typeface="+mn-cs"/>
              </a:defRPr>
            </a:pPr>
            <a:r>
              <a:rPr lang="es-MX"/>
              <a:t>Top ten de Rutas por pasajeros transportados en Servicio Regular Internacional</a:t>
            </a:r>
          </a:p>
          <a:p>
            <a:pPr algn="ctr" rtl="0">
              <a:defRPr/>
            </a:pPr>
            <a:r>
              <a:rPr lang="es-MX"/>
              <a:t>(Miles) </a:t>
            </a:r>
          </a:p>
        </c:rich>
      </c:tx>
      <c:overlay val="0"/>
      <c:spPr>
        <a:noFill/>
        <a:ln>
          <a:noFill/>
        </a:ln>
        <a:effectLst/>
      </c:spPr>
      <c:txPr>
        <a:bodyPr rot="0" spcFirstLastPara="1" vertOverflow="ellipsis" vert="horz" wrap="square" anchor="ctr" anchorCtr="1"/>
        <a:lstStyle/>
        <a:p>
          <a:pPr algn="ctr" rtl="0">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6.9600673260975035E-2"/>
          <c:y val="0.21042037312903455"/>
          <c:w val="0.90691386973422261"/>
          <c:h val="0.58884613747605874"/>
        </c:manualLayout>
      </c:layout>
      <c:barChart>
        <c:barDir val="col"/>
        <c:grouping val="clustered"/>
        <c:varyColors val="0"/>
        <c:ser>
          <c:idx val="0"/>
          <c:order val="0"/>
          <c:tx>
            <c:strRef>
              <c:f>'Top Ten O-D Reg'!$C$29</c:f>
              <c:strCache>
                <c:ptCount val="1"/>
                <c:pt idx="0">
                  <c:v>2023</c:v>
                </c:pt>
              </c:strCache>
            </c:strRef>
          </c:tx>
          <c:spPr>
            <a:solidFill>
              <a:srgbClr val="D4C19C"/>
            </a:solidFill>
            <a:ln>
              <a:noFill/>
            </a:ln>
            <a:effectLst/>
          </c:spPr>
          <c:invertIfNegative val="0"/>
          <c:cat>
            <c:strRef>
              <c:f>'Top Ten O-D Reg'!$A$30:$A$39</c:f>
              <c:strCache>
                <c:ptCount val="10"/>
                <c:pt idx="0">
                  <c:v>Dallas/
Fort Worth-
Cancun</c:v>
                </c:pt>
                <c:pt idx="1">
                  <c:v>Mexico-
Madrid</c:v>
                </c:pt>
                <c:pt idx="2">
                  <c:v>Los Angeles-
Guadalajara</c:v>
                </c:pt>
                <c:pt idx="3">
                  <c:v>Houston-
Cancun</c:v>
                </c:pt>
                <c:pt idx="4">
                  <c:v>Chicago-
Cancun</c:v>
                </c:pt>
                <c:pt idx="5">
                  <c:v>Toronto-
Cancun</c:v>
                </c:pt>
                <c:pt idx="6">
                  <c:v>Mexico-
Los Angeles</c:v>
                </c:pt>
                <c:pt idx="7">
                  <c:v>Mexico-
Bogota</c:v>
                </c:pt>
                <c:pt idx="8">
                  <c:v>Mexico-
Houston</c:v>
                </c:pt>
                <c:pt idx="9">
                  <c:v>Miami-
Mexico</c:v>
                </c:pt>
              </c:strCache>
            </c:strRef>
          </c:cat>
          <c:val>
            <c:numRef>
              <c:f>'Top Ten O-D Reg'!$C$30:$C$39</c:f>
              <c:numCache>
                <c:formatCode>_-* #,##0_-;\-* #,##0_-;_-* "-"??_-;_-@_-</c:formatCode>
                <c:ptCount val="10"/>
                <c:pt idx="0">
                  <c:v>1160.0429999999999</c:v>
                </c:pt>
                <c:pt idx="1">
                  <c:v>1030.8820000000001</c:v>
                </c:pt>
                <c:pt idx="2">
                  <c:v>1079.8040000000001</c:v>
                </c:pt>
                <c:pt idx="3">
                  <c:v>1137.242</c:v>
                </c:pt>
                <c:pt idx="4">
                  <c:v>1011.503</c:v>
                </c:pt>
                <c:pt idx="5">
                  <c:v>772.93700000000001</c:v>
                </c:pt>
                <c:pt idx="6">
                  <c:v>891.71299999999997</c:v>
                </c:pt>
                <c:pt idx="7">
                  <c:v>925.72900000000004</c:v>
                </c:pt>
                <c:pt idx="8">
                  <c:v>889.43100000000004</c:v>
                </c:pt>
                <c:pt idx="9">
                  <c:v>769.89300000000003</c:v>
                </c:pt>
              </c:numCache>
            </c:numRef>
          </c:val>
          <c:extLst>
            <c:ext xmlns:c16="http://schemas.microsoft.com/office/drawing/2014/chart" uri="{C3380CC4-5D6E-409C-BE32-E72D297353CC}">
              <c16:uniqueId val="{00000000-5B57-4A55-A1BE-7BC12D68A7BE}"/>
            </c:ext>
          </c:extLst>
        </c:ser>
        <c:ser>
          <c:idx val="1"/>
          <c:order val="1"/>
          <c:tx>
            <c:strRef>
              <c:f>'Top Ten O-D Reg'!$D$29</c:f>
              <c:strCache>
                <c:ptCount val="1"/>
                <c:pt idx="0">
                  <c:v>2024</c:v>
                </c:pt>
              </c:strCache>
            </c:strRef>
          </c:tx>
          <c:spPr>
            <a:solidFill>
              <a:schemeClr val="accent1"/>
            </a:solidFill>
            <a:ln>
              <a:solidFill>
                <a:schemeClr val="accent1"/>
              </a:solidFill>
            </a:ln>
            <a:effectLst/>
          </c:spPr>
          <c:invertIfNegative val="0"/>
          <c:cat>
            <c:strRef>
              <c:f>'Top Ten O-D Reg'!$A$30:$A$39</c:f>
              <c:strCache>
                <c:ptCount val="10"/>
                <c:pt idx="0">
                  <c:v>Dallas/
Fort Worth-
Cancun</c:v>
                </c:pt>
                <c:pt idx="1">
                  <c:v>Mexico-
Madrid</c:v>
                </c:pt>
                <c:pt idx="2">
                  <c:v>Los Angeles-
Guadalajara</c:v>
                </c:pt>
                <c:pt idx="3">
                  <c:v>Houston-
Cancun</c:v>
                </c:pt>
                <c:pt idx="4">
                  <c:v>Chicago-
Cancun</c:v>
                </c:pt>
                <c:pt idx="5">
                  <c:v>Toronto-
Cancun</c:v>
                </c:pt>
                <c:pt idx="6">
                  <c:v>Mexico-
Los Angeles</c:v>
                </c:pt>
                <c:pt idx="7">
                  <c:v>Mexico-
Bogota</c:v>
                </c:pt>
                <c:pt idx="8">
                  <c:v>Mexico-
Houston</c:v>
                </c:pt>
                <c:pt idx="9">
                  <c:v>Miami-
Mexico</c:v>
                </c:pt>
              </c:strCache>
            </c:strRef>
          </c:cat>
          <c:val>
            <c:numRef>
              <c:f>'Top Ten O-D Reg'!$D$30:$D$39</c:f>
              <c:numCache>
                <c:formatCode>_-* #,##0_-;\-* #,##0_-;_-* "-"??_-;_-@_-</c:formatCode>
                <c:ptCount val="10"/>
                <c:pt idx="0">
                  <c:v>1152.8889999999999</c:v>
                </c:pt>
                <c:pt idx="1">
                  <c:v>1151.3779999999999</c:v>
                </c:pt>
                <c:pt idx="2">
                  <c:v>1145.6669999999999</c:v>
                </c:pt>
                <c:pt idx="3">
                  <c:v>1022.011</c:v>
                </c:pt>
                <c:pt idx="4">
                  <c:v>1020.088</c:v>
                </c:pt>
                <c:pt idx="5">
                  <c:v>1014.043</c:v>
                </c:pt>
                <c:pt idx="6">
                  <c:v>951.64700000000005</c:v>
                </c:pt>
                <c:pt idx="7">
                  <c:v>922.07600000000002</c:v>
                </c:pt>
                <c:pt idx="8">
                  <c:v>866.25699999999995</c:v>
                </c:pt>
                <c:pt idx="9">
                  <c:v>809.80100000000004</c:v>
                </c:pt>
              </c:numCache>
            </c:numRef>
          </c:val>
          <c:extLst>
            <c:ext xmlns:c16="http://schemas.microsoft.com/office/drawing/2014/chart" uri="{C3380CC4-5D6E-409C-BE32-E72D297353CC}">
              <c16:uniqueId val="{00000001-5B57-4A55-A1BE-7BC12D68A7BE}"/>
            </c:ext>
          </c:extLst>
        </c:ser>
        <c:dLbls>
          <c:showLegendKey val="0"/>
          <c:showVal val="0"/>
          <c:showCatName val="0"/>
          <c:showSerName val="0"/>
          <c:showPercent val="0"/>
          <c:showBubbleSize val="0"/>
        </c:dLbls>
        <c:gapWidth val="100"/>
        <c:axId val="-574850032"/>
        <c:axId val="-574852752"/>
      </c:barChart>
      <c:lineChart>
        <c:grouping val="stacked"/>
        <c:varyColors val="0"/>
        <c:ser>
          <c:idx val="2"/>
          <c:order val="2"/>
          <c:tx>
            <c:strRef>
              <c:f>'Top Ten O-D Reg'!$E$29</c:f>
              <c:strCache>
                <c:ptCount val="1"/>
                <c:pt idx="0">
                  <c:v>Var %</c:v>
                </c:pt>
              </c:strCache>
            </c:strRef>
          </c:tx>
          <c:spPr>
            <a:ln w="28575" cap="rnd">
              <a:noFill/>
              <a:round/>
            </a:ln>
            <a:effectLst/>
          </c:spPr>
          <c:marker>
            <c:symbol val="circle"/>
            <c:size val="5"/>
            <c:spPr>
              <a:noFill/>
              <a:ln w="9525">
                <a:noFill/>
              </a:ln>
              <a:effectLst/>
            </c:spPr>
          </c:marker>
          <c:dLbls>
            <c:dLbl>
              <c:idx val="0"/>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72C65173-FD46-4521-B2E8-8988D5E68C11}" type="CELLRANGE">
                      <a:rPr lang="en-US"/>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757-48D6-AB10-DC563548A540}"/>
                </c:ext>
              </c:extLst>
            </c:dLbl>
            <c:dLbl>
              <c:idx val="1"/>
              <c:tx>
                <c:rich>
                  <a:bodyPr/>
                  <a:lstStyle/>
                  <a:p>
                    <a:fld id="{3FAA2BF1-6240-44F9-B29C-D0ACD5CF2014}"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757-48D6-AB10-DC563548A540}"/>
                </c:ext>
              </c:extLst>
            </c:dLbl>
            <c:dLbl>
              <c:idx val="2"/>
              <c:tx>
                <c:rich>
                  <a:bodyPr/>
                  <a:lstStyle/>
                  <a:p>
                    <a:fld id="{00706D20-260E-4E91-8E10-5C0998D53263}"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757-48D6-AB10-DC563548A540}"/>
                </c:ext>
              </c:extLst>
            </c:dLbl>
            <c:dLbl>
              <c:idx val="3"/>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290F9FC4-D499-40A1-824A-6E7E1871DCE2}"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757-48D6-AB10-DC563548A540}"/>
                </c:ext>
              </c:extLst>
            </c:dLbl>
            <c:dLbl>
              <c:idx val="4"/>
              <c:tx>
                <c:rich>
                  <a:bodyPr/>
                  <a:lstStyle/>
                  <a:p>
                    <a:fld id="{9F606DBB-73FF-42E5-81FE-2730E68BB238}"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757-48D6-AB10-DC563548A540}"/>
                </c:ext>
              </c:extLst>
            </c:dLbl>
            <c:dLbl>
              <c:idx val="5"/>
              <c:tx>
                <c:rich>
                  <a:bodyPr/>
                  <a:lstStyle/>
                  <a:p>
                    <a:fld id="{F2DC2D63-3194-4589-AAB5-3DF4D72CD2D4}"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E757-48D6-AB10-DC563548A540}"/>
                </c:ext>
              </c:extLst>
            </c:dLbl>
            <c:dLbl>
              <c:idx val="6"/>
              <c:tx>
                <c:rich>
                  <a:bodyPr/>
                  <a:lstStyle/>
                  <a:p>
                    <a:fld id="{3F537844-AC17-4EE9-9160-5A028DE7E5CA}"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E757-48D6-AB10-DC563548A540}"/>
                </c:ext>
              </c:extLst>
            </c:dLbl>
            <c:dLbl>
              <c:idx val="7"/>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AAC73181-9B3B-4EE6-A473-9EDB215DED41}"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757-48D6-AB10-DC563548A540}"/>
                </c:ext>
              </c:extLst>
            </c:dLbl>
            <c:dLbl>
              <c:idx val="8"/>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9043ABF8-7E3B-462F-8795-29B1187E6798}"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757-48D6-AB10-DC563548A540}"/>
                </c:ext>
              </c:extLst>
            </c:dLbl>
            <c:dLbl>
              <c:idx val="9"/>
              <c:tx>
                <c:rich>
                  <a:bodyPr/>
                  <a:lstStyle/>
                  <a:p>
                    <a:fld id="{6064D7EC-8CB8-4386-BE92-CBEFB6382194}"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A57B-4CCB-ABE0-3348D1A8734A}"/>
                </c:ext>
              </c:extLst>
            </c:dLbl>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'Top Ten O-D Reg'!$A$30:$A$39</c:f>
              <c:strCache>
                <c:ptCount val="10"/>
                <c:pt idx="0">
                  <c:v>Dallas/
Fort Worth-
Cancun</c:v>
                </c:pt>
                <c:pt idx="1">
                  <c:v>Mexico-
Madrid</c:v>
                </c:pt>
                <c:pt idx="2">
                  <c:v>Los Angeles-
Guadalajara</c:v>
                </c:pt>
                <c:pt idx="3">
                  <c:v>Houston-
Cancun</c:v>
                </c:pt>
                <c:pt idx="4">
                  <c:v>Chicago-
Cancun</c:v>
                </c:pt>
                <c:pt idx="5">
                  <c:v>Toronto-
Cancun</c:v>
                </c:pt>
                <c:pt idx="6">
                  <c:v>Mexico-
Los Angeles</c:v>
                </c:pt>
                <c:pt idx="7">
                  <c:v>Mexico-
Bogota</c:v>
                </c:pt>
                <c:pt idx="8">
                  <c:v>Mexico-
Houston</c:v>
                </c:pt>
                <c:pt idx="9">
                  <c:v>Miami-
Mexico</c:v>
                </c:pt>
              </c:strCache>
            </c:strRef>
          </c:cat>
          <c:val>
            <c:numRef>
              <c:f>'Top Ten O-D Reg'!$F$30:$F$39</c:f>
              <c:numCache>
                <c:formatCode>_-* #,##0_-;\-* #,##0_-;_-* "-"??_-;_-@_-</c:formatCode>
                <c:ptCount val="10"/>
                <c:pt idx="0">
                  <c:v>1218.0451499999999</c:v>
                </c:pt>
                <c:pt idx="1">
                  <c:v>1209.38015</c:v>
                </c:pt>
                <c:pt idx="2">
                  <c:v>1203.6691499999999</c:v>
                </c:pt>
                <c:pt idx="3">
                  <c:v>1195.24415</c:v>
                </c:pt>
                <c:pt idx="4">
                  <c:v>1078.09015</c:v>
                </c:pt>
                <c:pt idx="5">
                  <c:v>1072.0451499999999</c:v>
                </c:pt>
                <c:pt idx="6">
                  <c:v>1009.6491500000001</c:v>
                </c:pt>
                <c:pt idx="7">
                  <c:v>983.73115000000007</c:v>
                </c:pt>
                <c:pt idx="8">
                  <c:v>947.43315000000007</c:v>
                </c:pt>
                <c:pt idx="9">
                  <c:v>867.80315000000007</c:v>
                </c:pt>
              </c:numCache>
            </c:numRef>
          </c:val>
          <c:smooth val="0"/>
          <c:extLst>
            <c:ext xmlns:c15="http://schemas.microsoft.com/office/drawing/2012/chart" uri="{02D57815-91ED-43cb-92C2-25804820EDAC}">
              <c15:datalabelsRange>
                <c15:f>'Top Ten O-D Reg'!$E$30:$E$39</c15:f>
                <c15:dlblRangeCache>
                  <c:ptCount val="10"/>
                  <c:pt idx="0">
                    <c:v>-0.6%</c:v>
                  </c:pt>
                  <c:pt idx="1">
                    <c:v>11.7%</c:v>
                  </c:pt>
                  <c:pt idx="2">
                    <c:v>6.1%</c:v>
                  </c:pt>
                  <c:pt idx="3">
                    <c:v>-10.1%</c:v>
                  </c:pt>
                  <c:pt idx="4">
                    <c:v>0.8%</c:v>
                  </c:pt>
                  <c:pt idx="5">
                    <c:v>31.2%</c:v>
                  </c:pt>
                  <c:pt idx="6">
                    <c:v>6.7%</c:v>
                  </c:pt>
                  <c:pt idx="7">
                    <c:v>-0.4%</c:v>
                  </c:pt>
                  <c:pt idx="8">
                    <c:v>-2.6%</c:v>
                  </c:pt>
                  <c:pt idx="9">
                    <c:v>5.2%</c:v>
                  </c:pt>
                </c15:dlblRangeCache>
              </c15:datalabelsRange>
            </c:ext>
            <c:ext xmlns:c16="http://schemas.microsoft.com/office/drawing/2014/chart" uri="{C3380CC4-5D6E-409C-BE32-E72D297353CC}">
              <c16:uniqueId val="{00000005-5B57-4A55-A1BE-7BC12D68A7BE}"/>
            </c:ext>
          </c:extLst>
        </c:ser>
        <c:dLbls>
          <c:showLegendKey val="0"/>
          <c:showVal val="0"/>
          <c:showCatName val="0"/>
          <c:showSerName val="0"/>
          <c:showPercent val="0"/>
          <c:showBubbleSize val="0"/>
        </c:dLbls>
        <c:marker val="1"/>
        <c:smooth val="0"/>
        <c:axId val="-574852208"/>
        <c:axId val="-574851664"/>
      </c:lineChart>
      <c:catAx>
        <c:axId val="-57485003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2752"/>
        <c:crosses val="autoZero"/>
        <c:auto val="1"/>
        <c:lblAlgn val="ctr"/>
        <c:lblOffset val="100"/>
        <c:noMultiLvlLbl val="0"/>
      </c:catAx>
      <c:valAx>
        <c:axId val="-574852752"/>
        <c:scaling>
          <c:orientation val="minMax"/>
        </c:scaling>
        <c:delete val="0"/>
        <c:axPos val="l"/>
        <c:majorGridlines>
          <c:spPr>
            <a:ln w="9525" cap="flat" cmpd="sng" algn="ctr">
              <a:solidFill>
                <a:schemeClr val="accent2">
                  <a:lumMod val="40000"/>
                  <a:lumOff val="60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0032"/>
        <c:crossesAt val="1"/>
        <c:crossBetween val="between"/>
      </c:valAx>
      <c:valAx>
        <c:axId val="-57485166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2208"/>
        <c:crosses val="max"/>
        <c:crossBetween val="between"/>
      </c:valAx>
      <c:catAx>
        <c:axId val="-574852208"/>
        <c:scaling>
          <c:orientation val="minMax"/>
        </c:scaling>
        <c:delete val="1"/>
        <c:axPos val="b"/>
        <c:numFmt formatCode="General" sourceLinked="1"/>
        <c:majorTickMark val="out"/>
        <c:minorTickMark val="none"/>
        <c:tickLblPos val="nextTo"/>
        <c:crossAx val="-574851664"/>
        <c:crosses val="autoZero"/>
        <c:auto val="1"/>
        <c:lblAlgn val="ctr"/>
        <c:lblOffset val="100"/>
        <c:noMultiLvlLbl val="0"/>
      </c:catAx>
      <c:spPr>
        <a:solidFill>
          <a:schemeClr val="bg1"/>
        </a:solid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MX"/>
              <a:t>Top ten de Rutas por carga transportada en Servicio Regular Nacional</a:t>
            </a:r>
          </a:p>
          <a:p>
            <a:pPr>
              <a:defRPr/>
            </a:pPr>
            <a:r>
              <a:rPr lang="es-MX"/>
              <a:t>(Miles de Ton)</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8.4129715037517885E-2"/>
          <c:y val="0.25475094779819185"/>
          <c:w val="0.89238482795767982"/>
          <c:h val="0.51821726450860306"/>
        </c:manualLayout>
      </c:layout>
      <c:barChart>
        <c:barDir val="col"/>
        <c:grouping val="clustered"/>
        <c:varyColors val="0"/>
        <c:ser>
          <c:idx val="0"/>
          <c:order val="0"/>
          <c:tx>
            <c:strRef>
              <c:f>'Top Ten O-D Reg'!$P$10</c:f>
              <c:strCache>
                <c:ptCount val="1"/>
                <c:pt idx="0">
                  <c:v>2023</c:v>
                </c:pt>
              </c:strCache>
            </c:strRef>
          </c:tx>
          <c:spPr>
            <a:solidFill>
              <a:srgbClr val="D4C19C"/>
            </a:solidFill>
            <a:ln>
              <a:noFill/>
            </a:ln>
            <a:effectLst/>
          </c:spPr>
          <c:invertIfNegative val="0"/>
          <c:dLbls>
            <c:delete val="1"/>
          </c:dLbls>
          <c:cat>
            <c:strRef>
              <c:f>'Top Ten O-D Reg'!$N$11:$N$20</c:f>
              <c:strCache>
                <c:ptCount val="10"/>
                <c:pt idx="0">
                  <c:v>Tijuana-
Mexico</c:v>
                </c:pt>
                <c:pt idx="1">
                  <c:v>Monterrey-
Mexico</c:v>
                </c:pt>
                <c:pt idx="2">
                  <c:v>Santa 
Lucía-
Guadalajara</c:v>
                </c:pt>
                <c:pt idx="3">
                  <c:v>Mexico-
Merida</c:v>
                </c:pt>
                <c:pt idx="4">
                  <c:v>Mexico-
Cancun</c:v>
                </c:pt>
                <c:pt idx="5">
                  <c:v>Mexico-
Guadalajara</c:v>
                </c:pt>
                <c:pt idx="6">
                  <c:v>Santa 
Lucía-
San Luis 
Potosi</c:v>
                </c:pt>
                <c:pt idx="7">
                  <c:v>Tijuana-
Guadalajara</c:v>
                </c:pt>
                <c:pt idx="8">
                  <c:v>San Luis 
Potosi-
Monterrey</c:v>
                </c:pt>
                <c:pt idx="9">
                  <c:v>San Luis 
Potosi-
Culiacan</c:v>
                </c:pt>
              </c:strCache>
            </c:strRef>
          </c:cat>
          <c:val>
            <c:numRef>
              <c:f>'Top Ten O-D Reg'!$P$11:$P$20</c:f>
              <c:numCache>
                <c:formatCode>_-* #,##0_-;\-* #,##0_-;_-* "-"??_-;_-@_-</c:formatCode>
                <c:ptCount val="10"/>
                <c:pt idx="0">
                  <c:v>9984.9974099999999</c:v>
                </c:pt>
                <c:pt idx="1">
                  <c:v>8160.2778699999999</c:v>
                </c:pt>
                <c:pt idx="2">
                  <c:v>2934.4164599999999</c:v>
                </c:pt>
                <c:pt idx="3">
                  <c:v>5497.0191500000001</c:v>
                </c:pt>
                <c:pt idx="4">
                  <c:v>5132.4093900000007</c:v>
                </c:pt>
                <c:pt idx="5">
                  <c:v>13586.170050000001</c:v>
                </c:pt>
                <c:pt idx="6">
                  <c:v>1925.2280000000001</c:v>
                </c:pt>
                <c:pt idx="7">
                  <c:v>4920.6692800000001</c:v>
                </c:pt>
                <c:pt idx="8">
                  <c:v>4695.0290000000005</c:v>
                </c:pt>
                <c:pt idx="9">
                  <c:v>3792.623</c:v>
                </c:pt>
              </c:numCache>
            </c:numRef>
          </c:val>
          <c:extLst>
            <c:ext xmlns:c16="http://schemas.microsoft.com/office/drawing/2014/chart" uri="{C3380CC4-5D6E-409C-BE32-E72D297353CC}">
              <c16:uniqueId val="{00000000-41E2-45D1-B931-51917F91F406}"/>
            </c:ext>
          </c:extLst>
        </c:ser>
        <c:ser>
          <c:idx val="1"/>
          <c:order val="1"/>
          <c:tx>
            <c:strRef>
              <c:f>'Top Ten O-D Reg'!$Q$10</c:f>
              <c:strCache>
                <c:ptCount val="1"/>
                <c:pt idx="0">
                  <c:v>2024</c:v>
                </c:pt>
              </c:strCache>
            </c:strRef>
          </c:tx>
          <c:spPr>
            <a:solidFill>
              <a:schemeClr val="accent1"/>
            </a:solidFill>
            <a:ln>
              <a:solidFill>
                <a:schemeClr val="accent1"/>
              </a:solidFill>
            </a:ln>
            <a:effectLst/>
          </c:spPr>
          <c:invertIfNegative val="0"/>
          <c:dLbls>
            <c:delete val="1"/>
          </c:dLbls>
          <c:cat>
            <c:strRef>
              <c:f>'Top Ten O-D Reg'!$N$11:$N$20</c:f>
              <c:strCache>
                <c:ptCount val="10"/>
                <c:pt idx="0">
                  <c:v>Tijuana-
Mexico</c:v>
                </c:pt>
                <c:pt idx="1">
                  <c:v>Monterrey-
Mexico</c:v>
                </c:pt>
                <c:pt idx="2">
                  <c:v>Santa 
Lucía-
Guadalajara</c:v>
                </c:pt>
                <c:pt idx="3">
                  <c:v>Mexico-
Merida</c:v>
                </c:pt>
                <c:pt idx="4">
                  <c:v>Mexico-
Cancun</c:v>
                </c:pt>
                <c:pt idx="5">
                  <c:v>Mexico-
Guadalajara</c:v>
                </c:pt>
                <c:pt idx="6">
                  <c:v>Santa 
Lucía-
San Luis 
Potosi</c:v>
                </c:pt>
                <c:pt idx="7">
                  <c:v>Tijuana-
Guadalajara</c:v>
                </c:pt>
                <c:pt idx="8">
                  <c:v>San Luis 
Potosi-
Monterrey</c:v>
                </c:pt>
                <c:pt idx="9">
                  <c:v>San Luis 
Potosi-
Culiacan</c:v>
                </c:pt>
              </c:strCache>
            </c:strRef>
          </c:cat>
          <c:val>
            <c:numRef>
              <c:f>'Top Ten O-D Reg'!$Q$11:$Q$20</c:f>
              <c:numCache>
                <c:formatCode>_-* #,##0_-;\-* #,##0_-;_-* "-"??_-;_-@_-</c:formatCode>
                <c:ptCount val="10"/>
                <c:pt idx="0">
                  <c:v>10851.318150000001</c:v>
                </c:pt>
                <c:pt idx="1">
                  <c:v>10045.28861</c:v>
                </c:pt>
                <c:pt idx="2">
                  <c:v>8291.7822762358373</c:v>
                </c:pt>
                <c:pt idx="3">
                  <c:v>5542.2489999999998</c:v>
                </c:pt>
                <c:pt idx="4">
                  <c:v>5466.0469199999998</c:v>
                </c:pt>
                <c:pt idx="5">
                  <c:v>5034.0860699999994</c:v>
                </c:pt>
                <c:pt idx="6">
                  <c:v>4981.7719999999999</c:v>
                </c:pt>
                <c:pt idx="7">
                  <c:v>4907.5941199999997</c:v>
                </c:pt>
                <c:pt idx="8">
                  <c:v>4859.415</c:v>
                </c:pt>
                <c:pt idx="9">
                  <c:v>3772.72</c:v>
                </c:pt>
              </c:numCache>
            </c:numRef>
          </c:val>
          <c:extLst>
            <c:ext xmlns:c16="http://schemas.microsoft.com/office/drawing/2014/chart" uri="{C3380CC4-5D6E-409C-BE32-E72D297353CC}">
              <c16:uniqueId val="{00000001-41E2-45D1-B931-51917F91F406}"/>
            </c:ext>
          </c:extLst>
        </c:ser>
        <c:dLbls>
          <c:showLegendKey val="0"/>
          <c:showVal val="1"/>
          <c:showCatName val="0"/>
          <c:showSerName val="0"/>
          <c:showPercent val="0"/>
          <c:showBubbleSize val="0"/>
        </c:dLbls>
        <c:gapWidth val="100"/>
        <c:axId val="-574854384"/>
        <c:axId val="-574856560"/>
      </c:barChart>
      <c:lineChart>
        <c:grouping val="stacked"/>
        <c:varyColors val="0"/>
        <c:ser>
          <c:idx val="2"/>
          <c:order val="2"/>
          <c:tx>
            <c:strRef>
              <c:f>'Top Ten O-D Reg'!$R$10</c:f>
              <c:strCache>
                <c:ptCount val="1"/>
                <c:pt idx="0">
                  <c:v>Var %</c:v>
                </c:pt>
              </c:strCache>
            </c:strRef>
          </c:tx>
          <c:spPr>
            <a:ln w="28575" cap="rnd">
              <a:noFill/>
              <a:round/>
            </a:ln>
            <a:effectLst/>
          </c:spPr>
          <c:marker>
            <c:symbol val="circle"/>
            <c:size val="5"/>
            <c:spPr>
              <a:noFill/>
              <a:ln w="9525">
                <a:noFill/>
              </a:ln>
              <a:effectLst/>
            </c:spPr>
          </c:marker>
          <c:dPt>
            <c:idx val="2"/>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0-7D31-4A67-A6B9-42222FF4E782}"/>
              </c:ext>
            </c:extLst>
          </c:dPt>
          <c:dPt>
            <c:idx val="3"/>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5-4DF6-40D4-BD87-7613D1B65709}"/>
              </c:ext>
            </c:extLst>
          </c:dPt>
          <c:dPt>
            <c:idx val="9"/>
            <c:marker>
              <c:symbol val="circle"/>
              <c:size val="5"/>
              <c:spPr>
                <a:noFill/>
                <a:ln w="9525">
                  <a:noFill/>
                </a:ln>
                <a:effectLst/>
              </c:spPr>
            </c:marker>
            <c:bubble3D val="0"/>
            <c:spPr>
              <a:ln w="28575" cap="rnd">
                <a:noFill/>
                <a:round/>
              </a:ln>
              <a:effectLst/>
            </c:spPr>
            <c:extLst>
              <c:ext xmlns:c16="http://schemas.microsoft.com/office/drawing/2014/chart" uri="{C3380CC4-5D6E-409C-BE32-E72D297353CC}">
                <c16:uniqueId val="{00000000-4DF6-40D4-BD87-7613D1B65709}"/>
              </c:ext>
            </c:extLst>
          </c:dPt>
          <c:dLbls>
            <c:dLbl>
              <c:idx val="0"/>
              <c:tx>
                <c:rich>
                  <a:bodyPr/>
                  <a:lstStyle/>
                  <a:p>
                    <a:fld id="{1F55A427-3028-4946-857C-7B6CF5FF52A5}" type="CELLRANGE">
                      <a:rPr lang="en-US"/>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A78-4D29-9020-4C5930BCD780}"/>
                </c:ext>
              </c:extLst>
            </c:dLbl>
            <c:dLbl>
              <c:idx val="1"/>
              <c:tx>
                <c:rich>
                  <a:bodyPr/>
                  <a:lstStyle/>
                  <a:p>
                    <a:fld id="{DCDED0BC-C8EE-4E25-AEF8-91EE8D67F431}"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C8F-41BD-9937-B5F9EBC315BC}"/>
                </c:ext>
              </c:extLst>
            </c:dLbl>
            <c:dLbl>
              <c:idx val="2"/>
              <c:tx>
                <c:rich>
                  <a:bodyPr rot="0" spcFirstLastPara="1" vertOverflow="ellipsis" vert="horz" wrap="square" anchor="ctr" anchorCtr="1"/>
                  <a:lstStyle/>
                  <a:p>
                    <a:pPr>
                      <a:defRPr sz="800" b="0" i="0" u="none" strike="noStrike" kern="1200" baseline="0">
                        <a:noFill/>
                        <a:latin typeface="+mn-lt"/>
                        <a:ea typeface="+mn-ea"/>
                        <a:cs typeface="+mn-cs"/>
                      </a:defRPr>
                    </a:pPr>
                    <a:fld id="{19A94DE0-7EA8-4533-AB68-B157764F6646}" type="CELLRANGE">
                      <a:rPr lang="es-MX"/>
                      <a:pPr>
                        <a:defRPr>
                          <a:noFill/>
                        </a:defRPr>
                      </a:pPr>
                      <a:t>[CELLRANGE]</a:t>
                    </a:fld>
                    <a:endParaRPr lang="es-MX"/>
                  </a:p>
                </c:rich>
              </c:tx>
              <c:spPr>
                <a:noFill/>
                <a:ln>
                  <a:noFill/>
                </a:ln>
                <a:effectLst/>
              </c:spPr>
              <c:txPr>
                <a:bodyPr rot="0" spcFirstLastPara="1" vertOverflow="ellipsis" vert="horz" wrap="square" anchor="ctr" anchorCtr="1"/>
                <a:lstStyle/>
                <a:p>
                  <a:pPr>
                    <a:defRPr sz="800" b="0" i="0" u="none" strike="noStrike" kern="1200" baseline="0">
                      <a:no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7D31-4A67-A6B9-42222FF4E782}"/>
                </c:ext>
              </c:extLst>
            </c:dLbl>
            <c:dLbl>
              <c:idx val="3"/>
              <c:tx>
                <c:rich>
                  <a:bodyPr/>
                  <a:lstStyle/>
                  <a:p>
                    <a:fld id="{2FBA768C-86F6-42D4-A5FA-E52C2461EACA}"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DF6-40D4-BD87-7613D1B65709}"/>
                </c:ext>
              </c:extLst>
            </c:dLbl>
            <c:dLbl>
              <c:idx val="4"/>
              <c:tx>
                <c:rich>
                  <a:bodyPr/>
                  <a:lstStyle/>
                  <a:p>
                    <a:fld id="{A214FAFC-4117-4F7D-87EC-14129E101256}"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A78-4D29-9020-4C5930BCD780}"/>
                </c:ext>
              </c:extLst>
            </c:dLbl>
            <c:dLbl>
              <c:idx val="5"/>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8DAD99FE-2DD2-4F08-A07D-02BCE6BFB837}"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C8F-41BD-9937-B5F9EBC315BC}"/>
                </c:ext>
              </c:extLst>
            </c:dLbl>
            <c:dLbl>
              <c:idx val="6"/>
              <c:tx>
                <c:rich>
                  <a:bodyPr rot="0" spcFirstLastPara="1" vertOverflow="ellipsis" vert="horz" wrap="square" anchor="ctr" anchorCtr="1"/>
                  <a:lstStyle/>
                  <a:p>
                    <a:pPr>
                      <a:defRPr sz="800" b="0" i="0" u="none" strike="noStrike" kern="1200" baseline="0">
                        <a:noFill/>
                        <a:latin typeface="+mn-lt"/>
                        <a:ea typeface="+mn-ea"/>
                        <a:cs typeface="+mn-cs"/>
                      </a:defRPr>
                    </a:pPr>
                    <a:fld id="{D9AB656C-6F2F-4BE5-A3CC-4EA6C2673334}" type="CELLRANGE">
                      <a:rPr lang="es-MX"/>
                      <a:pPr>
                        <a:defRPr>
                          <a:noFill/>
                        </a:defRPr>
                      </a:pPr>
                      <a:t>[CELLRANGE]</a:t>
                    </a:fld>
                    <a:endParaRPr lang="es-MX"/>
                  </a:p>
                </c:rich>
              </c:tx>
              <c:spPr>
                <a:noFill/>
                <a:ln>
                  <a:noFill/>
                </a:ln>
                <a:effectLst/>
              </c:spPr>
              <c:txPr>
                <a:bodyPr rot="0" spcFirstLastPara="1" vertOverflow="ellipsis" vert="horz" wrap="square" anchor="ctr" anchorCtr="1"/>
                <a:lstStyle/>
                <a:p>
                  <a:pPr>
                    <a:defRPr sz="800" b="0" i="0" u="none" strike="noStrike" kern="1200" baseline="0">
                      <a:no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C8F-41BD-9937-B5F9EBC315BC}"/>
                </c:ext>
              </c:extLst>
            </c:dLbl>
            <c:dLbl>
              <c:idx val="7"/>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68409059-E8D1-4F61-BC67-9A544CB62D3C}" type="CELLRANGE">
                      <a:rPr lang="es-MX"/>
                      <a:pPr>
                        <a:defRPr>
                          <a:solidFill>
                            <a:srgbClr val="FF0000"/>
                          </a:solidFill>
                        </a:defRPr>
                      </a:pPr>
                      <a:t>[CELLRANGE]</a:t>
                    </a:fld>
                    <a:endParaRPr lang="es-MX"/>
                  </a:p>
                </c:rich>
              </c:tx>
              <c:spPr>
                <a:no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C8F-41BD-9937-B5F9EBC315BC}"/>
                </c:ext>
              </c:extLst>
            </c:dLbl>
            <c:dLbl>
              <c:idx val="8"/>
              <c:tx>
                <c:rich>
                  <a:bodyPr/>
                  <a:lstStyle/>
                  <a:p>
                    <a:fld id="{AE6AC3C5-C85A-44E3-9DE9-F9C844142BA0}"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C8F-41BD-9937-B5F9EBC315BC}"/>
                </c:ext>
              </c:extLst>
            </c:dLbl>
            <c:dLbl>
              <c:idx val="9"/>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75242D5E-8927-4112-B6FF-1159FB3C4A07}"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4DF6-40D4-BD87-7613D1B65709}"/>
                </c:ext>
              </c:extLst>
            </c:dLbl>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Reg'!$N$11:$N$20</c:f>
              <c:strCache>
                <c:ptCount val="10"/>
                <c:pt idx="0">
                  <c:v>Tijuana-
Mexico</c:v>
                </c:pt>
                <c:pt idx="1">
                  <c:v>Monterrey-
Mexico</c:v>
                </c:pt>
                <c:pt idx="2">
                  <c:v>Santa 
Lucía-
Guadalajara</c:v>
                </c:pt>
                <c:pt idx="3">
                  <c:v>Mexico-
Merida</c:v>
                </c:pt>
                <c:pt idx="4">
                  <c:v>Mexico-
Cancun</c:v>
                </c:pt>
                <c:pt idx="5">
                  <c:v>Mexico-
Guadalajara</c:v>
                </c:pt>
                <c:pt idx="6">
                  <c:v>Santa 
Lucía-
San Luis 
Potosi</c:v>
                </c:pt>
                <c:pt idx="7">
                  <c:v>Tijuana-
Guadalajara</c:v>
                </c:pt>
                <c:pt idx="8">
                  <c:v>San Luis 
Potosi-
Monterrey</c:v>
                </c:pt>
                <c:pt idx="9">
                  <c:v>San Luis 
Potosi-
Culiacan</c:v>
                </c:pt>
              </c:strCache>
            </c:strRef>
          </c:cat>
          <c:val>
            <c:numRef>
              <c:f>'Top Ten O-D Reg'!$S$11:$S$20</c:f>
              <c:numCache>
                <c:formatCode>_-* #,##0_-;\-* #,##0_-;_-* "-"??_-;_-@_-</c:formatCode>
                <c:ptCount val="10"/>
                <c:pt idx="0">
                  <c:v>11258.903251500002</c:v>
                </c:pt>
                <c:pt idx="1">
                  <c:v>10452.8737115</c:v>
                </c:pt>
                <c:pt idx="2">
                  <c:v>8699.3673777358381</c:v>
                </c:pt>
                <c:pt idx="3">
                  <c:v>5949.8341014999996</c:v>
                </c:pt>
                <c:pt idx="4">
                  <c:v>5873.6320214999996</c:v>
                </c:pt>
                <c:pt idx="5">
                  <c:v>13993.755151500001</c:v>
                </c:pt>
                <c:pt idx="6">
                  <c:v>5389.3571014999998</c:v>
                </c:pt>
                <c:pt idx="7">
                  <c:v>5328.2543814999999</c:v>
                </c:pt>
                <c:pt idx="8">
                  <c:v>5267.0001014999998</c:v>
                </c:pt>
                <c:pt idx="9">
                  <c:v>4200.2081015000003</c:v>
                </c:pt>
              </c:numCache>
            </c:numRef>
          </c:val>
          <c:smooth val="0"/>
          <c:extLst>
            <c:ext xmlns:c15="http://schemas.microsoft.com/office/drawing/2012/chart" uri="{02D57815-91ED-43cb-92C2-25804820EDAC}">
              <c15:datalabelsRange>
                <c15:f>'Top Ten O-D Reg'!$R$11:$R$20</c15:f>
                <c15:dlblRangeCache>
                  <c:ptCount val="10"/>
                  <c:pt idx="0">
                    <c:v>8.7%</c:v>
                  </c:pt>
                  <c:pt idx="1">
                    <c:v>23.1%</c:v>
                  </c:pt>
                  <c:pt idx="2">
                    <c:v>--</c:v>
                  </c:pt>
                  <c:pt idx="3">
                    <c:v>0.8%</c:v>
                  </c:pt>
                  <c:pt idx="4">
                    <c:v>6.5%</c:v>
                  </c:pt>
                  <c:pt idx="5">
                    <c:v>-62.9%</c:v>
                  </c:pt>
                  <c:pt idx="6">
                    <c:v>--</c:v>
                  </c:pt>
                  <c:pt idx="7">
                    <c:v>-0.3%</c:v>
                  </c:pt>
                  <c:pt idx="8">
                    <c:v>3.5%</c:v>
                  </c:pt>
                  <c:pt idx="9">
                    <c:v>-0.5%</c:v>
                  </c:pt>
                </c15:dlblRangeCache>
              </c15:datalabelsRange>
            </c:ext>
            <c:ext xmlns:c16="http://schemas.microsoft.com/office/drawing/2014/chart" uri="{C3380CC4-5D6E-409C-BE32-E72D297353CC}">
              <c16:uniqueId val="{00000002-41E2-45D1-B931-51917F91F406}"/>
            </c:ext>
          </c:extLst>
        </c:ser>
        <c:dLbls>
          <c:showLegendKey val="0"/>
          <c:showVal val="1"/>
          <c:showCatName val="0"/>
          <c:showSerName val="0"/>
          <c:showPercent val="0"/>
          <c:showBubbleSize val="0"/>
        </c:dLbls>
        <c:marker val="1"/>
        <c:smooth val="0"/>
        <c:axId val="-574855472"/>
        <c:axId val="-574853296"/>
      </c:lineChart>
      <c:catAx>
        <c:axId val="-574854384"/>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6560"/>
        <c:crosses val="autoZero"/>
        <c:auto val="1"/>
        <c:lblAlgn val="ctr"/>
        <c:lblOffset val="100"/>
        <c:noMultiLvlLbl val="0"/>
      </c:catAx>
      <c:valAx>
        <c:axId val="-574856560"/>
        <c:scaling>
          <c:orientation val="minMax"/>
          <c:max val="16000"/>
        </c:scaling>
        <c:delete val="0"/>
        <c:axPos val="l"/>
        <c:majorGridlines>
          <c:spPr>
            <a:ln w="9525" cap="flat" cmpd="sng" algn="ctr">
              <a:solidFill>
                <a:schemeClr val="accent2">
                  <a:lumMod val="40000"/>
                  <a:lumOff val="60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4384"/>
        <c:crossesAt val="1"/>
        <c:crossBetween val="between"/>
        <c:dispUnits>
          <c:builtInUnit val="thousands"/>
        </c:dispUnits>
      </c:valAx>
      <c:valAx>
        <c:axId val="-574853296"/>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74855472"/>
        <c:crosses val="max"/>
        <c:crossBetween val="between"/>
        <c:dispUnits>
          <c:builtInUnit val="thousands"/>
        </c:dispUnits>
      </c:valAx>
      <c:catAx>
        <c:axId val="-574855472"/>
        <c:scaling>
          <c:orientation val="minMax"/>
        </c:scaling>
        <c:delete val="1"/>
        <c:axPos val="b"/>
        <c:numFmt formatCode="General" sourceLinked="1"/>
        <c:majorTickMark val="out"/>
        <c:minorTickMark val="none"/>
        <c:tickLblPos val="nextTo"/>
        <c:crossAx val="-574853296"/>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r>
              <a:rPr lang="es-MX"/>
              <a:t>Top ten de Rutas por carga transportada en Servicio Regular Internacional</a:t>
            </a:r>
          </a:p>
          <a:p>
            <a:pPr>
              <a:defRPr/>
            </a:pPr>
            <a:r>
              <a:rPr lang="es-MX"/>
              <a:t>(Miles de Ton) </a:t>
            </a:r>
          </a:p>
        </c:rich>
      </c:tx>
      <c:overlay val="0"/>
      <c:spPr>
        <a:noFill/>
        <a:ln>
          <a:noFill/>
        </a:ln>
        <a:effectLst/>
      </c:spPr>
      <c:txPr>
        <a:bodyPr rot="0" spcFirstLastPara="1" vertOverflow="ellipsis" vert="horz" wrap="square" anchor="ctr" anchorCtr="1"/>
        <a:lstStyle/>
        <a:p>
          <a:pPr>
            <a:defRPr sz="96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6.9600673260975035E-2"/>
          <c:y val="0.22123121455092301"/>
          <c:w val="0.90691386973422261"/>
          <c:h val="0.55210214939348801"/>
        </c:manualLayout>
      </c:layout>
      <c:barChart>
        <c:barDir val="col"/>
        <c:grouping val="clustered"/>
        <c:varyColors val="0"/>
        <c:ser>
          <c:idx val="0"/>
          <c:order val="0"/>
          <c:tx>
            <c:strRef>
              <c:f>'Top Ten O-D Reg'!$P$29</c:f>
              <c:strCache>
                <c:ptCount val="1"/>
                <c:pt idx="0">
                  <c:v>2023</c:v>
                </c:pt>
              </c:strCache>
            </c:strRef>
          </c:tx>
          <c:spPr>
            <a:solidFill>
              <a:srgbClr val="D4C19C"/>
            </a:solidFill>
            <a:ln>
              <a:noFill/>
            </a:ln>
            <a:effectLst/>
          </c:spPr>
          <c:invertIfNegative val="0"/>
          <c:cat>
            <c:strRef>
              <c:f>'Top Ten O-D Reg'!$N$30:$N$39</c:f>
              <c:strCache>
                <c:ptCount val="10"/>
                <c:pt idx="0">
                  <c:v>Santa 
Lucía-
Hong 
Kong</c:v>
                </c:pt>
                <c:pt idx="1">
                  <c:v>Shanghai-
Santa 
Lucía</c:v>
                </c:pt>
                <c:pt idx="2">
                  <c:v>Mexico-
Madrid</c:v>
                </c:pt>
                <c:pt idx="3">
                  <c:v>Santa 
Lucía-
Frankfurt</c:v>
                </c:pt>
                <c:pt idx="4">
                  <c:v>Hong 
Kong-
Guadalajara</c:v>
                </c:pt>
                <c:pt idx="5">
                  <c:v>Santa 
Lucía-
Doha</c:v>
                </c:pt>
                <c:pt idx="6">
                  <c:v>Toluca-
Memphis</c:v>
                </c:pt>
                <c:pt idx="7">
                  <c:v>Memphis-
Guadalajara</c:v>
                </c:pt>
                <c:pt idx="8">
                  <c:v>Sao Paulo-
Mexico</c:v>
                </c:pt>
                <c:pt idx="9">
                  <c:v>Santa 
Lucía-
Luxemburgo</c:v>
                </c:pt>
              </c:strCache>
            </c:strRef>
          </c:cat>
          <c:val>
            <c:numRef>
              <c:f>'Top Ten O-D Reg'!$P$30:$P$39</c:f>
              <c:numCache>
                <c:formatCode>_-* #,##0_-;\-* #,##0_-;_-* "-"??_-;_-@_-</c:formatCode>
                <c:ptCount val="10"/>
                <c:pt idx="0">
                  <c:v>26749.6666</c:v>
                </c:pt>
                <c:pt idx="1">
                  <c:v>2943.627</c:v>
                </c:pt>
                <c:pt idx="2">
                  <c:v>30255.325000000001</c:v>
                </c:pt>
                <c:pt idx="3">
                  <c:v>13859.244725999999</c:v>
                </c:pt>
                <c:pt idx="4">
                  <c:v>26841.071100000001</c:v>
                </c:pt>
                <c:pt idx="5">
                  <c:v>12679.10809</c:v>
                </c:pt>
                <c:pt idx="6">
                  <c:v>23012.668000000001</c:v>
                </c:pt>
                <c:pt idx="7">
                  <c:v>25117.38</c:v>
                </c:pt>
                <c:pt idx="8">
                  <c:v>15941.591</c:v>
                </c:pt>
                <c:pt idx="9">
                  <c:v>11619.424800000001</c:v>
                </c:pt>
              </c:numCache>
            </c:numRef>
          </c:val>
          <c:extLst>
            <c:ext xmlns:c16="http://schemas.microsoft.com/office/drawing/2014/chart" uri="{C3380CC4-5D6E-409C-BE32-E72D297353CC}">
              <c16:uniqueId val="{00000000-9EDA-4C8D-A560-4496D81CEE85}"/>
            </c:ext>
          </c:extLst>
        </c:ser>
        <c:ser>
          <c:idx val="1"/>
          <c:order val="1"/>
          <c:tx>
            <c:strRef>
              <c:f>'Top Ten O-D Reg'!$Q$29</c:f>
              <c:strCache>
                <c:ptCount val="1"/>
                <c:pt idx="0">
                  <c:v>2024</c:v>
                </c:pt>
              </c:strCache>
            </c:strRef>
          </c:tx>
          <c:spPr>
            <a:solidFill>
              <a:schemeClr val="accent1"/>
            </a:solidFill>
            <a:ln>
              <a:solidFill>
                <a:schemeClr val="accent1"/>
              </a:solidFill>
            </a:ln>
            <a:effectLst/>
          </c:spPr>
          <c:invertIfNegative val="0"/>
          <c:cat>
            <c:strRef>
              <c:f>'Top Ten O-D Reg'!$N$30:$N$39</c:f>
              <c:strCache>
                <c:ptCount val="10"/>
                <c:pt idx="0">
                  <c:v>Santa 
Lucía-
Hong 
Kong</c:v>
                </c:pt>
                <c:pt idx="1">
                  <c:v>Shanghai-
Santa 
Lucía</c:v>
                </c:pt>
                <c:pt idx="2">
                  <c:v>Mexico-
Madrid</c:v>
                </c:pt>
                <c:pt idx="3">
                  <c:v>Santa 
Lucía-
Frankfurt</c:v>
                </c:pt>
                <c:pt idx="4">
                  <c:v>Hong 
Kong-
Guadalajara</c:v>
                </c:pt>
                <c:pt idx="5">
                  <c:v>Santa 
Lucía-
Doha</c:v>
                </c:pt>
                <c:pt idx="6">
                  <c:v>Toluca-
Memphis</c:v>
                </c:pt>
                <c:pt idx="7">
                  <c:v>Memphis-
Guadalajara</c:v>
                </c:pt>
                <c:pt idx="8">
                  <c:v>Sao Paulo-
Mexico</c:v>
                </c:pt>
                <c:pt idx="9">
                  <c:v>Santa 
Lucía-
Luxemburgo</c:v>
                </c:pt>
              </c:strCache>
            </c:strRef>
          </c:cat>
          <c:val>
            <c:numRef>
              <c:f>'Top Ten O-D Reg'!$Q$30:$Q$39</c:f>
              <c:numCache>
                <c:formatCode>_-* #,##0_-;\-* #,##0_-;_-* "-"??_-;_-@_-</c:formatCode>
                <c:ptCount val="10"/>
                <c:pt idx="0">
                  <c:v>49476.22581199999</c:v>
                </c:pt>
                <c:pt idx="1">
                  <c:v>35030.360999999997</c:v>
                </c:pt>
                <c:pt idx="2">
                  <c:v>30284.008000000002</c:v>
                </c:pt>
                <c:pt idx="3">
                  <c:v>29732.688610000001</c:v>
                </c:pt>
                <c:pt idx="4">
                  <c:v>29149.063880000002</c:v>
                </c:pt>
                <c:pt idx="5">
                  <c:v>28805.910589999996</c:v>
                </c:pt>
                <c:pt idx="6">
                  <c:v>22458.832999999999</c:v>
                </c:pt>
                <c:pt idx="7">
                  <c:v>21725.617999999999</c:v>
                </c:pt>
                <c:pt idx="8">
                  <c:v>18661.797999999999</c:v>
                </c:pt>
                <c:pt idx="9">
                  <c:v>18415.241439999998</c:v>
                </c:pt>
              </c:numCache>
            </c:numRef>
          </c:val>
          <c:extLst>
            <c:ext xmlns:c16="http://schemas.microsoft.com/office/drawing/2014/chart" uri="{C3380CC4-5D6E-409C-BE32-E72D297353CC}">
              <c16:uniqueId val="{00000001-9EDA-4C8D-A560-4496D81CEE85}"/>
            </c:ext>
          </c:extLst>
        </c:ser>
        <c:dLbls>
          <c:showLegendKey val="0"/>
          <c:showVal val="0"/>
          <c:showCatName val="0"/>
          <c:showSerName val="0"/>
          <c:showPercent val="0"/>
          <c:showBubbleSize val="0"/>
        </c:dLbls>
        <c:gapWidth val="100"/>
        <c:axId val="-580849392"/>
        <c:axId val="-580849936"/>
      </c:barChart>
      <c:lineChart>
        <c:grouping val="stacked"/>
        <c:varyColors val="0"/>
        <c:ser>
          <c:idx val="2"/>
          <c:order val="2"/>
          <c:tx>
            <c:strRef>
              <c:f>'Top Ten O-D Reg'!$R$29</c:f>
              <c:strCache>
                <c:ptCount val="1"/>
                <c:pt idx="0">
                  <c:v>Var %</c:v>
                </c:pt>
              </c:strCache>
            </c:strRef>
          </c:tx>
          <c:spPr>
            <a:ln w="28575" cap="rnd">
              <a:noFill/>
              <a:round/>
            </a:ln>
            <a:effectLst/>
          </c:spPr>
          <c:marker>
            <c:symbol val="circle"/>
            <c:size val="5"/>
            <c:spPr>
              <a:noFill/>
              <a:ln w="9525">
                <a:noFill/>
              </a:ln>
              <a:effectLst/>
            </c:spPr>
          </c:marker>
          <c:dLbls>
            <c:dLbl>
              <c:idx val="0"/>
              <c:tx>
                <c:rich>
                  <a:bodyPr rot="0" spcFirstLastPara="1" vertOverflow="ellipsis" vert="horz" wrap="square" anchor="ctr" anchorCtr="1"/>
                  <a:lstStyle/>
                  <a:p>
                    <a:pPr>
                      <a:defRPr sz="800" b="0" i="0" u="none" strike="noStrike" kern="1200" baseline="0">
                        <a:noFill/>
                        <a:latin typeface="+mn-lt"/>
                        <a:ea typeface="+mn-ea"/>
                        <a:cs typeface="+mn-cs"/>
                      </a:defRPr>
                    </a:pPr>
                    <a:fld id="{00B480CF-0FE4-424A-A265-D7F1532FFFD9}" type="CELLRANGE">
                      <a:rPr lang="en-US"/>
                      <a:pPr>
                        <a:defRPr>
                          <a:noFill/>
                        </a:defRPr>
                      </a:pPr>
                      <a:t>[CELLRANGE]</a:t>
                    </a:fld>
                    <a:endParaRPr lang="es-MX"/>
                  </a:p>
                </c:rich>
              </c:tx>
              <c:spPr>
                <a:noFill/>
                <a:ln>
                  <a:noFill/>
                </a:ln>
                <a:effectLst/>
              </c:spPr>
              <c:txPr>
                <a:bodyPr rot="0" spcFirstLastPara="1" vertOverflow="ellipsis" vert="horz" wrap="square" anchor="ctr" anchorCtr="1"/>
                <a:lstStyle/>
                <a:p>
                  <a:pPr>
                    <a:defRPr sz="800" b="0" i="0" u="none" strike="noStrike" kern="1200" baseline="0">
                      <a:no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5DB-423F-885A-0CFC6A124C69}"/>
                </c:ext>
              </c:extLst>
            </c:dLbl>
            <c:dLbl>
              <c:idx val="1"/>
              <c:tx>
                <c:rich>
                  <a:bodyPr rot="0" spcFirstLastPara="1" vertOverflow="ellipsis" vert="horz" wrap="square" anchor="ctr" anchorCtr="1"/>
                  <a:lstStyle/>
                  <a:p>
                    <a:pPr>
                      <a:defRPr sz="800" b="0" i="0" u="none" strike="noStrike" kern="1200" baseline="0">
                        <a:noFill/>
                        <a:latin typeface="+mn-lt"/>
                        <a:ea typeface="+mn-ea"/>
                        <a:cs typeface="+mn-cs"/>
                      </a:defRPr>
                    </a:pPr>
                    <a:fld id="{15EBC351-3C2B-4F53-839A-D33FDB3915A8}" type="CELLRANGE">
                      <a:rPr lang="es-MX"/>
                      <a:pPr>
                        <a:defRPr>
                          <a:noFill/>
                        </a:defRPr>
                      </a:pPr>
                      <a:t>[CELLRANGE]</a:t>
                    </a:fld>
                    <a:endParaRPr lang="es-MX"/>
                  </a:p>
                </c:rich>
              </c:tx>
              <c:spPr>
                <a:noFill/>
                <a:ln>
                  <a:noFill/>
                </a:ln>
                <a:effectLst/>
              </c:spPr>
              <c:txPr>
                <a:bodyPr rot="0" spcFirstLastPara="1" vertOverflow="ellipsis" vert="horz" wrap="square" anchor="ctr" anchorCtr="1"/>
                <a:lstStyle/>
                <a:p>
                  <a:pPr>
                    <a:defRPr sz="800" b="0" i="0" u="none" strike="noStrike" kern="1200" baseline="0">
                      <a:no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0-8E10-4243-8529-E9A0BCA81D17}"/>
                </c:ext>
              </c:extLst>
            </c:dLbl>
            <c:dLbl>
              <c:idx val="2"/>
              <c:tx>
                <c:rich>
                  <a:bodyPr/>
                  <a:lstStyle/>
                  <a:p>
                    <a:fld id="{61318F54-49B5-47D8-8AB1-B8EA6320609E}"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65DB-423F-885A-0CFC6A124C69}"/>
                </c:ext>
              </c:extLst>
            </c:dLbl>
            <c:dLbl>
              <c:idx val="3"/>
              <c:tx>
                <c:rich>
                  <a:bodyPr rot="0" spcFirstLastPara="1" vertOverflow="ellipsis" vert="horz" wrap="square" anchor="ctr" anchorCtr="1"/>
                  <a:lstStyle/>
                  <a:p>
                    <a:pPr>
                      <a:defRPr sz="800" b="0" i="0" u="none" strike="noStrike" kern="1200" baseline="0">
                        <a:noFill/>
                        <a:latin typeface="+mn-lt"/>
                        <a:ea typeface="+mn-ea"/>
                        <a:cs typeface="+mn-cs"/>
                      </a:defRPr>
                    </a:pPr>
                    <a:fld id="{A3669281-9DE1-4A7F-A60E-097A273BFCA2}" type="CELLRANGE">
                      <a:rPr lang="es-MX"/>
                      <a:pPr>
                        <a:defRPr>
                          <a:noFill/>
                        </a:defRPr>
                      </a:pPr>
                      <a:t>[CELLRANGE]</a:t>
                    </a:fld>
                    <a:endParaRPr lang="es-MX"/>
                  </a:p>
                </c:rich>
              </c:tx>
              <c:spPr>
                <a:noFill/>
                <a:ln>
                  <a:noFill/>
                </a:ln>
                <a:effectLst/>
              </c:spPr>
              <c:txPr>
                <a:bodyPr rot="0" spcFirstLastPara="1" vertOverflow="ellipsis" vert="horz" wrap="square" anchor="ctr" anchorCtr="1"/>
                <a:lstStyle/>
                <a:p>
                  <a:pPr>
                    <a:defRPr sz="800" b="0" i="0" u="none" strike="noStrike" kern="1200" baseline="0">
                      <a:no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5DB-423F-885A-0CFC6A124C69}"/>
                </c:ext>
              </c:extLst>
            </c:dLbl>
            <c:dLbl>
              <c:idx val="4"/>
              <c:tx>
                <c:rich>
                  <a:bodyPr/>
                  <a:lstStyle/>
                  <a:p>
                    <a:fld id="{4DBC1751-7DEB-4637-B4C6-3491842AA86A}"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5DB-423F-885A-0CFC6A124C69}"/>
                </c:ext>
              </c:extLst>
            </c:dLbl>
            <c:dLbl>
              <c:idx val="5"/>
              <c:tx>
                <c:rich>
                  <a:bodyPr rot="0" spcFirstLastPara="1" vertOverflow="ellipsis" vert="horz" wrap="square" anchor="ctr" anchorCtr="1"/>
                  <a:lstStyle/>
                  <a:p>
                    <a:pPr>
                      <a:defRPr sz="800" b="0" i="0" u="none" strike="noStrike" kern="1200" baseline="0">
                        <a:noFill/>
                        <a:latin typeface="+mn-lt"/>
                        <a:ea typeface="+mn-ea"/>
                        <a:cs typeface="+mn-cs"/>
                      </a:defRPr>
                    </a:pPr>
                    <a:fld id="{109C2594-A034-4AE7-A205-E92913A78A66}" type="CELLRANGE">
                      <a:rPr lang="es-MX"/>
                      <a:pPr>
                        <a:defRPr>
                          <a:noFill/>
                        </a:defRPr>
                      </a:pPr>
                      <a:t>[CELLRANGE]</a:t>
                    </a:fld>
                    <a:endParaRPr lang="es-MX"/>
                  </a:p>
                </c:rich>
              </c:tx>
              <c:spPr>
                <a:noFill/>
                <a:ln>
                  <a:noFill/>
                </a:ln>
                <a:effectLst/>
              </c:spPr>
              <c:txPr>
                <a:bodyPr rot="0" spcFirstLastPara="1" vertOverflow="ellipsis" vert="horz" wrap="square" anchor="ctr" anchorCtr="1"/>
                <a:lstStyle/>
                <a:p>
                  <a:pPr>
                    <a:defRPr sz="800" b="0" i="0" u="none" strike="noStrike" kern="1200" baseline="0">
                      <a:no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70E8-4973-BB96-425327041580}"/>
                </c:ext>
              </c:extLst>
            </c:dLbl>
            <c:dLbl>
              <c:idx val="6"/>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49435439-B531-4EBF-B5D5-283F5F23C413}"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5DB-423F-885A-0CFC6A124C69}"/>
                </c:ext>
              </c:extLst>
            </c:dLbl>
            <c:dLbl>
              <c:idx val="7"/>
              <c:tx>
                <c:rich>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fld id="{1725DC14-6903-41ED-ABB2-225599FE2D7C}" type="CELLRANGE">
                      <a:rPr lang="es-MX"/>
                      <a:pPr>
                        <a:defRPr>
                          <a:solidFill>
                            <a:srgbClr val="FF0000"/>
                          </a:solidFill>
                        </a:defRPr>
                      </a:pPr>
                      <a:t>[CELLRANGE]</a:t>
                    </a:fld>
                    <a:endParaRPr lang="es-MX"/>
                  </a:p>
                </c:rich>
              </c:tx>
              <c:spPr>
                <a:solidFill>
                  <a:schemeClr val="bg1"/>
                </a:solidFill>
                <a:ln>
                  <a:solidFill>
                    <a:srgbClr val="FF0000"/>
                  </a:solidFill>
                </a:ln>
                <a:effectLst/>
              </c:spPr>
              <c:txPr>
                <a:bodyPr rot="0" spcFirstLastPara="1" vertOverflow="ellipsis" vert="horz" wrap="square" anchor="ctr" anchorCtr="1"/>
                <a:lstStyle/>
                <a:p>
                  <a:pPr>
                    <a:defRPr sz="800" b="0" i="0" u="none" strike="noStrike" kern="1200" baseline="0">
                      <a:solidFill>
                        <a:srgbClr val="FF000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5DB-423F-885A-0CFC6A124C69}"/>
                </c:ext>
              </c:extLst>
            </c:dLbl>
            <c:dLbl>
              <c:idx val="8"/>
              <c:tx>
                <c:rich>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fld id="{6381953C-0BAD-480C-B926-AEF04C57FAEE}" type="CELLRANGE">
                      <a:rPr lang="es-MX"/>
                      <a:pPr>
                        <a:defRPr>
                          <a:solidFill>
                            <a:srgbClr val="00B0F0"/>
                          </a:solidFill>
                        </a:defRPr>
                      </a:pPr>
                      <a:t>[CELLRANGE]</a:t>
                    </a:fld>
                    <a:endParaRPr lang="es-MX"/>
                  </a:p>
                </c:rich>
              </c:tx>
              <c:spPr>
                <a:no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5DB-423F-885A-0CFC6A124C69}"/>
                </c:ext>
              </c:extLst>
            </c:dLbl>
            <c:dLbl>
              <c:idx val="9"/>
              <c:tx>
                <c:rich>
                  <a:bodyPr/>
                  <a:lstStyle/>
                  <a:p>
                    <a:fld id="{28B11DF7-4554-417E-B3F7-D7B07D0C0F68}" type="CELLRANGE">
                      <a:rPr lang="es-MX"/>
                      <a:pPr/>
                      <a:t>[CELLRANGE]</a:t>
                    </a:fld>
                    <a:endParaRPr lang="es-MX"/>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5DB-423F-885A-0CFC6A124C69}"/>
                </c:ext>
              </c:extLst>
            </c:dLbl>
            <c:spPr>
              <a:solidFill>
                <a:schemeClr val="bg1"/>
              </a:solidFill>
              <a:ln>
                <a:solidFill>
                  <a:srgbClr val="00B0F0"/>
                </a:solidFill>
              </a:ln>
              <a:effectLst/>
            </c:spPr>
            <c:txPr>
              <a:bodyPr rot="0" spcFirstLastPara="1" vertOverflow="ellipsis" vert="horz" wrap="square" anchor="ctr" anchorCtr="1"/>
              <a:lstStyle/>
              <a:p>
                <a:pPr>
                  <a:defRPr sz="800" b="0" i="0" u="none" strike="noStrike" kern="1200" baseline="0">
                    <a:solidFill>
                      <a:srgbClr val="00B0F0"/>
                    </a:solidFill>
                    <a:latin typeface="+mn-lt"/>
                    <a:ea typeface="+mn-ea"/>
                    <a:cs typeface="+mn-cs"/>
                  </a:defRPr>
                </a:pPr>
                <a:endParaRPr lang="es-MX"/>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'Top Ten O-D Reg'!$N$30:$N$39</c:f>
              <c:strCache>
                <c:ptCount val="10"/>
                <c:pt idx="0">
                  <c:v>Santa 
Lucía-
Hong 
Kong</c:v>
                </c:pt>
                <c:pt idx="1">
                  <c:v>Shanghai-
Santa 
Lucía</c:v>
                </c:pt>
                <c:pt idx="2">
                  <c:v>Mexico-
Madrid</c:v>
                </c:pt>
                <c:pt idx="3">
                  <c:v>Santa 
Lucía-
Frankfurt</c:v>
                </c:pt>
                <c:pt idx="4">
                  <c:v>Hong 
Kong-
Guadalajara</c:v>
                </c:pt>
                <c:pt idx="5">
                  <c:v>Santa 
Lucía-
Doha</c:v>
                </c:pt>
                <c:pt idx="6">
                  <c:v>Toluca-
Memphis</c:v>
                </c:pt>
                <c:pt idx="7">
                  <c:v>Memphis-
Guadalajara</c:v>
                </c:pt>
                <c:pt idx="8">
                  <c:v>Sao Paulo-
Mexico</c:v>
                </c:pt>
                <c:pt idx="9">
                  <c:v>Santa 
Lucía-
Luxemburgo</c:v>
                </c:pt>
              </c:strCache>
            </c:strRef>
          </c:cat>
          <c:val>
            <c:numRef>
              <c:f>'Top Ten O-D Reg'!$S$30:$S$39</c:f>
              <c:numCache>
                <c:formatCode>_-* #,##0_-;\-* #,##0_-;_-* "-"??_-;_-@_-</c:formatCode>
                <c:ptCount val="10"/>
                <c:pt idx="0">
                  <c:v>50960.51258635999</c:v>
                </c:pt>
                <c:pt idx="1">
                  <c:v>36514.647774359997</c:v>
                </c:pt>
                <c:pt idx="2">
                  <c:v>31768.294774360002</c:v>
                </c:pt>
                <c:pt idx="3">
                  <c:v>31216.975384360001</c:v>
                </c:pt>
                <c:pt idx="4">
                  <c:v>30633.350654360001</c:v>
                </c:pt>
                <c:pt idx="5">
                  <c:v>30290.197364359996</c:v>
                </c:pt>
                <c:pt idx="6">
                  <c:v>24496.954774360001</c:v>
                </c:pt>
                <c:pt idx="7">
                  <c:v>26601.666774360001</c:v>
                </c:pt>
                <c:pt idx="8">
                  <c:v>20146.084774359999</c:v>
                </c:pt>
                <c:pt idx="9">
                  <c:v>19899.528214359998</c:v>
                </c:pt>
              </c:numCache>
            </c:numRef>
          </c:val>
          <c:smooth val="0"/>
          <c:extLst>
            <c:ext xmlns:c15="http://schemas.microsoft.com/office/drawing/2012/chart" uri="{02D57815-91ED-43cb-92C2-25804820EDAC}">
              <c15:datalabelsRange>
                <c15:f>'Top Ten O-D Reg'!$R$30:$R$39</c15:f>
                <c15:dlblRangeCache>
                  <c:ptCount val="10"/>
                  <c:pt idx="0">
                    <c:v>--</c:v>
                  </c:pt>
                  <c:pt idx="1">
                    <c:v>--</c:v>
                  </c:pt>
                  <c:pt idx="2">
                    <c:v>0.1%</c:v>
                  </c:pt>
                  <c:pt idx="3">
                    <c:v>--</c:v>
                  </c:pt>
                  <c:pt idx="4">
                    <c:v>8.6%</c:v>
                  </c:pt>
                  <c:pt idx="5">
                    <c:v>--</c:v>
                  </c:pt>
                  <c:pt idx="6">
                    <c:v>-2.4%</c:v>
                  </c:pt>
                  <c:pt idx="7">
                    <c:v>-13.5%</c:v>
                  </c:pt>
                  <c:pt idx="8">
                    <c:v>17.1%</c:v>
                  </c:pt>
                  <c:pt idx="9">
                    <c:v>58.5%</c:v>
                  </c:pt>
                </c15:dlblRangeCache>
              </c15:datalabelsRange>
            </c:ext>
            <c:ext xmlns:c16="http://schemas.microsoft.com/office/drawing/2014/chart" uri="{C3380CC4-5D6E-409C-BE32-E72D297353CC}">
              <c16:uniqueId val="{00000006-9EDA-4C8D-A560-4496D81CEE85}"/>
            </c:ext>
          </c:extLst>
        </c:ser>
        <c:dLbls>
          <c:showLegendKey val="0"/>
          <c:showVal val="0"/>
          <c:showCatName val="0"/>
          <c:showSerName val="0"/>
          <c:showPercent val="0"/>
          <c:showBubbleSize val="0"/>
        </c:dLbls>
        <c:marker val="1"/>
        <c:smooth val="0"/>
        <c:axId val="-580851024"/>
        <c:axId val="-580852112"/>
      </c:lineChart>
      <c:catAx>
        <c:axId val="-580849392"/>
        <c:scaling>
          <c:orientation val="minMax"/>
        </c:scaling>
        <c:delete val="0"/>
        <c:axPos val="b"/>
        <c:numFmt formatCode="General" sourceLinked="0"/>
        <c:majorTickMark val="none"/>
        <c:minorTickMark val="none"/>
        <c:tickLblPos val="nextTo"/>
        <c:spPr>
          <a:noFill/>
          <a:ln w="9525" cap="flat" cmpd="sng" algn="ctr">
            <a:solidFill>
              <a:schemeClr val="accent2">
                <a:lumMod val="40000"/>
                <a:lumOff val="60000"/>
              </a:schemeClr>
            </a:solidFill>
            <a:round/>
          </a:ln>
          <a:effectLst/>
        </c:spPr>
        <c:txPr>
          <a:bodyPr rot="-5400000" spcFirstLastPara="1" vertOverflow="ellipsis"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80849936"/>
        <c:crosses val="autoZero"/>
        <c:auto val="1"/>
        <c:lblAlgn val="ctr"/>
        <c:lblOffset val="100"/>
        <c:noMultiLvlLbl val="0"/>
      </c:catAx>
      <c:valAx>
        <c:axId val="-58084993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80849392"/>
        <c:crossesAt val="1"/>
        <c:crossBetween val="between"/>
        <c:dispUnits>
          <c:builtInUnit val="thousands"/>
        </c:dispUnits>
      </c:valAx>
      <c:valAx>
        <c:axId val="-580852112"/>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crossAx val="-580851024"/>
        <c:crosses val="max"/>
        <c:crossBetween val="between"/>
        <c:dispUnits>
          <c:builtInUnit val="thousands"/>
        </c:dispUnits>
      </c:valAx>
      <c:catAx>
        <c:axId val="-580851024"/>
        <c:scaling>
          <c:orientation val="minMax"/>
        </c:scaling>
        <c:delete val="1"/>
        <c:axPos val="b"/>
        <c:numFmt formatCode="General" sourceLinked="1"/>
        <c:majorTickMark val="out"/>
        <c:minorTickMark val="none"/>
        <c:tickLblPos val="nextTo"/>
        <c:crossAx val="-580852112"/>
        <c:crosses val="autoZero"/>
        <c:auto val="1"/>
        <c:lblAlgn val="ctr"/>
        <c:lblOffset val="100"/>
        <c:noMultiLvlLbl val="0"/>
      </c:catAx>
      <c:spPr>
        <a:noFill/>
        <a:ln>
          <a:noFill/>
        </a:ln>
        <a:effectLst/>
      </c:spPr>
    </c:plotArea>
    <c:legend>
      <c:legendPos val="t"/>
      <c:legendEntry>
        <c:idx val="2"/>
        <c:delete val="1"/>
      </c:legendEntry>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noFill/>
    <a:ln w="9525" cap="flat" cmpd="sng" algn="ctr">
      <a:noFill/>
      <a:round/>
    </a:ln>
    <a:effectLst/>
  </c:spPr>
  <c:txPr>
    <a:bodyPr/>
    <a:lstStyle/>
    <a:p>
      <a:pPr>
        <a:defRPr sz="800">
          <a:latin typeface="+mn-lt"/>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xdr:colOff>
      <xdr:row>4</xdr:row>
      <xdr:rowOff>0</xdr:rowOff>
    </xdr:from>
    <xdr:to>
      <xdr:col>12</xdr:col>
      <xdr:colOff>785813</xdr:colOff>
      <xdr:row>21</xdr:row>
      <xdr:rowOff>0</xdr:rowOff>
    </xdr:to>
    <xdr:graphicFrame macro="">
      <xdr:nvGraphicFramePr>
        <xdr:cNvPr id="3" name="Gráfico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24</xdr:row>
      <xdr:rowOff>0</xdr:rowOff>
    </xdr:from>
    <xdr:to>
      <xdr:col>12</xdr:col>
      <xdr:colOff>785811</xdr:colOff>
      <xdr:row>40</xdr:row>
      <xdr:rowOff>119063</xdr:rowOff>
    </xdr:to>
    <xdr:graphicFrame macro="">
      <xdr:nvGraphicFramePr>
        <xdr:cNvPr id="4" name="Gráfico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0</xdr:colOff>
      <xdr:row>4</xdr:row>
      <xdr:rowOff>1324</xdr:rowOff>
    </xdr:from>
    <xdr:to>
      <xdr:col>25</xdr:col>
      <xdr:colOff>420687</xdr:colOff>
      <xdr:row>21</xdr:row>
      <xdr:rowOff>0</xdr:rowOff>
    </xdr:to>
    <xdr:graphicFrame macro="">
      <xdr:nvGraphicFramePr>
        <xdr:cNvPr id="5" name="Gráfico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19</xdr:col>
      <xdr:colOff>0</xdr:colOff>
      <xdr:row>24</xdr:row>
      <xdr:rowOff>0</xdr:rowOff>
    </xdr:from>
    <xdr:to>
      <xdr:col>25</xdr:col>
      <xdr:colOff>420686</xdr:colOff>
      <xdr:row>40</xdr:row>
      <xdr:rowOff>119063</xdr:rowOff>
    </xdr:to>
    <xdr:graphicFrame macro="">
      <xdr:nvGraphicFramePr>
        <xdr:cNvPr id="6" name="Gráfico 5">
          <a:extLst>
            <a:ext uri="{FF2B5EF4-FFF2-40B4-BE49-F238E27FC236}">
              <a16:creationId xmlns:a16="http://schemas.microsoft.com/office/drawing/2014/main" id="{00000000-0008-0000-00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0</xdr:row>
      <xdr:rowOff>0</xdr:rowOff>
    </xdr:from>
    <xdr:to>
      <xdr:col>5</xdr:col>
      <xdr:colOff>84182</xdr:colOff>
      <xdr:row>3</xdr:row>
      <xdr:rowOff>152501</xdr:rowOff>
    </xdr:to>
    <xdr:pic>
      <xdr:nvPicPr>
        <xdr:cNvPr id="7" name="Imagen 6">
          <a:extLst>
            <a:ext uri="{FF2B5EF4-FFF2-40B4-BE49-F238E27FC236}">
              <a16:creationId xmlns:a16="http://schemas.microsoft.com/office/drawing/2014/main" id="{721D1611-C300-4ECD-A8FA-E2B05FD5B276}"/>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0" y="0"/>
          <a:ext cx="6001588" cy="72400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393744</xdr:colOff>
      <xdr:row>3</xdr:row>
      <xdr:rowOff>152501</xdr:rowOff>
    </xdr:to>
    <xdr:pic>
      <xdr:nvPicPr>
        <xdr:cNvPr id="4" name="Imagen 3">
          <a:extLst>
            <a:ext uri="{FF2B5EF4-FFF2-40B4-BE49-F238E27FC236}">
              <a16:creationId xmlns:a16="http://schemas.microsoft.com/office/drawing/2014/main" id="{98CB16ED-8C94-4057-82FE-30B372367E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01588" cy="72400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1751057</xdr:colOff>
      <xdr:row>3</xdr:row>
      <xdr:rowOff>152501</xdr:rowOff>
    </xdr:to>
    <xdr:pic>
      <xdr:nvPicPr>
        <xdr:cNvPr id="4" name="Imagen 3">
          <a:extLst>
            <a:ext uri="{FF2B5EF4-FFF2-40B4-BE49-F238E27FC236}">
              <a16:creationId xmlns:a16="http://schemas.microsoft.com/office/drawing/2014/main" id="{D74B2F65-C138-4C8B-B86F-4325269C7E7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01588" cy="72400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393744</xdr:colOff>
      <xdr:row>3</xdr:row>
      <xdr:rowOff>152501</xdr:rowOff>
    </xdr:to>
    <xdr:pic>
      <xdr:nvPicPr>
        <xdr:cNvPr id="4" name="Imagen 3">
          <a:extLst>
            <a:ext uri="{FF2B5EF4-FFF2-40B4-BE49-F238E27FC236}">
              <a16:creationId xmlns:a16="http://schemas.microsoft.com/office/drawing/2014/main" id="{EFD466FA-4E1E-4CE4-A3B4-8CF54289459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01588" cy="72400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1751057</xdr:colOff>
      <xdr:row>3</xdr:row>
      <xdr:rowOff>152501</xdr:rowOff>
    </xdr:to>
    <xdr:pic>
      <xdr:nvPicPr>
        <xdr:cNvPr id="4" name="Imagen 3">
          <a:extLst>
            <a:ext uri="{FF2B5EF4-FFF2-40B4-BE49-F238E27FC236}">
              <a16:creationId xmlns:a16="http://schemas.microsoft.com/office/drawing/2014/main" id="{845F6877-E79B-482E-B4B4-3AB8BB422DD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6001588" cy="724001"/>
        </a:xfrm>
        <a:prstGeom prst="rect">
          <a:avLst/>
        </a:prstGeom>
      </xdr:spPr>
    </xdr:pic>
    <xdr:clientData/>
  </xdr:twoCellAnchor>
</xdr:wsDr>
</file>

<file path=xl/theme/theme1.xml><?xml version="1.0" encoding="utf-8"?>
<a:theme xmlns:a="http://schemas.openxmlformats.org/drawingml/2006/main" name="GMX">
  <a:themeElements>
    <a:clrScheme name="GMX">
      <a:dk1>
        <a:sysClr val="windowText" lastClr="000000"/>
      </a:dk1>
      <a:lt1>
        <a:sysClr val="window" lastClr="FFFFFF"/>
      </a:lt1>
      <a:dk2>
        <a:srgbClr val="621132"/>
      </a:dk2>
      <a:lt2>
        <a:srgbClr val="FFFFFF"/>
      </a:lt2>
      <a:accent1>
        <a:srgbClr val="9D2449"/>
      </a:accent1>
      <a:accent2>
        <a:srgbClr val="D4C19C"/>
      </a:accent2>
      <a:accent3>
        <a:srgbClr val="285C4D"/>
      </a:accent3>
      <a:accent4>
        <a:srgbClr val="56242A"/>
      </a:accent4>
      <a:accent5>
        <a:srgbClr val="B38E5D"/>
      </a:accent5>
      <a:accent6>
        <a:srgbClr val="13322B"/>
      </a:accent6>
      <a:hlink>
        <a:srgbClr val="13322B"/>
      </a:hlink>
      <a:folHlink>
        <a:srgbClr val="B38E5D"/>
      </a:folHlink>
    </a:clrScheme>
    <a:fontScheme name="GMX 2024">
      <a:majorFont>
        <a:latin typeface="Noto Sans Black"/>
        <a:ea typeface=""/>
        <a:cs typeface=""/>
      </a:majorFont>
      <a:minorFont>
        <a:latin typeface="Noto San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dof.gob.mx/nota_detalle.php?codigo=5694845&amp;fecha=07/07/2023" TargetMode="External"/><Relationship Id="rId1" Type="http://schemas.openxmlformats.org/officeDocument/2006/relationships/hyperlink" Target="https://dof.gob.mx/nota_detalle.php?codigo=5678705&amp;fecha=02/02/2023"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621132"/>
  </sheetPr>
  <dimension ref="A1:X53"/>
  <sheetViews>
    <sheetView showGridLines="0" tabSelected="1" zoomScale="80" zoomScaleNormal="80" workbookViewId="0"/>
  </sheetViews>
  <sheetFormatPr baseColWidth="10" defaultRowHeight="17.25" x14ac:dyDescent="0.45"/>
  <cols>
    <col min="1" max="1" width="5.77734375" style="1" customWidth="1"/>
    <col min="2" max="2" width="28.6640625" style="2" customWidth="1"/>
    <col min="3" max="5" width="11.5546875" style="2"/>
    <col min="6" max="6" width="4.77734375" style="2" customWidth="1"/>
    <col min="7" max="13" width="10.88671875" style="2" customWidth="1"/>
    <col min="14" max="14" width="5.44140625" style="2" customWidth="1"/>
    <col min="15" max="15" width="28.6640625" style="2" customWidth="1"/>
    <col min="16" max="17" width="13.109375" style="2" customWidth="1"/>
    <col min="18" max="18" width="11.5546875" style="2" customWidth="1"/>
    <col min="19" max="19" width="6.6640625" style="2" customWidth="1"/>
    <col min="20" max="16384" width="11.5546875" style="2"/>
  </cols>
  <sheetData>
    <row r="1" spans="1:19" ht="15" customHeight="1" x14ac:dyDescent="0.45"/>
    <row r="2" spans="1:19" ht="15" customHeight="1" x14ac:dyDescent="0.45">
      <c r="A2" s="2"/>
      <c r="I2" s="50" t="s">
        <v>2</v>
      </c>
      <c r="R2" s="50">
        <v>2024</v>
      </c>
    </row>
    <row r="3" spans="1:19" ht="15" customHeight="1" x14ac:dyDescent="0.45">
      <c r="A3" s="2"/>
    </row>
    <row r="4" spans="1:19" ht="15" customHeight="1" x14ac:dyDescent="0.45">
      <c r="A4" s="2"/>
    </row>
    <row r="5" spans="1:19" x14ac:dyDescent="0.45">
      <c r="A5" s="2"/>
    </row>
    <row r="6" spans="1:19" x14ac:dyDescent="0.45">
      <c r="A6" s="2"/>
    </row>
    <row r="7" spans="1:19" ht="15" customHeight="1" x14ac:dyDescent="0.45">
      <c r="B7" s="55" t="s">
        <v>5</v>
      </c>
      <c r="C7" s="55"/>
      <c r="D7" s="55"/>
      <c r="E7" s="55"/>
      <c r="O7" s="55" t="s">
        <v>6</v>
      </c>
      <c r="P7" s="55"/>
      <c r="Q7" s="55"/>
      <c r="R7" s="55"/>
    </row>
    <row r="8" spans="1:19" x14ac:dyDescent="0.45">
      <c r="B8" s="55" t="s">
        <v>7</v>
      </c>
      <c r="C8" s="55"/>
      <c r="D8" s="55"/>
      <c r="E8" s="55"/>
      <c r="O8" s="55" t="s">
        <v>7</v>
      </c>
      <c r="P8" s="55"/>
      <c r="Q8" s="55"/>
      <c r="R8" s="55"/>
    </row>
    <row r="9" spans="1:19" x14ac:dyDescent="0.45">
      <c r="B9" s="55" t="s">
        <v>339</v>
      </c>
      <c r="C9" s="55"/>
      <c r="D9" s="55"/>
      <c r="E9" s="55"/>
      <c r="O9" s="55" t="s">
        <v>340</v>
      </c>
      <c r="P9" s="55"/>
      <c r="Q9" s="55"/>
      <c r="R9" s="55"/>
    </row>
    <row r="10" spans="1:19" x14ac:dyDescent="0.45">
      <c r="B10" s="46" t="s">
        <v>4</v>
      </c>
      <c r="C10" s="46">
        <v>2023</v>
      </c>
      <c r="D10" s="46">
        <v>2024</v>
      </c>
      <c r="E10" s="46" t="s">
        <v>1</v>
      </c>
      <c r="F10" s="4">
        <f>0.03*MAX(C11:D20)</f>
        <v>130.05521999999999</v>
      </c>
      <c r="O10" s="46" t="s">
        <v>4</v>
      </c>
      <c r="P10" s="46">
        <v>2023</v>
      </c>
      <c r="Q10" s="46">
        <v>2024</v>
      </c>
      <c r="R10" s="46" t="s">
        <v>1</v>
      </c>
      <c r="S10" s="4">
        <f>0.03*MAX(P11:Q20)</f>
        <v>407.58510150000001</v>
      </c>
    </row>
    <row r="11" spans="1:19" ht="17.25" customHeight="1" x14ac:dyDescent="0.45">
      <c r="A11" s="5" t="s">
        <v>389</v>
      </c>
      <c r="B11" s="6" t="s">
        <v>423</v>
      </c>
      <c r="C11" s="1">
        <v>4335.174</v>
      </c>
      <c r="D11" s="1">
        <v>3394.3359999999998</v>
      </c>
      <c r="E11" s="7">
        <v>-0.21702427630355792</v>
      </c>
      <c r="F11" s="4">
        <f t="shared" ref="F11:F20" si="0">MAX(C11,D11)+F$10</f>
        <v>4465.2292200000002</v>
      </c>
      <c r="N11" s="5" t="s">
        <v>392</v>
      </c>
      <c r="O11" s="2" t="s">
        <v>426</v>
      </c>
      <c r="P11" s="1">
        <v>9984.9974099999999</v>
      </c>
      <c r="Q11" s="1">
        <v>10851.318150000001</v>
      </c>
      <c r="R11" s="8">
        <v>8.6762239831166932E-2</v>
      </c>
      <c r="S11" s="4">
        <f>MAX(P11,Q11)+S$10</f>
        <v>11258.903251500002</v>
      </c>
    </row>
    <row r="12" spans="1:19" ht="17.25" customHeight="1" x14ac:dyDescent="0.45">
      <c r="A12" s="5" t="s">
        <v>390</v>
      </c>
      <c r="B12" s="9" t="s">
        <v>424</v>
      </c>
      <c r="C12" s="10">
        <v>3404.529</v>
      </c>
      <c r="D12" s="10">
        <v>3070.2330000000002</v>
      </c>
      <c r="E12" s="11">
        <v>-9.8191556012593773E-2</v>
      </c>
      <c r="F12" s="4">
        <f t="shared" si="0"/>
        <v>3534.5842200000002</v>
      </c>
      <c r="N12" s="5" t="s">
        <v>390</v>
      </c>
      <c r="O12" s="12" t="s">
        <v>424</v>
      </c>
      <c r="P12" s="10">
        <v>8160.2778699999999</v>
      </c>
      <c r="Q12" s="10">
        <v>10045.28861</v>
      </c>
      <c r="R12" s="13">
        <v>0.23099835202057895</v>
      </c>
      <c r="S12" s="4">
        <f t="shared" ref="S12:S20" si="1">MAX(P12,Q12)+S$10</f>
        <v>10452.8737115</v>
      </c>
    </row>
    <row r="13" spans="1:19" ht="17.25" customHeight="1" x14ac:dyDescent="0.45">
      <c r="A13" s="5" t="s">
        <v>391</v>
      </c>
      <c r="B13" s="6" t="s">
        <v>425</v>
      </c>
      <c r="C13" s="1">
        <v>3012.8739999999998</v>
      </c>
      <c r="D13" s="1">
        <v>2798.5720000000001</v>
      </c>
      <c r="E13" s="7">
        <v>-7.1128762769368969E-2</v>
      </c>
      <c r="F13" s="4">
        <f t="shared" si="0"/>
        <v>3142.92922</v>
      </c>
      <c r="N13" s="5" t="s">
        <v>409</v>
      </c>
      <c r="O13" s="2" t="s">
        <v>443</v>
      </c>
      <c r="P13" s="1">
        <v>2934.4164599999999</v>
      </c>
      <c r="Q13" s="1">
        <v>8291.7822762358373</v>
      </c>
      <c r="R13" s="14" t="s">
        <v>422</v>
      </c>
      <c r="S13" s="4">
        <f t="shared" si="1"/>
        <v>8699.3673777358381</v>
      </c>
    </row>
    <row r="14" spans="1:19" ht="17.25" customHeight="1" x14ac:dyDescent="0.45">
      <c r="A14" s="5" t="s">
        <v>392</v>
      </c>
      <c r="B14" s="9" t="s">
        <v>426</v>
      </c>
      <c r="C14" s="10">
        <v>2300.547</v>
      </c>
      <c r="D14" s="10">
        <v>2060.7170000000001</v>
      </c>
      <c r="E14" s="11">
        <v>-0.10424911988322771</v>
      </c>
      <c r="F14" s="4">
        <f t="shared" si="0"/>
        <v>2430.6022200000002</v>
      </c>
      <c r="N14" s="5" t="s">
        <v>394</v>
      </c>
      <c r="O14" s="12" t="s">
        <v>428</v>
      </c>
      <c r="P14" s="10">
        <v>5497.0191500000001</v>
      </c>
      <c r="Q14" s="10">
        <v>5542.2489999999998</v>
      </c>
      <c r="R14" s="13">
        <v>8.2280684796232073E-3</v>
      </c>
      <c r="S14" s="4">
        <f t="shared" si="1"/>
        <v>5949.8341014999996</v>
      </c>
    </row>
    <row r="15" spans="1:19" ht="17.25" customHeight="1" x14ac:dyDescent="0.45">
      <c r="A15" s="5" t="s">
        <v>393</v>
      </c>
      <c r="B15" s="6" t="s">
        <v>427</v>
      </c>
      <c r="C15" s="1">
        <v>2142.087</v>
      </c>
      <c r="D15" s="1">
        <v>1869.239</v>
      </c>
      <c r="E15" s="7">
        <v>-0.12737484518602649</v>
      </c>
      <c r="F15" s="4">
        <f t="shared" si="0"/>
        <v>2272.1422200000002</v>
      </c>
      <c r="N15" s="5" t="s">
        <v>389</v>
      </c>
      <c r="O15" s="2" t="s">
        <v>423</v>
      </c>
      <c r="P15" s="1">
        <v>5132.4093900000007</v>
      </c>
      <c r="Q15" s="1">
        <v>5466.0469199999998</v>
      </c>
      <c r="R15" s="8">
        <v>6.5006024392765482E-2</v>
      </c>
      <c r="S15" s="4">
        <f t="shared" si="1"/>
        <v>5873.6320214999996</v>
      </c>
    </row>
    <row r="16" spans="1:19" ht="17.25" customHeight="1" x14ac:dyDescent="0.45">
      <c r="A16" s="5" t="s">
        <v>394</v>
      </c>
      <c r="B16" s="9" t="s">
        <v>428</v>
      </c>
      <c r="C16" s="10">
        <v>1896.586</v>
      </c>
      <c r="D16" s="10">
        <v>1687.0609999999999</v>
      </c>
      <c r="E16" s="11">
        <v>-0.11047482160049693</v>
      </c>
      <c r="F16" s="4">
        <f t="shared" si="0"/>
        <v>2026.64122</v>
      </c>
      <c r="N16" s="5" t="s">
        <v>391</v>
      </c>
      <c r="O16" s="12" t="s">
        <v>425</v>
      </c>
      <c r="P16" s="10">
        <v>13586.170050000001</v>
      </c>
      <c r="Q16" s="10">
        <v>5034.0860699999994</v>
      </c>
      <c r="R16" s="11">
        <v>-0.62946981736033847</v>
      </c>
      <c r="S16" s="4">
        <f t="shared" si="1"/>
        <v>13993.755151500001</v>
      </c>
    </row>
    <row r="17" spans="1:19" ht="17.25" customHeight="1" x14ac:dyDescent="0.45">
      <c r="A17" s="5" t="s">
        <v>395</v>
      </c>
      <c r="B17" s="6" t="s">
        <v>429</v>
      </c>
      <c r="C17" s="1">
        <v>1810.7190000000001</v>
      </c>
      <c r="D17" s="1">
        <v>1535.6289999999999</v>
      </c>
      <c r="E17" s="7">
        <v>-0.15192307586102549</v>
      </c>
      <c r="F17" s="4">
        <f t="shared" si="0"/>
        <v>1940.77422</v>
      </c>
      <c r="N17" s="5" t="s">
        <v>410</v>
      </c>
      <c r="O17" s="2" t="s">
        <v>444</v>
      </c>
      <c r="P17" s="1">
        <v>1925.2280000000001</v>
      </c>
      <c r="Q17" s="1">
        <v>4981.7719999999999</v>
      </c>
      <c r="R17" s="14" t="s">
        <v>422</v>
      </c>
      <c r="S17" s="4">
        <f t="shared" si="1"/>
        <v>5389.3571014999998</v>
      </c>
    </row>
    <row r="18" spans="1:19" ht="17.25" customHeight="1" x14ac:dyDescent="0.45">
      <c r="A18" s="5" t="s">
        <v>396</v>
      </c>
      <c r="B18" s="9" t="s">
        <v>430</v>
      </c>
      <c r="C18" s="10">
        <v>715.91600000000005</v>
      </c>
      <c r="D18" s="10">
        <v>1102.165</v>
      </c>
      <c r="E18" s="15">
        <v>0.53951720592918706</v>
      </c>
      <c r="F18" s="4">
        <f t="shared" si="0"/>
        <v>1232.2202199999999</v>
      </c>
      <c r="N18" s="5" t="s">
        <v>393</v>
      </c>
      <c r="O18" s="12" t="s">
        <v>427</v>
      </c>
      <c r="P18" s="10">
        <v>4920.6692800000001</v>
      </c>
      <c r="Q18" s="10">
        <v>4907.5941199999997</v>
      </c>
      <c r="R18" s="11">
        <v>-2.6571913810879977E-3</v>
      </c>
      <c r="S18" s="4">
        <f t="shared" si="1"/>
        <v>5328.2543814999999</v>
      </c>
    </row>
    <row r="19" spans="1:19" ht="17.25" customHeight="1" x14ac:dyDescent="0.45">
      <c r="A19" s="5" t="s">
        <v>397</v>
      </c>
      <c r="B19" s="6" t="s">
        <v>431</v>
      </c>
      <c r="C19" s="1">
        <v>1140.366</v>
      </c>
      <c r="D19" s="1">
        <v>1029.528</v>
      </c>
      <c r="E19" s="7">
        <v>-9.7195111043296589E-2</v>
      </c>
      <c r="F19" s="4">
        <f t="shared" si="0"/>
        <v>1270.4212199999999</v>
      </c>
      <c r="N19" s="5" t="s">
        <v>411</v>
      </c>
      <c r="O19" s="2" t="s">
        <v>445</v>
      </c>
      <c r="P19" s="1">
        <v>4695.0290000000005</v>
      </c>
      <c r="Q19" s="1">
        <v>4859.415</v>
      </c>
      <c r="R19" s="8">
        <v>3.5012776278910973E-2</v>
      </c>
      <c r="S19" s="4">
        <f t="shared" si="1"/>
        <v>5267.0001014999998</v>
      </c>
    </row>
    <row r="20" spans="1:19" ht="17.25" customHeight="1" x14ac:dyDescent="0.45">
      <c r="A20" s="5" t="s">
        <v>398</v>
      </c>
      <c r="B20" s="9" t="s">
        <v>432</v>
      </c>
      <c r="C20" s="10">
        <v>1003.927</v>
      </c>
      <c r="D20" s="10">
        <v>993.77200000000005</v>
      </c>
      <c r="E20" s="11">
        <v>-1.0115277306019244E-2</v>
      </c>
      <c r="F20" s="4">
        <f t="shared" si="0"/>
        <v>1133.9822200000001</v>
      </c>
      <c r="N20" s="5" t="s">
        <v>412</v>
      </c>
      <c r="O20" s="12" t="s">
        <v>446</v>
      </c>
      <c r="P20" s="10">
        <v>3792.623</v>
      </c>
      <c r="Q20" s="10">
        <v>3772.72</v>
      </c>
      <c r="R20" s="11">
        <v>-5.2478192533241819E-3</v>
      </c>
      <c r="S20" s="4">
        <f t="shared" si="1"/>
        <v>4200.2081015000003</v>
      </c>
    </row>
    <row r="21" spans="1:19" ht="17.25" customHeight="1" x14ac:dyDescent="0.45">
      <c r="A21" s="16" t="s">
        <v>387</v>
      </c>
      <c r="B21" s="2" t="s">
        <v>387</v>
      </c>
      <c r="C21" s="1">
        <v>41857.084999999992</v>
      </c>
      <c r="D21" s="1">
        <v>41992.563999999998</v>
      </c>
      <c r="E21" s="8">
        <v>3.2367041326457624E-3</v>
      </c>
      <c r="N21" s="16" t="s">
        <v>387</v>
      </c>
      <c r="O21" s="2" t="s">
        <v>387</v>
      </c>
      <c r="P21" s="1">
        <v>61363.808089999977</v>
      </c>
      <c r="Q21" s="1">
        <v>58801.386550000032</v>
      </c>
      <c r="R21" s="7">
        <v>-4.1757863792314498E-2</v>
      </c>
    </row>
    <row r="22" spans="1:19" ht="17.25" customHeight="1" x14ac:dyDescent="0.45">
      <c r="A22" s="16" t="s">
        <v>388</v>
      </c>
      <c r="B22" s="47" t="s">
        <v>388</v>
      </c>
      <c r="C22" s="48">
        <v>63619.81</v>
      </c>
      <c r="D22" s="48">
        <v>61533.815999999999</v>
      </c>
      <c r="E22" s="49">
        <v>-3.2788434923021637E-2</v>
      </c>
      <c r="N22" s="17" t="s">
        <v>388</v>
      </c>
      <c r="O22" s="47" t="s">
        <v>388</v>
      </c>
      <c r="P22" s="48">
        <v>121992.64769999999</v>
      </c>
      <c r="Q22" s="48">
        <v>122553.65869623587</v>
      </c>
      <c r="R22" s="49">
        <v>4.5987279300265804E-3</v>
      </c>
    </row>
    <row r="23" spans="1:19" x14ac:dyDescent="0.45">
      <c r="A23" s="18"/>
      <c r="C23" s="68"/>
      <c r="D23" s="68">
        <f>'REG NAC'!AB623/1000</f>
        <v>61533.815999999999</v>
      </c>
      <c r="N23" s="17"/>
      <c r="Q23" s="68">
        <f>'REG NAC'!AO623/1000</f>
        <v>122553.65869623586</v>
      </c>
    </row>
    <row r="24" spans="1:19" x14ac:dyDescent="0.45">
      <c r="N24" s="17"/>
    </row>
    <row r="25" spans="1:19" x14ac:dyDescent="0.45">
      <c r="N25" s="1"/>
    </row>
    <row r="26" spans="1:19" ht="15" customHeight="1" x14ac:dyDescent="0.45">
      <c r="B26" s="55" t="s">
        <v>5</v>
      </c>
      <c r="C26" s="55"/>
      <c r="D26" s="55"/>
      <c r="E26" s="55"/>
      <c r="N26" s="17"/>
      <c r="O26" s="55" t="s">
        <v>6</v>
      </c>
      <c r="P26" s="55"/>
      <c r="Q26" s="55"/>
      <c r="R26" s="55"/>
    </row>
    <row r="27" spans="1:19" x14ac:dyDescent="0.45">
      <c r="B27" s="55" t="s">
        <v>8</v>
      </c>
      <c r="C27" s="55"/>
      <c r="D27" s="55"/>
      <c r="E27" s="55"/>
      <c r="N27" s="17"/>
      <c r="O27" s="55" t="s">
        <v>8</v>
      </c>
      <c r="P27" s="55"/>
      <c r="Q27" s="55"/>
      <c r="R27" s="55"/>
    </row>
    <row r="28" spans="1:19" x14ac:dyDescent="0.45">
      <c r="B28" s="55" t="str">
        <f>B9</f>
        <v>Ene-Dic (2023-2024) (Miles)</v>
      </c>
      <c r="C28" s="55"/>
      <c r="D28" s="55"/>
      <c r="E28" s="55"/>
      <c r="N28" s="17"/>
      <c r="O28" s="55" t="str">
        <f>O9</f>
        <v>Ene-Dic (2023-2024) (Ton)</v>
      </c>
      <c r="P28" s="55"/>
      <c r="Q28" s="55"/>
      <c r="R28" s="55"/>
    </row>
    <row r="29" spans="1:19" x14ac:dyDescent="0.45">
      <c r="B29" s="46" t="s">
        <v>4</v>
      </c>
      <c r="C29" s="46">
        <v>2023</v>
      </c>
      <c r="D29" s="46">
        <v>2024</v>
      </c>
      <c r="E29" s="46" t="s">
        <v>1</v>
      </c>
      <c r="F29" s="4">
        <f>0.05*MAX(C30:D39)</f>
        <v>58.00215</v>
      </c>
      <c r="N29" s="17"/>
      <c r="O29" s="46" t="s">
        <v>4</v>
      </c>
      <c r="P29" s="46">
        <v>2023</v>
      </c>
      <c r="Q29" s="46">
        <v>2024</v>
      </c>
      <c r="R29" s="46" t="s">
        <v>1</v>
      </c>
      <c r="S29" s="4">
        <f>0.03*MAX(P30:Q39)</f>
        <v>1484.2867743599995</v>
      </c>
    </row>
    <row r="30" spans="1:19" ht="17.25" customHeight="1" x14ac:dyDescent="0.45">
      <c r="A30" s="5" t="s">
        <v>399</v>
      </c>
      <c r="B30" s="2" t="s">
        <v>433</v>
      </c>
      <c r="C30" s="1">
        <v>1160.0429999999999</v>
      </c>
      <c r="D30" s="1">
        <v>1152.8889999999999</v>
      </c>
      <c r="E30" s="7">
        <v>-6.1670127745264702E-3</v>
      </c>
      <c r="F30" s="4">
        <f t="shared" ref="F30:F39" si="2">MAX(C30,D30)+F$29</f>
        <v>1218.0451499999999</v>
      </c>
      <c r="N30" s="5" t="s">
        <v>413</v>
      </c>
      <c r="O30" s="6" t="s">
        <v>447</v>
      </c>
      <c r="P30" s="1">
        <v>26749.6666</v>
      </c>
      <c r="Q30" s="1">
        <v>49476.22581199999</v>
      </c>
      <c r="R30" s="14" t="s">
        <v>422</v>
      </c>
      <c r="S30" s="4">
        <f>MAX(P30,Q30)+S$29</f>
        <v>50960.51258635999</v>
      </c>
    </row>
    <row r="31" spans="1:19" ht="17.25" customHeight="1" x14ac:dyDescent="0.45">
      <c r="A31" s="5" t="s">
        <v>400</v>
      </c>
      <c r="B31" s="12" t="s">
        <v>434</v>
      </c>
      <c r="C31" s="10">
        <v>1030.8820000000001</v>
      </c>
      <c r="D31" s="10">
        <v>1151.3779999999999</v>
      </c>
      <c r="E31" s="15">
        <v>0.11688631676564332</v>
      </c>
      <c r="F31" s="4">
        <f t="shared" si="2"/>
        <v>1209.38015</v>
      </c>
      <c r="N31" s="5" t="s">
        <v>414</v>
      </c>
      <c r="O31" s="9" t="s">
        <v>448</v>
      </c>
      <c r="P31" s="10">
        <v>2943.627</v>
      </c>
      <c r="Q31" s="10">
        <v>35030.360999999997</v>
      </c>
      <c r="R31" s="13" t="s">
        <v>422</v>
      </c>
      <c r="S31" s="4">
        <f>MAX(P31,Q31)+S$29</f>
        <v>36514.647774359997</v>
      </c>
    </row>
    <row r="32" spans="1:19" ht="17.25" customHeight="1" x14ac:dyDescent="0.45">
      <c r="A32" s="5" t="s">
        <v>401</v>
      </c>
      <c r="B32" s="2" t="s">
        <v>435</v>
      </c>
      <c r="C32" s="1">
        <v>1079.8040000000001</v>
      </c>
      <c r="D32" s="1">
        <v>1145.6669999999999</v>
      </c>
      <c r="E32" s="8">
        <v>6.0995328781889846E-2</v>
      </c>
      <c r="F32" s="4">
        <f t="shared" si="2"/>
        <v>1203.6691499999999</v>
      </c>
      <c r="N32" s="5" t="s">
        <v>400</v>
      </c>
      <c r="O32" s="6" t="s">
        <v>434</v>
      </c>
      <c r="P32" s="1">
        <v>30255.325000000001</v>
      </c>
      <c r="Q32" s="1">
        <v>30284.008000000002</v>
      </c>
      <c r="R32" s="8">
        <v>9.4803146223032542E-4</v>
      </c>
      <c r="S32" s="4">
        <f>MAX(P32,Q32)+S$29</f>
        <v>31768.294774360002</v>
      </c>
    </row>
    <row r="33" spans="1:24" ht="17.25" customHeight="1" x14ac:dyDescent="0.45">
      <c r="A33" s="5" t="s">
        <v>402</v>
      </c>
      <c r="B33" s="12" t="s">
        <v>436</v>
      </c>
      <c r="C33" s="10">
        <v>1137.242</v>
      </c>
      <c r="D33" s="10">
        <v>1022.011</v>
      </c>
      <c r="E33" s="11">
        <v>-0.10132495985902734</v>
      </c>
      <c r="F33" s="4">
        <f t="shared" si="2"/>
        <v>1195.24415</v>
      </c>
      <c r="N33" s="5" t="s">
        <v>415</v>
      </c>
      <c r="O33" s="9" t="s">
        <v>449</v>
      </c>
      <c r="P33" s="10">
        <v>13859.244725999999</v>
      </c>
      <c r="Q33" s="10">
        <v>29732.688610000001</v>
      </c>
      <c r="R33" s="13" t="s">
        <v>422</v>
      </c>
      <c r="S33" s="4">
        <f>MAX(P33,Q33)+S$29</f>
        <v>31216.975384360001</v>
      </c>
    </row>
    <row r="34" spans="1:24" ht="17.25" customHeight="1" x14ac:dyDescent="0.45">
      <c r="A34" s="5" t="s">
        <v>403</v>
      </c>
      <c r="B34" s="2" t="s">
        <v>437</v>
      </c>
      <c r="C34" s="1">
        <v>1011.503</v>
      </c>
      <c r="D34" s="1">
        <v>1020.088</v>
      </c>
      <c r="E34" s="8">
        <v>8.4873697853589114E-3</v>
      </c>
      <c r="F34" s="4">
        <f t="shared" si="2"/>
        <v>1078.09015</v>
      </c>
      <c r="N34" s="5" t="s">
        <v>416</v>
      </c>
      <c r="O34" s="6" t="s">
        <v>450</v>
      </c>
      <c r="P34" s="1">
        <v>26841.071100000001</v>
      </c>
      <c r="Q34" s="1">
        <v>29149.063880000002</v>
      </c>
      <c r="R34" s="8">
        <v>8.5987357635664452E-2</v>
      </c>
      <c r="S34" s="4">
        <f>MAX(P34,Q34)+S$29</f>
        <v>30633.350654360001</v>
      </c>
    </row>
    <row r="35" spans="1:24" ht="17.25" customHeight="1" x14ac:dyDescent="0.45">
      <c r="A35" s="5" t="s">
        <v>404</v>
      </c>
      <c r="B35" s="12" t="s">
        <v>438</v>
      </c>
      <c r="C35" s="10">
        <v>772.93700000000001</v>
      </c>
      <c r="D35" s="10">
        <v>1014.043</v>
      </c>
      <c r="E35" s="15">
        <v>0.31193486661914238</v>
      </c>
      <c r="F35" s="4">
        <f t="shared" si="2"/>
        <v>1072.0451499999999</v>
      </c>
      <c r="N35" s="5" t="s">
        <v>417</v>
      </c>
      <c r="O35" s="9" t="s">
        <v>451</v>
      </c>
      <c r="P35" s="10">
        <v>12679.10809</v>
      </c>
      <c r="Q35" s="10">
        <v>28805.910589999996</v>
      </c>
      <c r="R35" s="13" t="s">
        <v>422</v>
      </c>
      <c r="S35" s="4">
        <f t="shared" ref="S35:S39" si="3">MAX(P35,Q35)+S$29</f>
        <v>30290.197364359996</v>
      </c>
    </row>
    <row r="36" spans="1:24" ht="17.25" customHeight="1" x14ac:dyDescent="0.45">
      <c r="A36" s="5" t="s">
        <v>405</v>
      </c>
      <c r="B36" s="2" t="s">
        <v>439</v>
      </c>
      <c r="C36" s="1">
        <v>891.71299999999997</v>
      </c>
      <c r="D36" s="1">
        <v>951.64700000000005</v>
      </c>
      <c r="E36" s="8">
        <v>6.7212208412348096E-2</v>
      </c>
      <c r="F36" s="4">
        <f t="shared" si="2"/>
        <v>1009.6491500000001</v>
      </c>
      <c r="N36" s="5" t="s">
        <v>418</v>
      </c>
      <c r="O36" s="6" t="s">
        <v>452</v>
      </c>
      <c r="P36" s="1">
        <v>23012.668000000001</v>
      </c>
      <c r="Q36" s="1">
        <v>22458.832999999999</v>
      </c>
      <c r="R36" s="7">
        <v>-2.4066527184071096E-2</v>
      </c>
      <c r="S36" s="4">
        <f t="shared" si="3"/>
        <v>24496.954774360001</v>
      </c>
    </row>
    <row r="37" spans="1:24" ht="17.25" customHeight="1" x14ac:dyDescent="0.45">
      <c r="A37" s="5" t="s">
        <v>406</v>
      </c>
      <c r="B37" s="12" t="s">
        <v>440</v>
      </c>
      <c r="C37" s="10">
        <v>925.72900000000004</v>
      </c>
      <c r="D37" s="10">
        <v>922.07600000000002</v>
      </c>
      <c r="E37" s="11">
        <v>-3.9460792521354149E-3</v>
      </c>
      <c r="F37" s="4">
        <f t="shared" si="2"/>
        <v>983.73115000000007</v>
      </c>
      <c r="N37" s="5" t="s">
        <v>419</v>
      </c>
      <c r="O37" s="9" t="s">
        <v>453</v>
      </c>
      <c r="P37" s="10">
        <v>25117.38</v>
      </c>
      <c r="Q37" s="10">
        <v>21725.617999999999</v>
      </c>
      <c r="R37" s="11">
        <v>-0.13503645682790177</v>
      </c>
      <c r="S37" s="4">
        <f t="shared" si="3"/>
        <v>26601.666774360001</v>
      </c>
    </row>
    <row r="38" spans="1:24" ht="17.25" customHeight="1" x14ac:dyDescent="0.45">
      <c r="A38" s="5" t="s">
        <v>407</v>
      </c>
      <c r="B38" s="2" t="s">
        <v>441</v>
      </c>
      <c r="C38" s="1">
        <v>889.43100000000004</v>
      </c>
      <c r="D38" s="1">
        <v>866.25699999999995</v>
      </c>
      <c r="E38" s="7">
        <v>-2.60548597923842E-2</v>
      </c>
      <c r="F38" s="4">
        <f t="shared" si="2"/>
        <v>947.43315000000007</v>
      </c>
      <c r="N38" s="5" t="s">
        <v>420</v>
      </c>
      <c r="O38" s="6" t="s">
        <v>454</v>
      </c>
      <c r="P38" s="1">
        <v>15941.591</v>
      </c>
      <c r="Q38" s="1">
        <v>18661.797999999999</v>
      </c>
      <c r="R38" s="8">
        <v>0.17063585435104933</v>
      </c>
      <c r="S38" s="4">
        <f t="shared" si="3"/>
        <v>20146.084774359999</v>
      </c>
    </row>
    <row r="39" spans="1:24" ht="17.25" customHeight="1" x14ac:dyDescent="0.45">
      <c r="A39" s="5" t="s">
        <v>408</v>
      </c>
      <c r="B39" s="12" t="s">
        <v>442</v>
      </c>
      <c r="C39" s="10">
        <v>769.89300000000003</v>
      </c>
      <c r="D39" s="10">
        <v>809.80100000000004</v>
      </c>
      <c r="E39" s="15">
        <v>5.1835774581662664E-2</v>
      </c>
      <c r="F39" s="4">
        <f t="shared" si="2"/>
        <v>867.80315000000007</v>
      </c>
      <c r="N39" s="5" t="s">
        <v>421</v>
      </c>
      <c r="O39" s="9" t="s">
        <v>455</v>
      </c>
      <c r="P39" s="10">
        <v>11619.424800000001</v>
      </c>
      <c r="Q39" s="10">
        <v>18415.241439999998</v>
      </c>
      <c r="R39" s="15">
        <v>0.58486687223966505</v>
      </c>
      <c r="S39" s="4">
        <f t="shared" si="3"/>
        <v>19899.528214359998</v>
      </c>
    </row>
    <row r="40" spans="1:24" ht="17.25" customHeight="1" x14ac:dyDescent="0.45">
      <c r="A40" s="16" t="s">
        <v>387</v>
      </c>
      <c r="B40" s="2" t="s">
        <v>387</v>
      </c>
      <c r="C40" s="1">
        <v>45178.281000000003</v>
      </c>
      <c r="D40" s="1">
        <v>47983.837000000007</v>
      </c>
      <c r="E40" s="8">
        <v>6.2099662446209569E-2</v>
      </c>
      <c r="N40" s="16" t="s">
        <v>387</v>
      </c>
      <c r="O40" s="2" t="s">
        <v>387</v>
      </c>
      <c r="P40" s="1">
        <v>484248.90674351912</v>
      </c>
      <c r="Q40" s="1">
        <v>379973.96019685012</v>
      </c>
      <c r="R40" s="7">
        <v>-0.2153333649174306</v>
      </c>
    </row>
    <row r="41" spans="1:24" ht="17.25" customHeight="1" x14ac:dyDescent="0.45">
      <c r="A41" s="16" t="s">
        <v>388</v>
      </c>
      <c r="B41" s="47" t="s">
        <v>388</v>
      </c>
      <c r="C41" s="48">
        <v>54847.457999999999</v>
      </c>
      <c r="D41" s="48">
        <v>58039.694000000003</v>
      </c>
      <c r="E41" s="49">
        <v>5.8202077478230703E-2</v>
      </c>
      <c r="N41" s="16" t="s">
        <v>388</v>
      </c>
      <c r="O41" s="47" t="s">
        <v>388</v>
      </c>
      <c r="P41" s="48">
        <v>673268.01305951911</v>
      </c>
      <c r="Q41" s="48">
        <v>663713.70852885011</v>
      </c>
      <c r="R41" s="49">
        <v>-1.4190937851408621E-2</v>
      </c>
    </row>
    <row r="42" spans="1:24" x14ac:dyDescent="0.45">
      <c r="D42" s="68">
        <f>'REG INT'!AD937/1000</f>
        <v>58039.694000000003</v>
      </c>
      <c r="Q42" s="68">
        <f>'REG INT'!AQ937/1000</f>
        <v>663713.70852885011</v>
      </c>
    </row>
    <row r="44" spans="1:24" x14ac:dyDescent="0.45">
      <c r="B44" s="19" t="s">
        <v>319</v>
      </c>
    </row>
    <row r="46" spans="1:24" x14ac:dyDescent="0.45">
      <c r="O46" s="51" t="s">
        <v>242</v>
      </c>
      <c r="P46" s="20"/>
      <c r="Q46" s="51"/>
      <c r="R46" s="20"/>
      <c r="S46" s="20"/>
      <c r="T46" s="20"/>
      <c r="U46" s="20"/>
      <c r="V46" s="20"/>
      <c r="W46" s="20"/>
      <c r="X46" s="20"/>
    </row>
    <row r="48" spans="1:24" x14ac:dyDescent="0.45">
      <c r="O48" s="54" t="s">
        <v>239</v>
      </c>
      <c r="P48" s="54"/>
      <c r="Q48" s="54"/>
      <c r="R48" s="54"/>
      <c r="S48" s="54"/>
      <c r="T48" s="54"/>
      <c r="U48" s="54"/>
      <c r="V48" s="54"/>
      <c r="W48" s="54"/>
      <c r="X48" s="54"/>
    </row>
    <row r="49" spans="15:24" x14ac:dyDescent="0.45">
      <c r="O49" s="54"/>
      <c r="P49" s="54"/>
      <c r="Q49" s="54"/>
      <c r="R49" s="54"/>
      <c r="S49" s="54"/>
      <c r="T49" s="54"/>
      <c r="U49" s="54"/>
      <c r="V49" s="54"/>
      <c r="W49" s="54"/>
      <c r="X49" s="54"/>
    </row>
    <row r="50" spans="15:24" x14ac:dyDescent="0.45">
      <c r="O50" s="54"/>
      <c r="P50" s="54"/>
      <c r="Q50" s="54"/>
      <c r="R50" s="54"/>
      <c r="S50" s="54"/>
      <c r="T50" s="54"/>
      <c r="U50" s="54"/>
      <c r="V50" s="54"/>
      <c r="W50" s="54"/>
      <c r="X50" s="54"/>
    </row>
    <row r="52" spans="15:24" x14ac:dyDescent="0.45">
      <c r="O52" s="21" t="s">
        <v>240</v>
      </c>
    </row>
    <row r="53" spans="15:24" x14ac:dyDescent="0.45">
      <c r="O53" s="21" t="s">
        <v>241</v>
      </c>
    </row>
  </sheetData>
  <mergeCells count="13">
    <mergeCell ref="B7:E7"/>
    <mergeCell ref="B8:E8"/>
    <mergeCell ref="B9:E9"/>
    <mergeCell ref="O7:R7"/>
    <mergeCell ref="O8:R8"/>
    <mergeCell ref="O9:R9"/>
    <mergeCell ref="O48:X50"/>
    <mergeCell ref="B26:E26"/>
    <mergeCell ref="B27:E27"/>
    <mergeCell ref="B28:E28"/>
    <mergeCell ref="O26:R26"/>
    <mergeCell ref="O27:R27"/>
    <mergeCell ref="O28:R28"/>
  </mergeCells>
  <hyperlinks>
    <hyperlink ref="O52" r:id="rId1" location="gsc.tab=0" xr:uid="{042B2701-1A8F-492D-8591-E451DA17D63F}"/>
    <hyperlink ref="O53" r:id="rId2" location="gsc.tab=0" xr:uid="{93FC0C52-50F8-4D16-8D4B-1B1E435C9186}"/>
  </hyperlinks>
  <pageMargins left="0.7" right="0.7" top="0.75" bottom="0.75" header="0.3" footer="0.3"/>
  <pageSetup orientation="portrait" verticalDpi="4294967295"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D2449"/>
  </sheetPr>
  <dimension ref="A1:AO625"/>
  <sheetViews>
    <sheetView showGridLines="0" zoomScale="80" zoomScaleNormal="80" workbookViewId="0">
      <pane ySplit="6" topLeftCell="A7" activePane="bottomLeft" state="frozen"/>
      <selection sqref="A1:B1048576"/>
      <selection pane="bottomLeft" activeCell="A7" sqref="A7"/>
    </sheetView>
  </sheetViews>
  <sheetFormatPr baseColWidth="10" defaultRowHeight="17.25" x14ac:dyDescent="0.45"/>
  <cols>
    <col min="1" max="2" width="21.44140625" style="2" customWidth="1"/>
    <col min="3" max="3" width="7.21875" style="2" bestFit="1" customWidth="1"/>
    <col min="4" max="4" width="7.33203125" style="2" bestFit="1" customWidth="1"/>
    <col min="5" max="5" width="8" style="2" bestFit="1" customWidth="1"/>
    <col min="6" max="6" width="7.33203125" style="2" bestFit="1" customWidth="1"/>
    <col min="7" max="7" width="8.33203125" style="2" bestFit="1" customWidth="1"/>
    <col min="8" max="8" width="6.88671875" style="2" bestFit="1" customWidth="1"/>
    <col min="9" max="9" width="6.6640625" style="2" bestFit="1" customWidth="1"/>
    <col min="10" max="10" width="7.88671875" style="2" bestFit="1" customWidth="1"/>
    <col min="11" max="11" width="7.33203125" style="2" bestFit="1" customWidth="1"/>
    <col min="12" max="12" width="7.21875" style="2" bestFit="1" customWidth="1"/>
    <col min="13" max="13" width="7.77734375" style="2" bestFit="1" customWidth="1"/>
    <col min="14" max="14" width="6.77734375" style="2" bestFit="1" customWidth="1"/>
    <col min="15" max="15" width="7.44140625" style="2" bestFit="1" customWidth="1"/>
    <col min="16" max="27" width="8.77734375" style="2" bestFit="1" customWidth="1"/>
    <col min="28" max="28" width="9.5546875" style="2" bestFit="1" customWidth="1"/>
    <col min="29" max="32" width="8.77734375" style="2" bestFit="1" customWidth="1"/>
    <col min="33" max="33" width="9.5546875" style="2" bestFit="1" customWidth="1"/>
    <col min="34" max="34" width="8.77734375" style="2" bestFit="1" customWidth="1"/>
    <col min="35" max="36" width="9.5546875" style="2" bestFit="1" customWidth="1"/>
    <col min="37" max="37" width="8.77734375" style="2" bestFit="1" customWidth="1"/>
    <col min="38" max="40" width="9.5546875" style="2" bestFit="1" customWidth="1"/>
    <col min="41" max="41" width="10.44140625" style="2" bestFit="1" customWidth="1"/>
    <col min="42" max="16384" width="11.5546875" style="2"/>
  </cols>
  <sheetData>
    <row r="1" spans="1:41" ht="15" customHeight="1" x14ac:dyDescent="0.45"/>
    <row r="2" spans="1:41" ht="15" customHeight="1" x14ac:dyDescent="0.45">
      <c r="B2" s="3"/>
      <c r="F2" s="3"/>
      <c r="G2" s="56" t="s">
        <v>341</v>
      </c>
      <c r="H2" s="56"/>
      <c r="I2" s="56"/>
      <c r="J2" s="56"/>
      <c r="K2" s="56"/>
      <c r="L2" s="56"/>
      <c r="M2" s="56"/>
      <c r="N2" s="56"/>
      <c r="O2" s="56"/>
      <c r="P2" s="56"/>
    </row>
    <row r="3" spans="1:41" ht="15" customHeight="1" x14ac:dyDescent="0.45">
      <c r="B3" s="3"/>
      <c r="F3" s="3"/>
      <c r="G3" s="56" t="s">
        <v>375</v>
      </c>
      <c r="H3" s="56"/>
      <c r="I3" s="56"/>
      <c r="J3" s="56"/>
      <c r="K3" s="56"/>
      <c r="L3" s="56"/>
      <c r="M3" s="56"/>
      <c r="N3" s="56"/>
      <c r="O3" s="56"/>
      <c r="P3" s="56"/>
    </row>
    <row r="4" spans="1:41" ht="15" customHeight="1" thickBot="1" x14ac:dyDescent="0.5">
      <c r="B4" s="3"/>
    </row>
    <row r="5" spans="1:41" ht="15" customHeight="1" x14ac:dyDescent="0.45">
      <c r="A5" s="64" t="s">
        <v>343</v>
      </c>
      <c r="B5" s="64"/>
      <c r="C5" s="60" t="s">
        <v>344</v>
      </c>
      <c r="D5" s="61"/>
      <c r="E5" s="61"/>
      <c r="F5" s="61"/>
      <c r="G5" s="61"/>
      <c r="H5" s="61"/>
      <c r="I5" s="61"/>
      <c r="J5" s="61"/>
      <c r="K5" s="61"/>
      <c r="L5" s="61"/>
      <c r="M5" s="61"/>
      <c r="N5" s="61"/>
      <c r="O5" s="62"/>
      <c r="P5" s="65" t="s">
        <v>345</v>
      </c>
      <c r="Q5" s="66"/>
      <c r="R5" s="66"/>
      <c r="S5" s="66"/>
      <c r="T5" s="66"/>
      <c r="U5" s="66"/>
      <c r="V5" s="66"/>
      <c r="W5" s="66"/>
      <c r="X5" s="66"/>
      <c r="Y5" s="66"/>
      <c r="Z5" s="66"/>
      <c r="AA5" s="66"/>
      <c r="AB5" s="67"/>
      <c r="AC5" s="57" t="s">
        <v>346</v>
      </c>
      <c r="AD5" s="58"/>
      <c r="AE5" s="58"/>
      <c r="AF5" s="58"/>
      <c r="AG5" s="58"/>
      <c r="AH5" s="58"/>
      <c r="AI5" s="58"/>
      <c r="AJ5" s="58"/>
      <c r="AK5" s="58"/>
      <c r="AL5" s="58"/>
      <c r="AM5" s="58"/>
      <c r="AN5" s="58"/>
      <c r="AO5" s="59"/>
    </row>
    <row r="6" spans="1:41" x14ac:dyDescent="0.45">
      <c r="A6" s="36" t="s">
        <v>347</v>
      </c>
      <c r="B6" s="36" t="s">
        <v>349</v>
      </c>
      <c r="C6" s="37" t="s">
        <v>351</v>
      </c>
      <c r="D6" s="38" t="s">
        <v>352</v>
      </c>
      <c r="E6" s="38" t="s">
        <v>353</v>
      </c>
      <c r="F6" s="38" t="s">
        <v>354</v>
      </c>
      <c r="G6" s="38" t="s">
        <v>355</v>
      </c>
      <c r="H6" s="38" t="s">
        <v>356</v>
      </c>
      <c r="I6" s="38" t="s">
        <v>357</v>
      </c>
      <c r="J6" s="38" t="s">
        <v>358</v>
      </c>
      <c r="K6" s="38" t="s">
        <v>359</v>
      </c>
      <c r="L6" s="38" t="s">
        <v>360</v>
      </c>
      <c r="M6" s="38" t="s">
        <v>361</v>
      </c>
      <c r="N6" s="38" t="s">
        <v>362</v>
      </c>
      <c r="O6" s="39" t="s">
        <v>0</v>
      </c>
      <c r="P6" s="40" t="s">
        <v>363</v>
      </c>
      <c r="Q6" s="41" t="s">
        <v>364</v>
      </c>
      <c r="R6" s="41" t="s">
        <v>365</v>
      </c>
      <c r="S6" s="41" t="s">
        <v>366</v>
      </c>
      <c r="T6" s="41" t="s">
        <v>367</v>
      </c>
      <c r="U6" s="41" t="s">
        <v>368</v>
      </c>
      <c r="V6" s="41" t="s">
        <v>369</v>
      </c>
      <c r="W6" s="41" t="s">
        <v>370</v>
      </c>
      <c r="X6" s="41" t="s">
        <v>371</v>
      </c>
      <c r="Y6" s="41" t="s">
        <v>372</v>
      </c>
      <c r="Z6" s="41" t="s">
        <v>373</v>
      </c>
      <c r="AA6" s="41" t="s">
        <v>374</v>
      </c>
      <c r="AB6" s="42" t="s">
        <v>0</v>
      </c>
      <c r="AC6" s="43" t="s">
        <v>363</v>
      </c>
      <c r="AD6" s="44" t="s">
        <v>364</v>
      </c>
      <c r="AE6" s="44" t="s">
        <v>365</v>
      </c>
      <c r="AF6" s="44" t="s">
        <v>366</v>
      </c>
      <c r="AG6" s="44" t="s">
        <v>367</v>
      </c>
      <c r="AH6" s="44" t="s">
        <v>368</v>
      </c>
      <c r="AI6" s="44" t="s">
        <v>369</v>
      </c>
      <c r="AJ6" s="44" t="s">
        <v>370</v>
      </c>
      <c r="AK6" s="44" t="s">
        <v>371</v>
      </c>
      <c r="AL6" s="44" t="s">
        <v>372</v>
      </c>
      <c r="AM6" s="44" t="s">
        <v>373</v>
      </c>
      <c r="AN6" s="44" t="s">
        <v>374</v>
      </c>
      <c r="AO6" s="45" t="s">
        <v>0</v>
      </c>
    </row>
    <row r="7" spans="1:41" ht="17.25" customHeight="1" x14ac:dyDescent="0.45">
      <c r="A7" s="2" t="s">
        <v>9</v>
      </c>
      <c r="B7" s="2" t="s">
        <v>10</v>
      </c>
      <c r="C7" s="23">
        <v>0</v>
      </c>
      <c r="D7" s="1">
        <v>0</v>
      </c>
      <c r="E7" s="1">
        <v>0</v>
      </c>
      <c r="F7" s="1">
        <v>2</v>
      </c>
      <c r="G7" s="1">
        <v>0</v>
      </c>
      <c r="H7" s="1">
        <v>0</v>
      </c>
      <c r="I7" s="1">
        <v>0</v>
      </c>
      <c r="J7" s="1">
        <v>0</v>
      </c>
      <c r="K7" s="1">
        <v>0</v>
      </c>
      <c r="L7" s="1">
        <v>0</v>
      </c>
      <c r="M7" s="1">
        <v>0</v>
      </c>
      <c r="N7" s="1">
        <v>0</v>
      </c>
      <c r="O7" s="24">
        <f>SUM(C7:N7)</f>
        <v>2</v>
      </c>
      <c r="P7" s="23">
        <v>0</v>
      </c>
      <c r="Q7" s="1">
        <v>0</v>
      </c>
      <c r="R7" s="1">
        <v>0</v>
      </c>
      <c r="S7" s="1">
        <v>314</v>
      </c>
      <c r="T7" s="1">
        <v>0</v>
      </c>
      <c r="U7" s="1">
        <v>0</v>
      </c>
      <c r="V7" s="1">
        <v>0</v>
      </c>
      <c r="W7" s="1">
        <v>0</v>
      </c>
      <c r="X7" s="1">
        <v>0</v>
      </c>
      <c r="Y7" s="1">
        <v>0</v>
      </c>
      <c r="Z7" s="1">
        <v>0</v>
      </c>
      <c r="AA7" s="1">
        <v>0</v>
      </c>
      <c r="AB7" s="24">
        <f>SUM(P7:AA7)</f>
        <v>314</v>
      </c>
      <c r="AC7" s="23">
        <v>0</v>
      </c>
      <c r="AD7" s="1">
        <v>0</v>
      </c>
      <c r="AE7" s="1">
        <v>0</v>
      </c>
      <c r="AF7" s="1">
        <v>0</v>
      </c>
      <c r="AG7" s="1">
        <v>0</v>
      </c>
      <c r="AH7" s="1">
        <v>0</v>
      </c>
      <c r="AI7" s="1">
        <v>0</v>
      </c>
      <c r="AJ7" s="1">
        <v>0</v>
      </c>
      <c r="AK7" s="1">
        <v>0</v>
      </c>
      <c r="AL7" s="1">
        <v>0</v>
      </c>
      <c r="AM7" s="1">
        <v>0</v>
      </c>
      <c r="AN7" s="1">
        <v>0</v>
      </c>
      <c r="AO7" s="24">
        <f>SUM(AC7:AN7)</f>
        <v>0</v>
      </c>
    </row>
    <row r="8" spans="1:41" ht="17.25" customHeight="1" x14ac:dyDescent="0.45">
      <c r="A8" s="12" t="s">
        <v>9</v>
      </c>
      <c r="B8" s="12" t="s">
        <v>22</v>
      </c>
      <c r="C8" s="25">
        <v>2</v>
      </c>
      <c r="D8" s="10">
        <v>0</v>
      </c>
      <c r="E8" s="10">
        <v>0</v>
      </c>
      <c r="F8" s="10">
        <v>0</v>
      </c>
      <c r="G8" s="10">
        <v>0</v>
      </c>
      <c r="H8" s="10">
        <v>0</v>
      </c>
      <c r="I8" s="10">
        <v>0</v>
      </c>
      <c r="J8" s="10">
        <v>0</v>
      </c>
      <c r="K8" s="10">
        <v>0</v>
      </c>
      <c r="L8" s="10">
        <v>0</v>
      </c>
      <c r="M8" s="10">
        <v>0</v>
      </c>
      <c r="N8" s="10">
        <v>0</v>
      </c>
      <c r="O8" s="26">
        <f t="shared" ref="O8:O71" si="0">SUM(C8:N8)</f>
        <v>2</v>
      </c>
      <c r="P8" s="25">
        <v>94</v>
      </c>
      <c r="Q8" s="10">
        <v>0</v>
      </c>
      <c r="R8" s="10">
        <v>0</v>
      </c>
      <c r="S8" s="10">
        <v>0</v>
      </c>
      <c r="T8" s="10">
        <v>0</v>
      </c>
      <c r="U8" s="10">
        <v>0</v>
      </c>
      <c r="V8" s="10">
        <v>0</v>
      </c>
      <c r="W8" s="10">
        <v>0</v>
      </c>
      <c r="X8" s="10">
        <v>0</v>
      </c>
      <c r="Y8" s="10">
        <v>0</v>
      </c>
      <c r="Z8" s="10">
        <v>0</v>
      </c>
      <c r="AA8" s="10">
        <v>0</v>
      </c>
      <c r="AB8" s="26">
        <f t="shared" ref="AB8:AB71" si="1">SUM(P8:AA8)</f>
        <v>94</v>
      </c>
      <c r="AC8" s="25">
        <v>0</v>
      </c>
      <c r="AD8" s="10">
        <v>0</v>
      </c>
      <c r="AE8" s="10">
        <v>0</v>
      </c>
      <c r="AF8" s="10">
        <v>0</v>
      </c>
      <c r="AG8" s="10">
        <v>0</v>
      </c>
      <c r="AH8" s="10">
        <v>0</v>
      </c>
      <c r="AI8" s="10">
        <v>0</v>
      </c>
      <c r="AJ8" s="10">
        <v>0</v>
      </c>
      <c r="AK8" s="10">
        <v>0</v>
      </c>
      <c r="AL8" s="10">
        <v>0</v>
      </c>
      <c r="AM8" s="10">
        <v>0</v>
      </c>
      <c r="AN8" s="10">
        <v>0</v>
      </c>
      <c r="AO8" s="26">
        <f t="shared" ref="AO8:AO71" si="2">SUM(AC8:AN8)</f>
        <v>0</v>
      </c>
    </row>
    <row r="9" spans="1:41" ht="17.25" customHeight="1" x14ac:dyDescent="0.45">
      <c r="A9" s="2" t="s">
        <v>9</v>
      </c>
      <c r="B9" s="2" t="s">
        <v>11</v>
      </c>
      <c r="C9" s="23">
        <v>26</v>
      </c>
      <c r="D9" s="1">
        <v>25</v>
      </c>
      <c r="E9" s="1">
        <v>27</v>
      </c>
      <c r="F9" s="1">
        <v>32</v>
      </c>
      <c r="G9" s="1">
        <v>31</v>
      </c>
      <c r="H9" s="1">
        <v>30</v>
      </c>
      <c r="I9" s="1">
        <v>31</v>
      </c>
      <c r="J9" s="1">
        <v>31</v>
      </c>
      <c r="K9" s="1">
        <v>23</v>
      </c>
      <c r="L9" s="1">
        <v>30</v>
      </c>
      <c r="M9" s="1">
        <v>29</v>
      </c>
      <c r="N9" s="1">
        <v>36</v>
      </c>
      <c r="O9" s="24">
        <f t="shared" si="0"/>
        <v>351</v>
      </c>
      <c r="P9" s="23">
        <v>3522</v>
      </c>
      <c r="Q9" s="1">
        <v>3792</v>
      </c>
      <c r="R9" s="1">
        <v>4291</v>
      </c>
      <c r="S9" s="1">
        <v>5062</v>
      </c>
      <c r="T9" s="1">
        <v>4065</v>
      </c>
      <c r="U9" s="1">
        <v>4491</v>
      </c>
      <c r="V9" s="1">
        <v>4810</v>
      </c>
      <c r="W9" s="1">
        <v>4694</v>
      </c>
      <c r="X9" s="1">
        <v>3225</v>
      </c>
      <c r="Y9" s="1">
        <v>3671</v>
      </c>
      <c r="Z9" s="1">
        <v>5232</v>
      </c>
      <c r="AA9" s="1">
        <v>6015</v>
      </c>
      <c r="AB9" s="24">
        <f t="shared" si="1"/>
        <v>52870</v>
      </c>
      <c r="AC9" s="23">
        <v>0</v>
      </c>
      <c r="AD9" s="1">
        <v>0</v>
      </c>
      <c r="AE9" s="1">
        <v>0</v>
      </c>
      <c r="AF9" s="1">
        <v>0</v>
      </c>
      <c r="AG9" s="1">
        <v>0</v>
      </c>
      <c r="AH9" s="1">
        <v>0</v>
      </c>
      <c r="AI9" s="1">
        <v>0</v>
      </c>
      <c r="AJ9" s="1">
        <v>0</v>
      </c>
      <c r="AK9" s="1">
        <v>0</v>
      </c>
      <c r="AL9" s="1">
        <v>0</v>
      </c>
      <c r="AM9" s="1">
        <v>0</v>
      </c>
      <c r="AN9" s="1">
        <v>0</v>
      </c>
      <c r="AO9" s="24">
        <f t="shared" si="2"/>
        <v>0</v>
      </c>
    </row>
    <row r="10" spans="1:41" ht="17.25" customHeight="1" x14ac:dyDescent="0.45">
      <c r="A10" s="12" t="s">
        <v>9</v>
      </c>
      <c r="B10" s="12" t="s">
        <v>52</v>
      </c>
      <c r="C10" s="25">
        <v>0</v>
      </c>
      <c r="D10" s="10">
        <v>0</v>
      </c>
      <c r="E10" s="10">
        <v>0</v>
      </c>
      <c r="F10" s="10">
        <v>0</v>
      </c>
      <c r="G10" s="10">
        <v>0</v>
      </c>
      <c r="H10" s="10">
        <v>0</v>
      </c>
      <c r="I10" s="10">
        <v>0</v>
      </c>
      <c r="J10" s="10">
        <v>0</v>
      </c>
      <c r="K10" s="10">
        <v>0</v>
      </c>
      <c r="L10" s="10">
        <v>0</v>
      </c>
      <c r="M10" s="10">
        <v>7</v>
      </c>
      <c r="N10" s="10">
        <v>9</v>
      </c>
      <c r="O10" s="26">
        <f t="shared" si="0"/>
        <v>16</v>
      </c>
      <c r="P10" s="25">
        <v>0</v>
      </c>
      <c r="Q10" s="10">
        <v>0</v>
      </c>
      <c r="R10" s="10">
        <v>0</v>
      </c>
      <c r="S10" s="10">
        <v>0</v>
      </c>
      <c r="T10" s="10">
        <v>0</v>
      </c>
      <c r="U10" s="10">
        <v>0</v>
      </c>
      <c r="V10" s="10">
        <v>0</v>
      </c>
      <c r="W10" s="10">
        <v>0</v>
      </c>
      <c r="X10" s="10">
        <v>0</v>
      </c>
      <c r="Y10" s="10">
        <v>0</v>
      </c>
      <c r="Z10" s="10">
        <v>99</v>
      </c>
      <c r="AA10" s="10">
        <v>116</v>
      </c>
      <c r="AB10" s="26">
        <f t="shared" si="1"/>
        <v>215</v>
      </c>
      <c r="AC10" s="25">
        <v>0</v>
      </c>
      <c r="AD10" s="10">
        <v>0</v>
      </c>
      <c r="AE10" s="10">
        <v>0</v>
      </c>
      <c r="AF10" s="10">
        <v>0</v>
      </c>
      <c r="AG10" s="10">
        <v>0</v>
      </c>
      <c r="AH10" s="10">
        <v>0</v>
      </c>
      <c r="AI10" s="10">
        <v>0</v>
      </c>
      <c r="AJ10" s="10">
        <v>0</v>
      </c>
      <c r="AK10" s="10">
        <v>0</v>
      </c>
      <c r="AL10" s="10">
        <v>0</v>
      </c>
      <c r="AM10" s="10">
        <v>0</v>
      </c>
      <c r="AN10" s="10">
        <v>0</v>
      </c>
      <c r="AO10" s="26">
        <f t="shared" si="2"/>
        <v>0</v>
      </c>
    </row>
    <row r="11" spans="1:41" ht="17.25" customHeight="1" x14ac:dyDescent="0.45">
      <c r="A11" s="2" t="s">
        <v>9</v>
      </c>
      <c r="B11" s="2" t="s">
        <v>53</v>
      </c>
      <c r="C11" s="23">
        <v>0</v>
      </c>
      <c r="D11" s="1">
        <v>0</v>
      </c>
      <c r="E11" s="1">
        <v>0</v>
      </c>
      <c r="F11" s="1">
        <v>0</v>
      </c>
      <c r="G11" s="1">
        <v>1</v>
      </c>
      <c r="H11" s="1">
        <v>0</v>
      </c>
      <c r="I11" s="1">
        <v>0</v>
      </c>
      <c r="J11" s="1">
        <v>0</v>
      </c>
      <c r="K11" s="1">
        <v>0</v>
      </c>
      <c r="L11" s="1">
        <v>0</v>
      </c>
      <c r="M11" s="1">
        <v>0</v>
      </c>
      <c r="N11" s="1">
        <v>0</v>
      </c>
      <c r="O11" s="24">
        <f t="shared" si="0"/>
        <v>1</v>
      </c>
      <c r="P11" s="23">
        <v>0</v>
      </c>
      <c r="Q11" s="1">
        <v>0</v>
      </c>
      <c r="R11" s="1">
        <v>0</v>
      </c>
      <c r="S11" s="1">
        <v>0</v>
      </c>
      <c r="T11" s="1">
        <v>46</v>
      </c>
      <c r="U11" s="1">
        <v>0</v>
      </c>
      <c r="V11" s="1">
        <v>0</v>
      </c>
      <c r="W11" s="1">
        <v>0</v>
      </c>
      <c r="X11" s="1">
        <v>0</v>
      </c>
      <c r="Y11" s="1">
        <v>0</v>
      </c>
      <c r="Z11" s="1">
        <v>0</v>
      </c>
      <c r="AA11" s="1">
        <v>0</v>
      </c>
      <c r="AB11" s="24">
        <f t="shared" si="1"/>
        <v>46</v>
      </c>
      <c r="AC11" s="23">
        <v>0</v>
      </c>
      <c r="AD11" s="1">
        <v>0</v>
      </c>
      <c r="AE11" s="1">
        <v>0</v>
      </c>
      <c r="AF11" s="1">
        <v>0</v>
      </c>
      <c r="AG11" s="1">
        <v>0</v>
      </c>
      <c r="AH11" s="1">
        <v>0</v>
      </c>
      <c r="AI11" s="1">
        <v>0</v>
      </c>
      <c r="AJ11" s="1">
        <v>0</v>
      </c>
      <c r="AK11" s="1">
        <v>0</v>
      </c>
      <c r="AL11" s="1">
        <v>0</v>
      </c>
      <c r="AM11" s="1">
        <v>0</v>
      </c>
      <c r="AN11" s="1">
        <v>0</v>
      </c>
      <c r="AO11" s="24">
        <f t="shared" si="2"/>
        <v>0</v>
      </c>
    </row>
    <row r="12" spans="1:41" ht="17.25" customHeight="1" x14ac:dyDescent="0.45">
      <c r="A12" s="12" t="s">
        <v>9</v>
      </c>
      <c r="B12" s="12" t="s">
        <v>12</v>
      </c>
      <c r="C12" s="25">
        <v>95</v>
      </c>
      <c r="D12" s="10">
        <v>88</v>
      </c>
      <c r="E12" s="10">
        <v>84</v>
      </c>
      <c r="F12" s="10">
        <v>104</v>
      </c>
      <c r="G12" s="10">
        <v>141</v>
      </c>
      <c r="H12" s="10">
        <v>127</v>
      </c>
      <c r="I12" s="10">
        <v>131</v>
      </c>
      <c r="J12" s="10">
        <v>132</v>
      </c>
      <c r="K12" s="10">
        <v>74</v>
      </c>
      <c r="L12" s="10">
        <v>66</v>
      </c>
      <c r="M12" s="10">
        <v>71</v>
      </c>
      <c r="N12" s="10">
        <v>84</v>
      </c>
      <c r="O12" s="26">
        <f t="shared" si="0"/>
        <v>1197</v>
      </c>
      <c r="P12" s="25">
        <v>8739</v>
      </c>
      <c r="Q12" s="10">
        <v>9160</v>
      </c>
      <c r="R12" s="10">
        <v>9612</v>
      </c>
      <c r="S12" s="10">
        <v>12102</v>
      </c>
      <c r="T12" s="10">
        <v>13795</v>
      </c>
      <c r="U12" s="10">
        <v>12545</v>
      </c>
      <c r="V12" s="10">
        <v>14423</v>
      </c>
      <c r="W12" s="10">
        <v>14684</v>
      </c>
      <c r="X12" s="10">
        <v>8747</v>
      </c>
      <c r="Y12" s="10">
        <v>6229</v>
      </c>
      <c r="Z12" s="10">
        <v>9606</v>
      </c>
      <c r="AA12" s="10">
        <v>8680</v>
      </c>
      <c r="AB12" s="26">
        <f t="shared" si="1"/>
        <v>128322</v>
      </c>
      <c r="AC12" s="25">
        <v>0</v>
      </c>
      <c r="AD12" s="10">
        <v>0</v>
      </c>
      <c r="AE12" s="10">
        <v>0</v>
      </c>
      <c r="AF12" s="10">
        <v>0</v>
      </c>
      <c r="AG12" s="10">
        <v>200</v>
      </c>
      <c r="AH12" s="10">
        <v>0</v>
      </c>
      <c r="AI12" s="10">
        <v>0</v>
      </c>
      <c r="AJ12" s="10">
        <v>0</v>
      </c>
      <c r="AK12" s="10">
        <v>0</v>
      </c>
      <c r="AL12" s="10">
        <v>0</v>
      </c>
      <c r="AM12" s="10">
        <v>0</v>
      </c>
      <c r="AN12" s="10">
        <v>0</v>
      </c>
      <c r="AO12" s="26">
        <f t="shared" si="2"/>
        <v>200</v>
      </c>
    </row>
    <row r="13" spans="1:41" ht="17.25" customHeight="1" x14ac:dyDescent="0.45">
      <c r="A13" s="2" t="s">
        <v>9</v>
      </c>
      <c r="B13" s="2" t="s">
        <v>13</v>
      </c>
      <c r="C13" s="23">
        <v>0</v>
      </c>
      <c r="D13" s="1">
        <v>1</v>
      </c>
      <c r="E13" s="1">
        <v>1</v>
      </c>
      <c r="F13" s="1">
        <v>2</v>
      </c>
      <c r="G13" s="1">
        <v>0</v>
      </c>
      <c r="H13" s="1">
        <v>0</v>
      </c>
      <c r="I13" s="1">
        <v>9</v>
      </c>
      <c r="J13" s="1">
        <v>9</v>
      </c>
      <c r="K13" s="1">
        <v>15</v>
      </c>
      <c r="L13" s="1">
        <v>16</v>
      </c>
      <c r="M13" s="1">
        <v>17</v>
      </c>
      <c r="N13" s="1">
        <v>21</v>
      </c>
      <c r="O13" s="24">
        <f t="shared" si="0"/>
        <v>91</v>
      </c>
      <c r="P13" s="23">
        <v>0</v>
      </c>
      <c r="Q13" s="1">
        <v>146</v>
      </c>
      <c r="R13" s="1">
        <v>138</v>
      </c>
      <c r="S13" s="1">
        <v>277</v>
      </c>
      <c r="T13" s="1">
        <v>0</v>
      </c>
      <c r="U13" s="1">
        <v>0</v>
      </c>
      <c r="V13" s="1">
        <v>1581</v>
      </c>
      <c r="W13" s="1">
        <v>1511</v>
      </c>
      <c r="X13" s="1">
        <v>579</v>
      </c>
      <c r="Y13" s="1">
        <v>555</v>
      </c>
      <c r="Z13" s="1">
        <v>943</v>
      </c>
      <c r="AA13" s="1">
        <v>1338</v>
      </c>
      <c r="AB13" s="24">
        <f t="shared" si="1"/>
        <v>7068</v>
      </c>
      <c r="AC13" s="23">
        <v>0</v>
      </c>
      <c r="AD13" s="1">
        <v>0</v>
      </c>
      <c r="AE13" s="1">
        <v>0</v>
      </c>
      <c r="AF13" s="1">
        <v>0</v>
      </c>
      <c r="AG13" s="1">
        <v>0</v>
      </c>
      <c r="AH13" s="1">
        <v>0</v>
      </c>
      <c r="AI13" s="1">
        <v>0</v>
      </c>
      <c r="AJ13" s="1">
        <v>0</v>
      </c>
      <c r="AK13" s="1">
        <v>0</v>
      </c>
      <c r="AL13" s="1">
        <v>0</v>
      </c>
      <c r="AM13" s="1">
        <v>0</v>
      </c>
      <c r="AN13" s="1">
        <v>0</v>
      </c>
      <c r="AO13" s="24">
        <f t="shared" si="2"/>
        <v>0</v>
      </c>
    </row>
    <row r="14" spans="1:41" ht="17.25" customHeight="1" x14ac:dyDescent="0.45">
      <c r="A14" s="12" t="s">
        <v>9</v>
      </c>
      <c r="B14" s="12" t="s">
        <v>14</v>
      </c>
      <c r="C14" s="25">
        <v>7</v>
      </c>
      <c r="D14" s="10">
        <v>8</v>
      </c>
      <c r="E14" s="10">
        <v>9</v>
      </c>
      <c r="F14" s="10">
        <v>11</v>
      </c>
      <c r="G14" s="10">
        <v>17</v>
      </c>
      <c r="H14" s="10">
        <v>17</v>
      </c>
      <c r="I14" s="10">
        <v>17</v>
      </c>
      <c r="J14" s="10">
        <v>17</v>
      </c>
      <c r="K14" s="10">
        <v>15</v>
      </c>
      <c r="L14" s="10">
        <v>17</v>
      </c>
      <c r="M14" s="10">
        <v>17</v>
      </c>
      <c r="N14" s="10">
        <v>18</v>
      </c>
      <c r="O14" s="26">
        <f t="shared" si="0"/>
        <v>170</v>
      </c>
      <c r="P14" s="25">
        <v>876</v>
      </c>
      <c r="Q14" s="10">
        <v>942</v>
      </c>
      <c r="R14" s="10">
        <v>1232</v>
      </c>
      <c r="S14" s="10">
        <v>1406</v>
      </c>
      <c r="T14" s="10">
        <v>2066</v>
      </c>
      <c r="U14" s="10">
        <v>2308</v>
      </c>
      <c r="V14" s="10">
        <v>2243</v>
      </c>
      <c r="W14" s="10">
        <v>2354</v>
      </c>
      <c r="X14" s="10">
        <v>1514</v>
      </c>
      <c r="Y14" s="10">
        <v>1149</v>
      </c>
      <c r="Z14" s="10">
        <v>1485</v>
      </c>
      <c r="AA14" s="10">
        <v>1567</v>
      </c>
      <c r="AB14" s="26">
        <f t="shared" si="1"/>
        <v>19142</v>
      </c>
      <c r="AC14" s="25">
        <v>0</v>
      </c>
      <c r="AD14" s="10">
        <v>0</v>
      </c>
      <c r="AE14" s="10">
        <v>0</v>
      </c>
      <c r="AF14" s="10">
        <v>0</v>
      </c>
      <c r="AG14" s="10">
        <v>0</v>
      </c>
      <c r="AH14" s="10">
        <v>0</v>
      </c>
      <c r="AI14" s="10">
        <v>0</v>
      </c>
      <c r="AJ14" s="10">
        <v>0</v>
      </c>
      <c r="AK14" s="10">
        <v>0</v>
      </c>
      <c r="AL14" s="10">
        <v>0</v>
      </c>
      <c r="AM14" s="10">
        <v>0</v>
      </c>
      <c r="AN14" s="10">
        <v>0</v>
      </c>
      <c r="AO14" s="26">
        <f t="shared" si="2"/>
        <v>0</v>
      </c>
    </row>
    <row r="15" spans="1:41" ht="17.25" customHeight="1" x14ac:dyDescent="0.45">
      <c r="A15" s="2" t="s">
        <v>9</v>
      </c>
      <c r="B15" s="2" t="s">
        <v>15</v>
      </c>
      <c r="C15" s="23">
        <v>36</v>
      </c>
      <c r="D15" s="1">
        <v>29</v>
      </c>
      <c r="E15" s="1">
        <v>32</v>
      </c>
      <c r="F15" s="1">
        <v>36</v>
      </c>
      <c r="G15" s="1">
        <v>44</v>
      </c>
      <c r="H15" s="1">
        <v>34</v>
      </c>
      <c r="I15" s="1">
        <v>44</v>
      </c>
      <c r="J15" s="1">
        <v>43</v>
      </c>
      <c r="K15" s="1">
        <v>23</v>
      </c>
      <c r="L15" s="1">
        <v>41</v>
      </c>
      <c r="M15" s="1">
        <v>46</v>
      </c>
      <c r="N15" s="1">
        <v>49</v>
      </c>
      <c r="O15" s="24">
        <f t="shared" si="0"/>
        <v>457</v>
      </c>
      <c r="P15" s="23">
        <v>6474</v>
      </c>
      <c r="Q15" s="1">
        <v>5058</v>
      </c>
      <c r="R15" s="1">
        <v>5556</v>
      </c>
      <c r="S15" s="1">
        <v>6133</v>
      </c>
      <c r="T15" s="1">
        <v>7145</v>
      </c>
      <c r="U15" s="1">
        <v>5178</v>
      </c>
      <c r="V15" s="1">
        <v>7312</v>
      </c>
      <c r="W15" s="1">
        <v>7284</v>
      </c>
      <c r="X15" s="1">
        <v>3662</v>
      </c>
      <c r="Y15" s="1">
        <v>6201</v>
      </c>
      <c r="Z15" s="1">
        <v>7888</v>
      </c>
      <c r="AA15" s="1">
        <v>8667</v>
      </c>
      <c r="AB15" s="24">
        <f t="shared" si="1"/>
        <v>76558</v>
      </c>
      <c r="AC15" s="23">
        <v>0</v>
      </c>
      <c r="AD15" s="1">
        <v>0</v>
      </c>
      <c r="AE15" s="1">
        <v>0</v>
      </c>
      <c r="AF15" s="1">
        <v>0</v>
      </c>
      <c r="AG15" s="1">
        <v>0</v>
      </c>
      <c r="AH15" s="1">
        <v>0</v>
      </c>
      <c r="AI15" s="1">
        <v>0</v>
      </c>
      <c r="AJ15" s="1">
        <v>0</v>
      </c>
      <c r="AK15" s="1">
        <v>0</v>
      </c>
      <c r="AL15" s="1">
        <v>0</v>
      </c>
      <c r="AM15" s="1">
        <v>0</v>
      </c>
      <c r="AN15" s="1">
        <v>0</v>
      </c>
      <c r="AO15" s="24">
        <f t="shared" si="2"/>
        <v>0</v>
      </c>
    </row>
    <row r="16" spans="1:41" ht="17.25" customHeight="1" x14ac:dyDescent="0.45">
      <c r="A16" s="12" t="s">
        <v>16</v>
      </c>
      <c r="B16" s="12" t="s">
        <v>10</v>
      </c>
      <c r="C16" s="25">
        <v>18</v>
      </c>
      <c r="D16" s="10">
        <v>16</v>
      </c>
      <c r="E16" s="10">
        <v>18</v>
      </c>
      <c r="F16" s="10">
        <v>13</v>
      </c>
      <c r="G16" s="10">
        <v>14</v>
      </c>
      <c r="H16" s="10">
        <v>12</v>
      </c>
      <c r="I16" s="10">
        <v>15</v>
      </c>
      <c r="J16" s="10">
        <v>13</v>
      </c>
      <c r="K16" s="10">
        <v>13</v>
      </c>
      <c r="L16" s="10">
        <v>14</v>
      </c>
      <c r="M16" s="10">
        <v>20</v>
      </c>
      <c r="N16" s="10">
        <v>24</v>
      </c>
      <c r="O16" s="26">
        <f t="shared" si="0"/>
        <v>190</v>
      </c>
      <c r="P16" s="25">
        <v>3129</v>
      </c>
      <c r="Q16" s="10">
        <v>2669</v>
      </c>
      <c r="R16" s="10">
        <v>2966</v>
      </c>
      <c r="S16" s="10">
        <v>2221</v>
      </c>
      <c r="T16" s="10">
        <v>2375</v>
      </c>
      <c r="U16" s="10">
        <v>2085</v>
      </c>
      <c r="V16" s="10">
        <v>2649</v>
      </c>
      <c r="W16" s="10">
        <v>2780</v>
      </c>
      <c r="X16" s="10">
        <v>1984</v>
      </c>
      <c r="Y16" s="10">
        <v>2144</v>
      </c>
      <c r="Z16" s="10">
        <v>3320</v>
      </c>
      <c r="AA16" s="10">
        <v>3711</v>
      </c>
      <c r="AB16" s="26">
        <f t="shared" si="1"/>
        <v>32033</v>
      </c>
      <c r="AC16" s="25">
        <v>0</v>
      </c>
      <c r="AD16" s="10">
        <v>0</v>
      </c>
      <c r="AE16" s="10">
        <v>0</v>
      </c>
      <c r="AF16" s="10">
        <v>0</v>
      </c>
      <c r="AG16" s="10">
        <v>0</v>
      </c>
      <c r="AH16" s="10">
        <v>0</v>
      </c>
      <c r="AI16" s="10">
        <v>0</v>
      </c>
      <c r="AJ16" s="10">
        <v>0</v>
      </c>
      <c r="AK16" s="10">
        <v>0</v>
      </c>
      <c r="AL16" s="10">
        <v>0</v>
      </c>
      <c r="AM16" s="10">
        <v>0</v>
      </c>
      <c r="AN16" s="10">
        <v>0</v>
      </c>
      <c r="AO16" s="26">
        <f t="shared" si="2"/>
        <v>0</v>
      </c>
    </row>
    <row r="17" spans="1:41" ht="17.25" customHeight="1" x14ac:dyDescent="0.45">
      <c r="A17" s="2" t="s">
        <v>16</v>
      </c>
      <c r="B17" s="2" t="s">
        <v>12</v>
      </c>
      <c r="C17" s="23">
        <v>118</v>
      </c>
      <c r="D17" s="1">
        <v>135</v>
      </c>
      <c r="E17" s="1">
        <v>126</v>
      </c>
      <c r="F17" s="1">
        <v>171</v>
      </c>
      <c r="G17" s="1">
        <v>173</v>
      </c>
      <c r="H17" s="1">
        <v>149</v>
      </c>
      <c r="I17" s="1">
        <v>119</v>
      </c>
      <c r="J17" s="1">
        <v>119</v>
      </c>
      <c r="K17" s="1">
        <v>115</v>
      </c>
      <c r="L17" s="1">
        <v>122</v>
      </c>
      <c r="M17" s="1">
        <v>140</v>
      </c>
      <c r="N17" s="1">
        <v>125</v>
      </c>
      <c r="O17" s="24">
        <f t="shared" si="0"/>
        <v>1612</v>
      </c>
      <c r="P17" s="23">
        <v>11173</v>
      </c>
      <c r="Q17" s="1">
        <v>11356</v>
      </c>
      <c r="R17" s="1">
        <v>12786</v>
      </c>
      <c r="S17" s="1">
        <v>15385</v>
      </c>
      <c r="T17" s="1">
        <v>15752</v>
      </c>
      <c r="U17" s="1">
        <v>13409</v>
      </c>
      <c r="V17" s="1">
        <v>12444</v>
      </c>
      <c r="W17" s="1">
        <v>12990</v>
      </c>
      <c r="X17" s="1">
        <v>13969</v>
      </c>
      <c r="Y17" s="1">
        <v>13735</v>
      </c>
      <c r="Z17" s="1">
        <v>13298</v>
      </c>
      <c r="AA17" s="1">
        <v>11355</v>
      </c>
      <c r="AB17" s="24">
        <f t="shared" si="1"/>
        <v>157652</v>
      </c>
      <c r="AC17" s="23">
        <v>7262</v>
      </c>
      <c r="AD17" s="1">
        <v>7007</v>
      </c>
      <c r="AE17" s="1">
        <v>7952</v>
      </c>
      <c r="AF17" s="1">
        <v>6954</v>
      </c>
      <c r="AG17" s="1">
        <v>7220</v>
      </c>
      <c r="AH17" s="1">
        <v>5079</v>
      </c>
      <c r="AI17" s="1">
        <v>6268</v>
      </c>
      <c r="AJ17" s="1">
        <v>7954</v>
      </c>
      <c r="AK17" s="1">
        <v>7713</v>
      </c>
      <c r="AL17" s="1">
        <v>8137</v>
      </c>
      <c r="AM17" s="1">
        <v>7851</v>
      </c>
      <c r="AN17" s="1">
        <v>7327</v>
      </c>
      <c r="AO17" s="24">
        <f t="shared" si="2"/>
        <v>86724</v>
      </c>
    </row>
    <row r="18" spans="1:41" ht="17.25" customHeight="1" x14ac:dyDescent="0.45">
      <c r="A18" s="12" t="s">
        <v>16</v>
      </c>
      <c r="B18" s="12" t="s">
        <v>13</v>
      </c>
      <c r="C18" s="25">
        <v>13</v>
      </c>
      <c r="D18" s="10">
        <v>11</v>
      </c>
      <c r="E18" s="10">
        <v>15</v>
      </c>
      <c r="F18" s="10">
        <v>17</v>
      </c>
      <c r="G18" s="10">
        <v>10</v>
      </c>
      <c r="H18" s="10">
        <v>8</v>
      </c>
      <c r="I18" s="10">
        <v>14</v>
      </c>
      <c r="J18" s="10">
        <v>19</v>
      </c>
      <c r="K18" s="10">
        <v>15</v>
      </c>
      <c r="L18" s="10">
        <v>17</v>
      </c>
      <c r="M18" s="10">
        <v>24</v>
      </c>
      <c r="N18" s="10">
        <v>26</v>
      </c>
      <c r="O18" s="26">
        <f t="shared" si="0"/>
        <v>189</v>
      </c>
      <c r="P18" s="25">
        <v>361</v>
      </c>
      <c r="Q18" s="10">
        <v>300</v>
      </c>
      <c r="R18" s="10">
        <v>516</v>
      </c>
      <c r="S18" s="10">
        <v>593</v>
      </c>
      <c r="T18" s="10">
        <v>328</v>
      </c>
      <c r="U18" s="10">
        <v>225</v>
      </c>
      <c r="V18" s="10">
        <v>394</v>
      </c>
      <c r="W18" s="10">
        <v>567</v>
      </c>
      <c r="X18" s="10">
        <v>423</v>
      </c>
      <c r="Y18" s="10">
        <v>446</v>
      </c>
      <c r="Z18" s="10">
        <v>719</v>
      </c>
      <c r="AA18" s="10">
        <v>679</v>
      </c>
      <c r="AB18" s="26">
        <f t="shared" si="1"/>
        <v>5551</v>
      </c>
      <c r="AC18" s="25">
        <v>0</v>
      </c>
      <c r="AD18" s="10">
        <v>0</v>
      </c>
      <c r="AE18" s="10">
        <v>0</v>
      </c>
      <c r="AF18" s="10">
        <v>0</v>
      </c>
      <c r="AG18" s="10">
        <v>0</v>
      </c>
      <c r="AH18" s="10">
        <v>0</v>
      </c>
      <c r="AI18" s="10">
        <v>0</v>
      </c>
      <c r="AJ18" s="10">
        <v>0</v>
      </c>
      <c r="AK18" s="10">
        <v>0</v>
      </c>
      <c r="AL18" s="10">
        <v>0</v>
      </c>
      <c r="AM18" s="10">
        <v>0</v>
      </c>
      <c r="AN18" s="10">
        <v>0</v>
      </c>
      <c r="AO18" s="26">
        <f t="shared" si="2"/>
        <v>0</v>
      </c>
    </row>
    <row r="19" spans="1:41" ht="17.25" customHeight="1" x14ac:dyDescent="0.45">
      <c r="A19" s="2" t="s">
        <v>16</v>
      </c>
      <c r="B19" s="2" t="s">
        <v>17</v>
      </c>
      <c r="C19" s="23">
        <v>17</v>
      </c>
      <c r="D19" s="1">
        <v>15</v>
      </c>
      <c r="E19" s="1">
        <v>16</v>
      </c>
      <c r="F19" s="1">
        <v>17</v>
      </c>
      <c r="G19" s="1">
        <v>11</v>
      </c>
      <c r="H19" s="1">
        <v>8</v>
      </c>
      <c r="I19" s="1">
        <v>14</v>
      </c>
      <c r="J19" s="1">
        <v>20</v>
      </c>
      <c r="K19" s="1">
        <v>15</v>
      </c>
      <c r="L19" s="1">
        <v>17</v>
      </c>
      <c r="M19" s="1">
        <v>26</v>
      </c>
      <c r="N19" s="1">
        <v>26</v>
      </c>
      <c r="O19" s="24">
        <f t="shared" si="0"/>
        <v>202</v>
      </c>
      <c r="P19" s="23">
        <v>484</v>
      </c>
      <c r="Q19" s="1">
        <v>433</v>
      </c>
      <c r="R19" s="1">
        <v>466</v>
      </c>
      <c r="S19" s="1">
        <v>597</v>
      </c>
      <c r="T19" s="1">
        <v>364</v>
      </c>
      <c r="U19" s="1">
        <v>297</v>
      </c>
      <c r="V19" s="1">
        <v>530</v>
      </c>
      <c r="W19" s="1">
        <v>572</v>
      </c>
      <c r="X19" s="1">
        <v>376</v>
      </c>
      <c r="Y19" s="1">
        <v>382</v>
      </c>
      <c r="Z19" s="1">
        <v>566</v>
      </c>
      <c r="AA19" s="1">
        <v>791</v>
      </c>
      <c r="AB19" s="24">
        <f t="shared" si="1"/>
        <v>5858</v>
      </c>
      <c r="AC19" s="23">
        <v>0</v>
      </c>
      <c r="AD19" s="1">
        <v>0</v>
      </c>
      <c r="AE19" s="1">
        <v>0</v>
      </c>
      <c r="AF19" s="1">
        <v>0</v>
      </c>
      <c r="AG19" s="1">
        <v>0</v>
      </c>
      <c r="AH19" s="1">
        <v>0</v>
      </c>
      <c r="AI19" s="1">
        <v>0</v>
      </c>
      <c r="AJ19" s="1">
        <v>0</v>
      </c>
      <c r="AK19" s="1">
        <v>0</v>
      </c>
      <c r="AL19" s="1">
        <v>0</v>
      </c>
      <c r="AM19" s="1">
        <v>0</v>
      </c>
      <c r="AN19" s="1">
        <v>0</v>
      </c>
      <c r="AO19" s="24">
        <f t="shared" si="2"/>
        <v>0</v>
      </c>
    </row>
    <row r="20" spans="1:41" ht="17.25" customHeight="1" x14ac:dyDescent="0.45">
      <c r="A20" s="12" t="s">
        <v>16</v>
      </c>
      <c r="B20" s="12" t="s">
        <v>15</v>
      </c>
      <c r="C20" s="25">
        <v>56</v>
      </c>
      <c r="D20" s="10">
        <v>49</v>
      </c>
      <c r="E20" s="10">
        <v>54</v>
      </c>
      <c r="F20" s="10">
        <v>67</v>
      </c>
      <c r="G20" s="10">
        <v>70</v>
      </c>
      <c r="H20" s="10">
        <v>58</v>
      </c>
      <c r="I20" s="10">
        <v>73</v>
      </c>
      <c r="J20" s="10">
        <v>71</v>
      </c>
      <c r="K20" s="10">
        <v>63</v>
      </c>
      <c r="L20" s="10">
        <v>67</v>
      </c>
      <c r="M20" s="10">
        <v>68</v>
      </c>
      <c r="N20" s="10">
        <v>70</v>
      </c>
      <c r="O20" s="26">
        <f t="shared" si="0"/>
        <v>766</v>
      </c>
      <c r="P20" s="25">
        <v>9926</v>
      </c>
      <c r="Q20" s="10">
        <v>8457</v>
      </c>
      <c r="R20" s="10">
        <v>8843</v>
      </c>
      <c r="S20" s="10">
        <v>11307</v>
      </c>
      <c r="T20" s="10">
        <v>11182</v>
      </c>
      <c r="U20" s="10">
        <v>8502</v>
      </c>
      <c r="V20" s="10">
        <v>11970</v>
      </c>
      <c r="W20" s="10">
        <v>11940</v>
      </c>
      <c r="X20" s="10">
        <v>9829</v>
      </c>
      <c r="Y20" s="10">
        <v>10855</v>
      </c>
      <c r="Z20" s="10">
        <v>11334</v>
      </c>
      <c r="AA20" s="10">
        <v>10789</v>
      </c>
      <c r="AB20" s="26">
        <f t="shared" si="1"/>
        <v>124934</v>
      </c>
      <c r="AC20" s="25">
        <v>0</v>
      </c>
      <c r="AD20" s="10">
        <v>0</v>
      </c>
      <c r="AE20" s="10">
        <v>0</v>
      </c>
      <c r="AF20" s="10">
        <v>0</v>
      </c>
      <c r="AG20" s="10">
        <v>0</v>
      </c>
      <c r="AH20" s="10">
        <v>0</v>
      </c>
      <c r="AI20" s="10">
        <v>0</v>
      </c>
      <c r="AJ20" s="10">
        <v>0</v>
      </c>
      <c r="AK20" s="10">
        <v>0</v>
      </c>
      <c r="AL20" s="10">
        <v>0</v>
      </c>
      <c r="AM20" s="10">
        <v>0</v>
      </c>
      <c r="AN20" s="10">
        <v>0</v>
      </c>
      <c r="AO20" s="26">
        <f t="shared" si="2"/>
        <v>0</v>
      </c>
    </row>
    <row r="21" spans="1:41" ht="17.25" customHeight="1" x14ac:dyDescent="0.45">
      <c r="A21" s="2" t="s">
        <v>18</v>
      </c>
      <c r="B21" s="2" t="s">
        <v>12</v>
      </c>
      <c r="C21" s="23">
        <v>57</v>
      </c>
      <c r="D21" s="1">
        <v>53</v>
      </c>
      <c r="E21" s="1">
        <v>57</v>
      </c>
      <c r="F21" s="1">
        <v>57</v>
      </c>
      <c r="G21" s="1">
        <v>58</v>
      </c>
      <c r="H21" s="1">
        <v>53</v>
      </c>
      <c r="I21" s="1">
        <v>53</v>
      </c>
      <c r="J21" s="1">
        <v>56</v>
      </c>
      <c r="K21" s="1">
        <v>54</v>
      </c>
      <c r="L21" s="1">
        <v>57</v>
      </c>
      <c r="M21" s="1">
        <v>60</v>
      </c>
      <c r="N21" s="1">
        <v>57</v>
      </c>
      <c r="O21" s="24">
        <f t="shared" si="0"/>
        <v>672</v>
      </c>
      <c r="P21" s="23">
        <v>5023</v>
      </c>
      <c r="Q21" s="1">
        <v>4569</v>
      </c>
      <c r="R21" s="1">
        <v>5067</v>
      </c>
      <c r="S21" s="1">
        <v>4848</v>
      </c>
      <c r="T21" s="1">
        <v>4836</v>
      </c>
      <c r="U21" s="1">
        <v>4628</v>
      </c>
      <c r="V21" s="1">
        <v>4541</v>
      </c>
      <c r="W21" s="1">
        <v>4512</v>
      </c>
      <c r="X21" s="1">
        <v>4364</v>
      </c>
      <c r="Y21" s="1">
        <v>4575</v>
      </c>
      <c r="Z21" s="1">
        <v>5155</v>
      </c>
      <c r="AA21" s="1">
        <v>5141</v>
      </c>
      <c r="AB21" s="24">
        <f t="shared" si="1"/>
        <v>57259</v>
      </c>
      <c r="AC21" s="23">
        <v>9685</v>
      </c>
      <c r="AD21" s="1">
        <v>11376</v>
      </c>
      <c r="AE21" s="1">
        <v>7757</v>
      </c>
      <c r="AF21" s="1">
        <v>10181</v>
      </c>
      <c r="AG21" s="1">
        <v>9522</v>
      </c>
      <c r="AH21" s="1">
        <v>12627</v>
      </c>
      <c r="AI21" s="1">
        <v>9877</v>
      </c>
      <c r="AJ21" s="1">
        <v>36241</v>
      </c>
      <c r="AK21" s="1">
        <v>41806</v>
      </c>
      <c r="AL21" s="1">
        <v>26745</v>
      </c>
      <c r="AM21" s="1">
        <v>23477</v>
      </c>
      <c r="AN21" s="1">
        <v>22184</v>
      </c>
      <c r="AO21" s="24">
        <f t="shared" si="2"/>
        <v>221478</v>
      </c>
    </row>
    <row r="22" spans="1:41" ht="17.25" customHeight="1" x14ac:dyDescent="0.45">
      <c r="A22" s="12" t="s">
        <v>18</v>
      </c>
      <c r="B22" s="12" t="s">
        <v>14</v>
      </c>
      <c r="C22" s="25">
        <v>9</v>
      </c>
      <c r="D22" s="10">
        <v>9</v>
      </c>
      <c r="E22" s="10">
        <v>8</v>
      </c>
      <c r="F22" s="10">
        <v>0</v>
      </c>
      <c r="G22" s="10">
        <v>0</v>
      </c>
      <c r="H22" s="10">
        <v>0</v>
      </c>
      <c r="I22" s="10">
        <v>0</v>
      </c>
      <c r="J22" s="10">
        <v>0</v>
      </c>
      <c r="K22" s="10">
        <v>0</v>
      </c>
      <c r="L22" s="10">
        <v>0</v>
      </c>
      <c r="M22" s="10">
        <v>0</v>
      </c>
      <c r="N22" s="10">
        <v>0</v>
      </c>
      <c r="O22" s="26">
        <f t="shared" si="0"/>
        <v>26</v>
      </c>
      <c r="P22" s="25">
        <v>223</v>
      </c>
      <c r="Q22" s="10">
        <v>235</v>
      </c>
      <c r="R22" s="10">
        <v>281</v>
      </c>
      <c r="S22" s="10">
        <v>0</v>
      </c>
      <c r="T22" s="10">
        <v>0</v>
      </c>
      <c r="U22" s="10">
        <v>0</v>
      </c>
      <c r="V22" s="10">
        <v>0</v>
      </c>
      <c r="W22" s="10">
        <v>0</v>
      </c>
      <c r="X22" s="10">
        <v>0</v>
      </c>
      <c r="Y22" s="10">
        <v>0</v>
      </c>
      <c r="Z22" s="10">
        <v>0</v>
      </c>
      <c r="AA22" s="10">
        <v>0</v>
      </c>
      <c r="AB22" s="26">
        <f t="shared" si="1"/>
        <v>739</v>
      </c>
      <c r="AC22" s="25">
        <v>0</v>
      </c>
      <c r="AD22" s="10">
        <v>0</v>
      </c>
      <c r="AE22" s="10">
        <v>0</v>
      </c>
      <c r="AF22" s="10">
        <v>0</v>
      </c>
      <c r="AG22" s="10">
        <v>0</v>
      </c>
      <c r="AH22" s="10">
        <v>0</v>
      </c>
      <c r="AI22" s="10">
        <v>0</v>
      </c>
      <c r="AJ22" s="10">
        <v>0</v>
      </c>
      <c r="AK22" s="10">
        <v>0</v>
      </c>
      <c r="AL22" s="10">
        <v>0</v>
      </c>
      <c r="AM22" s="10">
        <v>0</v>
      </c>
      <c r="AN22" s="10">
        <v>0</v>
      </c>
      <c r="AO22" s="26">
        <f t="shared" si="2"/>
        <v>0</v>
      </c>
    </row>
    <row r="23" spans="1:41" ht="17.25" customHeight="1" x14ac:dyDescent="0.45">
      <c r="A23" s="2" t="s">
        <v>18</v>
      </c>
      <c r="B23" s="2" t="s">
        <v>36</v>
      </c>
      <c r="C23" s="23">
        <v>0</v>
      </c>
      <c r="D23" s="1">
        <v>0</v>
      </c>
      <c r="E23" s="1">
        <v>0</v>
      </c>
      <c r="F23" s="1">
        <v>0</v>
      </c>
      <c r="G23" s="1">
        <v>1</v>
      </c>
      <c r="H23" s="1">
        <v>0</v>
      </c>
      <c r="I23" s="1">
        <v>0</v>
      </c>
      <c r="J23" s="1">
        <v>0</v>
      </c>
      <c r="K23" s="1">
        <v>0</v>
      </c>
      <c r="L23" s="1">
        <v>0</v>
      </c>
      <c r="M23" s="1">
        <v>0</v>
      </c>
      <c r="N23" s="1">
        <v>0</v>
      </c>
      <c r="O23" s="24">
        <f t="shared" si="0"/>
        <v>1</v>
      </c>
      <c r="P23" s="23">
        <v>0</v>
      </c>
      <c r="Q23" s="1">
        <v>0</v>
      </c>
      <c r="R23" s="1">
        <v>0</v>
      </c>
      <c r="S23" s="1">
        <v>0</v>
      </c>
      <c r="T23" s="1">
        <v>14</v>
      </c>
      <c r="U23" s="1">
        <v>0</v>
      </c>
      <c r="V23" s="1">
        <v>0</v>
      </c>
      <c r="W23" s="1">
        <v>0</v>
      </c>
      <c r="X23" s="1">
        <v>0</v>
      </c>
      <c r="Y23" s="1">
        <v>0</v>
      </c>
      <c r="Z23" s="1">
        <v>0</v>
      </c>
      <c r="AA23" s="1">
        <v>0</v>
      </c>
      <c r="AB23" s="24">
        <f t="shared" si="1"/>
        <v>14</v>
      </c>
      <c r="AC23" s="23">
        <v>0</v>
      </c>
      <c r="AD23" s="1">
        <v>0</v>
      </c>
      <c r="AE23" s="1">
        <v>0</v>
      </c>
      <c r="AF23" s="1">
        <v>0</v>
      </c>
      <c r="AG23" s="1">
        <v>0</v>
      </c>
      <c r="AH23" s="1">
        <v>0</v>
      </c>
      <c r="AI23" s="1">
        <v>0</v>
      </c>
      <c r="AJ23" s="1">
        <v>0</v>
      </c>
      <c r="AK23" s="1">
        <v>0</v>
      </c>
      <c r="AL23" s="1">
        <v>0</v>
      </c>
      <c r="AM23" s="1">
        <v>0</v>
      </c>
      <c r="AN23" s="1">
        <v>0</v>
      </c>
      <c r="AO23" s="24">
        <f t="shared" si="2"/>
        <v>0</v>
      </c>
    </row>
    <row r="24" spans="1:41" ht="17.25" customHeight="1" x14ac:dyDescent="0.45">
      <c r="A24" s="12" t="s">
        <v>10</v>
      </c>
      <c r="B24" s="12" t="s">
        <v>9</v>
      </c>
      <c r="C24" s="25">
        <v>0</v>
      </c>
      <c r="D24" s="10">
        <v>0</v>
      </c>
      <c r="E24" s="10">
        <v>0</v>
      </c>
      <c r="F24" s="10">
        <v>2</v>
      </c>
      <c r="G24" s="10">
        <v>0</v>
      </c>
      <c r="H24" s="10">
        <v>0</v>
      </c>
      <c r="I24" s="10">
        <v>0</v>
      </c>
      <c r="J24" s="10">
        <v>0</v>
      </c>
      <c r="K24" s="10">
        <v>0</v>
      </c>
      <c r="L24" s="10">
        <v>0</v>
      </c>
      <c r="M24" s="10">
        <v>0</v>
      </c>
      <c r="N24" s="10">
        <v>0</v>
      </c>
      <c r="O24" s="26">
        <f t="shared" si="0"/>
        <v>2</v>
      </c>
      <c r="P24" s="25">
        <v>0</v>
      </c>
      <c r="Q24" s="10">
        <v>0</v>
      </c>
      <c r="R24" s="10">
        <v>0</v>
      </c>
      <c r="S24" s="10">
        <v>331</v>
      </c>
      <c r="T24" s="10">
        <v>0</v>
      </c>
      <c r="U24" s="10">
        <v>0</v>
      </c>
      <c r="V24" s="10">
        <v>0</v>
      </c>
      <c r="W24" s="10">
        <v>0</v>
      </c>
      <c r="X24" s="10">
        <v>0</v>
      </c>
      <c r="Y24" s="10">
        <v>0</v>
      </c>
      <c r="Z24" s="10">
        <v>0</v>
      </c>
      <c r="AA24" s="10">
        <v>0</v>
      </c>
      <c r="AB24" s="26">
        <f t="shared" si="1"/>
        <v>331</v>
      </c>
      <c r="AC24" s="25">
        <v>0</v>
      </c>
      <c r="AD24" s="10">
        <v>0</v>
      </c>
      <c r="AE24" s="10">
        <v>0</v>
      </c>
      <c r="AF24" s="10">
        <v>0</v>
      </c>
      <c r="AG24" s="10">
        <v>0</v>
      </c>
      <c r="AH24" s="10">
        <v>0</v>
      </c>
      <c r="AI24" s="10">
        <v>0</v>
      </c>
      <c r="AJ24" s="10">
        <v>0</v>
      </c>
      <c r="AK24" s="10">
        <v>0</v>
      </c>
      <c r="AL24" s="10">
        <v>0</v>
      </c>
      <c r="AM24" s="10">
        <v>0</v>
      </c>
      <c r="AN24" s="10">
        <v>0</v>
      </c>
      <c r="AO24" s="26">
        <f t="shared" si="2"/>
        <v>0</v>
      </c>
    </row>
    <row r="25" spans="1:41" ht="17.25" customHeight="1" x14ac:dyDescent="0.45">
      <c r="A25" s="2" t="s">
        <v>10</v>
      </c>
      <c r="B25" s="2" t="s">
        <v>16</v>
      </c>
      <c r="C25" s="23">
        <v>18</v>
      </c>
      <c r="D25" s="1">
        <v>16</v>
      </c>
      <c r="E25" s="1">
        <v>18</v>
      </c>
      <c r="F25" s="1">
        <v>13</v>
      </c>
      <c r="G25" s="1">
        <v>14</v>
      </c>
      <c r="H25" s="1">
        <v>12</v>
      </c>
      <c r="I25" s="1">
        <v>16</v>
      </c>
      <c r="J25" s="1">
        <v>13</v>
      </c>
      <c r="K25" s="1">
        <v>13</v>
      </c>
      <c r="L25" s="1">
        <v>14</v>
      </c>
      <c r="M25" s="1">
        <v>20</v>
      </c>
      <c r="N25" s="1">
        <v>24</v>
      </c>
      <c r="O25" s="24">
        <f t="shared" si="0"/>
        <v>191</v>
      </c>
      <c r="P25" s="23">
        <v>3024</v>
      </c>
      <c r="Q25" s="1">
        <v>2600</v>
      </c>
      <c r="R25" s="1">
        <v>2947</v>
      </c>
      <c r="S25" s="1">
        <v>2153</v>
      </c>
      <c r="T25" s="1">
        <v>2337</v>
      </c>
      <c r="U25" s="1">
        <v>1999</v>
      </c>
      <c r="V25" s="1">
        <v>2548</v>
      </c>
      <c r="W25" s="1">
        <v>2717</v>
      </c>
      <c r="X25" s="1">
        <v>2055</v>
      </c>
      <c r="Y25" s="1">
        <v>2135</v>
      </c>
      <c r="Z25" s="1">
        <v>2993</v>
      </c>
      <c r="AA25" s="1">
        <v>3824</v>
      </c>
      <c r="AB25" s="24">
        <f t="shared" si="1"/>
        <v>31332</v>
      </c>
      <c r="AC25" s="23">
        <v>0</v>
      </c>
      <c r="AD25" s="1">
        <v>0</v>
      </c>
      <c r="AE25" s="1">
        <v>0</v>
      </c>
      <c r="AF25" s="1">
        <v>0</v>
      </c>
      <c r="AG25" s="1">
        <v>0</v>
      </c>
      <c r="AH25" s="1">
        <v>0</v>
      </c>
      <c r="AI25" s="1">
        <v>0</v>
      </c>
      <c r="AJ25" s="1">
        <v>0</v>
      </c>
      <c r="AK25" s="1">
        <v>0</v>
      </c>
      <c r="AL25" s="1">
        <v>0</v>
      </c>
      <c r="AM25" s="1">
        <v>0</v>
      </c>
      <c r="AN25" s="1">
        <v>0</v>
      </c>
      <c r="AO25" s="24">
        <f t="shared" si="2"/>
        <v>0</v>
      </c>
    </row>
    <row r="26" spans="1:41" ht="17.25" customHeight="1" x14ac:dyDescent="0.45">
      <c r="A26" s="12" t="s">
        <v>10</v>
      </c>
      <c r="B26" s="12" t="s">
        <v>37</v>
      </c>
      <c r="C26" s="25">
        <v>0</v>
      </c>
      <c r="D26" s="10">
        <v>0</v>
      </c>
      <c r="E26" s="10">
        <v>0</v>
      </c>
      <c r="F26" s="10">
        <v>0</v>
      </c>
      <c r="G26" s="10">
        <v>0</v>
      </c>
      <c r="H26" s="10">
        <v>0</v>
      </c>
      <c r="I26" s="10">
        <v>19</v>
      </c>
      <c r="J26" s="10">
        <v>22</v>
      </c>
      <c r="K26" s="10">
        <v>23</v>
      </c>
      <c r="L26" s="10">
        <v>23</v>
      </c>
      <c r="M26" s="10">
        <v>21</v>
      </c>
      <c r="N26" s="10">
        <v>17</v>
      </c>
      <c r="O26" s="26">
        <f t="shared" si="0"/>
        <v>125</v>
      </c>
      <c r="P26" s="25">
        <v>0</v>
      </c>
      <c r="Q26" s="10">
        <v>0</v>
      </c>
      <c r="R26" s="10">
        <v>0</v>
      </c>
      <c r="S26" s="10">
        <v>0</v>
      </c>
      <c r="T26" s="10">
        <v>0</v>
      </c>
      <c r="U26" s="10">
        <v>0</v>
      </c>
      <c r="V26" s="10">
        <v>70</v>
      </c>
      <c r="W26" s="10">
        <v>103</v>
      </c>
      <c r="X26" s="10">
        <v>61</v>
      </c>
      <c r="Y26" s="10">
        <v>95</v>
      </c>
      <c r="Z26" s="10">
        <v>73</v>
      </c>
      <c r="AA26" s="10">
        <v>73</v>
      </c>
      <c r="AB26" s="26">
        <f t="shared" si="1"/>
        <v>475</v>
      </c>
      <c r="AC26" s="25">
        <v>0</v>
      </c>
      <c r="AD26" s="10">
        <v>0</v>
      </c>
      <c r="AE26" s="10">
        <v>0</v>
      </c>
      <c r="AF26" s="10">
        <v>0</v>
      </c>
      <c r="AG26" s="10">
        <v>0</v>
      </c>
      <c r="AH26" s="10">
        <v>0</v>
      </c>
      <c r="AI26" s="10">
        <v>0</v>
      </c>
      <c r="AJ26" s="10">
        <v>0</v>
      </c>
      <c r="AK26" s="10">
        <v>0</v>
      </c>
      <c r="AL26" s="10">
        <v>0</v>
      </c>
      <c r="AM26" s="10">
        <v>0</v>
      </c>
      <c r="AN26" s="10">
        <v>0</v>
      </c>
      <c r="AO26" s="26">
        <f t="shared" si="2"/>
        <v>0</v>
      </c>
    </row>
    <row r="27" spans="1:41" ht="17.25" customHeight="1" x14ac:dyDescent="0.45">
      <c r="A27" s="2" t="s">
        <v>10</v>
      </c>
      <c r="B27" s="2" t="s">
        <v>19</v>
      </c>
      <c r="C27" s="23">
        <v>36</v>
      </c>
      <c r="D27" s="1">
        <v>29</v>
      </c>
      <c r="E27" s="1">
        <v>31</v>
      </c>
      <c r="F27" s="1">
        <v>30</v>
      </c>
      <c r="G27" s="1">
        <v>31</v>
      </c>
      <c r="H27" s="1">
        <v>29</v>
      </c>
      <c r="I27" s="1">
        <v>30</v>
      </c>
      <c r="J27" s="1">
        <v>31</v>
      </c>
      <c r="K27" s="1">
        <v>29</v>
      </c>
      <c r="L27" s="1">
        <v>31</v>
      </c>
      <c r="M27" s="1">
        <v>30</v>
      </c>
      <c r="N27" s="1">
        <v>31</v>
      </c>
      <c r="O27" s="24">
        <f t="shared" si="0"/>
        <v>368</v>
      </c>
      <c r="P27" s="23">
        <v>7006</v>
      </c>
      <c r="Q27" s="1">
        <v>4993</v>
      </c>
      <c r="R27" s="1">
        <v>5593</v>
      </c>
      <c r="S27" s="1">
        <v>4872</v>
      </c>
      <c r="T27" s="1">
        <v>5049</v>
      </c>
      <c r="U27" s="1">
        <v>5008</v>
      </c>
      <c r="V27" s="1">
        <v>5203</v>
      </c>
      <c r="W27" s="1">
        <v>5499</v>
      </c>
      <c r="X27" s="1">
        <v>5022</v>
      </c>
      <c r="Y27" s="1">
        <v>6994</v>
      </c>
      <c r="Z27" s="1">
        <v>4971</v>
      </c>
      <c r="AA27" s="1">
        <v>4579</v>
      </c>
      <c r="AB27" s="24">
        <f t="shared" si="1"/>
        <v>64789</v>
      </c>
      <c r="AC27" s="23">
        <v>141.39999999999998</v>
      </c>
      <c r="AD27" s="1">
        <v>347.8</v>
      </c>
      <c r="AE27" s="1">
        <v>112.4</v>
      </c>
      <c r="AF27" s="1">
        <v>32.200000000000003</v>
      </c>
      <c r="AG27" s="1">
        <v>131.6</v>
      </c>
      <c r="AH27" s="1">
        <v>88.4</v>
      </c>
      <c r="AI27" s="1">
        <v>13</v>
      </c>
      <c r="AJ27" s="1">
        <v>0</v>
      </c>
      <c r="AK27" s="1">
        <v>3647.3</v>
      </c>
      <c r="AL27" s="1">
        <v>1047</v>
      </c>
      <c r="AM27" s="1">
        <v>54.400000000000006</v>
      </c>
      <c r="AN27" s="1">
        <v>128</v>
      </c>
      <c r="AO27" s="24">
        <f t="shared" si="2"/>
        <v>5743.5</v>
      </c>
    </row>
    <row r="28" spans="1:41" ht="17.25" customHeight="1" x14ac:dyDescent="0.45">
      <c r="A28" s="12" t="s">
        <v>10</v>
      </c>
      <c r="B28" s="12" t="s">
        <v>20</v>
      </c>
      <c r="C28" s="25">
        <v>61</v>
      </c>
      <c r="D28" s="10">
        <v>58</v>
      </c>
      <c r="E28" s="10">
        <v>62</v>
      </c>
      <c r="F28" s="10">
        <v>60</v>
      </c>
      <c r="G28" s="10">
        <v>62</v>
      </c>
      <c r="H28" s="10">
        <v>60</v>
      </c>
      <c r="I28" s="10">
        <v>59</v>
      </c>
      <c r="J28" s="10">
        <v>62</v>
      </c>
      <c r="K28" s="10">
        <v>58</v>
      </c>
      <c r="L28" s="10">
        <v>62</v>
      </c>
      <c r="M28" s="10">
        <v>60</v>
      </c>
      <c r="N28" s="10">
        <v>62</v>
      </c>
      <c r="O28" s="26">
        <f t="shared" si="0"/>
        <v>726</v>
      </c>
      <c r="P28" s="25">
        <v>10514</v>
      </c>
      <c r="Q28" s="10">
        <v>9089</v>
      </c>
      <c r="R28" s="10">
        <v>11006</v>
      </c>
      <c r="S28" s="10">
        <v>9480</v>
      </c>
      <c r="T28" s="10">
        <v>10736</v>
      </c>
      <c r="U28" s="10">
        <v>11317</v>
      </c>
      <c r="V28" s="10">
        <v>10056</v>
      </c>
      <c r="W28" s="10">
        <v>10375</v>
      </c>
      <c r="X28" s="10">
        <v>9908</v>
      </c>
      <c r="Y28" s="10">
        <v>10880</v>
      </c>
      <c r="Z28" s="10">
        <v>8713</v>
      </c>
      <c r="AA28" s="10">
        <v>8575</v>
      </c>
      <c r="AB28" s="26">
        <f t="shared" si="1"/>
        <v>120649</v>
      </c>
      <c r="AC28" s="25">
        <v>1354.8</v>
      </c>
      <c r="AD28" s="10">
        <v>105.4</v>
      </c>
      <c r="AE28" s="10">
        <v>2222</v>
      </c>
      <c r="AF28" s="10">
        <v>971.2</v>
      </c>
      <c r="AG28" s="10">
        <v>112.4</v>
      </c>
      <c r="AH28" s="10">
        <v>106.80000000000001</v>
      </c>
      <c r="AI28" s="10">
        <v>99.8</v>
      </c>
      <c r="AJ28" s="10">
        <v>1041.5999999999999</v>
      </c>
      <c r="AK28" s="10">
        <v>4238.2000000000007</v>
      </c>
      <c r="AL28" s="10">
        <v>3294.4</v>
      </c>
      <c r="AM28" s="10">
        <v>31.2</v>
      </c>
      <c r="AN28" s="10">
        <v>141.80000000000001</v>
      </c>
      <c r="AO28" s="26">
        <f t="shared" si="2"/>
        <v>13719.6</v>
      </c>
    </row>
    <row r="29" spans="1:41" ht="17.25" customHeight="1" x14ac:dyDescent="0.45">
      <c r="A29" s="2" t="s">
        <v>10</v>
      </c>
      <c r="B29" s="2" t="s">
        <v>46</v>
      </c>
      <c r="C29" s="23">
        <v>0</v>
      </c>
      <c r="D29" s="1">
        <v>0</v>
      </c>
      <c r="E29" s="1">
        <v>0</v>
      </c>
      <c r="F29" s="1">
        <v>0</v>
      </c>
      <c r="G29" s="1">
        <v>67</v>
      </c>
      <c r="H29" s="1">
        <v>77</v>
      </c>
      <c r="I29" s="1">
        <v>104</v>
      </c>
      <c r="J29" s="1">
        <v>106</v>
      </c>
      <c r="K29" s="1">
        <v>78</v>
      </c>
      <c r="L29" s="1">
        <v>91</v>
      </c>
      <c r="M29" s="1">
        <v>59</v>
      </c>
      <c r="N29" s="1">
        <v>50</v>
      </c>
      <c r="O29" s="24">
        <f t="shared" si="0"/>
        <v>632</v>
      </c>
      <c r="P29" s="23">
        <v>0</v>
      </c>
      <c r="Q29" s="1">
        <v>0</v>
      </c>
      <c r="R29" s="1">
        <v>0</v>
      </c>
      <c r="S29" s="1">
        <v>0</v>
      </c>
      <c r="T29" s="1">
        <v>126</v>
      </c>
      <c r="U29" s="1">
        <v>142</v>
      </c>
      <c r="V29" s="1">
        <v>201</v>
      </c>
      <c r="W29" s="1">
        <v>213</v>
      </c>
      <c r="X29" s="1">
        <v>223</v>
      </c>
      <c r="Y29" s="1">
        <v>224</v>
      </c>
      <c r="Z29" s="1">
        <v>172</v>
      </c>
      <c r="AA29" s="1">
        <v>153</v>
      </c>
      <c r="AB29" s="24">
        <f t="shared" si="1"/>
        <v>1454</v>
      </c>
      <c r="AC29" s="23">
        <v>0</v>
      </c>
      <c r="AD29" s="1">
        <v>0</v>
      </c>
      <c r="AE29" s="1">
        <v>0</v>
      </c>
      <c r="AF29" s="1">
        <v>0</v>
      </c>
      <c r="AG29" s="1">
        <v>0</v>
      </c>
      <c r="AH29" s="1">
        <v>0</v>
      </c>
      <c r="AI29" s="1">
        <v>0</v>
      </c>
      <c r="AJ29" s="1">
        <v>0</v>
      </c>
      <c r="AK29" s="1">
        <v>0</v>
      </c>
      <c r="AL29" s="1">
        <v>0</v>
      </c>
      <c r="AM29" s="1">
        <v>0</v>
      </c>
      <c r="AN29" s="1">
        <v>0</v>
      </c>
      <c r="AO29" s="24">
        <f t="shared" si="2"/>
        <v>0</v>
      </c>
    </row>
    <row r="30" spans="1:41" ht="17.25" customHeight="1" x14ac:dyDescent="0.45">
      <c r="A30" s="12" t="s">
        <v>10</v>
      </c>
      <c r="B30" s="12" t="s">
        <v>21</v>
      </c>
      <c r="C30" s="25">
        <v>13</v>
      </c>
      <c r="D30" s="10">
        <v>12</v>
      </c>
      <c r="E30" s="10">
        <v>14</v>
      </c>
      <c r="F30" s="10">
        <v>0</v>
      </c>
      <c r="G30" s="10">
        <v>0</v>
      </c>
      <c r="H30" s="10">
        <v>0</v>
      </c>
      <c r="I30" s="10">
        <v>0</v>
      </c>
      <c r="J30" s="10">
        <v>0</v>
      </c>
      <c r="K30" s="10">
        <v>0</v>
      </c>
      <c r="L30" s="10">
        <v>0</v>
      </c>
      <c r="M30" s="10">
        <v>0</v>
      </c>
      <c r="N30" s="10">
        <v>0</v>
      </c>
      <c r="O30" s="26">
        <f t="shared" si="0"/>
        <v>39</v>
      </c>
      <c r="P30" s="25">
        <v>2017</v>
      </c>
      <c r="Q30" s="10">
        <v>1873</v>
      </c>
      <c r="R30" s="10">
        <v>2296</v>
      </c>
      <c r="S30" s="10">
        <v>0</v>
      </c>
      <c r="T30" s="10">
        <v>0</v>
      </c>
      <c r="U30" s="10">
        <v>0</v>
      </c>
      <c r="V30" s="10">
        <v>0</v>
      </c>
      <c r="W30" s="10">
        <v>0</v>
      </c>
      <c r="X30" s="10">
        <v>0</v>
      </c>
      <c r="Y30" s="10">
        <v>0</v>
      </c>
      <c r="Z30" s="10">
        <v>0</v>
      </c>
      <c r="AA30" s="10">
        <v>0</v>
      </c>
      <c r="AB30" s="26">
        <f t="shared" si="1"/>
        <v>6186</v>
      </c>
      <c r="AC30" s="25">
        <v>0</v>
      </c>
      <c r="AD30" s="10">
        <v>0</v>
      </c>
      <c r="AE30" s="10">
        <v>0</v>
      </c>
      <c r="AF30" s="10">
        <v>0</v>
      </c>
      <c r="AG30" s="10">
        <v>0</v>
      </c>
      <c r="AH30" s="10">
        <v>0</v>
      </c>
      <c r="AI30" s="10">
        <v>0</v>
      </c>
      <c r="AJ30" s="10">
        <v>0</v>
      </c>
      <c r="AK30" s="10">
        <v>0</v>
      </c>
      <c r="AL30" s="10">
        <v>0</v>
      </c>
      <c r="AM30" s="10">
        <v>0</v>
      </c>
      <c r="AN30" s="10">
        <v>0</v>
      </c>
      <c r="AO30" s="26">
        <f t="shared" si="2"/>
        <v>0</v>
      </c>
    </row>
    <row r="31" spans="1:41" ht="17.25" customHeight="1" x14ac:dyDescent="0.45">
      <c r="A31" s="2" t="s">
        <v>10</v>
      </c>
      <c r="B31" s="2" t="s">
        <v>22</v>
      </c>
      <c r="C31" s="23">
        <v>89</v>
      </c>
      <c r="D31" s="1">
        <v>79</v>
      </c>
      <c r="E31" s="1">
        <v>81</v>
      </c>
      <c r="F31" s="1">
        <v>74</v>
      </c>
      <c r="G31" s="1">
        <v>76</v>
      </c>
      <c r="H31" s="1">
        <v>70</v>
      </c>
      <c r="I31" s="1">
        <v>73</v>
      </c>
      <c r="J31" s="1">
        <v>75</v>
      </c>
      <c r="K31" s="1">
        <v>73</v>
      </c>
      <c r="L31" s="1">
        <v>80</v>
      </c>
      <c r="M31" s="1">
        <v>77</v>
      </c>
      <c r="N31" s="1">
        <v>89</v>
      </c>
      <c r="O31" s="24">
        <f t="shared" si="0"/>
        <v>936</v>
      </c>
      <c r="P31" s="23">
        <v>16645</v>
      </c>
      <c r="Q31" s="1">
        <v>13571</v>
      </c>
      <c r="R31" s="1">
        <v>13666</v>
      </c>
      <c r="S31" s="1">
        <v>13764</v>
      </c>
      <c r="T31" s="1">
        <v>14657</v>
      </c>
      <c r="U31" s="1">
        <v>13237</v>
      </c>
      <c r="V31" s="1">
        <v>13302</v>
      </c>
      <c r="W31" s="1">
        <v>14403</v>
      </c>
      <c r="X31" s="1">
        <v>13746</v>
      </c>
      <c r="Y31" s="1">
        <v>14504</v>
      </c>
      <c r="Z31" s="1">
        <v>13099</v>
      </c>
      <c r="AA31" s="1">
        <v>15062</v>
      </c>
      <c r="AB31" s="24">
        <f t="shared" si="1"/>
        <v>169656</v>
      </c>
      <c r="AC31" s="23">
        <v>2240.5000000000005</v>
      </c>
      <c r="AD31" s="1">
        <v>807</v>
      </c>
      <c r="AE31" s="1">
        <v>2104.3000000000002</v>
      </c>
      <c r="AF31" s="1">
        <v>900.5</v>
      </c>
      <c r="AG31" s="1">
        <v>1401</v>
      </c>
      <c r="AH31" s="1">
        <v>974.6</v>
      </c>
      <c r="AI31" s="1">
        <v>1290.4000000000001</v>
      </c>
      <c r="AJ31" s="1">
        <v>901.7</v>
      </c>
      <c r="AK31" s="1">
        <v>1822.1</v>
      </c>
      <c r="AL31" s="1">
        <v>1240</v>
      </c>
      <c r="AM31" s="1">
        <v>1067.3499999999999</v>
      </c>
      <c r="AN31" s="1">
        <v>2576.9499999999998</v>
      </c>
      <c r="AO31" s="24">
        <f t="shared" si="2"/>
        <v>17326.400000000001</v>
      </c>
    </row>
    <row r="32" spans="1:41" ht="17.25" customHeight="1" x14ac:dyDescent="0.45">
      <c r="A32" s="12" t="s">
        <v>10</v>
      </c>
      <c r="B32" s="12" t="s">
        <v>11</v>
      </c>
      <c r="C32" s="25">
        <v>193</v>
      </c>
      <c r="D32" s="10">
        <v>165</v>
      </c>
      <c r="E32" s="10">
        <v>175</v>
      </c>
      <c r="F32" s="10">
        <v>170</v>
      </c>
      <c r="G32" s="10">
        <v>182</v>
      </c>
      <c r="H32" s="10">
        <v>190</v>
      </c>
      <c r="I32" s="10">
        <v>203</v>
      </c>
      <c r="J32" s="10">
        <v>215</v>
      </c>
      <c r="K32" s="10">
        <v>214</v>
      </c>
      <c r="L32" s="10">
        <v>228</v>
      </c>
      <c r="M32" s="10">
        <v>215</v>
      </c>
      <c r="N32" s="10">
        <v>239</v>
      </c>
      <c r="O32" s="26">
        <f t="shared" si="0"/>
        <v>2389</v>
      </c>
      <c r="P32" s="25">
        <v>38636</v>
      </c>
      <c r="Q32" s="10">
        <v>31725</v>
      </c>
      <c r="R32" s="10">
        <v>33792</v>
      </c>
      <c r="S32" s="10">
        <v>32791</v>
      </c>
      <c r="T32" s="10">
        <v>35295</v>
      </c>
      <c r="U32" s="10">
        <v>36514</v>
      </c>
      <c r="V32" s="10">
        <v>35186</v>
      </c>
      <c r="W32" s="10">
        <v>39679</v>
      </c>
      <c r="X32" s="10">
        <v>39524</v>
      </c>
      <c r="Y32" s="10">
        <v>42675</v>
      </c>
      <c r="Z32" s="10">
        <v>37203</v>
      </c>
      <c r="AA32" s="10">
        <v>40402</v>
      </c>
      <c r="AB32" s="26">
        <f t="shared" si="1"/>
        <v>443422</v>
      </c>
      <c r="AC32" s="25">
        <v>6971.5</v>
      </c>
      <c r="AD32" s="10">
        <v>12489.6</v>
      </c>
      <c r="AE32" s="10">
        <v>10281.009999999998</v>
      </c>
      <c r="AF32" s="10">
        <v>7928.1799999999994</v>
      </c>
      <c r="AG32" s="10">
        <v>8582.4</v>
      </c>
      <c r="AH32" s="10">
        <v>9528.5000000000018</v>
      </c>
      <c r="AI32" s="10">
        <v>4993.6999999999989</v>
      </c>
      <c r="AJ32" s="10">
        <v>3720.7</v>
      </c>
      <c r="AK32" s="10">
        <v>13451.75</v>
      </c>
      <c r="AL32" s="10">
        <v>24000</v>
      </c>
      <c r="AM32" s="10">
        <v>10099.699999999999</v>
      </c>
      <c r="AN32" s="10">
        <v>12584.279999999999</v>
      </c>
      <c r="AO32" s="26">
        <f t="shared" si="2"/>
        <v>124631.31999999999</v>
      </c>
    </row>
    <row r="33" spans="1:41" ht="17.25" customHeight="1" x14ac:dyDescent="0.45">
      <c r="A33" s="2" t="s">
        <v>10</v>
      </c>
      <c r="B33" s="2" t="s">
        <v>38</v>
      </c>
      <c r="C33" s="23">
        <v>8</v>
      </c>
      <c r="D33" s="1">
        <v>9</v>
      </c>
      <c r="E33" s="1">
        <v>9</v>
      </c>
      <c r="F33" s="1">
        <v>13</v>
      </c>
      <c r="G33" s="1">
        <v>13</v>
      </c>
      <c r="H33" s="1">
        <v>13</v>
      </c>
      <c r="I33" s="1">
        <v>13</v>
      </c>
      <c r="J33" s="1">
        <v>13</v>
      </c>
      <c r="K33" s="1">
        <v>9</v>
      </c>
      <c r="L33" s="1">
        <v>9</v>
      </c>
      <c r="M33" s="1">
        <v>12</v>
      </c>
      <c r="N33" s="1">
        <v>14</v>
      </c>
      <c r="O33" s="24">
        <f t="shared" si="0"/>
        <v>135</v>
      </c>
      <c r="P33" s="23">
        <v>1482</v>
      </c>
      <c r="Q33" s="1">
        <v>1515</v>
      </c>
      <c r="R33" s="1">
        <v>1556</v>
      </c>
      <c r="S33" s="1">
        <v>2780</v>
      </c>
      <c r="T33" s="1">
        <v>2629</v>
      </c>
      <c r="U33" s="1">
        <v>2546</v>
      </c>
      <c r="V33" s="1">
        <v>2634</v>
      </c>
      <c r="W33" s="1">
        <v>2604</v>
      </c>
      <c r="X33" s="1">
        <v>1627</v>
      </c>
      <c r="Y33" s="1">
        <v>1593</v>
      </c>
      <c r="Z33" s="1">
        <v>1625</v>
      </c>
      <c r="AA33" s="1">
        <v>1866</v>
      </c>
      <c r="AB33" s="24">
        <f t="shared" si="1"/>
        <v>24457</v>
      </c>
      <c r="AC33" s="23">
        <v>3</v>
      </c>
      <c r="AD33" s="1">
        <v>60.3</v>
      </c>
      <c r="AE33" s="1">
        <v>1482.5</v>
      </c>
      <c r="AF33" s="1">
        <v>0</v>
      </c>
      <c r="AG33" s="1">
        <v>361</v>
      </c>
      <c r="AH33" s="1">
        <v>228.9</v>
      </c>
      <c r="AI33" s="1">
        <v>398.3</v>
      </c>
      <c r="AJ33" s="1">
        <v>272.90000000000003</v>
      </c>
      <c r="AK33" s="1">
        <v>112.1</v>
      </c>
      <c r="AL33" s="1">
        <v>60</v>
      </c>
      <c r="AM33" s="1">
        <v>0</v>
      </c>
      <c r="AN33" s="1">
        <v>44</v>
      </c>
      <c r="AO33" s="24">
        <f t="shared" si="2"/>
        <v>3023</v>
      </c>
    </row>
    <row r="34" spans="1:41" ht="17.25" customHeight="1" x14ac:dyDescent="0.45">
      <c r="A34" s="12" t="s">
        <v>10</v>
      </c>
      <c r="B34" s="12" t="s">
        <v>23</v>
      </c>
      <c r="C34" s="25">
        <v>17</v>
      </c>
      <c r="D34" s="10">
        <v>16</v>
      </c>
      <c r="E34" s="10">
        <v>16</v>
      </c>
      <c r="F34" s="10">
        <v>17</v>
      </c>
      <c r="G34" s="10">
        <v>33</v>
      </c>
      <c r="H34" s="10">
        <v>38</v>
      </c>
      <c r="I34" s="10">
        <v>47</v>
      </c>
      <c r="J34" s="10">
        <v>47</v>
      </c>
      <c r="K34" s="10">
        <v>43</v>
      </c>
      <c r="L34" s="10">
        <v>47</v>
      </c>
      <c r="M34" s="10">
        <v>34</v>
      </c>
      <c r="N34" s="10">
        <v>26</v>
      </c>
      <c r="O34" s="26">
        <f t="shared" si="0"/>
        <v>381</v>
      </c>
      <c r="P34" s="25">
        <v>0</v>
      </c>
      <c r="Q34" s="10">
        <v>0</v>
      </c>
      <c r="R34" s="10">
        <v>0</v>
      </c>
      <c r="S34" s="10">
        <v>0</v>
      </c>
      <c r="T34" s="10">
        <v>40</v>
      </c>
      <c r="U34" s="10">
        <v>58</v>
      </c>
      <c r="V34" s="10">
        <v>85</v>
      </c>
      <c r="W34" s="10">
        <v>106</v>
      </c>
      <c r="X34" s="10">
        <v>82</v>
      </c>
      <c r="Y34" s="10">
        <v>89</v>
      </c>
      <c r="Z34" s="10">
        <v>53</v>
      </c>
      <c r="AA34" s="10">
        <v>40</v>
      </c>
      <c r="AB34" s="26">
        <f t="shared" si="1"/>
        <v>553</v>
      </c>
      <c r="AC34" s="25">
        <v>19260</v>
      </c>
      <c r="AD34" s="10">
        <v>19264</v>
      </c>
      <c r="AE34" s="10">
        <v>14414</v>
      </c>
      <c r="AF34" s="10">
        <v>20601</v>
      </c>
      <c r="AG34" s="10">
        <v>20642</v>
      </c>
      <c r="AH34" s="10">
        <v>18732</v>
      </c>
      <c r="AI34" s="10">
        <v>21277</v>
      </c>
      <c r="AJ34" s="10">
        <v>21648</v>
      </c>
      <c r="AK34" s="10">
        <v>18026</v>
      </c>
      <c r="AL34" s="10">
        <v>19600</v>
      </c>
      <c r="AM34" s="10">
        <v>19229</v>
      </c>
      <c r="AN34" s="10">
        <v>16104</v>
      </c>
      <c r="AO34" s="26">
        <f t="shared" si="2"/>
        <v>228797</v>
      </c>
    </row>
    <row r="35" spans="1:41" ht="17.25" customHeight="1" x14ac:dyDescent="0.45">
      <c r="A35" s="2" t="s">
        <v>10</v>
      </c>
      <c r="B35" s="2" t="s">
        <v>24</v>
      </c>
      <c r="C35" s="23">
        <v>20</v>
      </c>
      <c r="D35" s="1">
        <v>17</v>
      </c>
      <c r="E35" s="1">
        <v>17</v>
      </c>
      <c r="F35" s="1">
        <v>0</v>
      </c>
      <c r="G35" s="1">
        <v>0</v>
      </c>
      <c r="H35" s="1">
        <v>0</v>
      </c>
      <c r="I35" s="1">
        <v>0</v>
      </c>
      <c r="J35" s="1">
        <v>0</v>
      </c>
      <c r="K35" s="1">
        <v>0</v>
      </c>
      <c r="L35" s="1">
        <v>0</v>
      </c>
      <c r="M35" s="1">
        <v>0</v>
      </c>
      <c r="N35" s="1">
        <v>0</v>
      </c>
      <c r="O35" s="24">
        <f t="shared" si="0"/>
        <v>54</v>
      </c>
      <c r="P35" s="23">
        <v>3372</v>
      </c>
      <c r="Q35" s="1">
        <v>2816</v>
      </c>
      <c r="R35" s="1">
        <v>2953</v>
      </c>
      <c r="S35" s="1">
        <v>0</v>
      </c>
      <c r="T35" s="1">
        <v>0</v>
      </c>
      <c r="U35" s="1">
        <v>0</v>
      </c>
      <c r="V35" s="1">
        <v>0</v>
      </c>
      <c r="W35" s="1">
        <v>0</v>
      </c>
      <c r="X35" s="1">
        <v>0</v>
      </c>
      <c r="Y35" s="1">
        <v>0</v>
      </c>
      <c r="Z35" s="1">
        <v>0</v>
      </c>
      <c r="AA35" s="1">
        <v>0</v>
      </c>
      <c r="AB35" s="24">
        <f t="shared" si="1"/>
        <v>9141</v>
      </c>
      <c r="AC35" s="23">
        <v>182.4</v>
      </c>
      <c r="AD35" s="1">
        <v>575.70000000000005</v>
      </c>
      <c r="AE35" s="1">
        <v>4830.2999999999993</v>
      </c>
      <c r="AF35" s="1">
        <v>0</v>
      </c>
      <c r="AG35" s="1">
        <v>0</v>
      </c>
      <c r="AH35" s="1">
        <v>0</v>
      </c>
      <c r="AI35" s="1">
        <v>0</v>
      </c>
      <c r="AJ35" s="1">
        <v>0</v>
      </c>
      <c r="AK35" s="1">
        <v>0</v>
      </c>
      <c r="AL35" s="1">
        <v>0</v>
      </c>
      <c r="AM35" s="1">
        <v>0</v>
      </c>
      <c r="AN35" s="1">
        <v>0</v>
      </c>
      <c r="AO35" s="24">
        <f t="shared" si="2"/>
        <v>5588.4</v>
      </c>
    </row>
    <row r="36" spans="1:41" ht="17.25" customHeight="1" x14ac:dyDescent="0.45">
      <c r="A36" s="12" t="s">
        <v>10</v>
      </c>
      <c r="B36" s="12" t="s">
        <v>12</v>
      </c>
      <c r="C36" s="25">
        <v>845</v>
      </c>
      <c r="D36" s="10">
        <v>789</v>
      </c>
      <c r="E36" s="10">
        <v>857</v>
      </c>
      <c r="F36" s="10">
        <v>836</v>
      </c>
      <c r="G36" s="10">
        <v>864</v>
      </c>
      <c r="H36" s="10">
        <v>852</v>
      </c>
      <c r="I36" s="10">
        <v>888</v>
      </c>
      <c r="J36" s="10">
        <v>898</v>
      </c>
      <c r="K36" s="10">
        <v>851</v>
      </c>
      <c r="L36" s="10">
        <v>872</v>
      </c>
      <c r="M36" s="10">
        <v>848</v>
      </c>
      <c r="N36" s="10">
        <v>878</v>
      </c>
      <c r="O36" s="26">
        <f t="shared" si="0"/>
        <v>10278</v>
      </c>
      <c r="P36" s="25">
        <v>150196</v>
      </c>
      <c r="Q36" s="10">
        <v>131188</v>
      </c>
      <c r="R36" s="10">
        <v>140541</v>
      </c>
      <c r="S36" s="10">
        <v>141056</v>
      </c>
      <c r="T36" s="10">
        <v>150272</v>
      </c>
      <c r="U36" s="10">
        <v>141771</v>
      </c>
      <c r="V36" s="10">
        <v>149488</v>
      </c>
      <c r="W36" s="10">
        <v>158724</v>
      </c>
      <c r="X36" s="10">
        <v>143925</v>
      </c>
      <c r="Y36" s="10">
        <v>140515</v>
      </c>
      <c r="Z36" s="10">
        <v>136814</v>
      </c>
      <c r="AA36" s="10">
        <v>144268</v>
      </c>
      <c r="AB36" s="26">
        <f t="shared" si="1"/>
        <v>1728758</v>
      </c>
      <c r="AC36" s="25">
        <v>70363</v>
      </c>
      <c r="AD36" s="10">
        <v>62194.7</v>
      </c>
      <c r="AE36" s="10">
        <v>63006.619999999995</v>
      </c>
      <c r="AF36" s="10">
        <v>89737.390000000014</v>
      </c>
      <c r="AG36" s="10">
        <v>78805.5</v>
      </c>
      <c r="AH36" s="10">
        <v>59250.729999999996</v>
      </c>
      <c r="AI36" s="10">
        <v>139641.5</v>
      </c>
      <c r="AJ36" s="10">
        <v>80293.5</v>
      </c>
      <c r="AK36" s="10">
        <v>88488.650000000023</v>
      </c>
      <c r="AL36" s="10">
        <v>81110.500000000015</v>
      </c>
      <c r="AM36" s="10">
        <v>102676.71000000002</v>
      </c>
      <c r="AN36" s="10">
        <v>84139.920000000027</v>
      </c>
      <c r="AO36" s="26">
        <f t="shared" si="2"/>
        <v>999708.72000000009</v>
      </c>
    </row>
    <row r="37" spans="1:41" ht="17.25" customHeight="1" x14ac:dyDescent="0.45">
      <c r="A37" s="2" t="s">
        <v>10</v>
      </c>
      <c r="B37" s="2" t="s">
        <v>13</v>
      </c>
      <c r="C37" s="23">
        <v>300</v>
      </c>
      <c r="D37" s="1">
        <v>234</v>
      </c>
      <c r="E37" s="1">
        <v>298</v>
      </c>
      <c r="F37" s="1">
        <v>307</v>
      </c>
      <c r="G37" s="1">
        <v>403</v>
      </c>
      <c r="H37" s="1">
        <v>428</v>
      </c>
      <c r="I37" s="1">
        <v>514</v>
      </c>
      <c r="J37" s="1">
        <v>527</v>
      </c>
      <c r="K37" s="1">
        <v>410</v>
      </c>
      <c r="L37" s="1">
        <v>445</v>
      </c>
      <c r="M37" s="1">
        <v>391</v>
      </c>
      <c r="N37" s="1">
        <v>382</v>
      </c>
      <c r="O37" s="24">
        <f t="shared" si="0"/>
        <v>4639</v>
      </c>
      <c r="P37" s="23">
        <v>54362</v>
      </c>
      <c r="Q37" s="1">
        <v>37641</v>
      </c>
      <c r="R37" s="1">
        <v>46586</v>
      </c>
      <c r="S37" s="1">
        <v>49248</v>
      </c>
      <c r="T37" s="1">
        <v>63939</v>
      </c>
      <c r="U37" s="1">
        <v>72900</v>
      </c>
      <c r="V37" s="1">
        <v>91700</v>
      </c>
      <c r="W37" s="1">
        <v>98460</v>
      </c>
      <c r="X37" s="1">
        <v>73193</v>
      </c>
      <c r="Y37" s="1">
        <v>75399</v>
      </c>
      <c r="Z37" s="1">
        <v>64018</v>
      </c>
      <c r="AA37" s="1">
        <v>55897</v>
      </c>
      <c r="AB37" s="24">
        <f t="shared" si="1"/>
        <v>783343</v>
      </c>
      <c r="AC37" s="23">
        <v>1859.1</v>
      </c>
      <c r="AD37" s="1">
        <v>2958.95</v>
      </c>
      <c r="AE37" s="1">
        <v>4564.7999999999993</v>
      </c>
      <c r="AF37" s="1">
        <v>2654.0000000000005</v>
      </c>
      <c r="AG37" s="1">
        <v>1964.8999999999996</v>
      </c>
      <c r="AH37" s="1">
        <v>3458.05</v>
      </c>
      <c r="AI37" s="1">
        <v>2746.6</v>
      </c>
      <c r="AJ37" s="1">
        <v>4002.6</v>
      </c>
      <c r="AK37" s="1">
        <v>5512.9000000000005</v>
      </c>
      <c r="AL37" s="1">
        <v>7354.2000000000007</v>
      </c>
      <c r="AM37" s="1">
        <v>2885.7</v>
      </c>
      <c r="AN37" s="1">
        <v>3993.5</v>
      </c>
      <c r="AO37" s="24">
        <f t="shared" si="2"/>
        <v>43955.299999999996</v>
      </c>
    </row>
    <row r="38" spans="1:41" ht="17.25" customHeight="1" x14ac:dyDescent="0.45">
      <c r="A38" s="12" t="s">
        <v>10</v>
      </c>
      <c r="B38" s="12" t="s">
        <v>25</v>
      </c>
      <c r="C38" s="25">
        <v>13</v>
      </c>
      <c r="D38" s="10">
        <v>13</v>
      </c>
      <c r="E38" s="10">
        <v>13</v>
      </c>
      <c r="F38" s="10">
        <v>15</v>
      </c>
      <c r="G38" s="10">
        <v>13</v>
      </c>
      <c r="H38" s="10">
        <v>13</v>
      </c>
      <c r="I38" s="10">
        <v>16</v>
      </c>
      <c r="J38" s="10">
        <v>13</v>
      </c>
      <c r="K38" s="10">
        <v>13</v>
      </c>
      <c r="L38" s="10">
        <v>15</v>
      </c>
      <c r="M38" s="10">
        <v>12</v>
      </c>
      <c r="N38" s="10">
        <v>17</v>
      </c>
      <c r="O38" s="26">
        <f t="shared" si="0"/>
        <v>166</v>
      </c>
      <c r="P38" s="25">
        <v>2089</v>
      </c>
      <c r="Q38" s="10">
        <v>2016</v>
      </c>
      <c r="R38" s="10">
        <v>2066</v>
      </c>
      <c r="S38" s="10">
        <v>2466</v>
      </c>
      <c r="T38" s="10">
        <v>2268</v>
      </c>
      <c r="U38" s="10">
        <v>2095</v>
      </c>
      <c r="V38" s="10">
        <v>2489</v>
      </c>
      <c r="W38" s="10">
        <v>2126</v>
      </c>
      <c r="X38" s="10">
        <v>2100</v>
      </c>
      <c r="Y38" s="10">
        <v>2369</v>
      </c>
      <c r="Z38" s="10">
        <v>1919</v>
      </c>
      <c r="AA38" s="10">
        <v>2670</v>
      </c>
      <c r="AB38" s="26">
        <f t="shared" si="1"/>
        <v>26673</v>
      </c>
      <c r="AC38" s="25">
        <v>0</v>
      </c>
      <c r="AD38" s="10">
        <v>0</v>
      </c>
      <c r="AE38" s="10">
        <v>0</v>
      </c>
      <c r="AF38" s="10">
        <v>0</v>
      </c>
      <c r="AG38" s="10">
        <v>0</v>
      </c>
      <c r="AH38" s="10">
        <v>0</v>
      </c>
      <c r="AI38" s="10">
        <v>0</v>
      </c>
      <c r="AJ38" s="10">
        <v>0</v>
      </c>
      <c r="AK38" s="10">
        <v>0</v>
      </c>
      <c r="AL38" s="10">
        <v>0</v>
      </c>
      <c r="AM38" s="10">
        <v>0</v>
      </c>
      <c r="AN38" s="10">
        <v>0</v>
      </c>
      <c r="AO38" s="26">
        <f t="shared" si="2"/>
        <v>0</v>
      </c>
    </row>
    <row r="39" spans="1:41" ht="17.25" customHeight="1" x14ac:dyDescent="0.45">
      <c r="A39" s="2" t="s">
        <v>10</v>
      </c>
      <c r="B39" s="2" t="s">
        <v>26</v>
      </c>
      <c r="C39" s="23">
        <v>30</v>
      </c>
      <c r="D39" s="1">
        <v>29</v>
      </c>
      <c r="E39" s="1">
        <v>31</v>
      </c>
      <c r="F39" s="1">
        <v>31</v>
      </c>
      <c r="G39" s="1">
        <v>30</v>
      </c>
      <c r="H39" s="1">
        <v>29</v>
      </c>
      <c r="I39" s="1">
        <v>30</v>
      </c>
      <c r="J39" s="1">
        <v>31</v>
      </c>
      <c r="K39" s="1">
        <v>30</v>
      </c>
      <c r="L39" s="1">
        <v>32</v>
      </c>
      <c r="M39" s="1">
        <v>31</v>
      </c>
      <c r="N39" s="1">
        <v>31</v>
      </c>
      <c r="O39" s="24">
        <f t="shared" si="0"/>
        <v>365</v>
      </c>
      <c r="P39" s="23">
        <v>4768</v>
      </c>
      <c r="Q39" s="1">
        <v>4468</v>
      </c>
      <c r="R39" s="1">
        <v>4929</v>
      </c>
      <c r="S39" s="1">
        <v>4435</v>
      </c>
      <c r="T39" s="1">
        <v>4329</v>
      </c>
      <c r="U39" s="1">
        <v>3495</v>
      </c>
      <c r="V39" s="1">
        <v>4063</v>
      </c>
      <c r="W39" s="1">
        <v>4368</v>
      </c>
      <c r="X39" s="1">
        <v>3745</v>
      </c>
      <c r="Y39" s="1">
        <v>4973</v>
      </c>
      <c r="Z39" s="1">
        <v>4347</v>
      </c>
      <c r="AA39" s="1">
        <v>4742</v>
      </c>
      <c r="AB39" s="24">
        <f t="shared" si="1"/>
        <v>52662</v>
      </c>
      <c r="AC39" s="23">
        <v>253</v>
      </c>
      <c r="AD39" s="1">
        <v>76.400000000000006</v>
      </c>
      <c r="AE39" s="1">
        <v>244.2</v>
      </c>
      <c r="AF39" s="1">
        <v>201.2</v>
      </c>
      <c r="AG39" s="1">
        <v>50</v>
      </c>
      <c r="AH39" s="1">
        <v>156.6</v>
      </c>
      <c r="AI39" s="1">
        <v>144.1</v>
      </c>
      <c r="AJ39" s="1">
        <v>145.5</v>
      </c>
      <c r="AK39" s="1">
        <v>97.7</v>
      </c>
      <c r="AL39" s="1">
        <v>114</v>
      </c>
      <c r="AM39" s="1">
        <v>34.5</v>
      </c>
      <c r="AN39" s="1">
        <v>79</v>
      </c>
      <c r="AO39" s="24">
        <f t="shared" si="2"/>
        <v>1596.2</v>
      </c>
    </row>
    <row r="40" spans="1:41" ht="17.25" customHeight="1" x14ac:dyDescent="0.45">
      <c r="A40" s="12" t="s">
        <v>10</v>
      </c>
      <c r="B40" s="12" t="s">
        <v>27</v>
      </c>
      <c r="C40" s="25">
        <v>73</v>
      </c>
      <c r="D40" s="10">
        <v>67</v>
      </c>
      <c r="E40" s="10">
        <v>65</v>
      </c>
      <c r="F40" s="10">
        <v>79</v>
      </c>
      <c r="G40" s="10">
        <v>89</v>
      </c>
      <c r="H40" s="10">
        <v>84</v>
      </c>
      <c r="I40" s="10">
        <v>84</v>
      </c>
      <c r="J40" s="10">
        <v>88</v>
      </c>
      <c r="K40" s="10">
        <v>85</v>
      </c>
      <c r="L40" s="10">
        <v>81</v>
      </c>
      <c r="M40" s="10">
        <v>86</v>
      </c>
      <c r="N40" s="10">
        <v>89</v>
      </c>
      <c r="O40" s="26">
        <f t="shared" si="0"/>
        <v>970</v>
      </c>
      <c r="P40" s="25">
        <v>13095</v>
      </c>
      <c r="Q40" s="10">
        <v>11584</v>
      </c>
      <c r="R40" s="10">
        <v>10762</v>
      </c>
      <c r="S40" s="10">
        <v>13724</v>
      </c>
      <c r="T40" s="10">
        <v>15423</v>
      </c>
      <c r="U40" s="10">
        <v>13818</v>
      </c>
      <c r="V40" s="10">
        <v>14023</v>
      </c>
      <c r="W40" s="10">
        <v>15746</v>
      </c>
      <c r="X40" s="10">
        <v>14823</v>
      </c>
      <c r="Y40" s="10">
        <v>13515</v>
      </c>
      <c r="Z40" s="10">
        <v>14554</v>
      </c>
      <c r="AA40" s="10">
        <v>15781</v>
      </c>
      <c r="AB40" s="26">
        <f t="shared" si="1"/>
        <v>166848</v>
      </c>
      <c r="AC40" s="25">
        <v>937.75</v>
      </c>
      <c r="AD40" s="10">
        <v>1286.8000000000002</v>
      </c>
      <c r="AE40" s="10">
        <v>1366.3000000000002</v>
      </c>
      <c r="AF40" s="10">
        <v>1524.8</v>
      </c>
      <c r="AG40" s="10">
        <v>2090</v>
      </c>
      <c r="AH40" s="10">
        <v>2531.5</v>
      </c>
      <c r="AI40" s="10">
        <v>1435.65</v>
      </c>
      <c r="AJ40" s="10">
        <v>2061.8000000000002</v>
      </c>
      <c r="AK40" s="10">
        <v>1461.6100000000001</v>
      </c>
      <c r="AL40" s="10">
        <v>714</v>
      </c>
      <c r="AM40" s="10">
        <v>1290.6999999999998</v>
      </c>
      <c r="AN40" s="10">
        <v>2887.6</v>
      </c>
      <c r="AO40" s="26">
        <f t="shared" si="2"/>
        <v>19588.510000000002</v>
      </c>
    </row>
    <row r="41" spans="1:41" ht="17.25" customHeight="1" x14ac:dyDescent="0.45">
      <c r="A41" s="2" t="s">
        <v>10</v>
      </c>
      <c r="B41" s="2" t="s">
        <v>28</v>
      </c>
      <c r="C41" s="23">
        <v>69</v>
      </c>
      <c r="D41" s="1">
        <v>58</v>
      </c>
      <c r="E41" s="1">
        <v>62</v>
      </c>
      <c r="F41" s="1">
        <v>74</v>
      </c>
      <c r="G41" s="1">
        <v>79</v>
      </c>
      <c r="H41" s="1">
        <v>78</v>
      </c>
      <c r="I41" s="1">
        <v>73</v>
      </c>
      <c r="J41" s="1">
        <v>76</v>
      </c>
      <c r="K41" s="1">
        <v>71</v>
      </c>
      <c r="L41" s="1">
        <v>76</v>
      </c>
      <c r="M41" s="1">
        <v>81</v>
      </c>
      <c r="N41" s="1">
        <v>88</v>
      </c>
      <c r="O41" s="24">
        <f t="shared" si="0"/>
        <v>885</v>
      </c>
      <c r="P41" s="23">
        <v>12555</v>
      </c>
      <c r="Q41" s="1">
        <v>9310</v>
      </c>
      <c r="R41" s="1">
        <v>10333</v>
      </c>
      <c r="S41" s="1">
        <v>12823</v>
      </c>
      <c r="T41" s="1">
        <v>14029</v>
      </c>
      <c r="U41" s="1">
        <v>13162</v>
      </c>
      <c r="V41" s="1">
        <v>11999</v>
      </c>
      <c r="W41" s="1">
        <v>13376</v>
      </c>
      <c r="X41" s="1">
        <v>12260</v>
      </c>
      <c r="Y41" s="1">
        <v>13014</v>
      </c>
      <c r="Z41" s="1">
        <v>12972</v>
      </c>
      <c r="AA41" s="1">
        <v>14735</v>
      </c>
      <c r="AB41" s="24">
        <f t="shared" si="1"/>
        <v>150568</v>
      </c>
      <c r="AC41" s="23">
        <v>1019.0000000000001</v>
      </c>
      <c r="AD41" s="1">
        <v>1589.8</v>
      </c>
      <c r="AE41" s="1">
        <v>1412.0500000000002</v>
      </c>
      <c r="AF41" s="1">
        <v>1718.55</v>
      </c>
      <c r="AG41" s="1">
        <v>4929</v>
      </c>
      <c r="AH41" s="1">
        <v>2269</v>
      </c>
      <c r="AI41" s="1">
        <v>1791.6499999999996</v>
      </c>
      <c r="AJ41" s="1">
        <v>2031.45</v>
      </c>
      <c r="AK41" s="1">
        <v>1334.6499999999999</v>
      </c>
      <c r="AL41" s="1">
        <v>2445</v>
      </c>
      <c r="AM41" s="1">
        <v>1096.8</v>
      </c>
      <c r="AN41" s="1">
        <v>926.65000000000009</v>
      </c>
      <c r="AO41" s="24">
        <f t="shared" si="2"/>
        <v>22563.600000000002</v>
      </c>
    </row>
    <row r="42" spans="1:41" ht="17.25" customHeight="1" x14ac:dyDescent="0.45">
      <c r="A42" s="12" t="s">
        <v>10</v>
      </c>
      <c r="B42" s="12" t="s">
        <v>29</v>
      </c>
      <c r="C42" s="25">
        <v>19</v>
      </c>
      <c r="D42" s="10">
        <v>16</v>
      </c>
      <c r="E42" s="10">
        <v>18</v>
      </c>
      <c r="F42" s="10">
        <v>21</v>
      </c>
      <c r="G42" s="10">
        <v>22</v>
      </c>
      <c r="H42" s="10">
        <v>29</v>
      </c>
      <c r="I42" s="10">
        <v>30</v>
      </c>
      <c r="J42" s="10">
        <v>27</v>
      </c>
      <c r="K42" s="10">
        <v>20</v>
      </c>
      <c r="L42" s="10">
        <v>23</v>
      </c>
      <c r="M42" s="10">
        <v>21</v>
      </c>
      <c r="N42" s="10">
        <v>19</v>
      </c>
      <c r="O42" s="26">
        <f t="shared" si="0"/>
        <v>265</v>
      </c>
      <c r="P42" s="25">
        <v>2523</v>
      </c>
      <c r="Q42" s="10">
        <v>2079</v>
      </c>
      <c r="R42" s="10">
        <v>2478</v>
      </c>
      <c r="S42" s="10">
        <v>2971</v>
      </c>
      <c r="T42" s="10">
        <v>2992</v>
      </c>
      <c r="U42" s="10">
        <v>4508</v>
      </c>
      <c r="V42" s="10">
        <v>4773</v>
      </c>
      <c r="W42" s="10">
        <v>4474</v>
      </c>
      <c r="X42" s="10">
        <v>2919</v>
      </c>
      <c r="Y42" s="10">
        <v>3023</v>
      </c>
      <c r="Z42" s="10">
        <v>2765</v>
      </c>
      <c r="AA42" s="10">
        <v>2326</v>
      </c>
      <c r="AB42" s="26">
        <f t="shared" si="1"/>
        <v>37831</v>
      </c>
      <c r="AC42" s="25">
        <v>0</v>
      </c>
      <c r="AD42" s="10">
        <v>0</v>
      </c>
      <c r="AE42" s="10">
        <v>0</v>
      </c>
      <c r="AF42" s="10">
        <v>0</v>
      </c>
      <c r="AG42" s="10">
        <v>0</v>
      </c>
      <c r="AH42" s="10">
        <v>0</v>
      </c>
      <c r="AI42" s="10">
        <v>0</v>
      </c>
      <c r="AJ42" s="10">
        <v>0</v>
      </c>
      <c r="AK42" s="10">
        <v>0</v>
      </c>
      <c r="AL42" s="10">
        <v>0</v>
      </c>
      <c r="AM42" s="10">
        <v>0</v>
      </c>
      <c r="AN42" s="10">
        <v>0</v>
      </c>
      <c r="AO42" s="26">
        <f t="shared" si="2"/>
        <v>0</v>
      </c>
    </row>
    <row r="43" spans="1:41" ht="17.25" customHeight="1" x14ac:dyDescent="0.45">
      <c r="A43" s="2" t="s">
        <v>10</v>
      </c>
      <c r="B43" s="2" t="s">
        <v>48</v>
      </c>
      <c r="C43" s="23">
        <v>0</v>
      </c>
      <c r="D43" s="1">
        <v>0</v>
      </c>
      <c r="E43" s="1">
        <v>0</v>
      </c>
      <c r="F43" s="1">
        <v>0</v>
      </c>
      <c r="G43" s="1">
        <v>0</v>
      </c>
      <c r="H43" s="1">
        <v>0</v>
      </c>
      <c r="I43" s="1">
        <v>0</v>
      </c>
      <c r="J43" s="1">
        <v>0</v>
      </c>
      <c r="K43" s="1">
        <v>28</v>
      </c>
      <c r="L43" s="1">
        <v>31</v>
      </c>
      <c r="M43" s="1">
        <v>30</v>
      </c>
      <c r="N43" s="1">
        <v>31</v>
      </c>
      <c r="O43" s="24">
        <f t="shared" si="0"/>
        <v>120</v>
      </c>
      <c r="P43" s="23">
        <v>0</v>
      </c>
      <c r="Q43" s="1">
        <v>0</v>
      </c>
      <c r="R43" s="1">
        <v>0</v>
      </c>
      <c r="S43" s="1">
        <v>0</v>
      </c>
      <c r="T43" s="1">
        <v>0</v>
      </c>
      <c r="U43" s="1">
        <v>0</v>
      </c>
      <c r="V43" s="1">
        <v>0</v>
      </c>
      <c r="W43" s="1">
        <v>0</v>
      </c>
      <c r="X43" s="1">
        <v>720</v>
      </c>
      <c r="Y43" s="1">
        <v>874</v>
      </c>
      <c r="Z43" s="1">
        <v>970</v>
      </c>
      <c r="AA43" s="1">
        <v>514</v>
      </c>
      <c r="AB43" s="24">
        <f t="shared" si="1"/>
        <v>3078</v>
      </c>
      <c r="AC43" s="23">
        <v>0</v>
      </c>
      <c r="AD43" s="1">
        <v>0</v>
      </c>
      <c r="AE43" s="1">
        <v>0</v>
      </c>
      <c r="AF43" s="1">
        <v>0</v>
      </c>
      <c r="AG43" s="1">
        <v>0</v>
      </c>
      <c r="AH43" s="1">
        <v>0</v>
      </c>
      <c r="AI43" s="1">
        <v>0</v>
      </c>
      <c r="AJ43" s="1">
        <v>0</v>
      </c>
      <c r="AK43" s="1">
        <v>0</v>
      </c>
      <c r="AL43" s="1">
        <v>0</v>
      </c>
      <c r="AM43" s="1">
        <v>0</v>
      </c>
      <c r="AN43" s="1">
        <v>0</v>
      </c>
      <c r="AO43" s="24">
        <f t="shared" si="2"/>
        <v>0</v>
      </c>
    </row>
    <row r="44" spans="1:41" ht="17.25" customHeight="1" x14ac:dyDescent="0.45">
      <c r="A44" s="12" t="s">
        <v>10</v>
      </c>
      <c r="B44" s="12" t="s">
        <v>30</v>
      </c>
      <c r="C44" s="25">
        <v>15</v>
      </c>
      <c r="D44" s="10">
        <v>8</v>
      </c>
      <c r="E44" s="10">
        <v>8</v>
      </c>
      <c r="F44" s="10">
        <v>26</v>
      </c>
      <c r="G44" s="10">
        <v>27</v>
      </c>
      <c r="H44" s="10">
        <v>26</v>
      </c>
      <c r="I44" s="10">
        <v>25</v>
      </c>
      <c r="J44" s="10">
        <v>27</v>
      </c>
      <c r="K44" s="10">
        <v>26</v>
      </c>
      <c r="L44" s="10">
        <v>26</v>
      </c>
      <c r="M44" s="10">
        <v>26</v>
      </c>
      <c r="N44" s="10">
        <v>30</v>
      </c>
      <c r="O44" s="26">
        <f t="shared" si="0"/>
        <v>270</v>
      </c>
      <c r="P44" s="25">
        <v>2486</v>
      </c>
      <c r="Q44" s="10">
        <v>1238</v>
      </c>
      <c r="R44" s="10">
        <v>1260</v>
      </c>
      <c r="S44" s="10">
        <v>4989</v>
      </c>
      <c r="T44" s="10">
        <v>5461</v>
      </c>
      <c r="U44" s="10">
        <v>5388</v>
      </c>
      <c r="V44" s="10">
        <v>5052</v>
      </c>
      <c r="W44" s="10">
        <v>5676</v>
      </c>
      <c r="X44" s="10">
        <v>5176</v>
      </c>
      <c r="Y44" s="10">
        <v>5275</v>
      </c>
      <c r="Z44" s="10">
        <v>4989</v>
      </c>
      <c r="AA44" s="10">
        <v>5442</v>
      </c>
      <c r="AB44" s="26">
        <f t="shared" si="1"/>
        <v>52432</v>
      </c>
      <c r="AC44" s="25">
        <v>0</v>
      </c>
      <c r="AD44" s="10">
        <v>0</v>
      </c>
      <c r="AE44" s="10">
        <v>0</v>
      </c>
      <c r="AF44" s="10">
        <v>0</v>
      </c>
      <c r="AG44" s="10">
        <v>0</v>
      </c>
      <c r="AH44" s="10">
        <v>0</v>
      </c>
      <c r="AI44" s="10">
        <v>0</v>
      </c>
      <c r="AJ44" s="10">
        <v>0</v>
      </c>
      <c r="AK44" s="10">
        <v>0</v>
      </c>
      <c r="AL44" s="10">
        <v>0</v>
      </c>
      <c r="AM44" s="10">
        <v>0</v>
      </c>
      <c r="AN44" s="10">
        <v>0</v>
      </c>
      <c r="AO44" s="26">
        <f t="shared" si="2"/>
        <v>0</v>
      </c>
    </row>
    <row r="45" spans="1:41" ht="17.25" customHeight="1" x14ac:dyDescent="0.45">
      <c r="A45" s="2" t="s">
        <v>10</v>
      </c>
      <c r="B45" s="2" t="s">
        <v>14</v>
      </c>
      <c r="C45" s="23">
        <v>224</v>
      </c>
      <c r="D45" s="1">
        <v>232</v>
      </c>
      <c r="E45" s="1">
        <v>280</v>
      </c>
      <c r="F45" s="1">
        <v>329</v>
      </c>
      <c r="G45" s="1">
        <v>332</v>
      </c>
      <c r="H45" s="1">
        <v>318</v>
      </c>
      <c r="I45" s="1">
        <v>323</v>
      </c>
      <c r="J45" s="1">
        <v>336</v>
      </c>
      <c r="K45" s="1">
        <v>306</v>
      </c>
      <c r="L45" s="1">
        <v>320</v>
      </c>
      <c r="M45" s="1">
        <v>325</v>
      </c>
      <c r="N45" s="1">
        <v>341</v>
      </c>
      <c r="O45" s="24">
        <f t="shared" si="0"/>
        <v>3666</v>
      </c>
      <c r="P45" s="23">
        <v>37503</v>
      </c>
      <c r="Q45" s="1">
        <v>36854</v>
      </c>
      <c r="R45" s="1">
        <v>40621</v>
      </c>
      <c r="S45" s="1">
        <v>51281</v>
      </c>
      <c r="T45" s="1">
        <v>51747</v>
      </c>
      <c r="U45" s="1">
        <v>48120</v>
      </c>
      <c r="V45" s="1">
        <v>46457</v>
      </c>
      <c r="W45" s="1">
        <v>54467</v>
      </c>
      <c r="X45" s="1">
        <v>46560</v>
      </c>
      <c r="Y45" s="1">
        <v>48893</v>
      </c>
      <c r="Z45" s="1">
        <v>48136</v>
      </c>
      <c r="AA45" s="1">
        <v>49422</v>
      </c>
      <c r="AB45" s="24">
        <f t="shared" si="1"/>
        <v>560061</v>
      </c>
      <c r="AC45" s="23">
        <v>231.6</v>
      </c>
      <c r="AD45" s="1">
        <v>119.19999999999999</v>
      </c>
      <c r="AE45" s="1">
        <v>918.7</v>
      </c>
      <c r="AF45" s="1">
        <v>307.79999999999995</v>
      </c>
      <c r="AG45" s="1">
        <v>77</v>
      </c>
      <c r="AH45" s="1">
        <v>34.1</v>
      </c>
      <c r="AI45" s="1">
        <v>6366.0000000000009</v>
      </c>
      <c r="AJ45" s="1">
        <v>2705.5</v>
      </c>
      <c r="AK45" s="1">
        <v>7481.3</v>
      </c>
      <c r="AL45" s="1">
        <v>9872</v>
      </c>
      <c r="AM45" s="1">
        <v>15001.9</v>
      </c>
      <c r="AN45" s="1">
        <v>12583</v>
      </c>
      <c r="AO45" s="24">
        <f t="shared" si="2"/>
        <v>55698.1</v>
      </c>
    </row>
    <row r="46" spans="1:41" ht="17.25" customHeight="1" x14ac:dyDescent="0.45">
      <c r="A46" s="12" t="s">
        <v>10</v>
      </c>
      <c r="B46" s="12" t="s">
        <v>31</v>
      </c>
      <c r="C46" s="25">
        <v>10</v>
      </c>
      <c r="D46" s="10">
        <v>8</v>
      </c>
      <c r="E46" s="10">
        <v>9</v>
      </c>
      <c r="F46" s="10">
        <v>9</v>
      </c>
      <c r="G46" s="10">
        <v>14</v>
      </c>
      <c r="H46" s="10">
        <v>12</v>
      </c>
      <c r="I46" s="10">
        <v>21</v>
      </c>
      <c r="J46" s="10">
        <v>20</v>
      </c>
      <c r="K46" s="10">
        <v>12</v>
      </c>
      <c r="L46" s="10">
        <v>13</v>
      </c>
      <c r="M46" s="10">
        <v>9</v>
      </c>
      <c r="N46" s="10">
        <v>9</v>
      </c>
      <c r="O46" s="26">
        <f t="shared" si="0"/>
        <v>146</v>
      </c>
      <c r="P46" s="25">
        <v>1512</v>
      </c>
      <c r="Q46" s="10">
        <v>1125</v>
      </c>
      <c r="R46" s="10">
        <v>1224</v>
      </c>
      <c r="S46" s="10">
        <v>1444</v>
      </c>
      <c r="T46" s="10">
        <v>2132</v>
      </c>
      <c r="U46" s="10">
        <v>1773</v>
      </c>
      <c r="V46" s="10">
        <v>3157</v>
      </c>
      <c r="W46" s="10">
        <v>3464</v>
      </c>
      <c r="X46" s="10">
        <v>1788</v>
      </c>
      <c r="Y46" s="10">
        <v>2063</v>
      </c>
      <c r="Z46" s="10">
        <v>1423</v>
      </c>
      <c r="AA46" s="10">
        <v>1446</v>
      </c>
      <c r="AB46" s="26">
        <f t="shared" si="1"/>
        <v>22551</v>
      </c>
      <c r="AC46" s="25">
        <v>0</v>
      </c>
      <c r="AD46" s="10">
        <v>0</v>
      </c>
      <c r="AE46" s="10">
        <v>0</v>
      </c>
      <c r="AF46" s="10">
        <v>0</v>
      </c>
      <c r="AG46" s="10">
        <v>0</v>
      </c>
      <c r="AH46" s="10">
        <v>0</v>
      </c>
      <c r="AI46" s="10">
        <v>0</v>
      </c>
      <c r="AJ46" s="10">
        <v>0</v>
      </c>
      <c r="AK46" s="10">
        <v>0</v>
      </c>
      <c r="AL46" s="10">
        <v>0</v>
      </c>
      <c r="AM46" s="10">
        <v>0</v>
      </c>
      <c r="AN46" s="10">
        <v>0</v>
      </c>
      <c r="AO46" s="26">
        <f t="shared" si="2"/>
        <v>0</v>
      </c>
    </row>
    <row r="47" spans="1:41" ht="17.25" customHeight="1" x14ac:dyDescent="0.45">
      <c r="A47" s="2" t="s">
        <v>10</v>
      </c>
      <c r="B47" s="2" t="s">
        <v>15</v>
      </c>
      <c r="C47" s="23">
        <v>126</v>
      </c>
      <c r="D47" s="1">
        <v>120</v>
      </c>
      <c r="E47" s="1">
        <v>121</v>
      </c>
      <c r="F47" s="1">
        <v>68</v>
      </c>
      <c r="G47" s="1">
        <v>61</v>
      </c>
      <c r="H47" s="1">
        <v>60</v>
      </c>
      <c r="I47" s="1">
        <v>80</v>
      </c>
      <c r="J47" s="1">
        <v>78</v>
      </c>
      <c r="K47" s="1">
        <v>60</v>
      </c>
      <c r="L47" s="1">
        <v>62</v>
      </c>
      <c r="M47" s="1">
        <v>60</v>
      </c>
      <c r="N47" s="1">
        <v>75</v>
      </c>
      <c r="O47" s="24">
        <f t="shared" si="0"/>
        <v>971</v>
      </c>
      <c r="P47" s="23">
        <v>24135</v>
      </c>
      <c r="Q47" s="1">
        <v>22557</v>
      </c>
      <c r="R47" s="1">
        <v>22879</v>
      </c>
      <c r="S47" s="1">
        <v>13154</v>
      </c>
      <c r="T47" s="1">
        <v>11478</v>
      </c>
      <c r="U47" s="1">
        <v>11104</v>
      </c>
      <c r="V47" s="1">
        <v>13507</v>
      </c>
      <c r="W47" s="1">
        <v>13322</v>
      </c>
      <c r="X47" s="1">
        <v>9111</v>
      </c>
      <c r="Y47" s="1">
        <v>9056</v>
      </c>
      <c r="Z47" s="1">
        <v>10070</v>
      </c>
      <c r="AA47" s="1">
        <v>11447</v>
      </c>
      <c r="AB47" s="24">
        <f t="shared" si="1"/>
        <v>171820</v>
      </c>
      <c r="AC47" s="23">
        <v>65686</v>
      </c>
      <c r="AD47" s="1">
        <v>91877.509999999951</v>
      </c>
      <c r="AE47" s="1">
        <v>58920.19999999999</v>
      </c>
      <c r="AF47" s="1">
        <v>18234.949999999997</v>
      </c>
      <c r="AG47" s="1">
        <v>25971.4</v>
      </c>
      <c r="AH47" s="1">
        <v>12498.999999999998</v>
      </c>
      <c r="AI47" s="1">
        <v>37645.800000000003</v>
      </c>
      <c r="AJ47" s="1">
        <v>37742.550000000003</v>
      </c>
      <c r="AK47" s="1">
        <v>23251.800000000003</v>
      </c>
      <c r="AL47" s="1">
        <v>40074.400000000001</v>
      </c>
      <c r="AM47" s="1">
        <v>38151.9</v>
      </c>
      <c r="AN47" s="1">
        <v>19341.550000000003</v>
      </c>
      <c r="AO47" s="24">
        <f t="shared" si="2"/>
        <v>469397.05999999988</v>
      </c>
    </row>
    <row r="48" spans="1:41" ht="17.25" customHeight="1" x14ac:dyDescent="0.45">
      <c r="A48" s="12" t="s">
        <v>10</v>
      </c>
      <c r="B48" s="12" t="s">
        <v>32</v>
      </c>
      <c r="C48" s="25">
        <v>95</v>
      </c>
      <c r="D48" s="10">
        <v>87</v>
      </c>
      <c r="E48" s="10">
        <v>94</v>
      </c>
      <c r="F48" s="10">
        <v>121</v>
      </c>
      <c r="G48" s="10">
        <v>122</v>
      </c>
      <c r="H48" s="10">
        <v>139</v>
      </c>
      <c r="I48" s="10">
        <v>147</v>
      </c>
      <c r="J48" s="10">
        <v>155</v>
      </c>
      <c r="K48" s="10">
        <v>126</v>
      </c>
      <c r="L48" s="10">
        <v>107</v>
      </c>
      <c r="M48" s="10">
        <v>119</v>
      </c>
      <c r="N48" s="10">
        <v>122</v>
      </c>
      <c r="O48" s="26">
        <f t="shared" si="0"/>
        <v>1434</v>
      </c>
      <c r="P48" s="25">
        <v>16440</v>
      </c>
      <c r="Q48" s="10">
        <v>14228</v>
      </c>
      <c r="R48" s="10">
        <v>14190</v>
      </c>
      <c r="S48" s="10">
        <v>21726</v>
      </c>
      <c r="T48" s="10">
        <v>22336</v>
      </c>
      <c r="U48" s="10">
        <v>24356</v>
      </c>
      <c r="V48" s="10">
        <v>22820</v>
      </c>
      <c r="W48" s="10">
        <v>27815</v>
      </c>
      <c r="X48" s="10">
        <v>21642</v>
      </c>
      <c r="Y48" s="10">
        <v>18011</v>
      </c>
      <c r="Z48" s="10">
        <v>18918</v>
      </c>
      <c r="AA48" s="10">
        <v>20351</v>
      </c>
      <c r="AB48" s="26">
        <f t="shared" si="1"/>
        <v>242833</v>
      </c>
      <c r="AC48" s="25">
        <v>1740.2</v>
      </c>
      <c r="AD48" s="10">
        <v>18.600000000000001</v>
      </c>
      <c r="AE48" s="10">
        <v>109.9</v>
      </c>
      <c r="AF48" s="10">
        <v>66.199999999999989</v>
      </c>
      <c r="AG48" s="10">
        <v>228</v>
      </c>
      <c r="AH48" s="10">
        <v>74.599999999999994</v>
      </c>
      <c r="AI48" s="10">
        <v>223.7</v>
      </c>
      <c r="AJ48" s="10">
        <v>170.6</v>
      </c>
      <c r="AK48" s="10">
        <v>88.5</v>
      </c>
      <c r="AL48" s="10">
        <v>234</v>
      </c>
      <c r="AM48" s="10">
        <v>381</v>
      </c>
      <c r="AN48" s="10">
        <v>889.3</v>
      </c>
      <c r="AO48" s="26">
        <f t="shared" si="2"/>
        <v>4224.5999999999995</v>
      </c>
    </row>
    <row r="49" spans="1:41" ht="17.25" customHeight="1" x14ac:dyDescent="0.45">
      <c r="A49" s="2" t="s">
        <v>10</v>
      </c>
      <c r="B49" s="2" t="s">
        <v>33</v>
      </c>
      <c r="C49" s="23">
        <v>9</v>
      </c>
      <c r="D49" s="1">
        <v>8</v>
      </c>
      <c r="E49" s="1">
        <v>9</v>
      </c>
      <c r="F49" s="1">
        <v>9</v>
      </c>
      <c r="G49" s="1">
        <v>8</v>
      </c>
      <c r="H49" s="1">
        <v>9</v>
      </c>
      <c r="I49" s="1">
        <v>13</v>
      </c>
      <c r="J49" s="1">
        <v>14</v>
      </c>
      <c r="K49" s="1">
        <v>8</v>
      </c>
      <c r="L49" s="1">
        <v>9</v>
      </c>
      <c r="M49" s="1">
        <v>12</v>
      </c>
      <c r="N49" s="1">
        <v>12</v>
      </c>
      <c r="O49" s="24">
        <f t="shared" si="0"/>
        <v>120</v>
      </c>
      <c r="P49" s="23">
        <v>1402</v>
      </c>
      <c r="Q49" s="1">
        <v>1275</v>
      </c>
      <c r="R49" s="1">
        <v>1335</v>
      </c>
      <c r="S49" s="1">
        <v>1450</v>
      </c>
      <c r="T49" s="1">
        <v>1245</v>
      </c>
      <c r="U49" s="1">
        <v>1451</v>
      </c>
      <c r="V49" s="1">
        <v>2077</v>
      </c>
      <c r="W49" s="1">
        <v>2398</v>
      </c>
      <c r="X49" s="1">
        <v>1332</v>
      </c>
      <c r="Y49" s="1">
        <v>1528</v>
      </c>
      <c r="Z49" s="1">
        <v>1778</v>
      </c>
      <c r="AA49" s="1">
        <v>1914</v>
      </c>
      <c r="AB49" s="24">
        <f t="shared" si="1"/>
        <v>19185</v>
      </c>
      <c r="AC49" s="23">
        <v>0</v>
      </c>
      <c r="AD49" s="1">
        <v>0</v>
      </c>
      <c r="AE49" s="1">
        <v>0</v>
      </c>
      <c r="AF49" s="1">
        <v>0</v>
      </c>
      <c r="AG49" s="1">
        <v>0</v>
      </c>
      <c r="AH49" s="1">
        <v>0</v>
      </c>
      <c r="AI49" s="1">
        <v>0</v>
      </c>
      <c r="AJ49" s="1">
        <v>0</v>
      </c>
      <c r="AK49" s="1">
        <v>0</v>
      </c>
      <c r="AL49" s="1">
        <v>0</v>
      </c>
      <c r="AM49" s="1">
        <v>0</v>
      </c>
      <c r="AN49" s="1">
        <v>0</v>
      </c>
      <c r="AO49" s="24">
        <f t="shared" si="2"/>
        <v>0</v>
      </c>
    </row>
    <row r="50" spans="1:41" ht="17.25" customHeight="1" x14ac:dyDescent="0.45">
      <c r="A50" s="12" t="s">
        <v>10</v>
      </c>
      <c r="B50" s="12" t="s">
        <v>34</v>
      </c>
      <c r="C50" s="25">
        <v>66</v>
      </c>
      <c r="D50" s="10">
        <v>54</v>
      </c>
      <c r="E50" s="10">
        <v>59</v>
      </c>
      <c r="F50" s="10">
        <v>62</v>
      </c>
      <c r="G50" s="10">
        <v>62</v>
      </c>
      <c r="H50" s="10">
        <v>59</v>
      </c>
      <c r="I50" s="10">
        <v>60</v>
      </c>
      <c r="J50" s="10">
        <v>62</v>
      </c>
      <c r="K50" s="10">
        <v>60</v>
      </c>
      <c r="L50" s="10">
        <v>62</v>
      </c>
      <c r="M50" s="10">
        <v>60</v>
      </c>
      <c r="N50" s="10">
        <v>64</v>
      </c>
      <c r="O50" s="26">
        <f t="shared" si="0"/>
        <v>730</v>
      </c>
      <c r="P50" s="25">
        <v>10882</v>
      </c>
      <c r="Q50" s="10">
        <v>9371</v>
      </c>
      <c r="R50" s="10">
        <v>10006</v>
      </c>
      <c r="S50" s="10">
        <v>11318</v>
      </c>
      <c r="T50" s="10">
        <v>11292</v>
      </c>
      <c r="U50" s="10">
        <v>9808</v>
      </c>
      <c r="V50" s="10">
        <v>10760</v>
      </c>
      <c r="W50" s="10">
        <v>11322</v>
      </c>
      <c r="X50" s="10">
        <v>10165</v>
      </c>
      <c r="Y50" s="10">
        <v>10383</v>
      </c>
      <c r="Z50" s="10">
        <v>9483</v>
      </c>
      <c r="AA50" s="10">
        <v>10658</v>
      </c>
      <c r="AB50" s="26">
        <f t="shared" si="1"/>
        <v>125448</v>
      </c>
      <c r="AC50" s="25">
        <v>449.8</v>
      </c>
      <c r="AD50" s="10">
        <v>104</v>
      </c>
      <c r="AE50" s="10">
        <v>511.6</v>
      </c>
      <c r="AF50" s="10">
        <v>311.40000000000003</v>
      </c>
      <c r="AG50" s="10">
        <v>407</v>
      </c>
      <c r="AH50" s="10">
        <v>614.70000000000005</v>
      </c>
      <c r="AI50" s="10">
        <v>492.84999999999997</v>
      </c>
      <c r="AJ50" s="10">
        <v>650.4</v>
      </c>
      <c r="AK50" s="10">
        <v>407.9</v>
      </c>
      <c r="AL50" s="10">
        <v>922</v>
      </c>
      <c r="AM50" s="10">
        <v>1429.75</v>
      </c>
      <c r="AN50" s="10">
        <v>624</v>
      </c>
      <c r="AO50" s="26">
        <f t="shared" si="2"/>
        <v>6925.4</v>
      </c>
    </row>
    <row r="51" spans="1:41" ht="17.25" customHeight="1" x14ac:dyDescent="0.45">
      <c r="A51" s="2" t="s">
        <v>10</v>
      </c>
      <c r="B51" s="2" t="s">
        <v>35</v>
      </c>
      <c r="C51" s="23">
        <v>63</v>
      </c>
      <c r="D51" s="1">
        <v>50</v>
      </c>
      <c r="E51" s="1">
        <v>47</v>
      </c>
      <c r="F51" s="1">
        <v>58</v>
      </c>
      <c r="G51" s="1">
        <v>61</v>
      </c>
      <c r="H51" s="1">
        <v>64</v>
      </c>
      <c r="I51" s="1">
        <v>60</v>
      </c>
      <c r="J51" s="1">
        <v>60</v>
      </c>
      <c r="K51" s="1">
        <v>59</v>
      </c>
      <c r="L51" s="1">
        <v>62</v>
      </c>
      <c r="M51" s="1">
        <v>60</v>
      </c>
      <c r="N51" s="1">
        <v>62</v>
      </c>
      <c r="O51" s="24">
        <f t="shared" si="0"/>
        <v>706</v>
      </c>
      <c r="P51" s="23">
        <v>10074</v>
      </c>
      <c r="Q51" s="1">
        <v>8171</v>
      </c>
      <c r="R51" s="1">
        <v>7728</v>
      </c>
      <c r="S51" s="1">
        <v>8840</v>
      </c>
      <c r="T51" s="1">
        <v>9786</v>
      </c>
      <c r="U51" s="1">
        <v>9951</v>
      </c>
      <c r="V51" s="1">
        <v>10202</v>
      </c>
      <c r="W51" s="1">
        <v>10486</v>
      </c>
      <c r="X51" s="1">
        <v>9652</v>
      </c>
      <c r="Y51" s="1">
        <v>9971</v>
      </c>
      <c r="Z51" s="1">
        <v>9358</v>
      </c>
      <c r="AA51" s="1">
        <v>10204</v>
      </c>
      <c r="AB51" s="24">
        <f t="shared" si="1"/>
        <v>114423</v>
      </c>
      <c r="AC51" s="23">
        <v>0</v>
      </c>
      <c r="AD51" s="1">
        <v>0</v>
      </c>
      <c r="AE51" s="1">
        <v>0</v>
      </c>
      <c r="AF51" s="1">
        <v>0</v>
      </c>
      <c r="AG51" s="1">
        <v>0</v>
      </c>
      <c r="AH51" s="1">
        <v>0</v>
      </c>
      <c r="AI51" s="1">
        <v>0</v>
      </c>
      <c r="AJ51" s="1">
        <v>0</v>
      </c>
      <c r="AK51" s="1">
        <v>0</v>
      </c>
      <c r="AL51" s="1">
        <v>0</v>
      </c>
      <c r="AM51" s="1">
        <v>0</v>
      </c>
      <c r="AN51" s="1">
        <v>0</v>
      </c>
      <c r="AO51" s="24">
        <f t="shared" si="2"/>
        <v>0</v>
      </c>
    </row>
    <row r="52" spans="1:41" ht="17.25" customHeight="1" x14ac:dyDescent="0.45">
      <c r="A52" s="12" t="s">
        <v>10</v>
      </c>
      <c r="B52" s="12" t="s">
        <v>36</v>
      </c>
      <c r="C52" s="25">
        <v>31</v>
      </c>
      <c r="D52" s="10">
        <v>29</v>
      </c>
      <c r="E52" s="10">
        <v>32</v>
      </c>
      <c r="F52" s="10">
        <v>32</v>
      </c>
      <c r="G52" s="10">
        <v>34</v>
      </c>
      <c r="H52" s="10">
        <v>30</v>
      </c>
      <c r="I52" s="10">
        <v>30</v>
      </c>
      <c r="J52" s="10">
        <v>33</v>
      </c>
      <c r="K52" s="10">
        <v>35</v>
      </c>
      <c r="L52" s="10">
        <v>35</v>
      </c>
      <c r="M52" s="10">
        <v>31</v>
      </c>
      <c r="N52" s="10">
        <v>32</v>
      </c>
      <c r="O52" s="26">
        <f t="shared" si="0"/>
        <v>384</v>
      </c>
      <c r="P52" s="25">
        <v>4747</v>
      </c>
      <c r="Q52" s="10">
        <v>4411</v>
      </c>
      <c r="R52" s="10">
        <v>4731</v>
      </c>
      <c r="S52" s="10">
        <v>4607</v>
      </c>
      <c r="T52" s="10">
        <v>5028</v>
      </c>
      <c r="U52" s="10">
        <v>4665</v>
      </c>
      <c r="V52" s="10">
        <v>5013</v>
      </c>
      <c r="W52" s="10">
        <v>5630</v>
      </c>
      <c r="X52" s="10">
        <v>5574</v>
      </c>
      <c r="Y52" s="10">
        <v>5289</v>
      </c>
      <c r="Z52" s="10">
        <v>4755</v>
      </c>
      <c r="AA52" s="10">
        <v>5244</v>
      </c>
      <c r="AB52" s="26">
        <f t="shared" si="1"/>
        <v>59694</v>
      </c>
      <c r="AC52" s="25">
        <v>31.8</v>
      </c>
      <c r="AD52" s="10">
        <v>0</v>
      </c>
      <c r="AE52" s="10">
        <v>0</v>
      </c>
      <c r="AF52" s="10">
        <v>0</v>
      </c>
      <c r="AG52" s="10">
        <v>0</v>
      </c>
      <c r="AH52" s="10">
        <v>0</v>
      </c>
      <c r="AI52" s="10">
        <v>0</v>
      </c>
      <c r="AJ52" s="10">
        <v>0</v>
      </c>
      <c r="AK52" s="10">
        <v>0</v>
      </c>
      <c r="AL52" s="10">
        <v>396</v>
      </c>
      <c r="AM52" s="10">
        <v>277.39999999999998</v>
      </c>
      <c r="AN52" s="10">
        <v>38.599999999999994</v>
      </c>
      <c r="AO52" s="26">
        <f t="shared" si="2"/>
        <v>743.80000000000007</v>
      </c>
    </row>
    <row r="53" spans="1:41" ht="17.25" customHeight="1" x14ac:dyDescent="0.45">
      <c r="A53" s="2" t="s">
        <v>37</v>
      </c>
      <c r="B53" s="2" t="s">
        <v>10</v>
      </c>
      <c r="C53" s="23">
        <v>0</v>
      </c>
      <c r="D53" s="1">
        <v>0</v>
      </c>
      <c r="E53" s="1">
        <v>0</v>
      </c>
      <c r="F53" s="1">
        <v>0</v>
      </c>
      <c r="G53" s="1">
        <v>0</v>
      </c>
      <c r="H53" s="1">
        <v>0</v>
      </c>
      <c r="I53" s="1">
        <v>18</v>
      </c>
      <c r="J53" s="1">
        <v>22</v>
      </c>
      <c r="K53" s="1">
        <v>23</v>
      </c>
      <c r="L53" s="1">
        <v>22</v>
      </c>
      <c r="M53" s="1">
        <v>21</v>
      </c>
      <c r="N53" s="1">
        <v>18</v>
      </c>
      <c r="O53" s="24">
        <f t="shared" si="0"/>
        <v>124</v>
      </c>
      <c r="P53" s="23">
        <v>0</v>
      </c>
      <c r="Q53" s="1">
        <v>0</v>
      </c>
      <c r="R53" s="1">
        <v>0</v>
      </c>
      <c r="S53" s="1">
        <v>0</v>
      </c>
      <c r="T53" s="1">
        <v>0</v>
      </c>
      <c r="U53" s="1">
        <v>0</v>
      </c>
      <c r="V53" s="1">
        <v>61</v>
      </c>
      <c r="W53" s="1">
        <v>103</v>
      </c>
      <c r="X53" s="1">
        <v>79</v>
      </c>
      <c r="Y53" s="1">
        <v>111</v>
      </c>
      <c r="Z53" s="1">
        <v>96</v>
      </c>
      <c r="AA53" s="1">
        <v>84</v>
      </c>
      <c r="AB53" s="24">
        <f t="shared" si="1"/>
        <v>534</v>
      </c>
      <c r="AC53" s="23">
        <v>0</v>
      </c>
      <c r="AD53" s="1">
        <v>0</v>
      </c>
      <c r="AE53" s="1">
        <v>0</v>
      </c>
      <c r="AF53" s="1">
        <v>0</v>
      </c>
      <c r="AG53" s="1">
        <v>0</v>
      </c>
      <c r="AH53" s="1">
        <v>0</v>
      </c>
      <c r="AI53" s="1">
        <v>0</v>
      </c>
      <c r="AJ53" s="1">
        <v>0</v>
      </c>
      <c r="AK53" s="1">
        <v>0</v>
      </c>
      <c r="AL53" s="1">
        <v>0</v>
      </c>
      <c r="AM53" s="1">
        <v>0</v>
      </c>
      <c r="AN53" s="1">
        <v>0</v>
      </c>
      <c r="AO53" s="24">
        <f t="shared" si="2"/>
        <v>0</v>
      </c>
    </row>
    <row r="54" spans="1:41" ht="17.25" customHeight="1" x14ac:dyDescent="0.45">
      <c r="A54" s="12" t="s">
        <v>37</v>
      </c>
      <c r="B54" s="12" t="s">
        <v>38</v>
      </c>
      <c r="C54" s="25">
        <v>0</v>
      </c>
      <c r="D54" s="10">
        <v>0</v>
      </c>
      <c r="E54" s="10">
        <v>0</v>
      </c>
      <c r="F54" s="10">
        <v>0</v>
      </c>
      <c r="G54" s="10">
        <v>0</v>
      </c>
      <c r="H54" s="10">
        <v>0</v>
      </c>
      <c r="I54" s="10">
        <v>0</v>
      </c>
      <c r="J54" s="10">
        <v>0</v>
      </c>
      <c r="K54" s="10">
        <v>0</v>
      </c>
      <c r="L54" s="10">
        <v>0</v>
      </c>
      <c r="M54" s="10">
        <v>20</v>
      </c>
      <c r="N54" s="10">
        <v>21</v>
      </c>
      <c r="O54" s="26">
        <f t="shared" si="0"/>
        <v>41</v>
      </c>
      <c r="P54" s="25">
        <v>0</v>
      </c>
      <c r="Q54" s="10">
        <v>0</v>
      </c>
      <c r="R54" s="10">
        <v>0</v>
      </c>
      <c r="S54" s="10">
        <v>0</v>
      </c>
      <c r="T54" s="10">
        <v>0</v>
      </c>
      <c r="U54" s="10">
        <v>0</v>
      </c>
      <c r="V54" s="10">
        <v>0</v>
      </c>
      <c r="W54" s="10">
        <v>0</v>
      </c>
      <c r="X54" s="10">
        <v>0</v>
      </c>
      <c r="Y54" s="10">
        <v>0</v>
      </c>
      <c r="Z54" s="10">
        <v>23</v>
      </c>
      <c r="AA54" s="10">
        <v>32</v>
      </c>
      <c r="AB54" s="26">
        <f t="shared" si="1"/>
        <v>55</v>
      </c>
      <c r="AC54" s="25">
        <v>0</v>
      </c>
      <c r="AD54" s="10">
        <v>0</v>
      </c>
      <c r="AE54" s="10">
        <v>0</v>
      </c>
      <c r="AF54" s="10">
        <v>0</v>
      </c>
      <c r="AG54" s="10">
        <v>0</v>
      </c>
      <c r="AH54" s="10">
        <v>0</v>
      </c>
      <c r="AI54" s="10">
        <v>0</v>
      </c>
      <c r="AJ54" s="10">
        <v>0</v>
      </c>
      <c r="AK54" s="10">
        <v>0</v>
      </c>
      <c r="AL54" s="10">
        <v>0</v>
      </c>
      <c r="AM54" s="10">
        <v>0</v>
      </c>
      <c r="AN54" s="10">
        <v>0</v>
      </c>
      <c r="AO54" s="26">
        <f t="shared" si="2"/>
        <v>0</v>
      </c>
    </row>
    <row r="55" spans="1:41" ht="17.25" customHeight="1" x14ac:dyDescent="0.45">
      <c r="A55" s="2" t="s">
        <v>37</v>
      </c>
      <c r="B55" s="2" t="s">
        <v>12</v>
      </c>
      <c r="C55" s="23">
        <v>94</v>
      </c>
      <c r="D55" s="1">
        <v>87</v>
      </c>
      <c r="E55" s="1">
        <v>92</v>
      </c>
      <c r="F55" s="1">
        <v>83</v>
      </c>
      <c r="G55" s="1">
        <v>89</v>
      </c>
      <c r="H55" s="1">
        <v>88</v>
      </c>
      <c r="I55" s="1">
        <v>89</v>
      </c>
      <c r="J55" s="1">
        <v>89</v>
      </c>
      <c r="K55" s="1">
        <v>90</v>
      </c>
      <c r="L55" s="1">
        <v>88</v>
      </c>
      <c r="M55" s="1">
        <v>85</v>
      </c>
      <c r="N55" s="1">
        <v>87</v>
      </c>
      <c r="O55" s="24">
        <f t="shared" si="0"/>
        <v>1061</v>
      </c>
      <c r="P55" s="23">
        <v>15281</v>
      </c>
      <c r="Q55" s="1">
        <v>13890</v>
      </c>
      <c r="R55" s="1">
        <v>14824</v>
      </c>
      <c r="S55" s="1">
        <v>13442</v>
      </c>
      <c r="T55" s="1">
        <v>14676</v>
      </c>
      <c r="U55" s="1">
        <v>13750</v>
      </c>
      <c r="V55" s="1">
        <v>13626</v>
      </c>
      <c r="W55" s="1">
        <v>14577</v>
      </c>
      <c r="X55" s="1">
        <v>13601</v>
      </c>
      <c r="Y55" s="1">
        <v>13074</v>
      </c>
      <c r="Z55" s="1">
        <v>12538</v>
      </c>
      <c r="AA55" s="1">
        <v>13551</v>
      </c>
      <c r="AB55" s="24">
        <f t="shared" si="1"/>
        <v>166830</v>
      </c>
      <c r="AC55" s="23">
        <v>10387.349999999999</v>
      </c>
      <c r="AD55" s="1">
        <v>252.20000000000002</v>
      </c>
      <c r="AE55" s="1">
        <v>0</v>
      </c>
      <c r="AF55" s="1">
        <v>33</v>
      </c>
      <c r="AG55" s="1">
        <v>0</v>
      </c>
      <c r="AH55" s="1">
        <v>40</v>
      </c>
      <c r="AI55" s="1">
        <v>0</v>
      </c>
      <c r="AJ55" s="1">
        <v>5</v>
      </c>
      <c r="AK55" s="1">
        <v>0</v>
      </c>
      <c r="AL55" s="1">
        <v>0</v>
      </c>
      <c r="AM55" s="1">
        <v>0</v>
      </c>
      <c r="AN55" s="1">
        <v>0</v>
      </c>
      <c r="AO55" s="24">
        <f t="shared" si="2"/>
        <v>10717.55</v>
      </c>
    </row>
    <row r="56" spans="1:41" ht="17.25" customHeight="1" x14ac:dyDescent="0.45">
      <c r="A56" s="12" t="s">
        <v>37</v>
      </c>
      <c r="B56" s="12" t="s">
        <v>14</v>
      </c>
      <c r="C56" s="25">
        <v>9</v>
      </c>
      <c r="D56" s="10">
        <v>24</v>
      </c>
      <c r="E56" s="10">
        <v>27</v>
      </c>
      <c r="F56" s="10">
        <v>35</v>
      </c>
      <c r="G56" s="10">
        <v>35</v>
      </c>
      <c r="H56" s="10">
        <v>35</v>
      </c>
      <c r="I56" s="10">
        <v>32</v>
      </c>
      <c r="J56" s="10">
        <v>35</v>
      </c>
      <c r="K56" s="10">
        <v>47</v>
      </c>
      <c r="L56" s="10">
        <v>42</v>
      </c>
      <c r="M56" s="10">
        <v>40</v>
      </c>
      <c r="N56" s="10">
        <v>40</v>
      </c>
      <c r="O56" s="26">
        <f t="shared" si="0"/>
        <v>401</v>
      </c>
      <c r="P56" s="25">
        <v>723</v>
      </c>
      <c r="Q56" s="10">
        <v>1327</v>
      </c>
      <c r="R56" s="10">
        <v>2250</v>
      </c>
      <c r="S56" s="10">
        <v>4348</v>
      </c>
      <c r="T56" s="10">
        <v>4470</v>
      </c>
      <c r="U56" s="10">
        <v>4081</v>
      </c>
      <c r="V56" s="10">
        <v>4219</v>
      </c>
      <c r="W56" s="10">
        <v>4724</v>
      </c>
      <c r="X56" s="10">
        <v>5344</v>
      </c>
      <c r="Y56" s="10">
        <v>4781</v>
      </c>
      <c r="Z56" s="10">
        <v>3860</v>
      </c>
      <c r="AA56" s="10">
        <v>5261</v>
      </c>
      <c r="AB56" s="26">
        <f t="shared" si="1"/>
        <v>45388</v>
      </c>
      <c r="AC56" s="25">
        <v>0</v>
      </c>
      <c r="AD56" s="10">
        <v>0</v>
      </c>
      <c r="AE56" s="10">
        <v>0</v>
      </c>
      <c r="AF56" s="10">
        <v>0</v>
      </c>
      <c r="AG56" s="10">
        <v>0</v>
      </c>
      <c r="AH56" s="10">
        <v>0</v>
      </c>
      <c r="AI56" s="10">
        <v>0</v>
      </c>
      <c r="AJ56" s="10">
        <v>0</v>
      </c>
      <c r="AK56" s="10">
        <v>0</v>
      </c>
      <c r="AL56" s="10">
        <v>0</v>
      </c>
      <c r="AM56" s="10">
        <v>0</v>
      </c>
      <c r="AN56" s="10">
        <v>0</v>
      </c>
      <c r="AO56" s="26">
        <f t="shared" si="2"/>
        <v>0</v>
      </c>
    </row>
    <row r="57" spans="1:41" ht="17.25" customHeight="1" x14ac:dyDescent="0.45">
      <c r="A57" s="2" t="s">
        <v>19</v>
      </c>
      <c r="B57" s="2" t="s">
        <v>10</v>
      </c>
      <c r="C57" s="23">
        <v>36</v>
      </c>
      <c r="D57" s="1">
        <v>29</v>
      </c>
      <c r="E57" s="1">
        <v>31</v>
      </c>
      <c r="F57" s="1">
        <v>30</v>
      </c>
      <c r="G57" s="1">
        <v>31</v>
      </c>
      <c r="H57" s="1">
        <v>30</v>
      </c>
      <c r="I57" s="1">
        <v>30</v>
      </c>
      <c r="J57" s="1">
        <v>31</v>
      </c>
      <c r="K57" s="1">
        <v>29</v>
      </c>
      <c r="L57" s="1">
        <v>31</v>
      </c>
      <c r="M57" s="1">
        <v>30</v>
      </c>
      <c r="N57" s="1">
        <v>31</v>
      </c>
      <c r="O57" s="24">
        <f t="shared" si="0"/>
        <v>369</v>
      </c>
      <c r="P57" s="23">
        <v>5842</v>
      </c>
      <c r="Q57" s="1">
        <v>4567</v>
      </c>
      <c r="R57" s="1">
        <v>5581</v>
      </c>
      <c r="S57" s="1">
        <v>4586</v>
      </c>
      <c r="T57" s="1">
        <v>5128</v>
      </c>
      <c r="U57" s="1">
        <v>6248</v>
      </c>
      <c r="V57" s="1">
        <v>5158</v>
      </c>
      <c r="W57" s="1">
        <v>5379</v>
      </c>
      <c r="X57" s="1">
        <v>5022</v>
      </c>
      <c r="Y57" s="1">
        <v>6939</v>
      </c>
      <c r="Z57" s="1">
        <v>4887</v>
      </c>
      <c r="AA57" s="1">
        <v>4489</v>
      </c>
      <c r="AB57" s="24">
        <f t="shared" si="1"/>
        <v>63826</v>
      </c>
      <c r="AC57" s="23">
        <v>168.10000000000002</v>
      </c>
      <c r="AD57" s="1">
        <v>195.2</v>
      </c>
      <c r="AE57" s="1">
        <v>246.5</v>
      </c>
      <c r="AF57" s="1">
        <v>81.099999999999994</v>
      </c>
      <c r="AG57" s="1">
        <v>331.7</v>
      </c>
      <c r="AH57" s="1">
        <v>732</v>
      </c>
      <c r="AI57" s="1">
        <v>937.00000000000011</v>
      </c>
      <c r="AJ57" s="1">
        <v>516.20000000000005</v>
      </c>
      <c r="AK57" s="1">
        <v>490.70000000000005</v>
      </c>
      <c r="AL57" s="1">
        <v>592.4</v>
      </c>
      <c r="AM57" s="1">
        <v>306.7</v>
      </c>
      <c r="AN57" s="1">
        <v>423.4</v>
      </c>
      <c r="AO57" s="24">
        <f t="shared" si="2"/>
        <v>5020.9999999999991</v>
      </c>
    </row>
    <row r="58" spans="1:41" ht="17.25" customHeight="1" x14ac:dyDescent="0.45">
      <c r="A58" s="12" t="s">
        <v>19</v>
      </c>
      <c r="B58" s="12" t="s">
        <v>21</v>
      </c>
      <c r="C58" s="25">
        <v>15</v>
      </c>
      <c r="D58" s="10">
        <v>16</v>
      </c>
      <c r="E58" s="10">
        <v>12</v>
      </c>
      <c r="F58" s="10">
        <v>17</v>
      </c>
      <c r="G58" s="10">
        <v>16</v>
      </c>
      <c r="H58" s="10">
        <v>15</v>
      </c>
      <c r="I58" s="10">
        <v>14</v>
      </c>
      <c r="J58" s="10">
        <v>13</v>
      </c>
      <c r="K58" s="10">
        <v>8</v>
      </c>
      <c r="L58" s="10">
        <v>8</v>
      </c>
      <c r="M58" s="10">
        <v>17</v>
      </c>
      <c r="N58" s="10">
        <v>30</v>
      </c>
      <c r="O58" s="26">
        <f t="shared" si="0"/>
        <v>181</v>
      </c>
      <c r="P58" s="25">
        <v>460</v>
      </c>
      <c r="Q58" s="10">
        <v>478</v>
      </c>
      <c r="R58" s="10">
        <v>388</v>
      </c>
      <c r="S58" s="10">
        <v>504</v>
      </c>
      <c r="T58" s="10">
        <v>456</v>
      </c>
      <c r="U58" s="10">
        <v>421</v>
      </c>
      <c r="V58" s="10">
        <v>422</v>
      </c>
      <c r="W58" s="10">
        <v>440</v>
      </c>
      <c r="X58" s="10">
        <v>226</v>
      </c>
      <c r="Y58" s="10">
        <v>231</v>
      </c>
      <c r="Z58" s="10">
        <v>362</v>
      </c>
      <c r="AA58" s="10">
        <v>600</v>
      </c>
      <c r="AB58" s="26">
        <f t="shared" si="1"/>
        <v>4988</v>
      </c>
      <c r="AC58" s="25">
        <v>0</v>
      </c>
      <c r="AD58" s="10">
        <v>0</v>
      </c>
      <c r="AE58" s="10">
        <v>0</v>
      </c>
      <c r="AF58" s="10">
        <v>0</v>
      </c>
      <c r="AG58" s="10">
        <v>0</v>
      </c>
      <c r="AH58" s="10">
        <v>0</v>
      </c>
      <c r="AI58" s="10">
        <v>0</v>
      </c>
      <c r="AJ58" s="10">
        <v>0</v>
      </c>
      <c r="AK58" s="10">
        <v>0</v>
      </c>
      <c r="AL58" s="10">
        <v>0</v>
      </c>
      <c r="AM58" s="10">
        <v>0</v>
      </c>
      <c r="AN58" s="10">
        <v>0</v>
      </c>
      <c r="AO58" s="26">
        <f t="shared" si="2"/>
        <v>0</v>
      </c>
    </row>
    <row r="59" spans="1:41" ht="17.25" customHeight="1" x14ac:dyDescent="0.45">
      <c r="A59" s="2" t="s">
        <v>19</v>
      </c>
      <c r="B59" s="2" t="s">
        <v>22</v>
      </c>
      <c r="C59" s="23">
        <v>0</v>
      </c>
      <c r="D59" s="1">
        <v>0</v>
      </c>
      <c r="E59" s="1">
        <v>0</v>
      </c>
      <c r="F59" s="1">
        <v>0</v>
      </c>
      <c r="G59" s="1">
        <v>0</v>
      </c>
      <c r="H59" s="1">
        <v>0</v>
      </c>
      <c r="I59" s="1">
        <v>0</v>
      </c>
      <c r="J59" s="1">
        <v>0</v>
      </c>
      <c r="K59" s="1">
        <v>0</v>
      </c>
      <c r="L59" s="1">
        <v>0</v>
      </c>
      <c r="M59" s="1">
        <v>29</v>
      </c>
      <c r="N59" s="1">
        <v>31</v>
      </c>
      <c r="O59" s="24">
        <f t="shared" si="0"/>
        <v>60</v>
      </c>
      <c r="P59" s="23">
        <v>0</v>
      </c>
      <c r="Q59" s="1">
        <v>0</v>
      </c>
      <c r="R59" s="1">
        <v>0</v>
      </c>
      <c r="S59" s="1">
        <v>0</v>
      </c>
      <c r="T59" s="1">
        <v>0</v>
      </c>
      <c r="U59" s="1">
        <v>0</v>
      </c>
      <c r="V59" s="1">
        <v>0</v>
      </c>
      <c r="W59" s="1">
        <v>0</v>
      </c>
      <c r="X59" s="1">
        <v>0</v>
      </c>
      <c r="Y59" s="1">
        <v>0</v>
      </c>
      <c r="Z59" s="1">
        <v>929</v>
      </c>
      <c r="AA59" s="1">
        <v>893</v>
      </c>
      <c r="AB59" s="24">
        <f t="shared" si="1"/>
        <v>1822</v>
      </c>
      <c r="AC59" s="23">
        <v>0</v>
      </c>
      <c r="AD59" s="1">
        <v>0</v>
      </c>
      <c r="AE59" s="1">
        <v>0</v>
      </c>
      <c r="AF59" s="1">
        <v>0</v>
      </c>
      <c r="AG59" s="1">
        <v>0</v>
      </c>
      <c r="AH59" s="1">
        <v>0</v>
      </c>
      <c r="AI59" s="1">
        <v>0</v>
      </c>
      <c r="AJ59" s="1">
        <v>0</v>
      </c>
      <c r="AK59" s="1">
        <v>0</v>
      </c>
      <c r="AL59" s="1">
        <v>0</v>
      </c>
      <c r="AM59" s="1">
        <v>0</v>
      </c>
      <c r="AN59" s="1">
        <v>0</v>
      </c>
      <c r="AO59" s="24">
        <f t="shared" si="2"/>
        <v>0</v>
      </c>
    </row>
    <row r="60" spans="1:41" ht="17.25" customHeight="1" x14ac:dyDescent="0.45">
      <c r="A60" s="12" t="s">
        <v>19</v>
      </c>
      <c r="B60" s="12" t="s">
        <v>11</v>
      </c>
      <c r="C60" s="25">
        <v>71</v>
      </c>
      <c r="D60" s="10">
        <v>67</v>
      </c>
      <c r="E60" s="10">
        <v>70</v>
      </c>
      <c r="F60" s="10">
        <v>60</v>
      </c>
      <c r="G60" s="10">
        <v>62</v>
      </c>
      <c r="H60" s="10">
        <v>66</v>
      </c>
      <c r="I60" s="10">
        <v>70</v>
      </c>
      <c r="J60" s="10">
        <v>66</v>
      </c>
      <c r="K60" s="10">
        <v>60</v>
      </c>
      <c r="L60" s="10">
        <v>62</v>
      </c>
      <c r="M60" s="10">
        <v>60</v>
      </c>
      <c r="N60" s="10">
        <v>63</v>
      </c>
      <c r="O60" s="26">
        <f t="shared" si="0"/>
        <v>777</v>
      </c>
      <c r="P60" s="25">
        <v>10201</v>
      </c>
      <c r="Q60" s="10">
        <v>9231</v>
      </c>
      <c r="R60" s="10">
        <v>9951</v>
      </c>
      <c r="S60" s="10">
        <v>9825</v>
      </c>
      <c r="T60" s="10">
        <v>10365</v>
      </c>
      <c r="U60" s="10">
        <v>10894</v>
      </c>
      <c r="V60" s="10">
        <v>12639</v>
      </c>
      <c r="W60" s="10">
        <v>11504</v>
      </c>
      <c r="X60" s="10">
        <v>10968</v>
      </c>
      <c r="Y60" s="10">
        <v>12840</v>
      </c>
      <c r="Z60" s="10">
        <v>10097</v>
      </c>
      <c r="AA60" s="10">
        <v>10018</v>
      </c>
      <c r="AB60" s="26">
        <f t="shared" si="1"/>
        <v>128533</v>
      </c>
      <c r="AC60" s="25">
        <v>1383.9</v>
      </c>
      <c r="AD60" s="10">
        <v>1085.24</v>
      </c>
      <c r="AE60" s="10">
        <v>1509.68</v>
      </c>
      <c r="AF60" s="10">
        <v>1295.9000000000001</v>
      </c>
      <c r="AG60" s="10">
        <v>1559.7</v>
      </c>
      <c r="AH60" s="10">
        <v>2133.3999999999996</v>
      </c>
      <c r="AI60" s="10">
        <v>1448.3999999999999</v>
      </c>
      <c r="AJ60" s="10">
        <v>1157.2</v>
      </c>
      <c r="AK60" s="10">
        <v>2482.15</v>
      </c>
      <c r="AL60" s="10">
        <v>2072.3000000000002</v>
      </c>
      <c r="AM60" s="10">
        <v>1496.1000000000001</v>
      </c>
      <c r="AN60" s="10">
        <v>2117.8000000000002</v>
      </c>
      <c r="AO60" s="26">
        <f t="shared" si="2"/>
        <v>19741.769999999997</v>
      </c>
    </row>
    <row r="61" spans="1:41" ht="17.25" customHeight="1" x14ac:dyDescent="0.45">
      <c r="A61" s="2" t="s">
        <v>19</v>
      </c>
      <c r="B61" s="2" t="s">
        <v>38</v>
      </c>
      <c r="C61" s="23">
        <v>13</v>
      </c>
      <c r="D61" s="1">
        <v>12</v>
      </c>
      <c r="E61" s="1">
        <v>9</v>
      </c>
      <c r="F61" s="1">
        <v>14</v>
      </c>
      <c r="G61" s="1">
        <v>15</v>
      </c>
      <c r="H61" s="1">
        <v>12</v>
      </c>
      <c r="I61" s="1">
        <v>16</v>
      </c>
      <c r="J61" s="1">
        <v>14</v>
      </c>
      <c r="K61" s="1">
        <v>10</v>
      </c>
      <c r="L61" s="1">
        <v>7</v>
      </c>
      <c r="M61" s="1">
        <v>18</v>
      </c>
      <c r="N61" s="1">
        <v>30</v>
      </c>
      <c r="O61" s="24">
        <f t="shared" si="0"/>
        <v>170</v>
      </c>
      <c r="P61" s="23">
        <v>332</v>
      </c>
      <c r="Q61" s="1">
        <v>261</v>
      </c>
      <c r="R61" s="1">
        <v>261</v>
      </c>
      <c r="S61" s="1">
        <v>371</v>
      </c>
      <c r="T61" s="1">
        <v>427</v>
      </c>
      <c r="U61" s="1">
        <v>320</v>
      </c>
      <c r="V61" s="1">
        <v>416</v>
      </c>
      <c r="W61" s="1">
        <v>419</v>
      </c>
      <c r="X61" s="1">
        <v>341</v>
      </c>
      <c r="Y61" s="1">
        <v>235</v>
      </c>
      <c r="Z61" s="1">
        <v>497</v>
      </c>
      <c r="AA61" s="1">
        <v>689</v>
      </c>
      <c r="AB61" s="24">
        <f t="shared" si="1"/>
        <v>4569</v>
      </c>
      <c r="AC61" s="23">
        <v>0</v>
      </c>
      <c r="AD61" s="1">
        <v>0</v>
      </c>
      <c r="AE61" s="1">
        <v>0</v>
      </c>
      <c r="AF61" s="1">
        <v>0</v>
      </c>
      <c r="AG61" s="1">
        <v>0</v>
      </c>
      <c r="AH61" s="1">
        <v>0</v>
      </c>
      <c r="AI61" s="1">
        <v>0</v>
      </c>
      <c r="AJ61" s="1">
        <v>0</v>
      </c>
      <c r="AK61" s="1">
        <v>0</v>
      </c>
      <c r="AL61" s="1">
        <v>0</v>
      </c>
      <c r="AM61" s="1">
        <v>0</v>
      </c>
      <c r="AN61" s="1">
        <v>0</v>
      </c>
      <c r="AO61" s="24">
        <f t="shared" si="2"/>
        <v>0</v>
      </c>
    </row>
    <row r="62" spans="1:41" ht="17.25" customHeight="1" x14ac:dyDescent="0.45">
      <c r="A62" s="12" t="s">
        <v>19</v>
      </c>
      <c r="B62" s="12" t="s">
        <v>40</v>
      </c>
      <c r="C62" s="25">
        <v>9</v>
      </c>
      <c r="D62" s="10">
        <v>8</v>
      </c>
      <c r="E62" s="10">
        <v>9</v>
      </c>
      <c r="F62" s="10">
        <v>9</v>
      </c>
      <c r="G62" s="10">
        <v>9</v>
      </c>
      <c r="H62" s="10">
        <v>8</v>
      </c>
      <c r="I62" s="10">
        <v>9</v>
      </c>
      <c r="J62" s="10">
        <v>9</v>
      </c>
      <c r="K62" s="10">
        <v>9</v>
      </c>
      <c r="L62" s="10">
        <v>8</v>
      </c>
      <c r="M62" s="10">
        <v>9</v>
      </c>
      <c r="N62" s="10">
        <v>9</v>
      </c>
      <c r="O62" s="26">
        <f t="shared" si="0"/>
        <v>105</v>
      </c>
      <c r="P62" s="25">
        <v>1085</v>
      </c>
      <c r="Q62" s="10">
        <v>1018</v>
      </c>
      <c r="R62" s="10">
        <v>1233</v>
      </c>
      <c r="S62" s="10">
        <v>1335</v>
      </c>
      <c r="T62" s="10">
        <v>1493</v>
      </c>
      <c r="U62" s="10">
        <v>1388</v>
      </c>
      <c r="V62" s="10">
        <v>1553</v>
      </c>
      <c r="W62" s="10">
        <v>1546</v>
      </c>
      <c r="X62" s="10">
        <v>1665</v>
      </c>
      <c r="Y62" s="10">
        <v>1255</v>
      </c>
      <c r="Z62" s="10">
        <v>1340</v>
      </c>
      <c r="AA62" s="10">
        <v>1436</v>
      </c>
      <c r="AB62" s="26">
        <f t="shared" si="1"/>
        <v>16347</v>
      </c>
      <c r="AC62" s="25">
        <v>0</v>
      </c>
      <c r="AD62" s="10">
        <v>0</v>
      </c>
      <c r="AE62" s="10">
        <v>0</v>
      </c>
      <c r="AF62" s="10">
        <v>0</v>
      </c>
      <c r="AG62" s="10">
        <v>0</v>
      </c>
      <c r="AH62" s="10">
        <v>0</v>
      </c>
      <c r="AI62" s="10">
        <v>0</v>
      </c>
      <c r="AJ62" s="10">
        <v>0</v>
      </c>
      <c r="AK62" s="10">
        <v>0</v>
      </c>
      <c r="AL62" s="10">
        <v>0</v>
      </c>
      <c r="AM62" s="10">
        <v>0</v>
      </c>
      <c r="AN62" s="10">
        <v>0</v>
      </c>
      <c r="AO62" s="26">
        <f t="shared" si="2"/>
        <v>0</v>
      </c>
    </row>
    <row r="63" spans="1:41" ht="17.25" customHeight="1" x14ac:dyDescent="0.45">
      <c r="A63" s="2" t="s">
        <v>19</v>
      </c>
      <c r="B63" s="2" t="s">
        <v>24</v>
      </c>
      <c r="C63" s="23">
        <v>14</v>
      </c>
      <c r="D63" s="1">
        <v>12</v>
      </c>
      <c r="E63" s="1">
        <v>13</v>
      </c>
      <c r="F63" s="1">
        <v>0</v>
      </c>
      <c r="G63" s="1">
        <v>0</v>
      </c>
      <c r="H63" s="1">
        <v>0</v>
      </c>
      <c r="I63" s="1">
        <v>0</v>
      </c>
      <c r="J63" s="1">
        <v>0</v>
      </c>
      <c r="K63" s="1">
        <v>0</v>
      </c>
      <c r="L63" s="1">
        <v>0</v>
      </c>
      <c r="M63" s="1">
        <v>0</v>
      </c>
      <c r="N63" s="1">
        <v>0</v>
      </c>
      <c r="O63" s="24">
        <f t="shared" si="0"/>
        <v>39</v>
      </c>
      <c r="P63" s="23">
        <v>2176</v>
      </c>
      <c r="Q63" s="1">
        <v>1945</v>
      </c>
      <c r="R63" s="1">
        <v>2192</v>
      </c>
      <c r="S63" s="1">
        <v>0</v>
      </c>
      <c r="T63" s="1">
        <v>0</v>
      </c>
      <c r="U63" s="1">
        <v>0</v>
      </c>
      <c r="V63" s="1">
        <v>0</v>
      </c>
      <c r="W63" s="1">
        <v>0</v>
      </c>
      <c r="X63" s="1">
        <v>0</v>
      </c>
      <c r="Y63" s="1">
        <v>0</v>
      </c>
      <c r="Z63" s="1">
        <v>0</v>
      </c>
      <c r="AA63" s="1">
        <v>0</v>
      </c>
      <c r="AB63" s="24">
        <f t="shared" si="1"/>
        <v>6313</v>
      </c>
      <c r="AC63" s="23">
        <v>17</v>
      </c>
      <c r="AD63" s="1">
        <v>17.100000000000001</v>
      </c>
      <c r="AE63" s="1">
        <v>112.1</v>
      </c>
      <c r="AF63" s="1">
        <v>0</v>
      </c>
      <c r="AG63" s="1">
        <v>0</v>
      </c>
      <c r="AH63" s="1">
        <v>0</v>
      </c>
      <c r="AI63" s="1">
        <v>0</v>
      </c>
      <c r="AJ63" s="1">
        <v>0</v>
      </c>
      <c r="AK63" s="1">
        <v>0</v>
      </c>
      <c r="AL63" s="1">
        <v>0</v>
      </c>
      <c r="AM63" s="1">
        <v>0</v>
      </c>
      <c r="AN63" s="1">
        <v>0</v>
      </c>
      <c r="AO63" s="24">
        <f t="shared" si="2"/>
        <v>146.19999999999999</v>
      </c>
    </row>
    <row r="64" spans="1:41" ht="17.25" customHeight="1" x14ac:dyDescent="0.45">
      <c r="A64" s="12" t="s">
        <v>19</v>
      </c>
      <c r="B64" s="12" t="s">
        <v>12</v>
      </c>
      <c r="C64" s="25">
        <v>192</v>
      </c>
      <c r="D64" s="10">
        <v>196</v>
      </c>
      <c r="E64" s="10">
        <v>207</v>
      </c>
      <c r="F64" s="10">
        <v>216</v>
      </c>
      <c r="G64" s="10">
        <v>234</v>
      </c>
      <c r="H64" s="10">
        <v>209</v>
      </c>
      <c r="I64" s="10">
        <v>211</v>
      </c>
      <c r="J64" s="10">
        <v>206</v>
      </c>
      <c r="K64" s="10">
        <v>198</v>
      </c>
      <c r="L64" s="10">
        <v>205</v>
      </c>
      <c r="M64" s="10">
        <v>195</v>
      </c>
      <c r="N64" s="10">
        <v>191</v>
      </c>
      <c r="O64" s="26">
        <f t="shared" si="0"/>
        <v>2460</v>
      </c>
      <c r="P64" s="25">
        <v>28567</v>
      </c>
      <c r="Q64" s="10">
        <v>27430</v>
      </c>
      <c r="R64" s="10">
        <v>31748</v>
      </c>
      <c r="S64" s="10">
        <v>30335</v>
      </c>
      <c r="T64" s="10">
        <v>34378</v>
      </c>
      <c r="U64" s="10">
        <v>30207</v>
      </c>
      <c r="V64" s="10">
        <v>33831</v>
      </c>
      <c r="W64" s="10">
        <v>31772</v>
      </c>
      <c r="X64" s="10">
        <v>30804</v>
      </c>
      <c r="Y64" s="10">
        <v>31760</v>
      </c>
      <c r="Z64" s="10">
        <v>30377</v>
      </c>
      <c r="AA64" s="10">
        <v>30606</v>
      </c>
      <c r="AB64" s="26">
        <f t="shared" si="1"/>
        <v>371815</v>
      </c>
      <c r="AC64" s="25">
        <v>21861.87</v>
      </c>
      <c r="AD64" s="10">
        <v>22540</v>
      </c>
      <c r="AE64" s="10">
        <v>23524.78</v>
      </c>
      <c r="AF64" s="10">
        <v>25060.799999999999</v>
      </c>
      <c r="AG64" s="10">
        <v>28188.7</v>
      </c>
      <c r="AH64" s="10">
        <v>23366.1</v>
      </c>
      <c r="AI64" s="10">
        <v>24959</v>
      </c>
      <c r="AJ64" s="10">
        <v>25437.100000000002</v>
      </c>
      <c r="AK64" s="10">
        <v>23433.200000000004</v>
      </c>
      <c r="AL64" s="10">
        <v>30780.1</v>
      </c>
      <c r="AM64" s="10">
        <v>30198.199999999997</v>
      </c>
      <c r="AN64" s="10">
        <v>28399.899999999998</v>
      </c>
      <c r="AO64" s="26">
        <f t="shared" si="2"/>
        <v>307749.75000000006</v>
      </c>
    </row>
    <row r="65" spans="1:41" ht="17.25" customHeight="1" x14ac:dyDescent="0.45">
      <c r="A65" s="2" t="s">
        <v>19</v>
      </c>
      <c r="B65" s="2" t="s">
        <v>13</v>
      </c>
      <c r="C65" s="23">
        <v>54</v>
      </c>
      <c r="D65" s="1">
        <v>50</v>
      </c>
      <c r="E65" s="1">
        <v>62</v>
      </c>
      <c r="F65" s="1">
        <v>59</v>
      </c>
      <c r="G65" s="1">
        <v>62</v>
      </c>
      <c r="H65" s="1">
        <v>58</v>
      </c>
      <c r="I65" s="1">
        <v>61</v>
      </c>
      <c r="J65" s="1">
        <v>62</v>
      </c>
      <c r="K65" s="1">
        <v>59</v>
      </c>
      <c r="L65" s="1">
        <v>62</v>
      </c>
      <c r="M65" s="1">
        <v>60</v>
      </c>
      <c r="N65" s="1">
        <v>61</v>
      </c>
      <c r="O65" s="24">
        <f t="shared" si="0"/>
        <v>710</v>
      </c>
      <c r="P65" s="23">
        <v>9057</v>
      </c>
      <c r="Q65" s="1">
        <v>9093</v>
      </c>
      <c r="R65" s="1">
        <v>11100</v>
      </c>
      <c r="S65" s="1">
        <v>8735</v>
      </c>
      <c r="T65" s="1">
        <v>10151</v>
      </c>
      <c r="U65" s="1">
        <v>9128</v>
      </c>
      <c r="V65" s="1">
        <v>10852</v>
      </c>
      <c r="W65" s="1">
        <v>11171</v>
      </c>
      <c r="X65" s="1">
        <v>10594</v>
      </c>
      <c r="Y65" s="1">
        <v>12016</v>
      </c>
      <c r="Z65" s="1">
        <v>10899</v>
      </c>
      <c r="AA65" s="1">
        <v>9459</v>
      </c>
      <c r="AB65" s="24">
        <f t="shared" si="1"/>
        <v>122255</v>
      </c>
      <c r="AC65" s="23">
        <v>131</v>
      </c>
      <c r="AD65" s="1">
        <v>318.79999999999995</v>
      </c>
      <c r="AE65" s="1">
        <v>298.10000000000002</v>
      </c>
      <c r="AF65" s="1">
        <v>164.8</v>
      </c>
      <c r="AG65" s="1">
        <v>500.5</v>
      </c>
      <c r="AH65" s="1">
        <v>331</v>
      </c>
      <c r="AI65" s="1">
        <v>777.2</v>
      </c>
      <c r="AJ65" s="1">
        <v>252.9</v>
      </c>
      <c r="AK65" s="1">
        <v>35.400000000000006</v>
      </c>
      <c r="AL65" s="1">
        <v>118</v>
      </c>
      <c r="AM65" s="1">
        <v>210</v>
      </c>
      <c r="AN65" s="1">
        <v>287.5</v>
      </c>
      <c r="AO65" s="24">
        <f t="shared" si="2"/>
        <v>3425.2000000000003</v>
      </c>
    </row>
    <row r="66" spans="1:41" ht="17.25" customHeight="1" x14ac:dyDescent="0.45">
      <c r="A66" s="12" t="s">
        <v>19</v>
      </c>
      <c r="B66" s="12" t="s">
        <v>27</v>
      </c>
      <c r="C66" s="25">
        <v>16</v>
      </c>
      <c r="D66" s="10">
        <v>13</v>
      </c>
      <c r="E66" s="10">
        <v>3</v>
      </c>
      <c r="F66" s="10">
        <v>9</v>
      </c>
      <c r="G66" s="10">
        <v>18</v>
      </c>
      <c r="H66" s="10">
        <v>16</v>
      </c>
      <c r="I66" s="10">
        <v>18</v>
      </c>
      <c r="J66" s="10">
        <v>18</v>
      </c>
      <c r="K66" s="10">
        <v>15</v>
      </c>
      <c r="L66" s="10">
        <v>18</v>
      </c>
      <c r="M66" s="10">
        <v>16</v>
      </c>
      <c r="N66" s="10">
        <v>16</v>
      </c>
      <c r="O66" s="26">
        <f t="shared" si="0"/>
        <v>176</v>
      </c>
      <c r="P66" s="25">
        <v>0</v>
      </c>
      <c r="Q66" s="10">
        <v>0</v>
      </c>
      <c r="R66" s="10">
        <v>0</v>
      </c>
      <c r="S66" s="10">
        <v>0</v>
      </c>
      <c r="T66" s="10">
        <v>0</v>
      </c>
      <c r="U66" s="10">
        <v>0</v>
      </c>
      <c r="V66" s="10">
        <v>0</v>
      </c>
      <c r="W66" s="10">
        <v>0</v>
      </c>
      <c r="X66" s="10">
        <v>0</v>
      </c>
      <c r="Y66" s="10">
        <v>0</v>
      </c>
      <c r="Z66" s="10">
        <v>0</v>
      </c>
      <c r="AA66" s="10">
        <v>0</v>
      </c>
      <c r="AB66" s="26">
        <f t="shared" si="1"/>
        <v>0</v>
      </c>
      <c r="AC66" s="25">
        <v>68780</v>
      </c>
      <c r="AD66" s="10">
        <v>60394</v>
      </c>
      <c r="AE66" s="10">
        <v>14516</v>
      </c>
      <c r="AF66" s="10">
        <v>38165</v>
      </c>
      <c r="AG66" s="10">
        <v>75585</v>
      </c>
      <c r="AH66" s="10">
        <v>54744</v>
      </c>
      <c r="AI66" s="10">
        <v>63339</v>
      </c>
      <c r="AJ66" s="10">
        <v>52891</v>
      </c>
      <c r="AK66" s="10">
        <v>51924</v>
      </c>
      <c r="AL66" s="10">
        <v>65848</v>
      </c>
      <c r="AM66" s="10">
        <v>54810</v>
      </c>
      <c r="AN66" s="10">
        <v>61942</v>
      </c>
      <c r="AO66" s="26">
        <f t="shared" si="2"/>
        <v>662938</v>
      </c>
    </row>
    <row r="67" spans="1:41" ht="17.25" customHeight="1" x14ac:dyDescent="0.45">
      <c r="A67" s="2" t="s">
        <v>19</v>
      </c>
      <c r="B67" s="2" t="s">
        <v>30</v>
      </c>
      <c r="C67" s="23">
        <v>1</v>
      </c>
      <c r="D67" s="1">
        <v>1</v>
      </c>
      <c r="E67" s="1">
        <v>2</v>
      </c>
      <c r="F67" s="1">
        <v>1</v>
      </c>
      <c r="G67" s="1">
        <v>2</v>
      </c>
      <c r="H67" s="1">
        <v>2</v>
      </c>
      <c r="I67" s="1">
        <v>0</v>
      </c>
      <c r="J67" s="1">
        <v>1</v>
      </c>
      <c r="K67" s="1">
        <v>0</v>
      </c>
      <c r="L67" s="1">
        <v>0</v>
      </c>
      <c r="M67" s="1">
        <v>0</v>
      </c>
      <c r="N67" s="1">
        <v>0</v>
      </c>
      <c r="O67" s="24">
        <f t="shared" si="0"/>
        <v>10</v>
      </c>
      <c r="P67" s="23">
        <v>0</v>
      </c>
      <c r="Q67" s="1">
        <v>0</v>
      </c>
      <c r="R67" s="1">
        <v>0</v>
      </c>
      <c r="S67" s="1">
        <v>0</v>
      </c>
      <c r="T67" s="1">
        <v>0</v>
      </c>
      <c r="U67" s="1">
        <v>0</v>
      </c>
      <c r="V67" s="1">
        <v>0</v>
      </c>
      <c r="W67" s="1">
        <v>0</v>
      </c>
      <c r="X67" s="1">
        <v>0</v>
      </c>
      <c r="Y67" s="1">
        <v>0</v>
      </c>
      <c r="Z67" s="1">
        <v>0</v>
      </c>
      <c r="AA67" s="1">
        <v>0</v>
      </c>
      <c r="AB67" s="24">
        <f t="shared" si="1"/>
        <v>0</v>
      </c>
      <c r="AC67" s="23">
        <v>3669</v>
      </c>
      <c r="AD67" s="1">
        <v>101</v>
      </c>
      <c r="AE67" s="1">
        <v>202</v>
      </c>
      <c r="AF67" s="1">
        <v>101</v>
      </c>
      <c r="AG67" s="1">
        <v>202</v>
      </c>
      <c r="AH67" s="1">
        <v>202</v>
      </c>
      <c r="AI67" s="1">
        <v>0</v>
      </c>
      <c r="AJ67" s="1">
        <v>3537</v>
      </c>
      <c r="AK67" s="1">
        <v>0</v>
      </c>
      <c r="AL67" s="1">
        <v>0</v>
      </c>
      <c r="AM67" s="1">
        <v>0</v>
      </c>
      <c r="AN67" s="1">
        <v>0</v>
      </c>
      <c r="AO67" s="24">
        <f t="shared" si="2"/>
        <v>8014</v>
      </c>
    </row>
    <row r="68" spans="1:41" ht="17.25" customHeight="1" x14ac:dyDescent="0.45">
      <c r="A68" s="12" t="s">
        <v>19</v>
      </c>
      <c r="B68" s="12" t="s">
        <v>14</v>
      </c>
      <c r="C68" s="25">
        <v>11</v>
      </c>
      <c r="D68" s="10">
        <v>14</v>
      </c>
      <c r="E68" s="10">
        <v>24</v>
      </c>
      <c r="F68" s="10">
        <v>38</v>
      </c>
      <c r="G68" s="10">
        <v>31</v>
      </c>
      <c r="H68" s="10">
        <v>28</v>
      </c>
      <c r="I68" s="10">
        <v>31</v>
      </c>
      <c r="J68" s="10">
        <v>31</v>
      </c>
      <c r="K68" s="10">
        <v>30</v>
      </c>
      <c r="L68" s="10">
        <v>31</v>
      </c>
      <c r="M68" s="10">
        <v>29</v>
      </c>
      <c r="N68" s="10">
        <v>31</v>
      </c>
      <c r="O68" s="26">
        <f t="shared" si="0"/>
        <v>329</v>
      </c>
      <c r="P68" s="25">
        <v>839</v>
      </c>
      <c r="Q68" s="10">
        <v>937</v>
      </c>
      <c r="R68" s="10">
        <v>1400</v>
      </c>
      <c r="S68" s="10">
        <v>3892</v>
      </c>
      <c r="T68" s="10">
        <v>3556</v>
      </c>
      <c r="U68" s="10">
        <v>3312</v>
      </c>
      <c r="V68" s="10">
        <v>4968</v>
      </c>
      <c r="W68" s="10">
        <v>5099</v>
      </c>
      <c r="X68" s="10">
        <v>4880</v>
      </c>
      <c r="Y68" s="10">
        <v>5083</v>
      </c>
      <c r="Z68" s="10">
        <v>3903</v>
      </c>
      <c r="AA68" s="10">
        <v>4105</v>
      </c>
      <c r="AB68" s="26">
        <f t="shared" si="1"/>
        <v>41974</v>
      </c>
      <c r="AC68" s="25">
        <v>0</v>
      </c>
      <c r="AD68" s="10">
        <v>8536</v>
      </c>
      <c r="AE68" s="10">
        <v>43800</v>
      </c>
      <c r="AF68" s="10">
        <v>31277</v>
      </c>
      <c r="AG68" s="10">
        <v>0</v>
      </c>
      <c r="AH68" s="10">
        <v>0</v>
      </c>
      <c r="AI68" s="10">
        <v>0</v>
      </c>
      <c r="AJ68" s="10">
        <v>0</v>
      </c>
      <c r="AK68" s="10">
        <v>0</v>
      </c>
      <c r="AL68" s="10">
        <v>0</v>
      </c>
      <c r="AM68" s="10">
        <v>0</v>
      </c>
      <c r="AN68" s="10">
        <v>0</v>
      </c>
      <c r="AO68" s="26">
        <f t="shared" si="2"/>
        <v>83613</v>
      </c>
    </row>
    <row r="69" spans="1:41" ht="17.25" customHeight="1" x14ac:dyDescent="0.45">
      <c r="A69" s="2" t="s">
        <v>19</v>
      </c>
      <c r="B69" s="2" t="s">
        <v>15</v>
      </c>
      <c r="C69" s="23">
        <v>40</v>
      </c>
      <c r="D69" s="1">
        <v>33</v>
      </c>
      <c r="E69" s="1">
        <v>35</v>
      </c>
      <c r="F69" s="1">
        <v>33</v>
      </c>
      <c r="G69" s="1">
        <v>36</v>
      </c>
      <c r="H69" s="1">
        <v>33</v>
      </c>
      <c r="I69" s="1">
        <v>36</v>
      </c>
      <c r="J69" s="1">
        <v>35</v>
      </c>
      <c r="K69" s="1">
        <v>29</v>
      </c>
      <c r="L69" s="1">
        <v>35</v>
      </c>
      <c r="M69" s="1">
        <v>29</v>
      </c>
      <c r="N69" s="1">
        <v>37</v>
      </c>
      <c r="O69" s="24">
        <f t="shared" si="0"/>
        <v>411</v>
      </c>
      <c r="P69" s="23">
        <v>6506</v>
      </c>
      <c r="Q69" s="1">
        <v>4791</v>
      </c>
      <c r="R69" s="1">
        <v>6166</v>
      </c>
      <c r="S69" s="1">
        <v>5568</v>
      </c>
      <c r="T69" s="1">
        <v>5890</v>
      </c>
      <c r="U69" s="1">
        <v>4743</v>
      </c>
      <c r="V69" s="1">
        <v>6677</v>
      </c>
      <c r="W69" s="1">
        <v>6181</v>
      </c>
      <c r="X69" s="1">
        <v>5201</v>
      </c>
      <c r="Y69" s="1">
        <v>6522</v>
      </c>
      <c r="Z69" s="1">
        <v>5291</v>
      </c>
      <c r="AA69" s="1">
        <v>5274</v>
      </c>
      <c r="AB69" s="24">
        <f t="shared" si="1"/>
        <v>68810</v>
      </c>
      <c r="AC69" s="23">
        <v>358.55</v>
      </c>
      <c r="AD69" s="1">
        <v>718.50000000000011</v>
      </c>
      <c r="AE69" s="1">
        <v>1876.6</v>
      </c>
      <c r="AF69" s="1">
        <v>837.9</v>
      </c>
      <c r="AG69" s="1">
        <v>905</v>
      </c>
      <c r="AH69" s="1">
        <v>254</v>
      </c>
      <c r="AI69" s="1">
        <v>403</v>
      </c>
      <c r="AJ69" s="1">
        <v>140</v>
      </c>
      <c r="AK69" s="1">
        <v>19</v>
      </c>
      <c r="AL69" s="1">
        <v>2713</v>
      </c>
      <c r="AM69" s="1">
        <v>224.6</v>
      </c>
      <c r="AN69" s="1">
        <v>14402.1</v>
      </c>
      <c r="AO69" s="24">
        <f t="shared" si="2"/>
        <v>22852.25</v>
      </c>
    </row>
    <row r="70" spans="1:41" ht="17.25" customHeight="1" x14ac:dyDescent="0.45">
      <c r="A70" s="12" t="s">
        <v>41</v>
      </c>
      <c r="B70" s="12" t="s">
        <v>12</v>
      </c>
      <c r="C70" s="25">
        <v>52</v>
      </c>
      <c r="D70" s="10">
        <v>58</v>
      </c>
      <c r="E70" s="10">
        <v>60</v>
      </c>
      <c r="F70" s="10">
        <v>60</v>
      </c>
      <c r="G70" s="10">
        <v>62</v>
      </c>
      <c r="H70" s="10">
        <v>60</v>
      </c>
      <c r="I70" s="10">
        <v>61</v>
      </c>
      <c r="J70" s="10">
        <v>62</v>
      </c>
      <c r="K70" s="10">
        <v>55</v>
      </c>
      <c r="L70" s="10">
        <v>57</v>
      </c>
      <c r="M70" s="10">
        <v>55</v>
      </c>
      <c r="N70" s="10">
        <v>55</v>
      </c>
      <c r="O70" s="26">
        <f t="shared" si="0"/>
        <v>697</v>
      </c>
      <c r="P70" s="25">
        <v>6555</v>
      </c>
      <c r="Q70" s="10">
        <v>7106</v>
      </c>
      <c r="R70" s="10">
        <v>7408</v>
      </c>
      <c r="S70" s="10">
        <v>6864</v>
      </c>
      <c r="T70" s="10">
        <v>7927</v>
      </c>
      <c r="U70" s="10">
        <v>7103</v>
      </c>
      <c r="V70" s="10">
        <v>7319</v>
      </c>
      <c r="W70" s="10">
        <v>7387</v>
      </c>
      <c r="X70" s="10">
        <v>6791</v>
      </c>
      <c r="Y70" s="10">
        <v>7334</v>
      </c>
      <c r="Z70" s="10">
        <v>7446</v>
      </c>
      <c r="AA70" s="10">
        <v>8019</v>
      </c>
      <c r="AB70" s="26">
        <f t="shared" si="1"/>
        <v>87259</v>
      </c>
      <c r="AC70" s="25">
        <v>12653</v>
      </c>
      <c r="AD70" s="10">
        <v>10673</v>
      </c>
      <c r="AE70" s="10">
        <v>9894</v>
      </c>
      <c r="AF70" s="10">
        <v>12122</v>
      </c>
      <c r="AG70" s="10">
        <v>12656</v>
      </c>
      <c r="AH70" s="10">
        <v>8559</v>
      </c>
      <c r="AI70" s="10">
        <v>10976</v>
      </c>
      <c r="AJ70" s="10">
        <v>11226</v>
      </c>
      <c r="AK70" s="10">
        <v>11023</v>
      </c>
      <c r="AL70" s="10">
        <v>11734</v>
      </c>
      <c r="AM70" s="10">
        <v>22882</v>
      </c>
      <c r="AN70" s="10">
        <v>28151</v>
      </c>
      <c r="AO70" s="26">
        <f t="shared" si="2"/>
        <v>162549</v>
      </c>
    </row>
    <row r="71" spans="1:41" ht="17.25" customHeight="1" x14ac:dyDescent="0.45">
      <c r="A71" s="2" t="s">
        <v>41</v>
      </c>
      <c r="B71" s="2" t="s">
        <v>31</v>
      </c>
      <c r="C71" s="23">
        <v>2</v>
      </c>
      <c r="D71" s="1">
        <v>0</v>
      </c>
      <c r="E71" s="1">
        <v>0</v>
      </c>
      <c r="F71" s="1">
        <v>0</v>
      </c>
      <c r="G71" s="1">
        <v>0</v>
      </c>
      <c r="H71" s="1">
        <v>0</v>
      </c>
      <c r="I71" s="1">
        <v>0</v>
      </c>
      <c r="J71" s="1">
        <v>0</v>
      </c>
      <c r="K71" s="1">
        <v>0</v>
      </c>
      <c r="L71" s="1">
        <v>0</v>
      </c>
      <c r="M71" s="1">
        <v>0</v>
      </c>
      <c r="N71" s="1">
        <v>0</v>
      </c>
      <c r="O71" s="24">
        <f t="shared" si="0"/>
        <v>2</v>
      </c>
      <c r="P71" s="23">
        <v>53</v>
      </c>
      <c r="Q71" s="1">
        <v>0</v>
      </c>
      <c r="R71" s="1">
        <v>0</v>
      </c>
      <c r="S71" s="1">
        <v>0</v>
      </c>
      <c r="T71" s="1">
        <v>0</v>
      </c>
      <c r="U71" s="1">
        <v>0</v>
      </c>
      <c r="V71" s="1">
        <v>0</v>
      </c>
      <c r="W71" s="1">
        <v>0</v>
      </c>
      <c r="X71" s="1">
        <v>0</v>
      </c>
      <c r="Y71" s="1">
        <v>0</v>
      </c>
      <c r="Z71" s="1">
        <v>0</v>
      </c>
      <c r="AA71" s="1">
        <v>0</v>
      </c>
      <c r="AB71" s="24">
        <f t="shared" si="1"/>
        <v>53</v>
      </c>
      <c r="AC71" s="23">
        <v>0</v>
      </c>
      <c r="AD71" s="1">
        <v>0</v>
      </c>
      <c r="AE71" s="1">
        <v>0</v>
      </c>
      <c r="AF71" s="1">
        <v>0</v>
      </c>
      <c r="AG71" s="1">
        <v>0</v>
      </c>
      <c r="AH71" s="1">
        <v>0</v>
      </c>
      <c r="AI71" s="1">
        <v>0</v>
      </c>
      <c r="AJ71" s="1">
        <v>0</v>
      </c>
      <c r="AK71" s="1">
        <v>0</v>
      </c>
      <c r="AL71" s="1">
        <v>0</v>
      </c>
      <c r="AM71" s="1">
        <v>0</v>
      </c>
      <c r="AN71" s="1">
        <v>0</v>
      </c>
      <c r="AO71" s="24">
        <f t="shared" si="2"/>
        <v>0</v>
      </c>
    </row>
    <row r="72" spans="1:41" ht="17.25" customHeight="1" x14ac:dyDescent="0.45">
      <c r="A72" s="12" t="s">
        <v>20</v>
      </c>
      <c r="B72" s="12" t="s">
        <v>10</v>
      </c>
      <c r="C72" s="25">
        <v>61</v>
      </c>
      <c r="D72" s="10">
        <v>58</v>
      </c>
      <c r="E72" s="10">
        <v>62</v>
      </c>
      <c r="F72" s="10">
        <v>60</v>
      </c>
      <c r="G72" s="10">
        <v>62</v>
      </c>
      <c r="H72" s="10">
        <v>59</v>
      </c>
      <c r="I72" s="10">
        <v>60</v>
      </c>
      <c r="J72" s="10">
        <v>62</v>
      </c>
      <c r="K72" s="10">
        <v>58</v>
      </c>
      <c r="L72" s="10">
        <v>62</v>
      </c>
      <c r="M72" s="10">
        <v>60</v>
      </c>
      <c r="N72" s="10">
        <v>62</v>
      </c>
      <c r="O72" s="26">
        <f t="shared" ref="O72:O135" si="3">SUM(C72:N72)</f>
        <v>726</v>
      </c>
      <c r="P72" s="25">
        <v>7115</v>
      </c>
      <c r="Q72" s="10">
        <v>6760</v>
      </c>
      <c r="R72" s="10">
        <v>8968</v>
      </c>
      <c r="S72" s="10">
        <v>7010</v>
      </c>
      <c r="T72" s="10">
        <v>8849</v>
      </c>
      <c r="U72" s="10">
        <v>9398</v>
      </c>
      <c r="V72" s="10">
        <v>10705</v>
      </c>
      <c r="W72" s="10">
        <v>10147</v>
      </c>
      <c r="X72" s="10">
        <v>9204</v>
      </c>
      <c r="Y72" s="10">
        <v>10120</v>
      </c>
      <c r="Z72" s="10">
        <v>8690</v>
      </c>
      <c r="AA72" s="10">
        <v>9634</v>
      </c>
      <c r="AB72" s="26">
        <f t="shared" ref="AB72:AB135" si="4">SUM(P72:AA72)</f>
        <v>106600</v>
      </c>
      <c r="AC72" s="25">
        <v>162.25</v>
      </c>
      <c r="AD72" s="10">
        <v>53</v>
      </c>
      <c r="AE72" s="10">
        <v>107.1</v>
      </c>
      <c r="AF72" s="10">
        <v>232.5</v>
      </c>
      <c r="AG72" s="10">
        <v>141.19999999999999</v>
      </c>
      <c r="AH72" s="10">
        <v>247.04999999999998</v>
      </c>
      <c r="AI72" s="10">
        <v>205.05</v>
      </c>
      <c r="AJ72" s="10">
        <v>278.2</v>
      </c>
      <c r="AK72" s="10">
        <v>337.70000000000005</v>
      </c>
      <c r="AL72" s="10">
        <v>591.6</v>
      </c>
      <c r="AM72" s="10">
        <v>142.30000000000001</v>
      </c>
      <c r="AN72" s="10">
        <v>117.80000000000001</v>
      </c>
      <c r="AO72" s="26">
        <f t="shared" ref="AO72:AO135" si="5">SUM(AC72:AN72)</f>
        <v>2615.7500000000005</v>
      </c>
    </row>
    <row r="73" spans="1:41" ht="17.25" customHeight="1" x14ac:dyDescent="0.45">
      <c r="A73" s="2" t="s">
        <v>20</v>
      </c>
      <c r="B73" s="2" t="s">
        <v>21</v>
      </c>
      <c r="C73" s="23">
        <v>0</v>
      </c>
      <c r="D73" s="1">
        <v>0</v>
      </c>
      <c r="E73" s="1">
        <v>0</v>
      </c>
      <c r="F73" s="1">
        <v>0</v>
      </c>
      <c r="G73" s="1">
        <v>1</v>
      </c>
      <c r="H73" s="1">
        <v>0</v>
      </c>
      <c r="I73" s="1">
        <v>0</v>
      </c>
      <c r="J73" s="1">
        <v>0</v>
      </c>
      <c r="K73" s="1">
        <v>0</v>
      </c>
      <c r="L73" s="1">
        <v>0</v>
      </c>
      <c r="M73" s="1">
        <v>0</v>
      </c>
      <c r="N73" s="1">
        <v>0</v>
      </c>
      <c r="O73" s="24">
        <f t="shared" si="3"/>
        <v>1</v>
      </c>
      <c r="P73" s="23">
        <v>0</v>
      </c>
      <c r="Q73" s="1">
        <v>0</v>
      </c>
      <c r="R73" s="1">
        <v>0</v>
      </c>
      <c r="S73" s="1">
        <v>0</v>
      </c>
      <c r="T73" s="1">
        <v>32</v>
      </c>
      <c r="U73" s="1">
        <v>0</v>
      </c>
      <c r="V73" s="1">
        <v>0</v>
      </c>
      <c r="W73" s="1">
        <v>0</v>
      </c>
      <c r="X73" s="1">
        <v>0</v>
      </c>
      <c r="Y73" s="1">
        <v>0</v>
      </c>
      <c r="Z73" s="1">
        <v>0</v>
      </c>
      <c r="AA73" s="1">
        <v>0</v>
      </c>
      <c r="AB73" s="24">
        <f t="shared" si="4"/>
        <v>32</v>
      </c>
      <c r="AC73" s="23">
        <v>0</v>
      </c>
      <c r="AD73" s="1">
        <v>0</v>
      </c>
      <c r="AE73" s="1">
        <v>0</v>
      </c>
      <c r="AF73" s="1">
        <v>0</v>
      </c>
      <c r="AG73" s="1">
        <v>0</v>
      </c>
      <c r="AH73" s="1">
        <v>0</v>
      </c>
      <c r="AI73" s="1">
        <v>0</v>
      </c>
      <c r="AJ73" s="1">
        <v>0</v>
      </c>
      <c r="AK73" s="1">
        <v>0</v>
      </c>
      <c r="AL73" s="1">
        <v>0</v>
      </c>
      <c r="AM73" s="1">
        <v>0</v>
      </c>
      <c r="AN73" s="1">
        <v>0</v>
      </c>
      <c r="AO73" s="24">
        <f t="shared" si="5"/>
        <v>0</v>
      </c>
    </row>
    <row r="74" spans="1:41" ht="17.25" customHeight="1" x14ac:dyDescent="0.45">
      <c r="A74" s="12" t="s">
        <v>20</v>
      </c>
      <c r="B74" s="12" t="s">
        <v>22</v>
      </c>
      <c r="C74" s="25">
        <v>23</v>
      </c>
      <c r="D74" s="10">
        <v>21</v>
      </c>
      <c r="E74" s="10">
        <v>28</v>
      </c>
      <c r="F74" s="10">
        <v>30</v>
      </c>
      <c r="G74" s="10">
        <v>31</v>
      </c>
      <c r="H74" s="10">
        <v>27</v>
      </c>
      <c r="I74" s="10">
        <v>31</v>
      </c>
      <c r="J74" s="10">
        <v>31</v>
      </c>
      <c r="K74" s="10">
        <v>30</v>
      </c>
      <c r="L74" s="10">
        <v>31</v>
      </c>
      <c r="M74" s="10">
        <v>30</v>
      </c>
      <c r="N74" s="10">
        <v>31</v>
      </c>
      <c r="O74" s="26">
        <f t="shared" si="3"/>
        <v>344</v>
      </c>
      <c r="P74" s="25">
        <v>3307</v>
      </c>
      <c r="Q74" s="10">
        <v>3167</v>
      </c>
      <c r="R74" s="10">
        <v>4327</v>
      </c>
      <c r="S74" s="10">
        <v>4448</v>
      </c>
      <c r="T74" s="10">
        <v>4789</v>
      </c>
      <c r="U74" s="10">
        <v>4368</v>
      </c>
      <c r="V74" s="10">
        <v>5324</v>
      </c>
      <c r="W74" s="10">
        <v>4658</v>
      </c>
      <c r="X74" s="10">
        <v>4773</v>
      </c>
      <c r="Y74" s="10">
        <v>4660</v>
      </c>
      <c r="Z74" s="10">
        <v>4611</v>
      </c>
      <c r="AA74" s="10">
        <v>5116</v>
      </c>
      <c r="AB74" s="26">
        <f t="shared" si="4"/>
        <v>53548</v>
      </c>
      <c r="AC74" s="25">
        <v>0</v>
      </c>
      <c r="AD74" s="10">
        <v>0</v>
      </c>
      <c r="AE74" s="10">
        <v>0</v>
      </c>
      <c r="AF74" s="10">
        <v>0</v>
      </c>
      <c r="AG74" s="10">
        <v>0</v>
      </c>
      <c r="AH74" s="10">
        <v>0</v>
      </c>
      <c r="AI74" s="10">
        <v>0</v>
      </c>
      <c r="AJ74" s="10">
        <v>0</v>
      </c>
      <c r="AK74" s="10">
        <v>0</v>
      </c>
      <c r="AL74" s="10">
        <v>0</v>
      </c>
      <c r="AM74" s="10">
        <v>0</v>
      </c>
      <c r="AN74" s="10">
        <v>0</v>
      </c>
      <c r="AO74" s="26">
        <f t="shared" si="5"/>
        <v>0</v>
      </c>
    </row>
    <row r="75" spans="1:41" ht="17.25" customHeight="1" x14ac:dyDescent="0.45">
      <c r="A75" s="2" t="s">
        <v>20</v>
      </c>
      <c r="B75" s="2" t="s">
        <v>42</v>
      </c>
      <c r="C75" s="23">
        <v>8</v>
      </c>
      <c r="D75" s="1">
        <v>7</v>
      </c>
      <c r="E75" s="1">
        <v>4</v>
      </c>
      <c r="F75" s="1">
        <v>7</v>
      </c>
      <c r="G75" s="1">
        <v>5</v>
      </c>
      <c r="H75" s="1">
        <v>4</v>
      </c>
      <c r="I75" s="1">
        <v>7</v>
      </c>
      <c r="J75" s="1">
        <v>7</v>
      </c>
      <c r="K75" s="1">
        <v>3</v>
      </c>
      <c r="L75" s="1">
        <v>5</v>
      </c>
      <c r="M75" s="1">
        <v>13</v>
      </c>
      <c r="N75" s="1">
        <v>18</v>
      </c>
      <c r="O75" s="24">
        <f t="shared" si="3"/>
        <v>88</v>
      </c>
      <c r="P75" s="23">
        <v>114</v>
      </c>
      <c r="Q75" s="1">
        <v>115</v>
      </c>
      <c r="R75" s="1">
        <v>86</v>
      </c>
      <c r="S75" s="1">
        <v>102</v>
      </c>
      <c r="T75" s="1">
        <v>71</v>
      </c>
      <c r="U75" s="1">
        <v>125</v>
      </c>
      <c r="V75" s="1">
        <v>221</v>
      </c>
      <c r="W75" s="1">
        <v>133</v>
      </c>
      <c r="X75" s="1">
        <v>71</v>
      </c>
      <c r="Y75" s="1">
        <v>98</v>
      </c>
      <c r="Z75" s="1">
        <v>147</v>
      </c>
      <c r="AA75" s="1">
        <v>356</v>
      </c>
      <c r="AB75" s="24">
        <f t="shared" si="4"/>
        <v>1639</v>
      </c>
      <c r="AC75" s="23">
        <v>0</v>
      </c>
      <c r="AD75" s="1">
        <v>0</v>
      </c>
      <c r="AE75" s="1">
        <v>0</v>
      </c>
      <c r="AF75" s="1">
        <v>0</v>
      </c>
      <c r="AG75" s="1">
        <v>0</v>
      </c>
      <c r="AH75" s="1">
        <v>0</v>
      </c>
      <c r="AI75" s="1">
        <v>0</v>
      </c>
      <c r="AJ75" s="1">
        <v>0</v>
      </c>
      <c r="AK75" s="1">
        <v>0</v>
      </c>
      <c r="AL75" s="1">
        <v>0</v>
      </c>
      <c r="AM75" s="1">
        <v>0</v>
      </c>
      <c r="AN75" s="1">
        <v>0</v>
      </c>
      <c r="AO75" s="24">
        <f t="shared" si="5"/>
        <v>0</v>
      </c>
    </row>
    <row r="76" spans="1:41" ht="17.25" customHeight="1" x14ac:dyDescent="0.45">
      <c r="A76" s="12" t="s">
        <v>20</v>
      </c>
      <c r="B76" s="12" t="s">
        <v>11</v>
      </c>
      <c r="C76" s="25">
        <v>85</v>
      </c>
      <c r="D76" s="10">
        <v>75</v>
      </c>
      <c r="E76" s="10">
        <v>79</v>
      </c>
      <c r="F76" s="10">
        <v>109</v>
      </c>
      <c r="G76" s="10">
        <v>105</v>
      </c>
      <c r="H76" s="10">
        <v>101</v>
      </c>
      <c r="I76" s="10">
        <v>103</v>
      </c>
      <c r="J76" s="10">
        <v>104</v>
      </c>
      <c r="K76" s="10">
        <v>90</v>
      </c>
      <c r="L76" s="10">
        <v>103</v>
      </c>
      <c r="M76" s="10">
        <v>89</v>
      </c>
      <c r="N76" s="10">
        <v>103</v>
      </c>
      <c r="O76" s="26">
        <f t="shared" si="3"/>
        <v>1146</v>
      </c>
      <c r="P76" s="25">
        <v>11889</v>
      </c>
      <c r="Q76" s="10">
        <v>11556</v>
      </c>
      <c r="R76" s="10">
        <v>13074</v>
      </c>
      <c r="S76" s="10">
        <v>14439</v>
      </c>
      <c r="T76" s="10">
        <v>16106</v>
      </c>
      <c r="U76" s="10">
        <v>17038</v>
      </c>
      <c r="V76" s="10">
        <v>16862</v>
      </c>
      <c r="W76" s="10">
        <v>15755</v>
      </c>
      <c r="X76" s="10">
        <v>14392</v>
      </c>
      <c r="Y76" s="10">
        <v>16417</v>
      </c>
      <c r="Z76" s="10">
        <v>13902</v>
      </c>
      <c r="AA76" s="10">
        <v>16828</v>
      </c>
      <c r="AB76" s="26">
        <f t="shared" si="4"/>
        <v>178258</v>
      </c>
      <c r="AC76" s="25">
        <v>1602.2</v>
      </c>
      <c r="AD76" s="10">
        <v>857.44999999999993</v>
      </c>
      <c r="AE76" s="10">
        <v>1572.9499999999998</v>
      </c>
      <c r="AF76" s="10">
        <v>1261.1999999999998</v>
      </c>
      <c r="AG76" s="10">
        <v>830.69999999999993</v>
      </c>
      <c r="AH76" s="10">
        <v>671.55000000000007</v>
      </c>
      <c r="AI76" s="10">
        <v>668.50000000000011</v>
      </c>
      <c r="AJ76" s="10">
        <v>1586.2999999999995</v>
      </c>
      <c r="AK76" s="10">
        <v>854</v>
      </c>
      <c r="AL76" s="10">
        <v>923</v>
      </c>
      <c r="AM76" s="10">
        <v>765.55</v>
      </c>
      <c r="AN76" s="10">
        <v>690.1</v>
      </c>
      <c r="AO76" s="26">
        <f t="shared" si="5"/>
        <v>12283.499999999998</v>
      </c>
    </row>
    <row r="77" spans="1:41" ht="17.25" customHeight="1" x14ac:dyDescent="0.45">
      <c r="A77" s="2" t="s">
        <v>20</v>
      </c>
      <c r="B77" s="2" t="s">
        <v>38</v>
      </c>
      <c r="C77" s="23">
        <v>9</v>
      </c>
      <c r="D77" s="1">
        <v>8</v>
      </c>
      <c r="E77" s="1">
        <v>10</v>
      </c>
      <c r="F77" s="1">
        <v>10</v>
      </c>
      <c r="G77" s="1">
        <v>6</v>
      </c>
      <c r="H77" s="1">
        <v>7</v>
      </c>
      <c r="I77" s="1">
        <v>4</v>
      </c>
      <c r="J77" s="1">
        <v>10</v>
      </c>
      <c r="K77" s="1">
        <v>10</v>
      </c>
      <c r="L77" s="1">
        <v>12</v>
      </c>
      <c r="M77" s="1">
        <v>15</v>
      </c>
      <c r="N77" s="1">
        <v>16</v>
      </c>
      <c r="O77" s="24">
        <f t="shared" si="3"/>
        <v>117</v>
      </c>
      <c r="P77" s="23">
        <v>222</v>
      </c>
      <c r="Q77" s="1">
        <v>210</v>
      </c>
      <c r="R77" s="1">
        <v>260</v>
      </c>
      <c r="S77" s="1">
        <v>261</v>
      </c>
      <c r="T77" s="1">
        <v>168</v>
      </c>
      <c r="U77" s="1">
        <v>244</v>
      </c>
      <c r="V77" s="1">
        <v>119</v>
      </c>
      <c r="W77" s="1">
        <v>184</v>
      </c>
      <c r="X77" s="1">
        <v>251</v>
      </c>
      <c r="Y77" s="1">
        <v>324</v>
      </c>
      <c r="Z77" s="1">
        <v>308</v>
      </c>
      <c r="AA77" s="1">
        <v>438</v>
      </c>
      <c r="AB77" s="24">
        <f t="shared" si="4"/>
        <v>2989</v>
      </c>
      <c r="AC77" s="23">
        <v>0</v>
      </c>
      <c r="AD77" s="1">
        <v>0</v>
      </c>
      <c r="AE77" s="1">
        <v>0</v>
      </c>
      <c r="AF77" s="1">
        <v>0</v>
      </c>
      <c r="AG77" s="1">
        <v>0</v>
      </c>
      <c r="AH77" s="1">
        <v>0</v>
      </c>
      <c r="AI77" s="1">
        <v>0</v>
      </c>
      <c r="AJ77" s="1">
        <v>0</v>
      </c>
      <c r="AK77" s="1">
        <v>0</v>
      </c>
      <c r="AL77" s="1">
        <v>0</v>
      </c>
      <c r="AM77" s="1">
        <v>0</v>
      </c>
      <c r="AN77" s="1">
        <v>0</v>
      </c>
      <c r="AO77" s="24">
        <f t="shared" si="5"/>
        <v>0</v>
      </c>
    </row>
    <row r="78" spans="1:41" ht="17.25" customHeight="1" x14ac:dyDescent="0.45">
      <c r="A78" s="12" t="s">
        <v>20</v>
      </c>
      <c r="B78" s="12" t="s">
        <v>40</v>
      </c>
      <c r="C78" s="25">
        <v>11</v>
      </c>
      <c r="D78" s="10">
        <v>18</v>
      </c>
      <c r="E78" s="10">
        <v>22</v>
      </c>
      <c r="F78" s="10">
        <v>22</v>
      </c>
      <c r="G78" s="10">
        <v>22</v>
      </c>
      <c r="H78" s="10">
        <v>17</v>
      </c>
      <c r="I78" s="10">
        <v>23</v>
      </c>
      <c r="J78" s="10">
        <v>21</v>
      </c>
      <c r="K78" s="10">
        <v>17</v>
      </c>
      <c r="L78" s="10">
        <v>17</v>
      </c>
      <c r="M78" s="10">
        <v>18</v>
      </c>
      <c r="N78" s="10">
        <v>17</v>
      </c>
      <c r="O78" s="26">
        <f t="shared" si="3"/>
        <v>225</v>
      </c>
      <c r="P78" s="25">
        <v>1231</v>
      </c>
      <c r="Q78" s="10">
        <v>2278</v>
      </c>
      <c r="R78" s="10">
        <v>3649</v>
      </c>
      <c r="S78" s="10">
        <v>2928</v>
      </c>
      <c r="T78" s="10">
        <v>3741</v>
      </c>
      <c r="U78" s="10">
        <v>3686</v>
      </c>
      <c r="V78" s="10">
        <v>3968</v>
      </c>
      <c r="W78" s="10">
        <v>3355</v>
      </c>
      <c r="X78" s="10">
        <v>3013</v>
      </c>
      <c r="Y78" s="10">
        <v>2983</v>
      </c>
      <c r="Z78" s="10">
        <v>2280</v>
      </c>
      <c r="AA78" s="10">
        <v>2439</v>
      </c>
      <c r="AB78" s="26">
        <f t="shared" si="4"/>
        <v>35551</v>
      </c>
      <c r="AC78" s="25">
        <v>0</v>
      </c>
      <c r="AD78" s="10">
        <v>0</v>
      </c>
      <c r="AE78" s="10">
        <v>0</v>
      </c>
      <c r="AF78" s="10">
        <v>0</v>
      </c>
      <c r="AG78" s="10">
        <v>0</v>
      </c>
      <c r="AH78" s="10">
        <v>0</v>
      </c>
      <c r="AI78" s="10">
        <v>0</v>
      </c>
      <c r="AJ78" s="10">
        <v>0</v>
      </c>
      <c r="AK78" s="10">
        <v>0</v>
      </c>
      <c r="AL78" s="10">
        <v>0</v>
      </c>
      <c r="AM78" s="10">
        <v>0</v>
      </c>
      <c r="AN78" s="10">
        <v>0</v>
      </c>
      <c r="AO78" s="26">
        <f t="shared" si="5"/>
        <v>0</v>
      </c>
    </row>
    <row r="79" spans="1:41" ht="17.25" customHeight="1" x14ac:dyDescent="0.45">
      <c r="A79" s="2" t="s">
        <v>20</v>
      </c>
      <c r="B79" s="2" t="s">
        <v>24</v>
      </c>
      <c r="C79" s="23">
        <v>9</v>
      </c>
      <c r="D79" s="1">
        <v>8</v>
      </c>
      <c r="E79" s="1">
        <v>9</v>
      </c>
      <c r="F79" s="1">
        <v>0</v>
      </c>
      <c r="G79" s="1">
        <v>0</v>
      </c>
      <c r="H79" s="1">
        <v>0</v>
      </c>
      <c r="I79" s="1">
        <v>0</v>
      </c>
      <c r="J79" s="1">
        <v>0</v>
      </c>
      <c r="K79" s="1">
        <v>0</v>
      </c>
      <c r="L79" s="1">
        <v>0</v>
      </c>
      <c r="M79" s="1">
        <v>0</v>
      </c>
      <c r="N79" s="1">
        <v>0</v>
      </c>
      <c r="O79" s="24">
        <f t="shared" si="3"/>
        <v>26</v>
      </c>
      <c r="P79" s="23">
        <v>698</v>
      </c>
      <c r="Q79" s="1">
        <v>761</v>
      </c>
      <c r="R79" s="1">
        <v>840</v>
      </c>
      <c r="S79" s="1">
        <v>0</v>
      </c>
      <c r="T79" s="1">
        <v>0</v>
      </c>
      <c r="U79" s="1">
        <v>0</v>
      </c>
      <c r="V79" s="1">
        <v>0</v>
      </c>
      <c r="W79" s="1">
        <v>0</v>
      </c>
      <c r="X79" s="1">
        <v>0</v>
      </c>
      <c r="Y79" s="1">
        <v>0</v>
      </c>
      <c r="Z79" s="1">
        <v>0</v>
      </c>
      <c r="AA79" s="1">
        <v>0</v>
      </c>
      <c r="AB79" s="24">
        <f t="shared" si="4"/>
        <v>2299</v>
      </c>
      <c r="AC79" s="23">
        <v>0</v>
      </c>
      <c r="AD79" s="1">
        <v>24.75</v>
      </c>
      <c r="AE79" s="1">
        <v>0.5</v>
      </c>
      <c r="AF79" s="1">
        <v>0</v>
      </c>
      <c r="AG79" s="1">
        <v>0</v>
      </c>
      <c r="AH79" s="1">
        <v>0</v>
      </c>
      <c r="AI79" s="1">
        <v>0</v>
      </c>
      <c r="AJ79" s="1">
        <v>0</v>
      </c>
      <c r="AK79" s="1">
        <v>0</v>
      </c>
      <c r="AL79" s="1">
        <v>0</v>
      </c>
      <c r="AM79" s="1">
        <v>0</v>
      </c>
      <c r="AN79" s="1">
        <v>0</v>
      </c>
      <c r="AO79" s="24">
        <f t="shared" si="5"/>
        <v>25.25</v>
      </c>
    </row>
    <row r="80" spans="1:41" ht="17.25" customHeight="1" x14ac:dyDescent="0.45">
      <c r="A80" s="12" t="s">
        <v>20</v>
      </c>
      <c r="B80" s="12" t="s">
        <v>12</v>
      </c>
      <c r="C80" s="25">
        <v>173</v>
      </c>
      <c r="D80" s="10">
        <v>170</v>
      </c>
      <c r="E80" s="10">
        <v>176</v>
      </c>
      <c r="F80" s="10">
        <v>200</v>
      </c>
      <c r="G80" s="10">
        <v>203</v>
      </c>
      <c r="H80" s="10">
        <v>205</v>
      </c>
      <c r="I80" s="10">
        <v>214</v>
      </c>
      <c r="J80" s="10">
        <v>213</v>
      </c>
      <c r="K80" s="10">
        <v>172</v>
      </c>
      <c r="L80" s="10">
        <v>182</v>
      </c>
      <c r="M80" s="10">
        <v>174</v>
      </c>
      <c r="N80" s="10">
        <v>177</v>
      </c>
      <c r="O80" s="26">
        <f t="shared" si="3"/>
        <v>2259</v>
      </c>
      <c r="P80" s="25">
        <v>23212</v>
      </c>
      <c r="Q80" s="10">
        <v>24437</v>
      </c>
      <c r="R80" s="10">
        <v>27534</v>
      </c>
      <c r="S80" s="10">
        <v>25489</v>
      </c>
      <c r="T80" s="10">
        <v>29206</v>
      </c>
      <c r="U80" s="10">
        <v>29980</v>
      </c>
      <c r="V80" s="10">
        <v>32482</v>
      </c>
      <c r="W80" s="10">
        <v>29439</v>
      </c>
      <c r="X80" s="10">
        <v>26040</v>
      </c>
      <c r="Y80" s="10">
        <v>27091</v>
      </c>
      <c r="Z80" s="10">
        <v>25061</v>
      </c>
      <c r="AA80" s="10">
        <v>27363</v>
      </c>
      <c r="AB80" s="26">
        <f t="shared" si="4"/>
        <v>327334</v>
      </c>
      <c r="AC80" s="25">
        <v>18377.8</v>
      </c>
      <c r="AD80" s="10">
        <v>22841.11</v>
      </c>
      <c r="AE80" s="10">
        <v>22847.58</v>
      </c>
      <c r="AF80" s="10">
        <v>31010.73</v>
      </c>
      <c r="AG80" s="10">
        <v>31078.5</v>
      </c>
      <c r="AH80" s="10">
        <v>39495.699999999997</v>
      </c>
      <c r="AI80" s="10">
        <v>48389.3</v>
      </c>
      <c r="AJ80" s="10">
        <v>30713.96</v>
      </c>
      <c r="AK80" s="10">
        <v>26584.400000000001</v>
      </c>
      <c r="AL80" s="10">
        <v>41206.5</v>
      </c>
      <c r="AM80" s="10">
        <v>33934.749999999993</v>
      </c>
      <c r="AN80" s="10">
        <v>37068.280000000006</v>
      </c>
      <c r="AO80" s="26">
        <f t="shared" si="5"/>
        <v>383548.61</v>
      </c>
    </row>
    <row r="81" spans="1:41" ht="17.25" customHeight="1" x14ac:dyDescent="0.45">
      <c r="A81" s="2" t="s">
        <v>20</v>
      </c>
      <c r="B81" s="2" t="s">
        <v>13</v>
      </c>
      <c r="C81" s="23">
        <v>56</v>
      </c>
      <c r="D81" s="1">
        <v>50</v>
      </c>
      <c r="E81" s="1">
        <v>65</v>
      </c>
      <c r="F81" s="1">
        <v>60</v>
      </c>
      <c r="G81" s="1">
        <v>65</v>
      </c>
      <c r="H81" s="1">
        <v>59</v>
      </c>
      <c r="I81" s="1">
        <v>62</v>
      </c>
      <c r="J81" s="1">
        <v>60</v>
      </c>
      <c r="K81" s="1">
        <v>60</v>
      </c>
      <c r="L81" s="1">
        <v>62</v>
      </c>
      <c r="M81" s="1">
        <v>145</v>
      </c>
      <c r="N81" s="1">
        <v>151</v>
      </c>
      <c r="O81" s="24">
        <f t="shared" si="3"/>
        <v>895</v>
      </c>
      <c r="P81" s="23">
        <v>7577</v>
      </c>
      <c r="Q81" s="1">
        <v>7754</v>
      </c>
      <c r="R81" s="1">
        <v>9670</v>
      </c>
      <c r="S81" s="1">
        <v>8252</v>
      </c>
      <c r="T81" s="1">
        <v>9801</v>
      </c>
      <c r="U81" s="1">
        <v>8852</v>
      </c>
      <c r="V81" s="1">
        <v>9556</v>
      </c>
      <c r="W81" s="1">
        <v>8739</v>
      </c>
      <c r="X81" s="1">
        <v>9419</v>
      </c>
      <c r="Y81" s="1">
        <v>10229</v>
      </c>
      <c r="Z81" s="1">
        <v>16721</v>
      </c>
      <c r="AA81" s="1">
        <v>19220</v>
      </c>
      <c r="AB81" s="24">
        <f t="shared" si="4"/>
        <v>125790</v>
      </c>
      <c r="AC81" s="23">
        <v>829.50000000000011</v>
      </c>
      <c r="AD81" s="1">
        <v>1788.6000000000001</v>
      </c>
      <c r="AE81" s="1">
        <v>2507.8999999999996</v>
      </c>
      <c r="AF81" s="1">
        <v>1963.3999999999996</v>
      </c>
      <c r="AG81" s="1">
        <v>1166.2</v>
      </c>
      <c r="AH81" s="1">
        <v>818.19999999999993</v>
      </c>
      <c r="AI81" s="1">
        <v>618.79999999999995</v>
      </c>
      <c r="AJ81" s="1">
        <v>659.59999999999991</v>
      </c>
      <c r="AK81" s="1">
        <v>854.6</v>
      </c>
      <c r="AL81" s="1">
        <v>928.30000000000018</v>
      </c>
      <c r="AM81" s="1">
        <v>862.9</v>
      </c>
      <c r="AN81" s="1">
        <v>777.90000000000009</v>
      </c>
      <c r="AO81" s="24">
        <f t="shared" si="5"/>
        <v>13775.900000000001</v>
      </c>
    </row>
    <row r="82" spans="1:41" ht="17.25" customHeight="1" x14ac:dyDescent="0.45">
      <c r="A82" s="12" t="s">
        <v>20</v>
      </c>
      <c r="B82" s="12" t="s">
        <v>17</v>
      </c>
      <c r="C82" s="25">
        <v>8</v>
      </c>
      <c r="D82" s="10">
        <v>9</v>
      </c>
      <c r="E82" s="10">
        <v>9</v>
      </c>
      <c r="F82" s="10">
        <v>8</v>
      </c>
      <c r="G82" s="10">
        <v>9</v>
      </c>
      <c r="H82" s="10">
        <v>13</v>
      </c>
      <c r="I82" s="10">
        <v>8</v>
      </c>
      <c r="J82" s="10">
        <v>9</v>
      </c>
      <c r="K82" s="10">
        <v>9</v>
      </c>
      <c r="L82" s="10">
        <v>9</v>
      </c>
      <c r="M82" s="10">
        <v>10</v>
      </c>
      <c r="N82" s="10">
        <v>9</v>
      </c>
      <c r="O82" s="26">
        <f t="shared" si="3"/>
        <v>110</v>
      </c>
      <c r="P82" s="25">
        <v>866</v>
      </c>
      <c r="Q82" s="10">
        <v>1078</v>
      </c>
      <c r="R82" s="10">
        <v>1347</v>
      </c>
      <c r="S82" s="10">
        <v>1072</v>
      </c>
      <c r="T82" s="10">
        <v>1482</v>
      </c>
      <c r="U82" s="10">
        <v>2480</v>
      </c>
      <c r="V82" s="10">
        <v>1294</v>
      </c>
      <c r="W82" s="10">
        <v>1384</v>
      </c>
      <c r="X82" s="10">
        <v>1586</v>
      </c>
      <c r="Y82" s="10">
        <v>1690</v>
      </c>
      <c r="Z82" s="10">
        <v>1341</v>
      </c>
      <c r="AA82" s="10">
        <v>1308</v>
      </c>
      <c r="AB82" s="26">
        <f t="shared" si="4"/>
        <v>16928</v>
      </c>
      <c r="AC82" s="25">
        <v>0</v>
      </c>
      <c r="AD82" s="10">
        <v>0</v>
      </c>
      <c r="AE82" s="10">
        <v>0</v>
      </c>
      <c r="AF82" s="10">
        <v>0</v>
      </c>
      <c r="AG82" s="10">
        <v>0</v>
      </c>
      <c r="AH82" s="10">
        <v>0</v>
      </c>
      <c r="AI82" s="10">
        <v>0</v>
      </c>
      <c r="AJ82" s="10">
        <v>0</v>
      </c>
      <c r="AK82" s="10">
        <v>0</v>
      </c>
      <c r="AL82" s="10">
        <v>0</v>
      </c>
      <c r="AM82" s="10">
        <v>0</v>
      </c>
      <c r="AN82" s="10">
        <v>0</v>
      </c>
      <c r="AO82" s="26">
        <f t="shared" si="5"/>
        <v>0</v>
      </c>
    </row>
    <row r="83" spans="1:41" ht="17.25" customHeight="1" x14ac:dyDescent="0.45">
      <c r="A83" s="2" t="s">
        <v>20</v>
      </c>
      <c r="B83" s="2" t="s">
        <v>28</v>
      </c>
      <c r="C83" s="23">
        <v>2</v>
      </c>
      <c r="D83" s="1">
        <v>0</v>
      </c>
      <c r="E83" s="1">
        <v>0</v>
      </c>
      <c r="F83" s="1">
        <v>0</v>
      </c>
      <c r="G83" s="1">
        <v>0</v>
      </c>
      <c r="H83" s="1">
        <v>0</v>
      </c>
      <c r="I83" s="1">
        <v>0</v>
      </c>
      <c r="J83" s="1">
        <v>0</v>
      </c>
      <c r="K83" s="1">
        <v>0</v>
      </c>
      <c r="L83" s="1">
        <v>0</v>
      </c>
      <c r="M83" s="1">
        <v>0</v>
      </c>
      <c r="N83" s="1">
        <v>0</v>
      </c>
      <c r="O83" s="24">
        <f t="shared" si="3"/>
        <v>2</v>
      </c>
      <c r="P83" s="23">
        <v>233</v>
      </c>
      <c r="Q83" s="1">
        <v>0</v>
      </c>
      <c r="R83" s="1">
        <v>0</v>
      </c>
      <c r="S83" s="1">
        <v>0</v>
      </c>
      <c r="T83" s="1">
        <v>0</v>
      </c>
      <c r="U83" s="1">
        <v>0</v>
      </c>
      <c r="V83" s="1">
        <v>0</v>
      </c>
      <c r="W83" s="1">
        <v>0</v>
      </c>
      <c r="X83" s="1">
        <v>0</v>
      </c>
      <c r="Y83" s="1">
        <v>0</v>
      </c>
      <c r="Z83" s="1">
        <v>0</v>
      </c>
      <c r="AA83" s="1">
        <v>0</v>
      </c>
      <c r="AB83" s="24">
        <f t="shared" si="4"/>
        <v>233</v>
      </c>
      <c r="AC83" s="23">
        <v>0</v>
      </c>
      <c r="AD83" s="1">
        <v>0</v>
      </c>
      <c r="AE83" s="1">
        <v>0</v>
      </c>
      <c r="AF83" s="1">
        <v>0</v>
      </c>
      <c r="AG83" s="1">
        <v>0</v>
      </c>
      <c r="AH83" s="1">
        <v>0</v>
      </c>
      <c r="AI83" s="1">
        <v>0</v>
      </c>
      <c r="AJ83" s="1">
        <v>0</v>
      </c>
      <c r="AK83" s="1">
        <v>0</v>
      </c>
      <c r="AL83" s="1">
        <v>0</v>
      </c>
      <c r="AM83" s="1">
        <v>0</v>
      </c>
      <c r="AN83" s="1">
        <v>0</v>
      </c>
      <c r="AO83" s="24">
        <f t="shared" si="5"/>
        <v>0</v>
      </c>
    </row>
    <row r="84" spans="1:41" ht="17.25" customHeight="1" x14ac:dyDescent="0.45">
      <c r="A84" s="12" t="s">
        <v>20</v>
      </c>
      <c r="B84" s="12" t="s">
        <v>48</v>
      </c>
      <c r="C84" s="25">
        <v>3</v>
      </c>
      <c r="D84" s="10">
        <v>0</v>
      </c>
      <c r="E84" s="10">
        <v>0</v>
      </c>
      <c r="F84" s="10">
        <v>0</v>
      </c>
      <c r="G84" s="10">
        <v>0</v>
      </c>
      <c r="H84" s="10">
        <v>0</v>
      </c>
      <c r="I84" s="10">
        <v>0</v>
      </c>
      <c r="J84" s="10">
        <v>0</v>
      </c>
      <c r="K84" s="10">
        <v>0</v>
      </c>
      <c r="L84" s="10">
        <v>0</v>
      </c>
      <c r="M84" s="10">
        <v>0</v>
      </c>
      <c r="N84" s="10">
        <v>0</v>
      </c>
      <c r="O84" s="26">
        <f t="shared" si="3"/>
        <v>3</v>
      </c>
      <c r="P84" s="25">
        <v>233</v>
      </c>
      <c r="Q84" s="10">
        <v>0</v>
      </c>
      <c r="R84" s="10">
        <v>0</v>
      </c>
      <c r="S84" s="10">
        <v>0</v>
      </c>
      <c r="T84" s="10">
        <v>0</v>
      </c>
      <c r="U84" s="10">
        <v>0</v>
      </c>
      <c r="V84" s="10">
        <v>0</v>
      </c>
      <c r="W84" s="10">
        <v>0</v>
      </c>
      <c r="X84" s="10">
        <v>0</v>
      </c>
      <c r="Y84" s="10">
        <v>0</v>
      </c>
      <c r="Z84" s="10">
        <v>0</v>
      </c>
      <c r="AA84" s="10">
        <v>0</v>
      </c>
      <c r="AB84" s="26">
        <f t="shared" si="4"/>
        <v>233</v>
      </c>
      <c r="AC84" s="25">
        <v>0</v>
      </c>
      <c r="AD84" s="10">
        <v>0</v>
      </c>
      <c r="AE84" s="10">
        <v>0</v>
      </c>
      <c r="AF84" s="10">
        <v>0</v>
      </c>
      <c r="AG84" s="10">
        <v>0</v>
      </c>
      <c r="AH84" s="10">
        <v>0</v>
      </c>
      <c r="AI84" s="10">
        <v>0</v>
      </c>
      <c r="AJ84" s="10">
        <v>0</v>
      </c>
      <c r="AK84" s="10">
        <v>0</v>
      </c>
      <c r="AL84" s="10">
        <v>0</v>
      </c>
      <c r="AM84" s="10">
        <v>0</v>
      </c>
      <c r="AN84" s="10">
        <v>0</v>
      </c>
      <c r="AO84" s="26">
        <f t="shared" si="5"/>
        <v>0</v>
      </c>
    </row>
    <row r="85" spans="1:41" ht="17.25" customHeight="1" x14ac:dyDescent="0.45">
      <c r="A85" s="2" t="s">
        <v>20</v>
      </c>
      <c r="B85" s="2" t="s">
        <v>14</v>
      </c>
      <c r="C85" s="23">
        <v>28</v>
      </c>
      <c r="D85" s="1">
        <v>28</v>
      </c>
      <c r="E85" s="1">
        <v>36</v>
      </c>
      <c r="F85" s="1">
        <v>39</v>
      </c>
      <c r="G85" s="1">
        <v>40</v>
      </c>
      <c r="H85" s="1">
        <v>37</v>
      </c>
      <c r="I85" s="1">
        <v>40</v>
      </c>
      <c r="J85" s="1">
        <v>40</v>
      </c>
      <c r="K85" s="1">
        <v>39</v>
      </c>
      <c r="L85" s="1">
        <v>40</v>
      </c>
      <c r="M85" s="1">
        <v>38</v>
      </c>
      <c r="N85" s="1">
        <v>30</v>
      </c>
      <c r="O85" s="24">
        <f t="shared" si="3"/>
        <v>435</v>
      </c>
      <c r="P85" s="23">
        <v>2769</v>
      </c>
      <c r="Q85" s="1">
        <v>2920</v>
      </c>
      <c r="R85" s="1">
        <v>4287</v>
      </c>
      <c r="S85" s="1">
        <v>4462</v>
      </c>
      <c r="T85" s="1">
        <v>5288</v>
      </c>
      <c r="U85" s="1">
        <v>5413</v>
      </c>
      <c r="V85" s="1">
        <v>6063</v>
      </c>
      <c r="W85" s="1">
        <v>4762</v>
      </c>
      <c r="X85" s="1">
        <v>4998</v>
      </c>
      <c r="Y85" s="1">
        <v>5594</v>
      </c>
      <c r="Z85" s="1">
        <v>5120</v>
      </c>
      <c r="AA85" s="1">
        <v>4309</v>
      </c>
      <c r="AB85" s="24">
        <f t="shared" si="4"/>
        <v>55985</v>
      </c>
      <c r="AC85" s="23">
        <v>0</v>
      </c>
      <c r="AD85" s="1">
        <v>0</v>
      </c>
      <c r="AE85" s="1">
        <v>24.7</v>
      </c>
      <c r="AF85" s="1">
        <v>139</v>
      </c>
      <c r="AG85" s="1">
        <v>130</v>
      </c>
      <c r="AH85" s="1">
        <v>430.5</v>
      </c>
      <c r="AI85" s="1">
        <v>137.80000000000001</v>
      </c>
      <c r="AJ85" s="1">
        <v>7.1</v>
      </c>
      <c r="AK85" s="1">
        <v>0</v>
      </c>
      <c r="AL85" s="1">
        <v>105</v>
      </c>
      <c r="AM85" s="1">
        <v>534.1</v>
      </c>
      <c r="AN85" s="1">
        <v>0</v>
      </c>
      <c r="AO85" s="24">
        <f t="shared" si="5"/>
        <v>1508.2</v>
      </c>
    </row>
    <row r="86" spans="1:41" ht="17.25" customHeight="1" x14ac:dyDescent="0.45">
      <c r="A86" s="12" t="s">
        <v>20</v>
      </c>
      <c r="B86" s="12" t="s">
        <v>15</v>
      </c>
      <c r="C86" s="25">
        <v>43</v>
      </c>
      <c r="D86" s="10">
        <v>42</v>
      </c>
      <c r="E86" s="10">
        <v>44</v>
      </c>
      <c r="F86" s="10">
        <v>41</v>
      </c>
      <c r="G86" s="10">
        <v>44</v>
      </c>
      <c r="H86" s="10">
        <v>41</v>
      </c>
      <c r="I86" s="10">
        <v>43</v>
      </c>
      <c r="J86" s="10">
        <v>45</v>
      </c>
      <c r="K86" s="10">
        <v>39</v>
      </c>
      <c r="L86" s="10">
        <v>45</v>
      </c>
      <c r="M86" s="10">
        <v>41</v>
      </c>
      <c r="N86" s="10">
        <v>45</v>
      </c>
      <c r="O86" s="26">
        <f t="shared" si="3"/>
        <v>513</v>
      </c>
      <c r="P86" s="25">
        <v>5016</v>
      </c>
      <c r="Q86" s="10">
        <v>4917</v>
      </c>
      <c r="R86" s="10">
        <v>5632</v>
      </c>
      <c r="S86" s="10">
        <v>5439</v>
      </c>
      <c r="T86" s="10">
        <v>5469</v>
      </c>
      <c r="U86" s="10">
        <v>5093</v>
      </c>
      <c r="V86" s="10">
        <v>4887</v>
      </c>
      <c r="W86" s="10">
        <v>5063</v>
      </c>
      <c r="X86" s="10">
        <v>4628</v>
      </c>
      <c r="Y86" s="10">
        <v>5584</v>
      </c>
      <c r="Z86" s="10">
        <v>5486</v>
      </c>
      <c r="AA86" s="10">
        <v>5358</v>
      </c>
      <c r="AB86" s="26">
        <f t="shared" si="4"/>
        <v>62572</v>
      </c>
      <c r="AC86" s="25">
        <v>88</v>
      </c>
      <c r="AD86" s="10">
        <v>49.75</v>
      </c>
      <c r="AE86" s="10">
        <v>1023.2500000000001</v>
      </c>
      <c r="AF86" s="10">
        <v>0</v>
      </c>
      <c r="AG86" s="10">
        <v>0</v>
      </c>
      <c r="AH86" s="10">
        <v>0</v>
      </c>
      <c r="AI86" s="10">
        <v>0</v>
      </c>
      <c r="AJ86" s="10">
        <v>0</v>
      </c>
      <c r="AK86" s="10">
        <v>0</v>
      </c>
      <c r="AL86" s="10">
        <v>0</v>
      </c>
      <c r="AM86" s="10">
        <v>0</v>
      </c>
      <c r="AN86" s="10">
        <v>0</v>
      </c>
      <c r="AO86" s="26">
        <f t="shared" si="5"/>
        <v>1161</v>
      </c>
    </row>
    <row r="87" spans="1:41" ht="17.25" customHeight="1" x14ac:dyDescent="0.45">
      <c r="A87" s="2" t="s">
        <v>20</v>
      </c>
      <c r="B87" s="2" t="s">
        <v>33</v>
      </c>
      <c r="C87" s="23">
        <v>10</v>
      </c>
      <c r="D87" s="1">
        <v>12</v>
      </c>
      <c r="E87" s="1">
        <v>10</v>
      </c>
      <c r="F87" s="1">
        <v>11</v>
      </c>
      <c r="G87" s="1">
        <v>11</v>
      </c>
      <c r="H87" s="1">
        <v>11</v>
      </c>
      <c r="I87" s="1">
        <v>5</v>
      </c>
      <c r="J87" s="1">
        <v>11</v>
      </c>
      <c r="K87" s="1">
        <v>3</v>
      </c>
      <c r="L87" s="1">
        <v>5</v>
      </c>
      <c r="M87" s="1">
        <v>12</v>
      </c>
      <c r="N87" s="1">
        <v>18</v>
      </c>
      <c r="O87" s="24">
        <f t="shared" si="3"/>
        <v>119</v>
      </c>
      <c r="P87" s="23">
        <v>269</v>
      </c>
      <c r="Q87" s="1">
        <v>302</v>
      </c>
      <c r="R87" s="1">
        <v>265</v>
      </c>
      <c r="S87" s="1">
        <v>303</v>
      </c>
      <c r="T87" s="1">
        <v>338</v>
      </c>
      <c r="U87" s="1">
        <v>328</v>
      </c>
      <c r="V87" s="1">
        <v>188</v>
      </c>
      <c r="W87" s="1">
        <v>265</v>
      </c>
      <c r="X87" s="1">
        <v>77</v>
      </c>
      <c r="Y87" s="1">
        <v>174</v>
      </c>
      <c r="Z87" s="1">
        <v>274</v>
      </c>
      <c r="AA87" s="1">
        <v>478</v>
      </c>
      <c r="AB87" s="24">
        <f t="shared" si="4"/>
        <v>3261</v>
      </c>
      <c r="AC87" s="23">
        <v>0</v>
      </c>
      <c r="AD87" s="1">
        <v>0</v>
      </c>
      <c r="AE87" s="1">
        <v>0</v>
      </c>
      <c r="AF87" s="1">
        <v>0</v>
      </c>
      <c r="AG87" s="1">
        <v>0</v>
      </c>
      <c r="AH87" s="1">
        <v>0</v>
      </c>
      <c r="AI87" s="1">
        <v>0</v>
      </c>
      <c r="AJ87" s="1">
        <v>0</v>
      </c>
      <c r="AK87" s="1">
        <v>0</v>
      </c>
      <c r="AL87" s="1">
        <v>0</v>
      </c>
      <c r="AM87" s="1">
        <v>0</v>
      </c>
      <c r="AN87" s="1">
        <v>0</v>
      </c>
      <c r="AO87" s="24">
        <f t="shared" si="5"/>
        <v>0</v>
      </c>
    </row>
    <row r="88" spans="1:41" ht="17.25" customHeight="1" x14ac:dyDescent="0.45">
      <c r="A88" s="12" t="s">
        <v>43</v>
      </c>
      <c r="B88" s="12" t="s">
        <v>11</v>
      </c>
      <c r="C88" s="25">
        <v>16</v>
      </c>
      <c r="D88" s="10">
        <v>12</v>
      </c>
      <c r="E88" s="10">
        <v>15</v>
      </c>
      <c r="F88" s="10">
        <v>35</v>
      </c>
      <c r="G88" s="10">
        <v>31</v>
      </c>
      <c r="H88" s="10">
        <v>30</v>
      </c>
      <c r="I88" s="10">
        <v>31</v>
      </c>
      <c r="J88" s="10">
        <v>31</v>
      </c>
      <c r="K88" s="10">
        <v>30</v>
      </c>
      <c r="L88" s="10">
        <v>31</v>
      </c>
      <c r="M88" s="10">
        <v>29</v>
      </c>
      <c r="N88" s="10">
        <v>44</v>
      </c>
      <c r="O88" s="26">
        <f t="shared" si="3"/>
        <v>335</v>
      </c>
      <c r="P88" s="25">
        <v>2832</v>
      </c>
      <c r="Q88" s="10">
        <v>2054</v>
      </c>
      <c r="R88" s="10">
        <v>2469</v>
      </c>
      <c r="S88" s="10">
        <v>5503</v>
      </c>
      <c r="T88" s="10">
        <v>5175</v>
      </c>
      <c r="U88" s="10">
        <v>5078</v>
      </c>
      <c r="V88" s="10">
        <v>5601</v>
      </c>
      <c r="W88" s="10">
        <v>5308</v>
      </c>
      <c r="X88" s="10">
        <v>5152</v>
      </c>
      <c r="Y88" s="10">
        <v>6274</v>
      </c>
      <c r="Z88" s="10">
        <v>5699</v>
      </c>
      <c r="AA88" s="10">
        <v>6973</v>
      </c>
      <c r="AB88" s="26">
        <f t="shared" si="4"/>
        <v>58118</v>
      </c>
      <c r="AC88" s="25">
        <v>0</v>
      </c>
      <c r="AD88" s="10">
        <v>0</v>
      </c>
      <c r="AE88" s="10">
        <v>0</v>
      </c>
      <c r="AF88" s="10">
        <v>0</v>
      </c>
      <c r="AG88" s="10">
        <v>0</v>
      </c>
      <c r="AH88" s="10">
        <v>0</v>
      </c>
      <c r="AI88" s="10">
        <v>0</v>
      </c>
      <c r="AJ88" s="10">
        <v>0</v>
      </c>
      <c r="AK88" s="10">
        <v>0</v>
      </c>
      <c r="AL88" s="10">
        <v>0</v>
      </c>
      <c r="AM88" s="10">
        <v>0</v>
      </c>
      <c r="AN88" s="10">
        <v>0</v>
      </c>
      <c r="AO88" s="26">
        <f t="shared" si="5"/>
        <v>0</v>
      </c>
    </row>
    <row r="89" spans="1:41" ht="17.25" customHeight="1" x14ac:dyDescent="0.45">
      <c r="A89" s="2" t="s">
        <v>43</v>
      </c>
      <c r="B89" s="2" t="s">
        <v>12</v>
      </c>
      <c r="C89" s="23">
        <v>53</v>
      </c>
      <c r="D89" s="1">
        <v>54</v>
      </c>
      <c r="E89" s="1">
        <v>53</v>
      </c>
      <c r="F89" s="1">
        <v>60</v>
      </c>
      <c r="G89" s="1">
        <v>60</v>
      </c>
      <c r="H89" s="1">
        <v>53</v>
      </c>
      <c r="I89" s="1">
        <v>53</v>
      </c>
      <c r="J89" s="1">
        <v>56</v>
      </c>
      <c r="K89" s="1">
        <v>54</v>
      </c>
      <c r="L89" s="1">
        <v>57</v>
      </c>
      <c r="M89" s="1">
        <v>50</v>
      </c>
      <c r="N89" s="1">
        <v>52</v>
      </c>
      <c r="O89" s="24">
        <f t="shared" si="3"/>
        <v>655</v>
      </c>
      <c r="P89" s="23">
        <v>4579</v>
      </c>
      <c r="Q89" s="1">
        <v>4455</v>
      </c>
      <c r="R89" s="1">
        <v>4537</v>
      </c>
      <c r="S89" s="1">
        <v>4726</v>
      </c>
      <c r="T89" s="1">
        <v>4610</v>
      </c>
      <c r="U89" s="1">
        <v>3953</v>
      </c>
      <c r="V89" s="1">
        <v>4593</v>
      </c>
      <c r="W89" s="1">
        <v>4245</v>
      </c>
      <c r="X89" s="1">
        <v>4195</v>
      </c>
      <c r="Y89" s="1">
        <v>4724</v>
      </c>
      <c r="Z89" s="1">
        <v>4225</v>
      </c>
      <c r="AA89" s="1">
        <v>4146</v>
      </c>
      <c r="AB89" s="24">
        <f t="shared" si="4"/>
        <v>52988</v>
      </c>
      <c r="AC89" s="23">
        <v>5864</v>
      </c>
      <c r="AD89" s="1">
        <v>7700</v>
      </c>
      <c r="AE89" s="1">
        <v>7011</v>
      </c>
      <c r="AF89" s="1">
        <v>8124</v>
      </c>
      <c r="AG89" s="1">
        <v>8043</v>
      </c>
      <c r="AH89" s="1">
        <v>6162</v>
      </c>
      <c r="AI89" s="1">
        <v>7217</v>
      </c>
      <c r="AJ89" s="1">
        <v>7008</v>
      </c>
      <c r="AK89" s="1">
        <v>6275</v>
      </c>
      <c r="AL89" s="1">
        <v>7571</v>
      </c>
      <c r="AM89" s="1">
        <v>6967</v>
      </c>
      <c r="AN89" s="1">
        <v>10800</v>
      </c>
      <c r="AO89" s="24">
        <f t="shared" si="5"/>
        <v>88742</v>
      </c>
    </row>
    <row r="90" spans="1:41" ht="17.25" customHeight="1" x14ac:dyDescent="0.45">
      <c r="A90" s="12" t="s">
        <v>43</v>
      </c>
      <c r="B90" s="12" t="s">
        <v>13</v>
      </c>
      <c r="C90" s="25">
        <v>10</v>
      </c>
      <c r="D90" s="10">
        <v>8</v>
      </c>
      <c r="E90" s="10">
        <v>9</v>
      </c>
      <c r="F90" s="10">
        <v>14</v>
      </c>
      <c r="G90" s="10">
        <v>13</v>
      </c>
      <c r="H90" s="10">
        <v>12</v>
      </c>
      <c r="I90" s="10">
        <v>13</v>
      </c>
      <c r="J90" s="10">
        <v>14</v>
      </c>
      <c r="K90" s="10">
        <v>14</v>
      </c>
      <c r="L90" s="10">
        <v>12</v>
      </c>
      <c r="M90" s="10">
        <v>37</v>
      </c>
      <c r="N90" s="10">
        <v>39</v>
      </c>
      <c r="O90" s="26">
        <f t="shared" si="3"/>
        <v>195</v>
      </c>
      <c r="P90" s="25">
        <v>1747</v>
      </c>
      <c r="Q90" s="10">
        <v>1248</v>
      </c>
      <c r="R90" s="10">
        <v>1330</v>
      </c>
      <c r="S90" s="10">
        <v>1931</v>
      </c>
      <c r="T90" s="10">
        <v>1719</v>
      </c>
      <c r="U90" s="10">
        <v>2073</v>
      </c>
      <c r="V90" s="10">
        <v>2264</v>
      </c>
      <c r="W90" s="10">
        <v>2388</v>
      </c>
      <c r="X90" s="10">
        <v>2352</v>
      </c>
      <c r="Y90" s="10">
        <v>2276</v>
      </c>
      <c r="Z90" s="10">
        <v>4445</v>
      </c>
      <c r="AA90" s="10">
        <v>4198</v>
      </c>
      <c r="AB90" s="26">
        <f t="shared" si="4"/>
        <v>27971</v>
      </c>
      <c r="AC90" s="25">
        <v>0</v>
      </c>
      <c r="AD90" s="10">
        <v>0</v>
      </c>
      <c r="AE90" s="10">
        <v>0</v>
      </c>
      <c r="AF90" s="10">
        <v>0</v>
      </c>
      <c r="AG90" s="10">
        <v>0</v>
      </c>
      <c r="AH90" s="10">
        <v>0</v>
      </c>
      <c r="AI90" s="10">
        <v>0</v>
      </c>
      <c r="AJ90" s="10">
        <v>0</v>
      </c>
      <c r="AK90" s="10">
        <v>0</v>
      </c>
      <c r="AL90" s="10">
        <v>0</v>
      </c>
      <c r="AM90" s="10">
        <v>0</v>
      </c>
      <c r="AN90" s="10">
        <v>0</v>
      </c>
      <c r="AO90" s="26">
        <f t="shared" si="5"/>
        <v>0</v>
      </c>
    </row>
    <row r="91" spans="1:41" ht="17.25" customHeight="1" x14ac:dyDescent="0.45">
      <c r="A91" s="2" t="s">
        <v>43</v>
      </c>
      <c r="B91" s="2" t="s">
        <v>14</v>
      </c>
      <c r="C91" s="23">
        <v>0</v>
      </c>
      <c r="D91" s="1">
        <v>0</v>
      </c>
      <c r="E91" s="1">
        <v>0</v>
      </c>
      <c r="F91" s="1">
        <v>0</v>
      </c>
      <c r="G91" s="1">
        <v>0</v>
      </c>
      <c r="H91" s="1">
        <v>0</v>
      </c>
      <c r="I91" s="1">
        <v>0</v>
      </c>
      <c r="J91" s="1">
        <v>0</v>
      </c>
      <c r="K91" s="1">
        <v>0</v>
      </c>
      <c r="L91" s="1">
        <v>0</v>
      </c>
      <c r="M91" s="1">
        <v>29</v>
      </c>
      <c r="N91" s="1">
        <v>31</v>
      </c>
      <c r="O91" s="24">
        <f t="shared" si="3"/>
        <v>60</v>
      </c>
      <c r="P91" s="23">
        <v>0</v>
      </c>
      <c r="Q91" s="1">
        <v>0</v>
      </c>
      <c r="R91" s="1">
        <v>0</v>
      </c>
      <c r="S91" s="1">
        <v>0</v>
      </c>
      <c r="T91" s="1">
        <v>0</v>
      </c>
      <c r="U91" s="1">
        <v>0</v>
      </c>
      <c r="V91" s="1">
        <v>0</v>
      </c>
      <c r="W91" s="1">
        <v>0</v>
      </c>
      <c r="X91" s="1">
        <v>0</v>
      </c>
      <c r="Y91" s="1">
        <v>0</v>
      </c>
      <c r="Z91" s="1">
        <v>1344</v>
      </c>
      <c r="AA91" s="1">
        <v>1747</v>
      </c>
      <c r="AB91" s="24">
        <f t="shared" si="4"/>
        <v>3091</v>
      </c>
      <c r="AC91" s="23">
        <v>0</v>
      </c>
      <c r="AD91" s="1">
        <v>0</v>
      </c>
      <c r="AE91" s="1">
        <v>0</v>
      </c>
      <c r="AF91" s="1">
        <v>0</v>
      </c>
      <c r="AG91" s="1">
        <v>0</v>
      </c>
      <c r="AH91" s="1">
        <v>0</v>
      </c>
      <c r="AI91" s="1">
        <v>0</v>
      </c>
      <c r="AJ91" s="1">
        <v>0</v>
      </c>
      <c r="AK91" s="1">
        <v>0</v>
      </c>
      <c r="AL91" s="1">
        <v>0</v>
      </c>
      <c r="AM91" s="1">
        <v>0</v>
      </c>
      <c r="AN91" s="1">
        <v>0</v>
      </c>
      <c r="AO91" s="24">
        <f t="shared" si="5"/>
        <v>0</v>
      </c>
    </row>
    <row r="92" spans="1:41" ht="17.25" customHeight="1" x14ac:dyDescent="0.45">
      <c r="A92" s="12" t="s">
        <v>43</v>
      </c>
      <c r="B92" s="12" t="s">
        <v>15</v>
      </c>
      <c r="C92" s="25">
        <v>31</v>
      </c>
      <c r="D92" s="10">
        <v>29</v>
      </c>
      <c r="E92" s="10">
        <v>31</v>
      </c>
      <c r="F92" s="10">
        <v>33</v>
      </c>
      <c r="G92" s="10">
        <v>35</v>
      </c>
      <c r="H92" s="10">
        <v>35</v>
      </c>
      <c r="I92" s="10">
        <v>35</v>
      </c>
      <c r="J92" s="10">
        <v>35</v>
      </c>
      <c r="K92" s="10">
        <v>34</v>
      </c>
      <c r="L92" s="10">
        <v>35</v>
      </c>
      <c r="M92" s="10">
        <v>34</v>
      </c>
      <c r="N92" s="10">
        <v>39</v>
      </c>
      <c r="O92" s="26">
        <f t="shared" si="3"/>
        <v>406</v>
      </c>
      <c r="P92" s="25">
        <v>5313</v>
      </c>
      <c r="Q92" s="10">
        <v>5002</v>
      </c>
      <c r="R92" s="10">
        <v>5184</v>
      </c>
      <c r="S92" s="10">
        <v>4803</v>
      </c>
      <c r="T92" s="10">
        <v>5145</v>
      </c>
      <c r="U92" s="10">
        <v>4778</v>
      </c>
      <c r="V92" s="10">
        <v>4974</v>
      </c>
      <c r="W92" s="10">
        <v>4841</v>
      </c>
      <c r="X92" s="10">
        <v>4793</v>
      </c>
      <c r="Y92" s="10">
        <v>5584</v>
      </c>
      <c r="Z92" s="10">
        <v>6279</v>
      </c>
      <c r="AA92" s="10">
        <v>6427</v>
      </c>
      <c r="AB92" s="26">
        <f t="shared" si="4"/>
        <v>63123</v>
      </c>
      <c r="AC92" s="25">
        <v>0</v>
      </c>
      <c r="AD92" s="10">
        <v>0</v>
      </c>
      <c r="AE92" s="10">
        <v>0</v>
      </c>
      <c r="AF92" s="10">
        <v>0</v>
      </c>
      <c r="AG92" s="10">
        <v>0</v>
      </c>
      <c r="AH92" s="10">
        <v>0</v>
      </c>
      <c r="AI92" s="10">
        <v>0</v>
      </c>
      <c r="AJ92" s="10">
        <v>0</v>
      </c>
      <c r="AK92" s="10">
        <v>0</v>
      </c>
      <c r="AL92" s="10">
        <v>0</v>
      </c>
      <c r="AM92" s="10">
        <v>0</v>
      </c>
      <c r="AN92" s="10">
        <v>0</v>
      </c>
      <c r="AO92" s="26">
        <f t="shared" si="5"/>
        <v>0</v>
      </c>
    </row>
    <row r="93" spans="1:41" ht="17.25" customHeight="1" x14ac:dyDescent="0.45">
      <c r="A93" s="2" t="s">
        <v>44</v>
      </c>
      <c r="B93" s="2" t="s">
        <v>57</v>
      </c>
      <c r="C93" s="23">
        <v>6</v>
      </c>
      <c r="D93" s="1">
        <v>0</v>
      </c>
      <c r="E93" s="1">
        <v>0</v>
      </c>
      <c r="F93" s="1">
        <v>0</v>
      </c>
      <c r="G93" s="1">
        <v>0</v>
      </c>
      <c r="H93" s="1">
        <v>0</v>
      </c>
      <c r="I93" s="1">
        <v>0</v>
      </c>
      <c r="J93" s="1">
        <v>0</v>
      </c>
      <c r="K93" s="1">
        <v>0</v>
      </c>
      <c r="L93" s="1">
        <v>0</v>
      </c>
      <c r="M93" s="1">
        <v>0</v>
      </c>
      <c r="N93" s="1">
        <v>0</v>
      </c>
      <c r="O93" s="24">
        <f t="shared" si="3"/>
        <v>6</v>
      </c>
      <c r="P93" s="23">
        <v>23</v>
      </c>
      <c r="Q93" s="1">
        <v>0</v>
      </c>
      <c r="R93" s="1">
        <v>0</v>
      </c>
      <c r="S93" s="1">
        <v>0</v>
      </c>
      <c r="T93" s="1">
        <v>0</v>
      </c>
      <c r="U93" s="1">
        <v>0</v>
      </c>
      <c r="V93" s="1">
        <v>0</v>
      </c>
      <c r="W93" s="1">
        <v>0</v>
      </c>
      <c r="X93" s="1">
        <v>0</v>
      </c>
      <c r="Y93" s="1">
        <v>0</v>
      </c>
      <c r="Z93" s="1">
        <v>0</v>
      </c>
      <c r="AA93" s="1">
        <v>0</v>
      </c>
      <c r="AB93" s="24">
        <f t="shared" si="4"/>
        <v>23</v>
      </c>
      <c r="AC93" s="23">
        <v>0</v>
      </c>
      <c r="AD93" s="1">
        <v>0</v>
      </c>
      <c r="AE93" s="1">
        <v>0</v>
      </c>
      <c r="AF93" s="1">
        <v>0</v>
      </c>
      <c r="AG93" s="1">
        <v>0</v>
      </c>
      <c r="AH93" s="1">
        <v>0</v>
      </c>
      <c r="AI93" s="1">
        <v>0</v>
      </c>
      <c r="AJ93" s="1">
        <v>0</v>
      </c>
      <c r="AK93" s="1">
        <v>0</v>
      </c>
      <c r="AL93" s="1">
        <v>0</v>
      </c>
      <c r="AM93" s="1">
        <v>0</v>
      </c>
      <c r="AN93" s="1">
        <v>0</v>
      </c>
      <c r="AO93" s="24">
        <f t="shared" si="5"/>
        <v>0</v>
      </c>
    </row>
    <row r="94" spans="1:41" ht="17.25" customHeight="1" x14ac:dyDescent="0.45">
      <c r="A94" s="12" t="s">
        <v>44</v>
      </c>
      <c r="B94" s="12" t="s">
        <v>12</v>
      </c>
      <c r="C94" s="25">
        <v>5</v>
      </c>
      <c r="D94" s="10">
        <v>0</v>
      </c>
      <c r="E94" s="10">
        <v>0</v>
      </c>
      <c r="F94" s="10">
        <v>0</v>
      </c>
      <c r="G94" s="10">
        <v>0</v>
      </c>
      <c r="H94" s="10">
        <v>0</v>
      </c>
      <c r="I94" s="10">
        <v>0</v>
      </c>
      <c r="J94" s="10">
        <v>0</v>
      </c>
      <c r="K94" s="10">
        <v>0</v>
      </c>
      <c r="L94" s="10">
        <v>0</v>
      </c>
      <c r="M94" s="10">
        <v>0</v>
      </c>
      <c r="N94" s="10">
        <v>0</v>
      </c>
      <c r="O94" s="26">
        <f t="shared" si="3"/>
        <v>5</v>
      </c>
      <c r="P94" s="25">
        <v>226</v>
      </c>
      <c r="Q94" s="10">
        <v>0</v>
      </c>
      <c r="R94" s="10">
        <v>0</v>
      </c>
      <c r="S94" s="10">
        <v>0</v>
      </c>
      <c r="T94" s="10">
        <v>0</v>
      </c>
      <c r="U94" s="10">
        <v>0</v>
      </c>
      <c r="V94" s="10">
        <v>0</v>
      </c>
      <c r="W94" s="10">
        <v>0</v>
      </c>
      <c r="X94" s="10">
        <v>0</v>
      </c>
      <c r="Y94" s="10">
        <v>0</v>
      </c>
      <c r="Z94" s="10">
        <v>0</v>
      </c>
      <c r="AA94" s="10">
        <v>0</v>
      </c>
      <c r="AB94" s="26">
        <f t="shared" si="4"/>
        <v>226</v>
      </c>
      <c r="AC94" s="25">
        <v>0</v>
      </c>
      <c r="AD94" s="10">
        <v>0</v>
      </c>
      <c r="AE94" s="10">
        <v>0</v>
      </c>
      <c r="AF94" s="10">
        <v>0</v>
      </c>
      <c r="AG94" s="10">
        <v>0</v>
      </c>
      <c r="AH94" s="10">
        <v>0</v>
      </c>
      <c r="AI94" s="10">
        <v>0</v>
      </c>
      <c r="AJ94" s="10">
        <v>0</v>
      </c>
      <c r="AK94" s="10">
        <v>0</v>
      </c>
      <c r="AL94" s="10">
        <v>0</v>
      </c>
      <c r="AM94" s="10">
        <v>0</v>
      </c>
      <c r="AN94" s="10">
        <v>0</v>
      </c>
      <c r="AO94" s="26">
        <f t="shared" si="5"/>
        <v>0</v>
      </c>
    </row>
    <row r="95" spans="1:41" ht="17.25" customHeight="1" x14ac:dyDescent="0.45">
      <c r="A95" s="2" t="s">
        <v>44</v>
      </c>
      <c r="B95" s="2" t="s">
        <v>13</v>
      </c>
      <c r="C95" s="23">
        <v>10</v>
      </c>
      <c r="D95" s="1">
        <v>5</v>
      </c>
      <c r="E95" s="1">
        <v>0</v>
      </c>
      <c r="F95" s="1">
        <v>0</v>
      </c>
      <c r="G95" s="1">
        <v>0</v>
      </c>
      <c r="H95" s="1">
        <v>0</v>
      </c>
      <c r="I95" s="1">
        <v>0</v>
      </c>
      <c r="J95" s="1">
        <v>0</v>
      </c>
      <c r="K95" s="1">
        <v>0</v>
      </c>
      <c r="L95" s="1">
        <v>0</v>
      </c>
      <c r="M95" s="1">
        <v>0</v>
      </c>
      <c r="N95" s="1">
        <v>0</v>
      </c>
      <c r="O95" s="24">
        <f t="shared" si="3"/>
        <v>15</v>
      </c>
      <c r="P95" s="23">
        <v>49</v>
      </c>
      <c r="Q95" s="1">
        <v>11</v>
      </c>
      <c r="R95" s="1">
        <v>0</v>
      </c>
      <c r="S95" s="1">
        <v>0</v>
      </c>
      <c r="T95" s="1">
        <v>0</v>
      </c>
      <c r="U95" s="1">
        <v>0</v>
      </c>
      <c r="V95" s="1">
        <v>0</v>
      </c>
      <c r="W95" s="1">
        <v>0</v>
      </c>
      <c r="X95" s="1">
        <v>0</v>
      </c>
      <c r="Y95" s="1">
        <v>0</v>
      </c>
      <c r="Z95" s="1">
        <v>0</v>
      </c>
      <c r="AA95" s="1">
        <v>0</v>
      </c>
      <c r="AB95" s="24">
        <f t="shared" si="4"/>
        <v>60</v>
      </c>
      <c r="AC95" s="23">
        <v>0</v>
      </c>
      <c r="AD95" s="1">
        <v>0</v>
      </c>
      <c r="AE95" s="1">
        <v>0</v>
      </c>
      <c r="AF95" s="1">
        <v>0</v>
      </c>
      <c r="AG95" s="1">
        <v>0</v>
      </c>
      <c r="AH95" s="1">
        <v>0</v>
      </c>
      <c r="AI95" s="1">
        <v>0</v>
      </c>
      <c r="AJ95" s="1">
        <v>0</v>
      </c>
      <c r="AK95" s="1">
        <v>0</v>
      </c>
      <c r="AL95" s="1">
        <v>0</v>
      </c>
      <c r="AM95" s="1">
        <v>0</v>
      </c>
      <c r="AN95" s="1">
        <v>0</v>
      </c>
      <c r="AO95" s="24">
        <f t="shared" si="5"/>
        <v>0</v>
      </c>
    </row>
    <row r="96" spans="1:41" ht="17.25" customHeight="1" x14ac:dyDescent="0.45">
      <c r="A96" s="12" t="s">
        <v>44</v>
      </c>
      <c r="B96" s="12" t="s">
        <v>29</v>
      </c>
      <c r="C96" s="25">
        <v>6</v>
      </c>
      <c r="D96" s="10">
        <v>0</v>
      </c>
      <c r="E96" s="10">
        <v>0</v>
      </c>
      <c r="F96" s="10">
        <v>0</v>
      </c>
      <c r="G96" s="10">
        <v>0</v>
      </c>
      <c r="H96" s="10">
        <v>0</v>
      </c>
      <c r="I96" s="10">
        <v>0</v>
      </c>
      <c r="J96" s="10">
        <v>0</v>
      </c>
      <c r="K96" s="10">
        <v>0</v>
      </c>
      <c r="L96" s="10">
        <v>0</v>
      </c>
      <c r="M96" s="10">
        <v>0</v>
      </c>
      <c r="N96" s="10">
        <v>0</v>
      </c>
      <c r="O96" s="26">
        <f t="shared" si="3"/>
        <v>6</v>
      </c>
      <c r="P96" s="25">
        <v>19</v>
      </c>
      <c r="Q96" s="10">
        <v>0</v>
      </c>
      <c r="R96" s="10">
        <v>0</v>
      </c>
      <c r="S96" s="10">
        <v>0</v>
      </c>
      <c r="T96" s="10">
        <v>0</v>
      </c>
      <c r="U96" s="10">
        <v>0</v>
      </c>
      <c r="V96" s="10">
        <v>0</v>
      </c>
      <c r="W96" s="10">
        <v>0</v>
      </c>
      <c r="X96" s="10">
        <v>0</v>
      </c>
      <c r="Y96" s="10">
        <v>0</v>
      </c>
      <c r="Z96" s="10">
        <v>0</v>
      </c>
      <c r="AA96" s="10">
        <v>0</v>
      </c>
      <c r="AB96" s="26">
        <f t="shared" si="4"/>
        <v>19</v>
      </c>
      <c r="AC96" s="25">
        <v>0</v>
      </c>
      <c r="AD96" s="10">
        <v>0</v>
      </c>
      <c r="AE96" s="10">
        <v>0</v>
      </c>
      <c r="AF96" s="10">
        <v>0</v>
      </c>
      <c r="AG96" s="10">
        <v>0</v>
      </c>
      <c r="AH96" s="10">
        <v>0</v>
      </c>
      <c r="AI96" s="10">
        <v>0</v>
      </c>
      <c r="AJ96" s="10">
        <v>0</v>
      </c>
      <c r="AK96" s="10">
        <v>0</v>
      </c>
      <c r="AL96" s="10">
        <v>0</v>
      </c>
      <c r="AM96" s="10">
        <v>0</v>
      </c>
      <c r="AN96" s="10">
        <v>0</v>
      </c>
      <c r="AO96" s="26">
        <f t="shared" si="5"/>
        <v>0</v>
      </c>
    </row>
    <row r="97" spans="1:41" ht="17.25" customHeight="1" x14ac:dyDescent="0.45">
      <c r="A97" s="2" t="s">
        <v>44</v>
      </c>
      <c r="B97" s="2" t="s">
        <v>30</v>
      </c>
      <c r="C97" s="23">
        <v>8</v>
      </c>
      <c r="D97" s="1">
        <v>0</v>
      </c>
      <c r="E97" s="1">
        <v>0</v>
      </c>
      <c r="F97" s="1">
        <v>0</v>
      </c>
      <c r="G97" s="1">
        <v>0</v>
      </c>
      <c r="H97" s="1">
        <v>0</v>
      </c>
      <c r="I97" s="1">
        <v>0</v>
      </c>
      <c r="J97" s="1">
        <v>0</v>
      </c>
      <c r="K97" s="1">
        <v>0</v>
      </c>
      <c r="L97" s="1">
        <v>0</v>
      </c>
      <c r="M97" s="1">
        <v>0</v>
      </c>
      <c r="N97" s="1">
        <v>0</v>
      </c>
      <c r="O97" s="24">
        <f t="shared" si="3"/>
        <v>8</v>
      </c>
      <c r="P97" s="23">
        <v>31</v>
      </c>
      <c r="Q97" s="1">
        <v>0</v>
      </c>
      <c r="R97" s="1">
        <v>0</v>
      </c>
      <c r="S97" s="1">
        <v>0</v>
      </c>
      <c r="T97" s="1">
        <v>0</v>
      </c>
      <c r="U97" s="1">
        <v>0</v>
      </c>
      <c r="V97" s="1">
        <v>0</v>
      </c>
      <c r="W97" s="1">
        <v>0</v>
      </c>
      <c r="X97" s="1">
        <v>0</v>
      </c>
      <c r="Y97" s="1">
        <v>0</v>
      </c>
      <c r="Z97" s="1">
        <v>0</v>
      </c>
      <c r="AA97" s="1">
        <v>0</v>
      </c>
      <c r="AB97" s="24">
        <f t="shared" si="4"/>
        <v>31</v>
      </c>
      <c r="AC97" s="23">
        <v>0</v>
      </c>
      <c r="AD97" s="1">
        <v>0</v>
      </c>
      <c r="AE97" s="1">
        <v>0</v>
      </c>
      <c r="AF97" s="1">
        <v>0</v>
      </c>
      <c r="AG97" s="1">
        <v>0</v>
      </c>
      <c r="AH97" s="1">
        <v>0</v>
      </c>
      <c r="AI97" s="1">
        <v>0</v>
      </c>
      <c r="AJ97" s="1">
        <v>0</v>
      </c>
      <c r="AK97" s="1">
        <v>0</v>
      </c>
      <c r="AL97" s="1">
        <v>0</v>
      </c>
      <c r="AM97" s="1">
        <v>0</v>
      </c>
      <c r="AN97" s="1">
        <v>0</v>
      </c>
      <c r="AO97" s="24">
        <f t="shared" si="5"/>
        <v>0</v>
      </c>
    </row>
    <row r="98" spans="1:41" ht="17.25" customHeight="1" x14ac:dyDescent="0.45">
      <c r="A98" s="12" t="s">
        <v>44</v>
      </c>
      <c r="B98" s="12" t="s">
        <v>31</v>
      </c>
      <c r="C98" s="25">
        <v>11</v>
      </c>
      <c r="D98" s="10">
        <v>0</v>
      </c>
      <c r="E98" s="10">
        <v>0</v>
      </c>
      <c r="F98" s="10">
        <v>0</v>
      </c>
      <c r="G98" s="10">
        <v>0</v>
      </c>
      <c r="H98" s="10">
        <v>0</v>
      </c>
      <c r="I98" s="10">
        <v>0</v>
      </c>
      <c r="J98" s="10">
        <v>0</v>
      </c>
      <c r="K98" s="10">
        <v>0</v>
      </c>
      <c r="L98" s="10">
        <v>0</v>
      </c>
      <c r="M98" s="10">
        <v>0</v>
      </c>
      <c r="N98" s="10">
        <v>0</v>
      </c>
      <c r="O98" s="26">
        <f t="shared" si="3"/>
        <v>11</v>
      </c>
      <c r="P98" s="25">
        <v>25</v>
      </c>
      <c r="Q98" s="10">
        <v>0</v>
      </c>
      <c r="R98" s="10">
        <v>0</v>
      </c>
      <c r="S98" s="10">
        <v>0</v>
      </c>
      <c r="T98" s="10">
        <v>0</v>
      </c>
      <c r="U98" s="10">
        <v>0</v>
      </c>
      <c r="V98" s="10">
        <v>0</v>
      </c>
      <c r="W98" s="10">
        <v>0</v>
      </c>
      <c r="X98" s="10">
        <v>0</v>
      </c>
      <c r="Y98" s="10">
        <v>0</v>
      </c>
      <c r="Z98" s="10">
        <v>0</v>
      </c>
      <c r="AA98" s="10">
        <v>0</v>
      </c>
      <c r="AB98" s="26">
        <f t="shared" si="4"/>
        <v>25</v>
      </c>
      <c r="AC98" s="25">
        <v>0</v>
      </c>
      <c r="AD98" s="10">
        <v>0</v>
      </c>
      <c r="AE98" s="10">
        <v>0</v>
      </c>
      <c r="AF98" s="10">
        <v>0</v>
      </c>
      <c r="AG98" s="10">
        <v>0</v>
      </c>
      <c r="AH98" s="10">
        <v>0</v>
      </c>
      <c r="AI98" s="10">
        <v>0</v>
      </c>
      <c r="AJ98" s="10">
        <v>0</v>
      </c>
      <c r="AK98" s="10">
        <v>0</v>
      </c>
      <c r="AL98" s="10">
        <v>0</v>
      </c>
      <c r="AM98" s="10">
        <v>0</v>
      </c>
      <c r="AN98" s="10">
        <v>0</v>
      </c>
      <c r="AO98" s="26">
        <f t="shared" si="5"/>
        <v>0</v>
      </c>
    </row>
    <row r="99" spans="1:41" ht="17.25" customHeight="1" x14ac:dyDescent="0.45">
      <c r="A99" s="2" t="s">
        <v>45</v>
      </c>
      <c r="B99" s="2" t="s">
        <v>14</v>
      </c>
      <c r="C99" s="23">
        <v>29</v>
      </c>
      <c r="D99" s="1">
        <v>28</v>
      </c>
      <c r="E99" s="1">
        <v>30</v>
      </c>
      <c r="F99" s="1">
        <v>29</v>
      </c>
      <c r="G99" s="1">
        <v>31</v>
      </c>
      <c r="H99" s="1">
        <v>30</v>
      </c>
      <c r="I99" s="1">
        <v>31</v>
      </c>
      <c r="J99" s="1">
        <v>31</v>
      </c>
      <c r="K99" s="1">
        <v>30</v>
      </c>
      <c r="L99" s="1">
        <v>31</v>
      </c>
      <c r="M99" s="1">
        <v>30</v>
      </c>
      <c r="N99" s="1">
        <v>30</v>
      </c>
      <c r="O99" s="24">
        <f t="shared" si="3"/>
        <v>360</v>
      </c>
      <c r="P99" s="23">
        <v>1539</v>
      </c>
      <c r="Q99" s="1">
        <v>1496</v>
      </c>
      <c r="R99" s="1">
        <v>1475</v>
      </c>
      <c r="S99" s="1">
        <v>1786</v>
      </c>
      <c r="T99" s="1">
        <v>2064</v>
      </c>
      <c r="U99" s="1">
        <v>2013</v>
      </c>
      <c r="V99" s="1">
        <v>2523</v>
      </c>
      <c r="W99" s="1">
        <v>2216</v>
      </c>
      <c r="X99" s="1">
        <v>1988</v>
      </c>
      <c r="Y99" s="1">
        <v>2075</v>
      </c>
      <c r="Z99" s="1">
        <v>2362</v>
      </c>
      <c r="AA99" s="1">
        <v>2122</v>
      </c>
      <c r="AB99" s="24">
        <f t="shared" si="4"/>
        <v>23659</v>
      </c>
      <c r="AC99" s="23">
        <v>0</v>
      </c>
      <c r="AD99" s="1">
        <v>16</v>
      </c>
      <c r="AE99" s="1">
        <v>0</v>
      </c>
      <c r="AF99" s="1">
        <v>4</v>
      </c>
      <c r="AG99" s="1">
        <v>2</v>
      </c>
      <c r="AH99" s="1">
        <v>0</v>
      </c>
      <c r="AI99" s="1">
        <v>0</v>
      </c>
      <c r="AJ99" s="1">
        <v>0</v>
      </c>
      <c r="AK99" s="1">
        <v>130</v>
      </c>
      <c r="AL99" s="1">
        <v>1</v>
      </c>
      <c r="AM99" s="1">
        <v>0</v>
      </c>
      <c r="AN99" s="1">
        <v>0</v>
      </c>
      <c r="AO99" s="24">
        <f t="shared" si="5"/>
        <v>153</v>
      </c>
    </row>
    <row r="100" spans="1:41" ht="17.25" customHeight="1" x14ac:dyDescent="0.45">
      <c r="A100" s="12" t="s">
        <v>45</v>
      </c>
      <c r="B100" s="12" t="s">
        <v>15</v>
      </c>
      <c r="C100" s="25">
        <v>53</v>
      </c>
      <c r="D100" s="10">
        <v>50</v>
      </c>
      <c r="E100" s="10">
        <v>53</v>
      </c>
      <c r="F100" s="10">
        <v>35</v>
      </c>
      <c r="G100" s="10">
        <v>44</v>
      </c>
      <c r="H100" s="10">
        <v>37</v>
      </c>
      <c r="I100" s="10">
        <v>42</v>
      </c>
      <c r="J100" s="10">
        <v>42</v>
      </c>
      <c r="K100" s="10">
        <v>30</v>
      </c>
      <c r="L100" s="10">
        <v>43</v>
      </c>
      <c r="M100" s="10">
        <v>44</v>
      </c>
      <c r="N100" s="10">
        <v>44</v>
      </c>
      <c r="O100" s="26">
        <f t="shared" si="3"/>
        <v>517</v>
      </c>
      <c r="P100" s="25">
        <v>8963</v>
      </c>
      <c r="Q100" s="10">
        <v>8251</v>
      </c>
      <c r="R100" s="10">
        <v>8281</v>
      </c>
      <c r="S100" s="10">
        <v>5902</v>
      </c>
      <c r="T100" s="10">
        <v>6494</v>
      </c>
      <c r="U100" s="10">
        <v>5871</v>
      </c>
      <c r="V100" s="10">
        <v>6888</v>
      </c>
      <c r="W100" s="10">
        <v>6757</v>
      </c>
      <c r="X100" s="10">
        <v>4676</v>
      </c>
      <c r="Y100" s="10">
        <v>6753</v>
      </c>
      <c r="Z100" s="10">
        <v>6699</v>
      </c>
      <c r="AA100" s="10">
        <v>6647</v>
      </c>
      <c r="AB100" s="26">
        <f t="shared" si="4"/>
        <v>82182</v>
      </c>
      <c r="AC100" s="25">
        <v>0</v>
      </c>
      <c r="AD100" s="10">
        <v>0</v>
      </c>
      <c r="AE100" s="10">
        <v>0</v>
      </c>
      <c r="AF100" s="10">
        <v>0</v>
      </c>
      <c r="AG100" s="10">
        <v>0</v>
      </c>
      <c r="AH100" s="10">
        <v>0</v>
      </c>
      <c r="AI100" s="10">
        <v>0</v>
      </c>
      <c r="AJ100" s="10">
        <v>0</v>
      </c>
      <c r="AK100" s="10">
        <v>0</v>
      </c>
      <c r="AL100" s="10">
        <v>0</v>
      </c>
      <c r="AM100" s="10">
        <v>0</v>
      </c>
      <c r="AN100" s="10">
        <v>0</v>
      </c>
      <c r="AO100" s="26">
        <f t="shared" si="5"/>
        <v>0</v>
      </c>
    </row>
    <row r="101" spans="1:41" ht="17.25" customHeight="1" x14ac:dyDescent="0.45">
      <c r="A101" s="2" t="s">
        <v>46</v>
      </c>
      <c r="B101" s="2" t="s">
        <v>10</v>
      </c>
      <c r="C101" s="23">
        <v>0</v>
      </c>
      <c r="D101" s="1">
        <v>0</v>
      </c>
      <c r="E101" s="1">
        <v>0</v>
      </c>
      <c r="F101" s="1">
        <v>0</v>
      </c>
      <c r="G101" s="1">
        <v>67</v>
      </c>
      <c r="H101" s="1">
        <v>77</v>
      </c>
      <c r="I101" s="1">
        <v>108</v>
      </c>
      <c r="J101" s="1">
        <v>112</v>
      </c>
      <c r="K101" s="1">
        <v>82</v>
      </c>
      <c r="L101" s="1">
        <v>93</v>
      </c>
      <c r="M101" s="1">
        <v>60</v>
      </c>
      <c r="N101" s="1">
        <v>50</v>
      </c>
      <c r="O101" s="24">
        <f t="shared" si="3"/>
        <v>649</v>
      </c>
      <c r="P101" s="23">
        <v>0</v>
      </c>
      <c r="Q101" s="1">
        <v>0</v>
      </c>
      <c r="R101" s="1">
        <v>0</v>
      </c>
      <c r="S101" s="1">
        <v>0</v>
      </c>
      <c r="T101" s="1">
        <v>146</v>
      </c>
      <c r="U101" s="1">
        <v>177</v>
      </c>
      <c r="V101" s="1">
        <v>255</v>
      </c>
      <c r="W101" s="1">
        <v>311</v>
      </c>
      <c r="X101" s="1">
        <v>253</v>
      </c>
      <c r="Y101" s="1">
        <v>299</v>
      </c>
      <c r="Z101" s="1">
        <v>246</v>
      </c>
      <c r="AA101" s="1">
        <v>193</v>
      </c>
      <c r="AB101" s="24">
        <f t="shared" si="4"/>
        <v>1880</v>
      </c>
      <c r="AC101" s="23">
        <v>0</v>
      </c>
      <c r="AD101" s="1">
        <v>0</v>
      </c>
      <c r="AE101" s="1">
        <v>0</v>
      </c>
      <c r="AF101" s="1">
        <v>0</v>
      </c>
      <c r="AG101" s="1">
        <v>0</v>
      </c>
      <c r="AH101" s="1">
        <v>0</v>
      </c>
      <c r="AI101" s="1">
        <v>0</v>
      </c>
      <c r="AJ101" s="1">
        <v>0</v>
      </c>
      <c r="AK101" s="1">
        <v>0</v>
      </c>
      <c r="AL101" s="1">
        <v>0</v>
      </c>
      <c r="AM101" s="1">
        <v>0</v>
      </c>
      <c r="AN101" s="1">
        <v>0</v>
      </c>
      <c r="AO101" s="24">
        <f t="shared" si="5"/>
        <v>0</v>
      </c>
    </row>
    <row r="102" spans="1:41" ht="17.25" customHeight="1" x14ac:dyDescent="0.45">
      <c r="A102" s="12" t="s">
        <v>46</v>
      </c>
      <c r="B102" s="12" t="s">
        <v>11</v>
      </c>
      <c r="C102" s="25">
        <v>13</v>
      </c>
      <c r="D102" s="10">
        <v>13</v>
      </c>
      <c r="E102" s="10">
        <v>13</v>
      </c>
      <c r="F102" s="10">
        <v>0</v>
      </c>
      <c r="G102" s="10">
        <v>0</v>
      </c>
      <c r="H102" s="10">
        <v>0</v>
      </c>
      <c r="I102" s="10">
        <v>0</v>
      </c>
      <c r="J102" s="10">
        <v>0</v>
      </c>
      <c r="K102" s="10">
        <v>0</v>
      </c>
      <c r="L102" s="10">
        <v>0</v>
      </c>
      <c r="M102" s="10">
        <v>0</v>
      </c>
      <c r="N102" s="10">
        <v>0</v>
      </c>
      <c r="O102" s="26">
        <f t="shared" si="3"/>
        <v>39</v>
      </c>
      <c r="P102" s="25">
        <v>1925</v>
      </c>
      <c r="Q102" s="10">
        <v>1536</v>
      </c>
      <c r="R102" s="10">
        <v>1607</v>
      </c>
      <c r="S102" s="10">
        <v>0</v>
      </c>
      <c r="T102" s="10">
        <v>0</v>
      </c>
      <c r="U102" s="10">
        <v>0</v>
      </c>
      <c r="V102" s="10">
        <v>0</v>
      </c>
      <c r="W102" s="10">
        <v>0</v>
      </c>
      <c r="X102" s="10">
        <v>0</v>
      </c>
      <c r="Y102" s="10">
        <v>0</v>
      </c>
      <c r="Z102" s="10">
        <v>0</v>
      </c>
      <c r="AA102" s="10">
        <v>0</v>
      </c>
      <c r="AB102" s="26">
        <f t="shared" si="4"/>
        <v>5068</v>
      </c>
      <c r="AC102" s="25">
        <v>20</v>
      </c>
      <c r="AD102" s="10">
        <v>1</v>
      </c>
      <c r="AE102" s="10">
        <v>6.6</v>
      </c>
      <c r="AF102" s="10">
        <v>0</v>
      </c>
      <c r="AG102" s="10">
        <v>0</v>
      </c>
      <c r="AH102" s="10">
        <v>0</v>
      </c>
      <c r="AI102" s="10">
        <v>0</v>
      </c>
      <c r="AJ102" s="10">
        <v>0</v>
      </c>
      <c r="AK102" s="10">
        <v>0</v>
      </c>
      <c r="AL102" s="10">
        <v>0</v>
      </c>
      <c r="AM102" s="10">
        <v>0</v>
      </c>
      <c r="AN102" s="10">
        <v>0</v>
      </c>
      <c r="AO102" s="26">
        <f t="shared" si="5"/>
        <v>27.6</v>
      </c>
    </row>
    <row r="103" spans="1:41" ht="17.25" customHeight="1" x14ac:dyDescent="0.45">
      <c r="A103" s="2" t="s">
        <v>46</v>
      </c>
      <c r="B103" s="2" t="s">
        <v>23</v>
      </c>
      <c r="C103" s="23">
        <v>0</v>
      </c>
      <c r="D103" s="1">
        <v>0</v>
      </c>
      <c r="E103" s="1">
        <v>0</v>
      </c>
      <c r="F103" s="1">
        <v>0</v>
      </c>
      <c r="G103" s="1">
        <v>0</v>
      </c>
      <c r="H103" s="1">
        <v>0</v>
      </c>
      <c r="I103" s="1">
        <v>0</v>
      </c>
      <c r="J103" s="1">
        <v>0</v>
      </c>
      <c r="K103" s="1">
        <v>0</v>
      </c>
      <c r="L103" s="1">
        <v>0</v>
      </c>
      <c r="M103" s="1">
        <v>2</v>
      </c>
      <c r="N103" s="1">
        <v>2</v>
      </c>
      <c r="O103" s="24">
        <f t="shared" si="3"/>
        <v>4</v>
      </c>
      <c r="P103" s="23">
        <v>0</v>
      </c>
      <c r="Q103" s="1">
        <v>0</v>
      </c>
      <c r="R103" s="1">
        <v>0</v>
      </c>
      <c r="S103" s="1">
        <v>0</v>
      </c>
      <c r="T103" s="1">
        <v>0</v>
      </c>
      <c r="U103" s="1">
        <v>0</v>
      </c>
      <c r="V103" s="1">
        <v>0</v>
      </c>
      <c r="W103" s="1">
        <v>0</v>
      </c>
      <c r="X103" s="1">
        <v>0</v>
      </c>
      <c r="Y103" s="1">
        <v>0</v>
      </c>
      <c r="Z103" s="1">
        <v>3</v>
      </c>
      <c r="AA103" s="1">
        <v>3</v>
      </c>
      <c r="AB103" s="24">
        <f t="shared" si="4"/>
        <v>6</v>
      </c>
      <c r="AC103" s="23">
        <v>0</v>
      </c>
      <c r="AD103" s="1">
        <v>0</v>
      </c>
      <c r="AE103" s="1">
        <v>0</v>
      </c>
      <c r="AF103" s="1">
        <v>0</v>
      </c>
      <c r="AG103" s="1">
        <v>0</v>
      </c>
      <c r="AH103" s="1">
        <v>0</v>
      </c>
      <c r="AI103" s="1">
        <v>0</v>
      </c>
      <c r="AJ103" s="1">
        <v>0</v>
      </c>
      <c r="AK103" s="1">
        <v>0</v>
      </c>
      <c r="AL103" s="1">
        <v>0</v>
      </c>
      <c r="AM103" s="1">
        <v>0</v>
      </c>
      <c r="AN103" s="1">
        <v>0</v>
      </c>
      <c r="AO103" s="24">
        <f t="shared" si="5"/>
        <v>0</v>
      </c>
    </row>
    <row r="104" spans="1:41" ht="17.25" customHeight="1" x14ac:dyDescent="0.45">
      <c r="A104" s="12" t="s">
        <v>46</v>
      </c>
      <c r="B104" s="12" t="s">
        <v>12</v>
      </c>
      <c r="C104" s="25">
        <v>57</v>
      </c>
      <c r="D104" s="10">
        <v>54</v>
      </c>
      <c r="E104" s="10">
        <v>58</v>
      </c>
      <c r="F104" s="10">
        <v>56</v>
      </c>
      <c r="G104" s="10">
        <v>62</v>
      </c>
      <c r="H104" s="10">
        <v>59</v>
      </c>
      <c r="I104" s="10">
        <v>57</v>
      </c>
      <c r="J104" s="10">
        <v>62</v>
      </c>
      <c r="K104" s="10">
        <v>60</v>
      </c>
      <c r="L104" s="10">
        <v>60</v>
      </c>
      <c r="M104" s="10">
        <v>59</v>
      </c>
      <c r="N104" s="10">
        <v>60</v>
      </c>
      <c r="O104" s="26">
        <f t="shared" si="3"/>
        <v>704</v>
      </c>
      <c r="P104" s="25">
        <v>8662</v>
      </c>
      <c r="Q104" s="10">
        <v>6997</v>
      </c>
      <c r="R104" s="10">
        <v>7445</v>
      </c>
      <c r="S104" s="10">
        <v>8026</v>
      </c>
      <c r="T104" s="10">
        <v>8887</v>
      </c>
      <c r="U104" s="10">
        <v>8196</v>
      </c>
      <c r="V104" s="10">
        <v>7534</v>
      </c>
      <c r="W104" s="10">
        <v>9166</v>
      </c>
      <c r="X104" s="10">
        <v>8127</v>
      </c>
      <c r="Y104" s="10">
        <v>8097</v>
      </c>
      <c r="Z104" s="10">
        <v>9628</v>
      </c>
      <c r="AA104" s="10">
        <v>10338</v>
      </c>
      <c r="AB104" s="26">
        <f t="shared" si="4"/>
        <v>101103</v>
      </c>
      <c r="AC104" s="25">
        <v>329.6</v>
      </c>
      <c r="AD104" s="10">
        <v>493.8</v>
      </c>
      <c r="AE104" s="10">
        <v>235.4</v>
      </c>
      <c r="AF104" s="10">
        <v>454.6</v>
      </c>
      <c r="AG104" s="10">
        <v>211</v>
      </c>
      <c r="AH104" s="10">
        <v>744.8</v>
      </c>
      <c r="AI104" s="10">
        <v>425.1</v>
      </c>
      <c r="AJ104" s="10">
        <v>170.5</v>
      </c>
      <c r="AK104" s="10">
        <v>757</v>
      </c>
      <c r="AL104" s="10">
        <v>345</v>
      </c>
      <c r="AM104" s="10">
        <v>315.29999999999995</v>
      </c>
      <c r="AN104" s="10">
        <v>559.4</v>
      </c>
      <c r="AO104" s="26">
        <f t="shared" si="5"/>
        <v>5041.4999999999991</v>
      </c>
    </row>
    <row r="105" spans="1:41" ht="17.25" customHeight="1" x14ac:dyDescent="0.45">
      <c r="A105" s="2" t="s">
        <v>46</v>
      </c>
      <c r="B105" s="2" t="s">
        <v>13</v>
      </c>
      <c r="C105" s="23">
        <v>1</v>
      </c>
      <c r="D105" s="1">
        <v>0</v>
      </c>
      <c r="E105" s="1">
        <v>2</v>
      </c>
      <c r="F105" s="1">
        <v>8</v>
      </c>
      <c r="G105" s="1">
        <v>9</v>
      </c>
      <c r="H105" s="1">
        <v>9</v>
      </c>
      <c r="I105" s="1">
        <v>13</v>
      </c>
      <c r="J105" s="1">
        <v>13</v>
      </c>
      <c r="K105" s="1">
        <v>9</v>
      </c>
      <c r="L105" s="1">
        <v>9</v>
      </c>
      <c r="M105" s="1">
        <v>8</v>
      </c>
      <c r="N105" s="1">
        <v>12</v>
      </c>
      <c r="O105" s="24">
        <f t="shared" si="3"/>
        <v>93</v>
      </c>
      <c r="P105" s="23">
        <v>175</v>
      </c>
      <c r="Q105" s="1">
        <v>0</v>
      </c>
      <c r="R105" s="1">
        <v>268</v>
      </c>
      <c r="S105" s="1">
        <v>1127</v>
      </c>
      <c r="T105" s="1">
        <v>1393</v>
      </c>
      <c r="U105" s="1">
        <v>1490</v>
      </c>
      <c r="V105" s="1">
        <v>1927</v>
      </c>
      <c r="W105" s="1">
        <v>2180</v>
      </c>
      <c r="X105" s="1">
        <v>1648</v>
      </c>
      <c r="Y105" s="1">
        <v>1479</v>
      </c>
      <c r="Z105" s="1">
        <v>1142</v>
      </c>
      <c r="AA105" s="1">
        <v>1470</v>
      </c>
      <c r="AB105" s="24">
        <f t="shared" si="4"/>
        <v>14299</v>
      </c>
      <c r="AC105" s="23">
        <v>0</v>
      </c>
      <c r="AD105" s="1">
        <v>0</v>
      </c>
      <c r="AE105" s="1">
        <v>0</v>
      </c>
      <c r="AF105" s="1">
        <v>0</v>
      </c>
      <c r="AG105" s="1">
        <v>0</v>
      </c>
      <c r="AH105" s="1">
        <v>0</v>
      </c>
      <c r="AI105" s="1">
        <v>0</v>
      </c>
      <c r="AJ105" s="1">
        <v>0</v>
      </c>
      <c r="AK105" s="1">
        <v>0</v>
      </c>
      <c r="AL105" s="1">
        <v>0</v>
      </c>
      <c r="AM105" s="1">
        <v>0</v>
      </c>
      <c r="AN105" s="1">
        <v>0</v>
      </c>
      <c r="AO105" s="24">
        <f t="shared" si="5"/>
        <v>0</v>
      </c>
    </row>
    <row r="106" spans="1:41" ht="17.25" customHeight="1" x14ac:dyDescent="0.45">
      <c r="A106" s="12" t="s">
        <v>21</v>
      </c>
      <c r="B106" s="12" t="s">
        <v>10</v>
      </c>
      <c r="C106" s="25">
        <v>13</v>
      </c>
      <c r="D106" s="10">
        <v>12</v>
      </c>
      <c r="E106" s="10">
        <v>14</v>
      </c>
      <c r="F106" s="10">
        <v>0</v>
      </c>
      <c r="G106" s="10">
        <v>0</v>
      </c>
      <c r="H106" s="10">
        <v>0</v>
      </c>
      <c r="I106" s="10">
        <v>0</v>
      </c>
      <c r="J106" s="10">
        <v>0</v>
      </c>
      <c r="K106" s="10">
        <v>0</v>
      </c>
      <c r="L106" s="10">
        <v>0</v>
      </c>
      <c r="M106" s="10">
        <v>0</v>
      </c>
      <c r="N106" s="10">
        <v>0</v>
      </c>
      <c r="O106" s="26">
        <f t="shared" si="3"/>
        <v>39</v>
      </c>
      <c r="P106" s="25">
        <v>1889</v>
      </c>
      <c r="Q106" s="10">
        <v>1552</v>
      </c>
      <c r="R106" s="10">
        <v>2118</v>
      </c>
      <c r="S106" s="10">
        <v>0</v>
      </c>
      <c r="T106" s="10">
        <v>0</v>
      </c>
      <c r="U106" s="10">
        <v>0</v>
      </c>
      <c r="V106" s="10">
        <v>0</v>
      </c>
      <c r="W106" s="10">
        <v>0</v>
      </c>
      <c r="X106" s="10">
        <v>0</v>
      </c>
      <c r="Y106" s="10">
        <v>0</v>
      </c>
      <c r="Z106" s="10">
        <v>0</v>
      </c>
      <c r="AA106" s="10">
        <v>0</v>
      </c>
      <c r="AB106" s="26">
        <f t="shared" si="4"/>
        <v>5559</v>
      </c>
      <c r="AC106" s="25">
        <v>0</v>
      </c>
      <c r="AD106" s="10">
        <v>0</v>
      </c>
      <c r="AE106" s="10">
        <v>0</v>
      </c>
      <c r="AF106" s="10">
        <v>0</v>
      </c>
      <c r="AG106" s="10">
        <v>0</v>
      </c>
      <c r="AH106" s="10">
        <v>0</v>
      </c>
      <c r="AI106" s="10">
        <v>0</v>
      </c>
      <c r="AJ106" s="10">
        <v>0</v>
      </c>
      <c r="AK106" s="10">
        <v>0</v>
      </c>
      <c r="AL106" s="10">
        <v>0</v>
      </c>
      <c r="AM106" s="10">
        <v>0</v>
      </c>
      <c r="AN106" s="10">
        <v>0</v>
      </c>
      <c r="AO106" s="26">
        <f t="shared" si="5"/>
        <v>0</v>
      </c>
    </row>
    <row r="107" spans="1:41" ht="17.25" customHeight="1" x14ac:dyDescent="0.45">
      <c r="A107" s="2" t="s">
        <v>21</v>
      </c>
      <c r="B107" s="2" t="s">
        <v>19</v>
      </c>
      <c r="C107" s="23">
        <v>17</v>
      </c>
      <c r="D107" s="1">
        <v>16</v>
      </c>
      <c r="E107" s="1">
        <v>11</v>
      </c>
      <c r="F107" s="1">
        <v>17</v>
      </c>
      <c r="G107" s="1">
        <v>16</v>
      </c>
      <c r="H107" s="1">
        <v>14</v>
      </c>
      <c r="I107" s="1">
        <v>13</v>
      </c>
      <c r="J107" s="1">
        <v>13</v>
      </c>
      <c r="K107" s="1">
        <v>7</v>
      </c>
      <c r="L107" s="1">
        <v>7</v>
      </c>
      <c r="M107" s="1">
        <v>18</v>
      </c>
      <c r="N107" s="1">
        <v>30</v>
      </c>
      <c r="O107" s="24">
        <f t="shared" si="3"/>
        <v>179</v>
      </c>
      <c r="P107" s="23">
        <v>510</v>
      </c>
      <c r="Q107" s="1">
        <v>443</v>
      </c>
      <c r="R107" s="1">
        <v>312</v>
      </c>
      <c r="S107" s="1">
        <v>517</v>
      </c>
      <c r="T107" s="1">
        <v>497</v>
      </c>
      <c r="U107" s="1">
        <v>436</v>
      </c>
      <c r="V107" s="1">
        <v>458</v>
      </c>
      <c r="W107" s="1">
        <v>407</v>
      </c>
      <c r="X107" s="1">
        <v>186</v>
      </c>
      <c r="Y107" s="1">
        <v>211</v>
      </c>
      <c r="Z107" s="1">
        <v>367</v>
      </c>
      <c r="AA107" s="1">
        <v>589</v>
      </c>
      <c r="AB107" s="24">
        <f t="shared" si="4"/>
        <v>4933</v>
      </c>
      <c r="AC107" s="23">
        <v>0</v>
      </c>
      <c r="AD107" s="1">
        <v>0</v>
      </c>
      <c r="AE107" s="1">
        <v>0</v>
      </c>
      <c r="AF107" s="1">
        <v>0</v>
      </c>
      <c r="AG107" s="1">
        <v>0</v>
      </c>
      <c r="AH107" s="1">
        <v>0</v>
      </c>
      <c r="AI107" s="1">
        <v>0</v>
      </c>
      <c r="AJ107" s="1">
        <v>0</v>
      </c>
      <c r="AK107" s="1">
        <v>0</v>
      </c>
      <c r="AL107" s="1">
        <v>0</v>
      </c>
      <c r="AM107" s="1">
        <v>0</v>
      </c>
      <c r="AN107" s="1">
        <v>0</v>
      </c>
      <c r="AO107" s="24">
        <f t="shared" si="5"/>
        <v>0</v>
      </c>
    </row>
    <row r="108" spans="1:41" ht="17.25" customHeight="1" x14ac:dyDescent="0.45">
      <c r="A108" s="12" t="s">
        <v>21</v>
      </c>
      <c r="B108" s="12" t="s">
        <v>20</v>
      </c>
      <c r="C108" s="25">
        <v>1</v>
      </c>
      <c r="D108" s="10">
        <v>0</v>
      </c>
      <c r="E108" s="10">
        <v>0</v>
      </c>
      <c r="F108" s="10">
        <v>0</v>
      </c>
      <c r="G108" s="10">
        <v>0</v>
      </c>
      <c r="H108" s="10">
        <v>0</v>
      </c>
      <c r="I108" s="10">
        <v>0</v>
      </c>
      <c r="J108" s="10">
        <v>0</v>
      </c>
      <c r="K108" s="10">
        <v>0</v>
      </c>
      <c r="L108" s="10">
        <v>0</v>
      </c>
      <c r="M108" s="10">
        <v>0</v>
      </c>
      <c r="N108" s="10">
        <v>0</v>
      </c>
      <c r="O108" s="26">
        <f t="shared" si="3"/>
        <v>1</v>
      </c>
      <c r="P108" s="25">
        <v>26</v>
      </c>
      <c r="Q108" s="10">
        <v>0</v>
      </c>
      <c r="R108" s="10">
        <v>0</v>
      </c>
      <c r="S108" s="10">
        <v>0</v>
      </c>
      <c r="T108" s="10">
        <v>0</v>
      </c>
      <c r="U108" s="10">
        <v>0</v>
      </c>
      <c r="V108" s="10">
        <v>0</v>
      </c>
      <c r="W108" s="10">
        <v>0</v>
      </c>
      <c r="X108" s="10">
        <v>0</v>
      </c>
      <c r="Y108" s="10">
        <v>0</v>
      </c>
      <c r="Z108" s="10">
        <v>0</v>
      </c>
      <c r="AA108" s="10">
        <v>0</v>
      </c>
      <c r="AB108" s="26">
        <f t="shared" si="4"/>
        <v>26</v>
      </c>
      <c r="AC108" s="25">
        <v>0</v>
      </c>
      <c r="AD108" s="10">
        <v>0</v>
      </c>
      <c r="AE108" s="10">
        <v>0</v>
      </c>
      <c r="AF108" s="10">
        <v>0</v>
      </c>
      <c r="AG108" s="10">
        <v>0</v>
      </c>
      <c r="AH108" s="10">
        <v>0</v>
      </c>
      <c r="AI108" s="10">
        <v>0</v>
      </c>
      <c r="AJ108" s="10">
        <v>0</v>
      </c>
      <c r="AK108" s="10">
        <v>0</v>
      </c>
      <c r="AL108" s="10">
        <v>0</v>
      </c>
      <c r="AM108" s="10">
        <v>0</v>
      </c>
      <c r="AN108" s="10">
        <v>0</v>
      </c>
      <c r="AO108" s="26">
        <f t="shared" si="5"/>
        <v>0</v>
      </c>
    </row>
    <row r="109" spans="1:41" ht="17.25" customHeight="1" x14ac:dyDescent="0.45">
      <c r="A109" s="2" t="s">
        <v>21</v>
      </c>
      <c r="B109" s="2" t="s">
        <v>11</v>
      </c>
      <c r="C109" s="23">
        <v>58</v>
      </c>
      <c r="D109" s="1">
        <v>50</v>
      </c>
      <c r="E109" s="1">
        <v>54</v>
      </c>
      <c r="F109" s="1">
        <v>95</v>
      </c>
      <c r="G109" s="1">
        <v>97</v>
      </c>
      <c r="H109" s="1">
        <v>95</v>
      </c>
      <c r="I109" s="1">
        <v>98</v>
      </c>
      <c r="J109" s="1">
        <v>97</v>
      </c>
      <c r="K109" s="1">
        <v>94</v>
      </c>
      <c r="L109" s="1">
        <v>98</v>
      </c>
      <c r="M109" s="1">
        <v>101</v>
      </c>
      <c r="N109" s="1">
        <v>105</v>
      </c>
      <c r="O109" s="24">
        <f t="shared" si="3"/>
        <v>1042</v>
      </c>
      <c r="P109" s="23">
        <v>10238</v>
      </c>
      <c r="Q109" s="1">
        <v>8534</v>
      </c>
      <c r="R109" s="1">
        <v>9123</v>
      </c>
      <c r="S109" s="1">
        <v>14665</v>
      </c>
      <c r="T109" s="1">
        <v>14570</v>
      </c>
      <c r="U109" s="1">
        <v>14169</v>
      </c>
      <c r="V109" s="1">
        <v>15344</v>
      </c>
      <c r="W109" s="1">
        <v>14134</v>
      </c>
      <c r="X109" s="1">
        <v>14584</v>
      </c>
      <c r="Y109" s="1">
        <v>16403</v>
      </c>
      <c r="Z109" s="1">
        <v>16782</v>
      </c>
      <c r="AA109" s="1">
        <v>17609</v>
      </c>
      <c r="AB109" s="24">
        <f t="shared" si="4"/>
        <v>166155</v>
      </c>
      <c r="AC109" s="23">
        <v>0</v>
      </c>
      <c r="AD109" s="1">
        <v>0</v>
      </c>
      <c r="AE109" s="1">
        <v>0</v>
      </c>
      <c r="AF109" s="1">
        <v>0</v>
      </c>
      <c r="AG109" s="1">
        <v>0</v>
      </c>
      <c r="AH109" s="1">
        <v>0</v>
      </c>
      <c r="AI109" s="1">
        <v>101</v>
      </c>
      <c r="AJ109" s="1">
        <v>0</v>
      </c>
      <c r="AK109" s="1">
        <v>0</v>
      </c>
      <c r="AL109" s="1">
        <v>0</v>
      </c>
      <c r="AM109" s="1">
        <v>1323</v>
      </c>
      <c r="AN109" s="1">
        <v>5083</v>
      </c>
      <c r="AO109" s="24">
        <f t="shared" si="5"/>
        <v>6507</v>
      </c>
    </row>
    <row r="110" spans="1:41" ht="17.25" customHeight="1" x14ac:dyDescent="0.45">
      <c r="A110" s="12" t="s">
        <v>21</v>
      </c>
      <c r="B110" s="12" t="s">
        <v>38</v>
      </c>
      <c r="C110" s="25">
        <v>32</v>
      </c>
      <c r="D110" s="10">
        <v>32</v>
      </c>
      <c r="E110" s="10">
        <v>27</v>
      </c>
      <c r="F110" s="10">
        <v>34</v>
      </c>
      <c r="G110" s="10">
        <v>32</v>
      </c>
      <c r="H110" s="10">
        <v>31</v>
      </c>
      <c r="I110" s="10">
        <v>32</v>
      </c>
      <c r="J110" s="10">
        <v>32</v>
      </c>
      <c r="K110" s="10">
        <v>23</v>
      </c>
      <c r="L110" s="10">
        <v>26</v>
      </c>
      <c r="M110" s="10">
        <v>35</v>
      </c>
      <c r="N110" s="10">
        <v>46</v>
      </c>
      <c r="O110" s="26">
        <f t="shared" si="3"/>
        <v>382</v>
      </c>
      <c r="P110" s="25">
        <v>528</v>
      </c>
      <c r="Q110" s="10">
        <v>535</v>
      </c>
      <c r="R110" s="10">
        <v>365</v>
      </c>
      <c r="S110" s="10">
        <v>482</v>
      </c>
      <c r="T110" s="10">
        <v>512</v>
      </c>
      <c r="U110" s="10">
        <v>414</v>
      </c>
      <c r="V110" s="10">
        <v>393</v>
      </c>
      <c r="W110" s="10">
        <v>387</v>
      </c>
      <c r="X110" s="10">
        <v>196</v>
      </c>
      <c r="Y110" s="10">
        <v>191</v>
      </c>
      <c r="Z110" s="10">
        <v>443</v>
      </c>
      <c r="AA110" s="10">
        <v>519</v>
      </c>
      <c r="AB110" s="26">
        <f t="shared" si="4"/>
        <v>4965</v>
      </c>
      <c r="AC110" s="25">
        <v>505</v>
      </c>
      <c r="AD110" s="10">
        <v>1616</v>
      </c>
      <c r="AE110" s="10">
        <v>404</v>
      </c>
      <c r="AF110" s="10">
        <v>505</v>
      </c>
      <c r="AG110" s="10">
        <v>404</v>
      </c>
      <c r="AH110" s="10">
        <v>505</v>
      </c>
      <c r="AI110" s="10">
        <v>505</v>
      </c>
      <c r="AJ110" s="10">
        <v>505</v>
      </c>
      <c r="AK110" s="10">
        <v>505</v>
      </c>
      <c r="AL110" s="10">
        <v>404</v>
      </c>
      <c r="AM110" s="10">
        <v>404</v>
      </c>
      <c r="AN110" s="10">
        <v>202</v>
      </c>
      <c r="AO110" s="26">
        <f t="shared" si="5"/>
        <v>6464</v>
      </c>
    </row>
    <row r="111" spans="1:41" ht="17.25" customHeight="1" x14ac:dyDescent="0.45">
      <c r="A111" s="2" t="s">
        <v>21</v>
      </c>
      <c r="B111" s="2" t="s">
        <v>47</v>
      </c>
      <c r="C111" s="23">
        <v>13</v>
      </c>
      <c r="D111" s="1">
        <v>9</v>
      </c>
      <c r="E111" s="1">
        <v>13</v>
      </c>
      <c r="F111" s="1">
        <v>13</v>
      </c>
      <c r="G111" s="1">
        <v>13</v>
      </c>
      <c r="H111" s="1">
        <v>16</v>
      </c>
      <c r="I111" s="1">
        <v>17</v>
      </c>
      <c r="J111" s="1">
        <v>18</v>
      </c>
      <c r="K111" s="1">
        <v>17</v>
      </c>
      <c r="L111" s="1">
        <v>18</v>
      </c>
      <c r="M111" s="1">
        <v>16</v>
      </c>
      <c r="N111" s="1">
        <v>21</v>
      </c>
      <c r="O111" s="24">
        <f t="shared" si="3"/>
        <v>184</v>
      </c>
      <c r="P111" s="23">
        <v>2671</v>
      </c>
      <c r="Q111" s="1">
        <v>1579</v>
      </c>
      <c r="R111" s="1">
        <v>2241</v>
      </c>
      <c r="S111" s="1">
        <v>2198</v>
      </c>
      <c r="T111" s="1">
        <v>2283</v>
      </c>
      <c r="U111" s="1">
        <v>2515</v>
      </c>
      <c r="V111" s="1">
        <v>2892</v>
      </c>
      <c r="W111" s="1">
        <v>2920</v>
      </c>
      <c r="X111" s="1">
        <v>1728</v>
      </c>
      <c r="Y111" s="1">
        <v>1914</v>
      </c>
      <c r="Z111" s="1">
        <v>1757</v>
      </c>
      <c r="AA111" s="1">
        <v>2270</v>
      </c>
      <c r="AB111" s="24">
        <f t="shared" si="4"/>
        <v>26968</v>
      </c>
      <c r="AC111" s="23">
        <v>0</v>
      </c>
      <c r="AD111" s="1">
        <v>0</v>
      </c>
      <c r="AE111" s="1">
        <v>0</v>
      </c>
      <c r="AF111" s="1">
        <v>0</v>
      </c>
      <c r="AG111" s="1">
        <v>0</v>
      </c>
      <c r="AH111" s="1">
        <v>0</v>
      </c>
      <c r="AI111" s="1">
        <v>0</v>
      </c>
      <c r="AJ111" s="1">
        <v>0</v>
      </c>
      <c r="AK111" s="1">
        <v>0</v>
      </c>
      <c r="AL111" s="1">
        <v>0</v>
      </c>
      <c r="AM111" s="1">
        <v>10</v>
      </c>
      <c r="AN111" s="1">
        <v>0</v>
      </c>
      <c r="AO111" s="24">
        <f t="shared" si="5"/>
        <v>10</v>
      </c>
    </row>
    <row r="112" spans="1:41" ht="17.25" customHeight="1" x14ac:dyDescent="0.45">
      <c r="A112" s="12" t="s">
        <v>21</v>
      </c>
      <c r="B112" s="12" t="s">
        <v>55</v>
      </c>
      <c r="C112" s="25">
        <v>3</v>
      </c>
      <c r="D112" s="10">
        <v>0</v>
      </c>
      <c r="E112" s="10">
        <v>0</v>
      </c>
      <c r="F112" s="10">
        <v>0</v>
      </c>
      <c r="G112" s="10">
        <v>0</v>
      </c>
      <c r="H112" s="10">
        <v>0</v>
      </c>
      <c r="I112" s="10">
        <v>0</v>
      </c>
      <c r="J112" s="10">
        <v>0</v>
      </c>
      <c r="K112" s="10">
        <v>0</v>
      </c>
      <c r="L112" s="10">
        <v>0</v>
      </c>
      <c r="M112" s="10">
        <v>0</v>
      </c>
      <c r="N112" s="10">
        <v>0</v>
      </c>
      <c r="O112" s="26">
        <f t="shared" si="3"/>
        <v>3</v>
      </c>
      <c r="P112" s="25">
        <v>100</v>
      </c>
      <c r="Q112" s="10">
        <v>0</v>
      </c>
      <c r="R112" s="10">
        <v>0</v>
      </c>
      <c r="S112" s="10">
        <v>0</v>
      </c>
      <c r="T112" s="10">
        <v>0</v>
      </c>
      <c r="U112" s="10">
        <v>0</v>
      </c>
      <c r="V112" s="10">
        <v>0</v>
      </c>
      <c r="W112" s="10">
        <v>0</v>
      </c>
      <c r="X112" s="10">
        <v>0</v>
      </c>
      <c r="Y112" s="10">
        <v>0</v>
      </c>
      <c r="Z112" s="10">
        <v>0</v>
      </c>
      <c r="AA112" s="10">
        <v>0</v>
      </c>
      <c r="AB112" s="26">
        <f t="shared" si="4"/>
        <v>100</v>
      </c>
      <c r="AC112" s="25">
        <v>0</v>
      </c>
      <c r="AD112" s="10">
        <v>0</v>
      </c>
      <c r="AE112" s="10">
        <v>0</v>
      </c>
      <c r="AF112" s="10">
        <v>0</v>
      </c>
      <c r="AG112" s="10">
        <v>0</v>
      </c>
      <c r="AH112" s="10">
        <v>0</v>
      </c>
      <c r="AI112" s="10">
        <v>0</v>
      </c>
      <c r="AJ112" s="10">
        <v>0</v>
      </c>
      <c r="AK112" s="10">
        <v>0</v>
      </c>
      <c r="AL112" s="10">
        <v>0</v>
      </c>
      <c r="AM112" s="10">
        <v>0</v>
      </c>
      <c r="AN112" s="10">
        <v>0</v>
      </c>
      <c r="AO112" s="26">
        <f t="shared" si="5"/>
        <v>0</v>
      </c>
    </row>
    <row r="113" spans="1:41" ht="17.25" customHeight="1" x14ac:dyDescent="0.45">
      <c r="A113" s="2" t="s">
        <v>21</v>
      </c>
      <c r="B113" s="2" t="s">
        <v>24</v>
      </c>
      <c r="C113" s="23">
        <v>24</v>
      </c>
      <c r="D113" s="1">
        <v>0</v>
      </c>
      <c r="E113" s="1">
        <v>0</v>
      </c>
      <c r="F113" s="1">
        <v>0</v>
      </c>
      <c r="G113" s="1">
        <v>0</v>
      </c>
      <c r="H113" s="1">
        <v>0</v>
      </c>
      <c r="I113" s="1">
        <v>0</v>
      </c>
      <c r="J113" s="1">
        <v>0</v>
      </c>
      <c r="K113" s="1">
        <v>0</v>
      </c>
      <c r="L113" s="1">
        <v>0</v>
      </c>
      <c r="M113" s="1">
        <v>0</v>
      </c>
      <c r="N113" s="1">
        <v>0</v>
      </c>
      <c r="O113" s="24">
        <f t="shared" si="3"/>
        <v>24</v>
      </c>
      <c r="P113" s="23">
        <v>5400</v>
      </c>
      <c r="Q113" s="1">
        <v>0</v>
      </c>
      <c r="R113" s="1">
        <v>0</v>
      </c>
      <c r="S113" s="1">
        <v>0</v>
      </c>
      <c r="T113" s="1">
        <v>0</v>
      </c>
      <c r="U113" s="1">
        <v>0</v>
      </c>
      <c r="V113" s="1">
        <v>0</v>
      </c>
      <c r="W113" s="1">
        <v>0</v>
      </c>
      <c r="X113" s="1">
        <v>0</v>
      </c>
      <c r="Y113" s="1">
        <v>0</v>
      </c>
      <c r="Z113" s="1">
        <v>0</v>
      </c>
      <c r="AA113" s="1">
        <v>0</v>
      </c>
      <c r="AB113" s="24">
        <f t="shared" si="4"/>
        <v>5400</v>
      </c>
      <c r="AC113" s="23">
        <v>0</v>
      </c>
      <c r="AD113" s="1">
        <v>0</v>
      </c>
      <c r="AE113" s="1">
        <v>0</v>
      </c>
      <c r="AF113" s="1">
        <v>0</v>
      </c>
      <c r="AG113" s="1">
        <v>0</v>
      </c>
      <c r="AH113" s="1">
        <v>0</v>
      </c>
      <c r="AI113" s="1">
        <v>0</v>
      </c>
      <c r="AJ113" s="1">
        <v>0</v>
      </c>
      <c r="AK113" s="1">
        <v>0</v>
      </c>
      <c r="AL113" s="1">
        <v>0</v>
      </c>
      <c r="AM113" s="1">
        <v>0</v>
      </c>
      <c r="AN113" s="1">
        <v>0</v>
      </c>
      <c r="AO113" s="24">
        <f t="shared" si="5"/>
        <v>0</v>
      </c>
    </row>
    <row r="114" spans="1:41" ht="17.25" customHeight="1" x14ac:dyDescent="0.45">
      <c r="A114" s="12" t="s">
        <v>21</v>
      </c>
      <c r="B114" s="12" t="s">
        <v>12</v>
      </c>
      <c r="C114" s="25">
        <v>142</v>
      </c>
      <c r="D114" s="10">
        <v>138</v>
      </c>
      <c r="E114" s="10">
        <v>143</v>
      </c>
      <c r="F114" s="10">
        <v>123</v>
      </c>
      <c r="G114" s="10">
        <v>125</v>
      </c>
      <c r="H114" s="10">
        <v>125</v>
      </c>
      <c r="I114" s="10">
        <v>123</v>
      </c>
      <c r="J114" s="10">
        <v>141</v>
      </c>
      <c r="K114" s="10">
        <v>110</v>
      </c>
      <c r="L114" s="10">
        <v>115</v>
      </c>
      <c r="M114" s="10">
        <v>106</v>
      </c>
      <c r="N114" s="10">
        <v>100</v>
      </c>
      <c r="O114" s="26">
        <f t="shared" si="3"/>
        <v>1491</v>
      </c>
      <c r="P114" s="25">
        <v>20580</v>
      </c>
      <c r="Q114" s="10">
        <v>22202</v>
      </c>
      <c r="R114" s="10">
        <v>23231</v>
      </c>
      <c r="S114" s="10">
        <v>17759</v>
      </c>
      <c r="T114" s="10">
        <v>18258</v>
      </c>
      <c r="U114" s="10">
        <v>16936</v>
      </c>
      <c r="V114" s="10">
        <v>19196</v>
      </c>
      <c r="W114" s="10">
        <v>19628</v>
      </c>
      <c r="X114" s="10">
        <v>15094</v>
      </c>
      <c r="Y114" s="10">
        <v>15343</v>
      </c>
      <c r="Z114" s="10">
        <v>15028</v>
      </c>
      <c r="AA114" s="10">
        <v>14314</v>
      </c>
      <c r="AB114" s="26">
        <f t="shared" si="4"/>
        <v>217569</v>
      </c>
      <c r="AC114" s="25">
        <v>44043</v>
      </c>
      <c r="AD114" s="10">
        <v>48941</v>
      </c>
      <c r="AE114" s="10">
        <v>48950</v>
      </c>
      <c r="AF114" s="10">
        <v>50428</v>
      </c>
      <c r="AG114" s="10">
        <v>51074</v>
      </c>
      <c r="AH114" s="10">
        <v>46587</v>
      </c>
      <c r="AI114" s="10">
        <v>54260</v>
      </c>
      <c r="AJ114" s="10">
        <v>41163</v>
      </c>
      <c r="AK114" s="10">
        <v>39837</v>
      </c>
      <c r="AL114" s="10">
        <v>48975</v>
      </c>
      <c r="AM114" s="10">
        <v>51277</v>
      </c>
      <c r="AN114" s="10">
        <v>57294</v>
      </c>
      <c r="AO114" s="26">
        <f t="shared" si="5"/>
        <v>582829</v>
      </c>
    </row>
    <row r="115" spans="1:41" ht="17.25" customHeight="1" x14ac:dyDescent="0.45">
      <c r="A115" s="2" t="s">
        <v>21</v>
      </c>
      <c r="B115" s="2" t="s">
        <v>13</v>
      </c>
      <c r="C115" s="23">
        <v>32</v>
      </c>
      <c r="D115" s="1">
        <v>29</v>
      </c>
      <c r="E115" s="1">
        <v>42</v>
      </c>
      <c r="F115" s="1">
        <v>30</v>
      </c>
      <c r="G115" s="1">
        <v>47</v>
      </c>
      <c r="H115" s="1">
        <v>41</v>
      </c>
      <c r="I115" s="1">
        <v>42</v>
      </c>
      <c r="J115" s="1">
        <v>31</v>
      </c>
      <c r="K115" s="1">
        <v>30</v>
      </c>
      <c r="L115" s="1">
        <v>31</v>
      </c>
      <c r="M115" s="1">
        <v>87</v>
      </c>
      <c r="N115" s="1">
        <v>90</v>
      </c>
      <c r="O115" s="24">
        <f t="shared" si="3"/>
        <v>532</v>
      </c>
      <c r="P115" s="23">
        <v>5903</v>
      </c>
      <c r="Q115" s="1">
        <v>4785</v>
      </c>
      <c r="R115" s="1">
        <v>6313</v>
      </c>
      <c r="S115" s="1">
        <v>5013</v>
      </c>
      <c r="T115" s="1">
        <v>6628</v>
      </c>
      <c r="U115" s="1">
        <v>5983</v>
      </c>
      <c r="V115" s="1">
        <v>7035</v>
      </c>
      <c r="W115" s="1">
        <v>5265</v>
      </c>
      <c r="X115" s="1">
        <v>4217</v>
      </c>
      <c r="Y115" s="1">
        <v>4400</v>
      </c>
      <c r="Z115" s="1">
        <v>10402</v>
      </c>
      <c r="AA115" s="1">
        <v>10424</v>
      </c>
      <c r="AB115" s="24">
        <f t="shared" si="4"/>
        <v>76368</v>
      </c>
      <c r="AC115" s="23">
        <v>0</v>
      </c>
      <c r="AD115" s="1">
        <v>0</v>
      </c>
      <c r="AE115" s="1">
        <v>0</v>
      </c>
      <c r="AF115" s="1">
        <v>0</v>
      </c>
      <c r="AG115" s="1">
        <v>0</v>
      </c>
      <c r="AH115" s="1">
        <v>0</v>
      </c>
      <c r="AI115" s="1">
        <v>0</v>
      </c>
      <c r="AJ115" s="1">
        <v>0</v>
      </c>
      <c r="AK115" s="1">
        <v>0</v>
      </c>
      <c r="AL115" s="1">
        <v>0</v>
      </c>
      <c r="AM115" s="1">
        <v>0</v>
      </c>
      <c r="AN115" s="1">
        <v>0</v>
      </c>
      <c r="AO115" s="24">
        <f t="shared" si="5"/>
        <v>0</v>
      </c>
    </row>
    <row r="116" spans="1:41" ht="17.25" customHeight="1" x14ac:dyDescent="0.45">
      <c r="A116" s="12" t="s">
        <v>21</v>
      </c>
      <c r="B116" s="12" t="s">
        <v>28</v>
      </c>
      <c r="C116" s="25">
        <v>2</v>
      </c>
      <c r="D116" s="10">
        <v>0</v>
      </c>
      <c r="E116" s="10">
        <v>0</v>
      </c>
      <c r="F116" s="10">
        <v>0</v>
      </c>
      <c r="G116" s="10">
        <v>0</v>
      </c>
      <c r="H116" s="10">
        <v>0</v>
      </c>
      <c r="I116" s="10">
        <v>0</v>
      </c>
      <c r="J116" s="10">
        <v>0</v>
      </c>
      <c r="K116" s="10">
        <v>0</v>
      </c>
      <c r="L116" s="10">
        <v>0</v>
      </c>
      <c r="M116" s="10">
        <v>0</v>
      </c>
      <c r="N116" s="10">
        <v>0</v>
      </c>
      <c r="O116" s="26">
        <f t="shared" si="3"/>
        <v>2</v>
      </c>
      <c r="P116" s="25">
        <v>258</v>
      </c>
      <c r="Q116" s="10">
        <v>0</v>
      </c>
      <c r="R116" s="10">
        <v>0</v>
      </c>
      <c r="S116" s="10">
        <v>0</v>
      </c>
      <c r="T116" s="10">
        <v>0</v>
      </c>
      <c r="U116" s="10">
        <v>0</v>
      </c>
      <c r="V116" s="10">
        <v>0</v>
      </c>
      <c r="W116" s="10">
        <v>0</v>
      </c>
      <c r="X116" s="10">
        <v>0</v>
      </c>
      <c r="Y116" s="10">
        <v>0</v>
      </c>
      <c r="Z116" s="10">
        <v>0</v>
      </c>
      <c r="AA116" s="10">
        <v>0</v>
      </c>
      <c r="AB116" s="26">
        <f t="shared" si="4"/>
        <v>258</v>
      </c>
      <c r="AC116" s="25">
        <v>0</v>
      </c>
      <c r="AD116" s="10">
        <v>0</v>
      </c>
      <c r="AE116" s="10">
        <v>0</v>
      </c>
      <c r="AF116" s="10">
        <v>0</v>
      </c>
      <c r="AG116" s="10">
        <v>0</v>
      </c>
      <c r="AH116" s="10">
        <v>0</v>
      </c>
      <c r="AI116" s="10">
        <v>0</v>
      </c>
      <c r="AJ116" s="10">
        <v>0</v>
      </c>
      <c r="AK116" s="10">
        <v>0</v>
      </c>
      <c r="AL116" s="10">
        <v>0</v>
      </c>
      <c r="AM116" s="10">
        <v>0</v>
      </c>
      <c r="AN116" s="10">
        <v>0</v>
      </c>
      <c r="AO116" s="26">
        <f t="shared" si="5"/>
        <v>0</v>
      </c>
    </row>
    <row r="117" spans="1:41" ht="17.25" customHeight="1" x14ac:dyDescent="0.45">
      <c r="A117" s="2" t="s">
        <v>21</v>
      </c>
      <c r="B117" s="2" t="s">
        <v>48</v>
      </c>
      <c r="C117" s="23">
        <v>53</v>
      </c>
      <c r="D117" s="1">
        <v>46</v>
      </c>
      <c r="E117" s="1">
        <v>49</v>
      </c>
      <c r="F117" s="1">
        <v>51</v>
      </c>
      <c r="G117" s="1">
        <v>62</v>
      </c>
      <c r="H117" s="1">
        <v>64</v>
      </c>
      <c r="I117" s="1">
        <v>70</v>
      </c>
      <c r="J117" s="1">
        <v>67</v>
      </c>
      <c r="K117" s="1">
        <v>59</v>
      </c>
      <c r="L117" s="1">
        <v>62</v>
      </c>
      <c r="M117" s="1">
        <v>59</v>
      </c>
      <c r="N117" s="1">
        <v>60</v>
      </c>
      <c r="O117" s="24">
        <f t="shared" si="3"/>
        <v>702</v>
      </c>
      <c r="P117" s="23">
        <v>10244</v>
      </c>
      <c r="Q117" s="1">
        <v>8003</v>
      </c>
      <c r="R117" s="1">
        <v>8193</v>
      </c>
      <c r="S117" s="1">
        <v>8082</v>
      </c>
      <c r="T117" s="1">
        <v>10082</v>
      </c>
      <c r="U117" s="1">
        <v>10198</v>
      </c>
      <c r="V117" s="1">
        <v>12451</v>
      </c>
      <c r="W117" s="1">
        <v>11468</v>
      </c>
      <c r="X117" s="1">
        <v>7109</v>
      </c>
      <c r="Y117" s="1">
        <v>7054</v>
      </c>
      <c r="Z117" s="1">
        <v>8212</v>
      </c>
      <c r="AA117" s="1">
        <v>7876</v>
      </c>
      <c r="AB117" s="24">
        <f t="shared" si="4"/>
        <v>108972</v>
      </c>
      <c r="AC117" s="23">
        <v>0</v>
      </c>
      <c r="AD117" s="1">
        <v>0</v>
      </c>
      <c r="AE117" s="1">
        <v>0</v>
      </c>
      <c r="AF117" s="1">
        <v>0</v>
      </c>
      <c r="AG117" s="1">
        <v>0</v>
      </c>
      <c r="AH117" s="1">
        <v>0</v>
      </c>
      <c r="AI117" s="1">
        <v>0</v>
      </c>
      <c r="AJ117" s="1">
        <v>0</v>
      </c>
      <c r="AK117" s="1">
        <v>0</v>
      </c>
      <c r="AL117" s="1">
        <v>0</v>
      </c>
      <c r="AM117" s="1">
        <v>0</v>
      </c>
      <c r="AN117" s="1">
        <v>0</v>
      </c>
      <c r="AO117" s="24">
        <f t="shared" si="5"/>
        <v>0</v>
      </c>
    </row>
    <row r="118" spans="1:41" ht="17.25" customHeight="1" x14ac:dyDescent="0.45">
      <c r="A118" s="12" t="s">
        <v>21</v>
      </c>
      <c r="B118" s="12" t="s">
        <v>30</v>
      </c>
      <c r="C118" s="25">
        <v>17</v>
      </c>
      <c r="D118" s="10">
        <v>15</v>
      </c>
      <c r="E118" s="10">
        <v>15</v>
      </c>
      <c r="F118" s="10">
        <v>17</v>
      </c>
      <c r="G118" s="10">
        <v>17</v>
      </c>
      <c r="H118" s="10">
        <v>16</v>
      </c>
      <c r="I118" s="10">
        <v>18</v>
      </c>
      <c r="J118" s="10">
        <v>17</v>
      </c>
      <c r="K118" s="10">
        <v>14</v>
      </c>
      <c r="L118" s="10">
        <v>19</v>
      </c>
      <c r="M118" s="10">
        <v>13</v>
      </c>
      <c r="N118" s="10">
        <v>15</v>
      </c>
      <c r="O118" s="26">
        <f t="shared" si="3"/>
        <v>193</v>
      </c>
      <c r="P118" s="25">
        <v>0</v>
      </c>
      <c r="Q118" s="10">
        <v>0</v>
      </c>
      <c r="R118" s="10">
        <v>0</v>
      </c>
      <c r="S118" s="10">
        <v>0</v>
      </c>
      <c r="T118" s="10">
        <v>0</v>
      </c>
      <c r="U118" s="10">
        <v>0</v>
      </c>
      <c r="V118" s="10">
        <v>0</v>
      </c>
      <c r="W118" s="10">
        <v>0</v>
      </c>
      <c r="X118" s="10">
        <v>0</v>
      </c>
      <c r="Y118" s="10">
        <v>0</v>
      </c>
      <c r="Z118" s="10">
        <v>0</v>
      </c>
      <c r="AA118" s="10">
        <v>0</v>
      </c>
      <c r="AB118" s="26">
        <f t="shared" si="4"/>
        <v>0</v>
      </c>
      <c r="AC118" s="25">
        <v>76788</v>
      </c>
      <c r="AD118" s="10">
        <v>76170</v>
      </c>
      <c r="AE118" s="10">
        <v>68300</v>
      </c>
      <c r="AF118" s="10">
        <v>76340</v>
      </c>
      <c r="AG118" s="10">
        <v>72550</v>
      </c>
      <c r="AH118" s="10">
        <v>66476</v>
      </c>
      <c r="AI118" s="10">
        <v>80376</v>
      </c>
      <c r="AJ118" s="10">
        <v>77141</v>
      </c>
      <c r="AK118" s="10">
        <v>60393</v>
      </c>
      <c r="AL118" s="10">
        <v>91289</v>
      </c>
      <c r="AM118" s="10">
        <v>59804</v>
      </c>
      <c r="AN118" s="10">
        <v>76272</v>
      </c>
      <c r="AO118" s="26">
        <f t="shared" si="5"/>
        <v>881899</v>
      </c>
    </row>
    <row r="119" spans="1:41" ht="17.25" customHeight="1" x14ac:dyDescent="0.45">
      <c r="A119" s="2" t="s">
        <v>21</v>
      </c>
      <c r="B119" s="2" t="s">
        <v>14</v>
      </c>
      <c r="C119" s="23">
        <v>9</v>
      </c>
      <c r="D119" s="1">
        <v>9</v>
      </c>
      <c r="E119" s="1">
        <v>8</v>
      </c>
      <c r="F119" s="1">
        <v>51</v>
      </c>
      <c r="G119" s="1">
        <v>52</v>
      </c>
      <c r="H119" s="1">
        <v>51</v>
      </c>
      <c r="I119" s="1">
        <v>53</v>
      </c>
      <c r="J119" s="1">
        <v>52</v>
      </c>
      <c r="K119" s="1">
        <v>51</v>
      </c>
      <c r="L119" s="1">
        <v>53</v>
      </c>
      <c r="M119" s="1">
        <v>52</v>
      </c>
      <c r="N119" s="1">
        <v>32</v>
      </c>
      <c r="O119" s="24">
        <f t="shared" si="3"/>
        <v>473</v>
      </c>
      <c r="P119" s="23">
        <v>1441</v>
      </c>
      <c r="Q119" s="1">
        <v>1528</v>
      </c>
      <c r="R119" s="1">
        <v>1058</v>
      </c>
      <c r="S119" s="1">
        <v>6568</v>
      </c>
      <c r="T119" s="1">
        <v>6306</v>
      </c>
      <c r="U119" s="1">
        <v>5909</v>
      </c>
      <c r="V119" s="1">
        <v>8161</v>
      </c>
      <c r="W119" s="1">
        <v>6825</v>
      </c>
      <c r="X119" s="1">
        <v>6606</v>
      </c>
      <c r="Y119" s="1">
        <v>6538</v>
      </c>
      <c r="Z119" s="1">
        <v>7175</v>
      </c>
      <c r="AA119" s="1">
        <v>4960</v>
      </c>
      <c r="AB119" s="24">
        <f t="shared" si="4"/>
        <v>63075</v>
      </c>
      <c r="AC119" s="23">
        <v>0</v>
      </c>
      <c r="AD119" s="1">
        <v>0</v>
      </c>
      <c r="AE119" s="1">
        <v>0</v>
      </c>
      <c r="AF119" s="1">
        <v>0</v>
      </c>
      <c r="AG119" s="1">
        <v>0</v>
      </c>
      <c r="AH119" s="1">
        <v>0</v>
      </c>
      <c r="AI119" s="1">
        <v>0</v>
      </c>
      <c r="AJ119" s="1">
        <v>0</v>
      </c>
      <c r="AK119" s="1">
        <v>0</v>
      </c>
      <c r="AL119" s="1">
        <v>0</v>
      </c>
      <c r="AM119" s="1">
        <v>0</v>
      </c>
      <c r="AN119" s="1">
        <v>0</v>
      </c>
      <c r="AO119" s="24">
        <f t="shared" si="5"/>
        <v>0</v>
      </c>
    </row>
    <row r="120" spans="1:41" ht="17.25" customHeight="1" x14ac:dyDescent="0.45">
      <c r="A120" s="12" t="s">
        <v>21</v>
      </c>
      <c r="B120" s="12" t="s">
        <v>15</v>
      </c>
      <c r="C120" s="25">
        <v>152</v>
      </c>
      <c r="D120" s="10">
        <v>115</v>
      </c>
      <c r="E120" s="10">
        <v>136</v>
      </c>
      <c r="F120" s="10">
        <v>205</v>
      </c>
      <c r="G120" s="10">
        <v>222</v>
      </c>
      <c r="H120" s="10">
        <v>213</v>
      </c>
      <c r="I120" s="10">
        <v>237</v>
      </c>
      <c r="J120" s="10">
        <v>223</v>
      </c>
      <c r="K120" s="10">
        <v>199</v>
      </c>
      <c r="L120" s="10">
        <v>218</v>
      </c>
      <c r="M120" s="10">
        <v>217</v>
      </c>
      <c r="N120" s="10">
        <v>219</v>
      </c>
      <c r="O120" s="26">
        <f t="shared" si="3"/>
        <v>2356</v>
      </c>
      <c r="P120" s="25">
        <v>34066</v>
      </c>
      <c r="Q120" s="10">
        <v>25554</v>
      </c>
      <c r="R120" s="10">
        <v>28667</v>
      </c>
      <c r="S120" s="10">
        <v>39395</v>
      </c>
      <c r="T120" s="10">
        <v>42245</v>
      </c>
      <c r="U120" s="10">
        <v>39736</v>
      </c>
      <c r="V120" s="10">
        <v>46192</v>
      </c>
      <c r="W120" s="10">
        <v>41877</v>
      </c>
      <c r="X120" s="10">
        <v>34079</v>
      </c>
      <c r="Y120" s="10">
        <v>36521</v>
      </c>
      <c r="Z120" s="10">
        <v>38548</v>
      </c>
      <c r="AA120" s="10">
        <v>37276</v>
      </c>
      <c r="AB120" s="26">
        <f t="shared" si="4"/>
        <v>444156</v>
      </c>
      <c r="AC120" s="25">
        <v>0</v>
      </c>
      <c r="AD120" s="10">
        <v>0</v>
      </c>
      <c r="AE120" s="10">
        <v>0</v>
      </c>
      <c r="AF120" s="10">
        <v>0</v>
      </c>
      <c r="AG120" s="10">
        <v>0</v>
      </c>
      <c r="AH120" s="10">
        <v>0</v>
      </c>
      <c r="AI120" s="10">
        <v>0</v>
      </c>
      <c r="AJ120" s="10">
        <v>0</v>
      </c>
      <c r="AK120" s="10">
        <v>0</v>
      </c>
      <c r="AL120" s="10">
        <v>0</v>
      </c>
      <c r="AM120" s="10">
        <v>0</v>
      </c>
      <c r="AN120" s="10">
        <v>0</v>
      </c>
      <c r="AO120" s="26">
        <f t="shared" si="5"/>
        <v>0</v>
      </c>
    </row>
    <row r="121" spans="1:41" ht="17.25" customHeight="1" x14ac:dyDescent="0.45">
      <c r="A121" s="2" t="s">
        <v>22</v>
      </c>
      <c r="B121" s="2" t="s">
        <v>9</v>
      </c>
      <c r="C121" s="23">
        <v>2</v>
      </c>
      <c r="D121" s="1">
        <v>0</v>
      </c>
      <c r="E121" s="1">
        <v>0</v>
      </c>
      <c r="F121" s="1">
        <v>0</v>
      </c>
      <c r="G121" s="1">
        <v>0</v>
      </c>
      <c r="H121" s="1">
        <v>0</v>
      </c>
      <c r="I121" s="1">
        <v>0</v>
      </c>
      <c r="J121" s="1">
        <v>0</v>
      </c>
      <c r="K121" s="1">
        <v>0</v>
      </c>
      <c r="L121" s="1">
        <v>0</v>
      </c>
      <c r="M121" s="1">
        <v>0</v>
      </c>
      <c r="N121" s="1">
        <v>0</v>
      </c>
      <c r="O121" s="24">
        <f t="shared" si="3"/>
        <v>2</v>
      </c>
      <c r="P121" s="23">
        <v>76</v>
      </c>
      <c r="Q121" s="1">
        <v>0</v>
      </c>
      <c r="R121" s="1">
        <v>0</v>
      </c>
      <c r="S121" s="1">
        <v>0</v>
      </c>
      <c r="T121" s="1">
        <v>0</v>
      </c>
      <c r="U121" s="1">
        <v>0</v>
      </c>
      <c r="V121" s="1">
        <v>0</v>
      </c>
      <c r="W121" s="1">
        <v>0</v>
      </c>
      <c r="X121" s="1">
        <v>0</v>
      </c>
      <c r="Y121" s="1">
        <v>0</v>
      </c>
      <c r="Z121" s="1">
        <v>0</v>
      </c>
      <c r="AA121" s="1">
        <v>0</v>
      </c>
      <c r="AB121" s="24">
        <f t="shared" si="4"/>
        <v>76</v>
      </c>
      <c r="AC121" s="23">
        <v>0</v>
      </c>
      <c r="AD121" s="1">
        <v>0</v>
      </c>
      <c r="AE121" s="1">
        <v>0</v>
      </c>
      <c r="AF121" s="1">
        <v>0</v>
      </c>
      <c r="AG121" s="1">
        <v>0</v>
      </c>
      <c r="AH121" s="1">
        <v>0</v>
      </c>
      <c r="AI121" s="1">
        <v>0</v>
      </c>
      <c r="AJ121" s="1">
        <v>0</v>
      </c>
      <c r="AK121" s="1">
        <v>0</v>
      </c>
      <c r="AL121" s="1">
        <v>0</v>
      </c>
      <c r="AM121" s="1">
        <v>0</v>
      </c>
      <c r="AN121" s="1">
        <v>0</v>
      </c>
      <c r="AO121" s="24">
        <f t="shared" si="5"/>
        <v>0</v>
      </c>
    </row>
    <row r="122" spans="1:41" ht="17.25" customHeight="1" x14ac:dyDescent="0.45">
      <c r="A122" s="12" t="s">
        <v>22</v>
      </c>
      <c r="B122" s="12" t="s">
        <v>10</v>
      </c>
      <c r="C122" s="25">
        <v>89</v>
      </c>
      <c r="D122" s="10">
        <v>79</v>
      </c>
      <c r="E122" s="10">
        <v>81</v>
      </c>
      <c r="F122" s="10">
        <v>74</v>
      </c>
      <c r="G122" s="10">
        <v>76</v>
      </c>
      <c r="H122" s="10">
        <v>70</v>
      </c>
      <c r="I122" s="10">
        <v>73</v>
      </c>
      <c r="J122" s="10">
        <v>75</v>
      </c>
      <c r="K122" s="10">
        <v>73</v>
      </c>
      <c r="L122" s="10">
        <v>80</v>
      </c>
      <c r="M122" s="10">
        <v>77</v>
      </c>
      <c r="N122" s="10">
        <v>89</v>
      </c>
      <c r="O122" s="26">
        <f t="shared" si="3"/>
        <v>936</v>
      </c>
      <c r="P122" s="25">
        <v>16107</v>
      </c>
      <c r="Q122" s="10">
        <v>13755</v>
      </c>
      <c r="R122" s="10">
        <v>13734</v>
      </c>
      <c r="S122" s="10">
        <v>13238</v>
      </c>
      <c r="T122" s="10">
        <v>14181</v>
      </c>
      <c r="U122" s="10">
        <v>12767</v>
      </c>
      <c r="V122" s="10">
        <v>13539</v>
      </c>
      <c r="W122" s="10">
        <v>14015</v>
      </c>
      <c r="X122" s="10">
        <v>13595</v>
      </c>
      <c r="Y122" s="10">
        <v>14305</v>
      </c>
      <c r="Z122" s="10">
        <v>13052</v>
      </c>
      <c r="AA122" s="10">
        <v>14259</v>
      </c>
      <c r="AB122" s="26">
        <f t="shared" si="4"/>
        <v>166547</v>
      </c>
      <c r="AC122" s="25">
        <v>11828.900000000001</v>
      </c>
      <c r="AD122" s="10">
        <v>8214.5</v>
      </c>
      <c r="AE122" s="10">
        <v>16426.100000000002</v>
      </c>
      <c r="AF122" s="10">
        <v>10443.900000000001</v>
      </c>
      <c r="AG122" s="10">
        <v>5100</v>
      </c>
      <c r="AH122" s="10">
        <v>2774.2000000000003</v>
      </c>
      <c r="AI122" s="10">
        <v>4259.5</v>
      </c>
      <c r="AJ122" s="10">
        <v>3213.5</v>
      </c>
      <c r="AK122" s="10">
        <v>2423.7000000000003</v>
      </c>
      <c r="AL122" s="10">
        <v>3787</v>
      </c>
      <c r="AM122" s="10">
        <v>3779.2000000000003</v>
      </c>
      <c r="AN122" s="10">
        <v>6326</v>
      </c>
      <c r="AO122" s="26">
        <f t="shared" si="5"/>
        <v>78576.499999999985</v>
      </c>
    </row>
    <row r="123" spans="1:41" ht="17.25" customHeight="1" x14ac:dyDescent="0.45">
      <c r="A123" s="2" t="s">
        <v>22</v>
      </c>
      <c r="B123" s="2" t="s">
        <v>19</v>
      </c>
      <c r="C123" s="23">
        <v>0</v>
      </c>
      <c r="D123" s="1">
        <v>0</v>
      </c>
      <c r="E123" s="1">
        <v>0</v>
      </c>
      <c r="F123" s="1">
        <v>0</v>
      </c>
      <c r="G123" s="1">
        <v>0</v>
      </c>
      <c r="H123" s="1">
        <v>0</v>
      </c>
      <c r="I123" s="1">
        <v>0</v>
      </c>
      <c r="J123" s="1">
        <v>0</v>
      </c>
      <c r="K123" s="1">
        <v>0</v>
      </c>
      <c r="L123" s="1">
        <v>0</v>
      </c>
      <c r="M123" s="1">
        <v>30</v>
      </c>
      <c r="N123" s="1">
        <v>30</v>
      </c>
      <c r="O123" s="24">
        <f t="shared" si="3"/>
        <v>60</v>
      </c>
      <c r="P123" s="23">
        <v>0</v>
      </c>
      <c r="Q123" s="1">
        <v>0</v>
      </c>
      <c r="R123" s="1">
        <v>0</v>
      </c>
      <c r="S123" s="1">
        <v>0</v>
      </c>
      <c r="T123" s="1">
        <v>0</v>
      </c>
      <c r="U123" s="1">
        <v>0</v>
      </c>
      <c r="V123" s="1">
        <v>0</v>
      </c>
      <c r="W123" s="1">
        <v>0</v>
      </c>
      <c r="X123" s="1">
        <v>0</v>
      </c>
      <c r="Y123" s="1">
        <v>0</v>
      </c>
      <c r="Z123" s="1">
        <v>882</v>
      </c>
      <c r="AA123" s="1">
        <v>774</v>
      </c>
      <c r="AB123" s="24">
        <f t="shared" si="4"/>
        <v>1656</v>
      </c>
      <c r="AC123" s="23">
        <v>0</v>
      </c>
      <c r="AD123" s="1">
        <v>0</v>
      </c>
      <c r="AE123" s="1">
        <v>0</v>
      </c>
      <c r="AF123" s="1">
        <v>0</v>
      </c>
      <c r="AG123" s="1">
        <v>0</v>
      </c>
      <c r="AH123" s="1">
        <v>0</v>
      </c>
      <c r="AI123" s="1">
        <v>0</v>
      </c>
      <c r="AJ123" s="1">
        <v>0</v>
      </c>
      <c r="AK123" s="1">
        <v>0</v>
      </c>
      <c r="AL123" s="1">
        <v>0</v>
      </c>
      <c r="AM123" s="1">
        <v>0</v>
      </c>
      <c r="AN123" s="1">
        <v>0</v>
      </c>
      <c r="AO123" s="24">
        <f t="shared" si="5"/>
        <v>0</v>
      </c>
    </row>
    <row r="124" spans="1:41" ht="17.25" customHeight="1" x14ac:dyDescent="0.45">
      <c r="A124" s="12" t="s">
        <v>22</v>
      </c>
      <c r="B124" s="12" t="s">
        <v>20</v>
      </c>
      <c r="C124" s="25">
        <v>23</v>
      </c>
      <c r="D124" s="10">
        <v>21</v>
      </c>
      <c r="E124" s="10">
        <v>28</v>
      </c>
      <c r="F124" s="10">
        <v>30</v>
      </c>
      <c r="G124" s="10">
        <v>31</v>
      </c>
      <c r="H124" s="10">
        <v>27</v>
      </c>
      <c r="I124" s="10">
        <v>31</v>
      </c>
      <c r="J124" s="10">
        <v>31</v>
      </c>
      <c r="K124" s="10">
        <v>30</v>
      </c>
      <c r="L124" s="10">
        <v>31</v>
      </c>
      <c r="M124" s="10">
        <v>30</v>
      </c>
      <c r="N124" s="10">
        <v>31</v>
      </c>
      <c r="O124" s="26">
        <f t="shared" si="3"/>
        <v>344</v>
      </c>
      <c r="P124" s="25">
        <v>4182</v>
      </c>
      <c r="Q124" s="10">
        <v>3772</v>
      </c>
      <c r="R124" s="10">
        <v>4927</v>
      </c>
      <c r="S124" s="10">
        <v>5245</v>
      </c>
      <c r="T124" s="10">
        <v>5389</v>
      </c>
      <c r="U124" s="10">
        <v>4763</v>
      </c>
      <c r="V124" s="10">
        <v>5549</v>
      </c>
      <c r="W124" s="10">
        <v>5535</v>
      </c>
      <c r="X124" s="10">
        <v>5325</v>
      </c>
      <c r="Y124" s="10">
        <v>5404</v>
      </c>
      <c r="Z124" s="10">
        <v>4878</v>
      </c>
      <c r="AA124" s="10">
        <v>4849</v>
      </c>
      <c r="AB124" s="26">
        <f t="shared" si="4"/>
        <v>59818</v>
      </c>
      <c r="AC124" s="25">
        <v>0</v>
      </c>
      <c r="AD124" s="10">
        <v>0</v>
      </c>
      <c r="AE124" s="10">
        <v>0</v>
      </c>
      <c r="AF124" s="10">
        <v>0</v>
      </c>
      <c r="AG124" s="10">
        <v>0</v>
      </c>
      <c r="AH124" s="10">
        <v>0</v>
      </c>
      <c r="AI124" s="10">
        <v>0</v>
      </c>
      <c r="AJ124" s="10">
        <v>0</v>
      </c>
      <c r="AK124" s="10">
        <v>0</v>
      </c>
      <c r="AL124" s="10">
        <v>0</v>
      </c>
      <c r="AM124" s="10">
        <v>0</v>
      </c>
      <c r="AN124" s="10">
        <v>0</v>
      </c>
      <c r="AO124" s="26">
        <f t="shared" si="5"/>
        <v>0</v>
      </c>
    </row>
    <row r="125" spans="1:41" ht="17.25" customHeight="1" x14ac:dyDescent="0.45">
      <c r="A125" s="2" t="s">
        <v>22</v>
      </c>
      <c r="B125" s="2" t="s">
        <v>38</v>
      </c>
      <c r="C125" s="23">
        <v>2</v>
      </c>
      <c r="D125" s="1">
        <v>0</v>
      </c>
      <c r="E125" s="1">
        <v>0</v>
      </c>
      <c r="F125" s="1">
        <v>9</v>
      </c>
      <c r="G125" s="1">
        <v>9</v>
      </c>
      <c r="H125" s="1">
        <v>8</v>
      </c>
      <c r="I125" s="1">
        <v>9</v>
      </c>
      <c r="J125" s="1">
        <v>9</v>
      </c>
      <c r="K125" s="1">
        <v>9</v>
      </c>
      <c r="L125" s="1">
        <v>8</v>
      </c>
      <c r="M125" s="1">
        <v>9</v>
      </c>
      <c r="N125" s="1">
        <v>11</v>
      </c>
      <c r="O125" s="24">
        <f t="shared" si="3"/>
        <v>83</v>
      </c>
      <c r="P125" s="23">
        <v>276</v>
      </c>
      <c r="Q125" s="1">
        <v>0</v>
      </c>
      <c r="R125" s="1">
        <v>0</v>
      </c>
      <c r="S125" s="1">
        <v>1556</v>
      </c>
      <c r="T125" s="1">
        <v>1512</v>
      </c>
      <c r="U125" s="1">
        <v>1283</v>
      </c>
      <c r="V125" s="1">
        <v>1545</v>
      </c>
      <c r="W125" s="1">
        <v>1457</v>
      </c>
      <c r="X125" s="1">
        <v>1410</v>
      </c>
      <c r="Y125" s="1">
        <v>1333</v>
      </c>
      <c r="Z125" s="1">
        <v>1524</v>
      </c>
      <c r="AA125" s="1">
        <v>1758</v>
      </c>
      <c r="AB125" s="24">
        <f t="shared" si="4"/>
        <v>13654</v>
      </c>
      <c r="AC125" s="23">
        <v>0</v>
      </c>
      <c r="AD125" s="1">
        <v>0</v>
      </c>
      <c r="AE125" s="1">
        <v>0</v>
      </c>
      <c r="AF125" s="1">
        <v>79</v>
      </c>
      <c r="AG125" s="1">
        <v>157</v>
      </c>
      <c r="AH125" s="1">
        <v>179</v>
      </c>
      <c r="AI125" s="1">
        <v>638.5</v>
      </c>
      <c r="AJ125" s="1">
        <v>536</v>
      </c>
      <c r="AK125" s="1">
        <v>837</v>
      </c>
      <c r="AL125" s="1">
        <v>404</v>
      </c>
      <c r="AM125" s="1">
        <v>457.3</v>
      </c>
      <c r="AN125" s="1">
        <v>405</v>
      </c>
      <c r="AO125" s="24">
        <f t="shared" si="5"/>
        <v>3692.8</v>
      </c>
    </row>
    <row r="126" spans="1:41" ht="17.25" customHeight="1" x14ac:dyDescent="0.45">
      <c r="A126" s="12" t="s">
        <v>22</v>
      </c>
      <c r="B126" s="12" t="s">
        <v>52</v>
      </c>
      <c r="C126" s="25">
        <v>2</v>
      </c>
      <c r="D126" s="10">
        <v>0</v>
      </c>
      <c r="E126" s="10">
        <v>0</v>
      </c>
      <c r="F126" s="10">
        <v>0</v>
      </c>
      <c r="G126" s="10">
        <v>0</v>
      </c>
      <c r="H126" s="10">
        <v>0</v>
      </c>
      <c r="I126" s="10">
        <v>0</v>
      </c>
      <c r="J126" s="10">
        <v>0</v>
      </c>
      <c r="K126" s="10">
        <v>0</v>
      </c>
      <c r="L126" s="10">
        <v>0</v>
      </c>
      <c r="M126" s="10">
        <v>0</v>
      </c>
      <c r="N126" s="10">
        <v>0</v>
      </c>
      <c r="O126" s="26">
        <f t="shared" si="3"/>
        <v>2</v>
      </c>
      <c r="P126" s="25">
        <v>144</v>
      </c>
      <c r="Q126" s="10">
        <v>0</v>
      </c>
      <c r="R126" s="10">
        <v>0</v>
      </c>
      <c r="S126" s="10">
        <v>0</v>
      </c>
      <c r="T126" s="10">
        <v>0</v>
      </c>
      <c r="U126" s="10">
        <v>0</v>
      </c>
      <c r="V126" s="10">
        <v>0</v>
      </c>
      <c r="W126" s="10">
        <v>0</v>
      </c>
      <c r="X126" s="10">
        <v>0</v>
      </c>
      <c r="Y126" s="10">
        <v>0</v>
      </c>
      <c r="Z126" s="10">
        <v>0</v>
      </c>
      <c r="AA126" s="10">
        <v>0</v>
      </c>
      <c r="AB126" s="26">
        <f t="shared" si="4"/>
        <v>144</v>
      </c>
      <c r="AC126" s="25">
        <v>0</v>
      </c>
      <c r="AD126" s="10">
        <v>0</v>
      </c>
      <c r="AE126" s="10">
        <v>0</v>
      </c>
      <c r="AF126" s="10">
        <v>0</v>
      </c>
      <c r="AG126" s="10">
        <v>0</v>
      </c>
      <c r="AH126" s="10">
        <v>0</v>
      </c>
      <c r="AI126" s="10">
        <v>0</v>
      </c>
      <c r="AJ126" s="10">
        <v>0</v>
      </c>
      <c r="AK126" s="10">
        <v>0</v>
      </c>
      <c r="AL126" s="10">
        <v>0</v>
      </c>
      <c r="AM126" s="10">
        <v>0</v>
      </c>
      <c r="AN126" s="10">
        <v>0</v>
      </c>
      <c r="AO126" s="26">
        <f t="shared" si="5"/>
        <v>0</v>
      </c>
    </row>
    <row r="127" spans="1:41" ht="17.25" customHeight="1" x14ac:dyDescent="0.45">
      <c r="A127" s="2" t="s">
        <v>22</v>
      </c>
      <c r="B127" s="2" t="s">
        <v>47</v>
      </c>
      <c r="C127" s="23">
        <v>2</v>
      </c>
      <c r="D127" s="1">
        <v>0</v>
      </c>
      <c r="E127" s="1">
        <v>0</v>
      </c>
      <c r="F127" s="1">
        <v>0</v>
      </c>
      <c r="G127" s="1">
        <v>0</v>
      </c>
      <c r="H127" s="1">
        <v>0</v>
      </c>
      <c r="I127" s="1">
        <v>0</v>
      </c>
      <c r="J127" s="1">
        <v>0</v>
      </c>
      <c r="K127" s="1">
        <v>0</v>
      </c>
      <c r="L127" s="1">
        <v>0</v>
      </c>
      <c r="M127" s="1">
        <v>0</v>
      </c>
      <c r="N127" s="1">
        <v>0</v>
      </c>
      <c r="O127" s="24">
        <f t="shared" si="3"/>
        <v>2</v>
      </c>
      <c r="P127" s="23">
        <v>224</v>
      </c>
      <c r="Q127" s="1">
        <v>0</v>
      </c>
      <c r="R127" s="1">
        <v>0</v>
      </c>
      <c r="S127" s="1">
        <v>0</v>
      </c>
      <c r="T127" s="1">
        <v>0</v>
      </c>
      <c r="U127" s="1">
        <v>0</v>
      </c>
      <c r="V127" s="1">
        <v>0</v>
      </c>
      <c r="W127" s="1">
        <v>0</v>
      </c>
      <c r="X127" s="1">
        <v>0</v>
      </c>
      <c r="Y127" s="1">
        <v>0</v>
      </c>
      <c r="Z127" s="1">
        <v>0</v>
      </c>
      <c r="AA127" s="1">
        <v>0</v>
      </c>
      <c r="AB127" s="24">
        <f t="shared" si="4"/>
        <v>224</v>
      </c>
      <c r="AC127" s="23">
        <v>13.5</v>
      </c>
      <c r="AD127" s="1">
        <v>0</v>
      </c>
      <c r="AE127" s="1">
        <v>0</v>
      </c>
      <c r="AF127" s="1">
        <v>0</v>
      </c>
      <c r="AG127" s="1">
        <v>0</v>
      </c>
      <c r="AH127" s="1">
        <v>0</v>
      </c>
      <c r="AI127" s="1">
        <v>0</v>
      </c>
      <c r="AJ127" s="1">
        <v>0</v>
      </c>
      <c r="AK127" s="1">
        <v>0</v>
      </c>
      <c r="AL127" s="1">
        <v>0</v>
      </c>
      <c r="AM127" s="1">
        <v>0</v>
      </c>
      <c r="AN127" s="1">
        <v>0</v>
      </c>
      <c r="AO127" s="24">
        <f t="shared" si="5"/>
        <v>13.5</v>
      </c>
    </row>
    <row r="128" spans="1:41" ht="17.25" customHeight="1" x14ac:dyDescent="0.45">
      <c r="A128" s="12" t="s">
        <v>22</v>
      </c>
      <c r="B128" s="12" t="s">
        <v>39</v>
      </c>
      <c r="C128" s="25">
        <v>2</v>
      </c>
      <c r="D128" s="10">
        <v>0</v>
      </c>
      <c r="E128" s="10">
        <v>0</v>
      </c>
      <c r="F128" s="10">
        <v>0</v>
      </c>
      <c r="G128" s="10">
        <v>0</v>
      </c>
      <c r="H128" s="10">
        <v>0</v>
      </c>
      <c r="I128" s="10">
        <v>0</v>
      </c>
      <c r="J128" s="10">
        <v>0</v>
      </c>
      <c r="K128" s="10">
        <v>0</v>
      </c>
      <c r="L128" s="10">
        <v>0</v>
      </c>
      <c r="M128" s="10">
        <v>0</v>
      </c>
      <c r="N128" s="10">
        <v>0</v>
      </c>
      <c r="O128" s="26">
        <f t="shared" si="3"/>
        <v>2</v>
      </c>
      <c r="P128" s="25">
        <v>172</v>
      </c>
      <c r="Q128" s="10">
        <v>0</v>
      </c>
      <c r="R128" s="10">
        <v>0</v>
      </c>
      <c r="S128" s="10">
        <v>0</v>
      </c>
      <c r="T128" s="10">
        <v>0</v>
      </c>
      <c r="U128" s="10">
        <v>0</v>
      </c>
      <c r="V128" s="10">
        <v>0</v>
      </c>
      <c r="W128" s="10">
        <v>0</v>
      </c>
      <c r="X128" s="10">
        <v>0</v>
      </c>
      <c r="Y128" s="10">
        <v>0</v>
      </c>
      <c r="Z128" s="10">
        <v>0</v>
      </c>
      <c r="AA128" s="10">
        <v>0</v>
      </c>
      <c r="AB128" s="26">
        <f t="shared" si="4"/>
        <v>172</v>
      </c>
      <c r="AC128" s="25">
        <v>0</v>
      </c>
      <c r="AD128" s="10">
        <v>0</v>
      </c>
      <c r="AE128" s="10">
        <v>0</v>
      </c>
      <c r="AF128" s="10">
        <v>0</v>
      </c>
      <c r="AG128" s="10">
        <v>0</v>
      </c>
      <c r="AH128" s="10">
        <v>0</v>
      </c>
      <c r="AI128" s="10">
        <v>0</v>
      </c>
      <c r="AJ128" s="10">
        <v>0</v>
      </c>
      <c r="AK128" s="10">
        <v>0</v>
      </c>
      <c r="AL128" s="10">
        <v>0</v>
      </c>
      <c r="AM128" s="10">
        <v>0</v>
      </c>
      <c r="AN128" s="10">
        <v>0</v>
      </c>
      <c r="AO128" s="26">
        <f t="shared" si="5"/>
        <v>0</v>
      </c>
    </row>
    <row r="129" spans="1:41" ht="17.25" customHeight="1" x14ac:dyDescent="0.45">
      <c r="A129" s="2" t="s">
        <v>22</v>
      </c>
      <c r="B129" s="2" t="s">
        <v>40</v>
      </c>
      <c r="C129" s="23">
        <v>2</v>
      </c>
      <c r="D129" s="1">
        <v>0</v>
      </c>
      <c r="E129" s="1">
        <v>0</v>
      </c>
      <c r="F129" s="1">
        <v>9</v>
      </c>
      <c r="G129" s="1">
        <v>8</v>
      </c>
      <c r="H129" s="1">
        <v>9</v>
      </c>
      <c r="I129" s="1">
        <v>9</v>
      </c>
      <c r="J129" s="1">
        <v>9</v>
      </c>
      <c r="K129" s="1">
        <v>8</v>
      </c>
      <c r="L129" s="1">
        <v>10</v>
      </c>
      <c r="M129" s="1">
        <v>11</v>
      </c>
      <c r="N129" s="1">
        <v>9</v>
      </c>
      <c r="O129" s="24">
        <f t="shared" si="3"/>
        <v>84</v>
      </c>
      <c r="P129" s="23">
        <v>189</v>
      </c>
      <c r="Q129" s="1">
        <v>0</v>
      </c>
      <c r="R129" s="1">
        <v>0</v>
      </c>
      <c r="S129" s="1">
        <v>1050</v>
      </c>
      <c r="T129" s="1">
        <v>823</v>
      </c>
      <c r="U129" s="1">
        <v>902</v>
      </c>
      <c r="V129" s="1">
        <v>992</v>
      </c>
      <c r="W129" s="1">
        <v>863</v>
      </c>
      <c r="X129" s="1">
        <v>932</v>
      </c>
      <c r="Y129" s="1">
        <v>956</v>
      </c>
      <c r="Z129" s="1">
        <v>1103</v>
      </c>
      <c r="AA129" s="1">
        <v>1085</v>
      </c>
      <c r="AB129" s="24">
        <f t="shared" si="4"/>
        <v>8895</v>
      </c>
      <c r="AC129" s="23">
        <v>536.9</v>
      </c>
      <c r="AD129" s="1">
        <v>0</v>
      </c>
      <c r="AE129" s="1">
        <v>0</v>
      </c>
      <c r="AF129" s="1">
        <v>0</v>
      </c>
      <c r="AG129" s="1">
        <v>0</v>
      </c>
      <c r="AH129" s="1">
        <v>0</v>
      </c>
      <c r="AI129" s="1">
        <v>0</v>
      </c>
      <c r="AJ129" s="1">
        <v>0</v>
      </c>
      <c r="AK129" s="1">
        <v>0</v>
      </c>
      <c r="AL129" s="1">
        <v>0</v>
      </c>
      <c r="AM129" s="1">
        <v>0</v>
      </c>
      <c r="AN129" s="1">
        <v>0</v>
      </c>
      <c r="AO129" s="24">
        <f t="shared" si="5"/>
        <v>536.9</v>
      </c>
    </row>
    <row r="130" spans="1:41" ht="17.25" customHeight="1" x14ac:dyDescent="0.45">
      <c r="A130" s="12" t="s">
        <v>22</v>
      </c>
      <c r="B130" s="12" t="s">
        <v>23</v>
      </c>
      <c r="C130" s="25">
        <v>18</v>
      </c>
      <c r="D130" s="10">
        <v>17</v>
      </c>
      <c r="E130" s="10">
        <v>18</v>
      </c>
      <c r="F130" s="10">
        <v>18</v>
      </c>
      <c r="G130" s="10">
        <v>17</v>
      </c>
      <c r="H130" s="10">
        <v>18</v>
      </c>
      <c r="I130" s="10">
        <v>17</v>
      </c>
      <c r="J130" s="10">
        <v>18</v>
      </c>
      <c r="K130" s="10">
        <v>17</v>
      </c>
      <c r="L130" s="10">
        <v>22</v>
      </c>
      <c r="M130" s="10">
        <v>21</v>
      </c>
      <c r="N130" s="10">
        <v>23</v>
      </c>
      <c r="O130" s="26">
        <f t="shared" si="3"/>
        <v>224</v>
      </c>
      <c r="P130" s="25">
        <v>2907</v>
      </c>
      <c r="Q130" s="10">
        <v>2518</v>
      </c>
      <c r="R130" s="10">
        <v>2844</v>
      </c>
      <c r="S130" s="10">
        <v>2544</v>
      </c>
      <c r="T130" s="10">
        <v>2181</v>
      </c>
      <c r="U130" s="10">
        <v>2337</v>
      </c>
      <c r="V130" s="10">
        <v>2480</v>
      </c>
      <c r="W130" s="10">
        <v>2576</v>
      </c>
      <c r="X130" s="10">
        <v>2465</v>
      </c>
      <c r="Y130" s="10">
        <v>3104</v>
      </c>
      <c r="Z130" s="10">
        <v>3326</v>
      </c>
      <c r="AA130" s="10">
        <v>3292</v>
      </c>
      <c r="AB130" s="26">
        <f t="shared" si="4"/>
        <v>32574</v>
      </c>
      <c r="AC130" s="25">
        <v>394.1</v>
      </c>
      <c r="AD130" s="10">
        <v>1152</v>
      </c>
      <c r="AE130" s="10">
        <v>3028.5</v>
      </c>
      <c r="AF130" s="10">
        <v>1459.5</v>
      </c>
      <c r="AG130" s="10">
        <v>459</v>
      </c>
      <c r="AH130" s="10">
        <v>212</v>
      </c>
      <c r="AI130" s="10">
        <v>427</v>
      </c>
      <c r="AJ130" s="10">
        <v>310.60000000000002</v>
      </c>
      <c r="AK130" s="10">
        <v>274</v>
      </c>
      <c r="AL130" s="10">
        <v>892</v>
      </c>
      <c r="AM130" s="10">
        <v>1075</v>
      </c>
      <c r="AN130" s="10">
        <v>1330.5</v>
      </c>
      <c r="AO130" s="26">
        <f t="shared" si="5"/>
        <v>11014.2</v>
      </c>
    </row>
    <row r="131" spans="1:41" ht="17.25" customHeight="1" x14ac:dyDescent="0.45">
      <c r="A131" s="2" t="s">
        <v>22</v>
      </c>
      <c r="B131" s="2" t="s">
        <v>24</v>
      </c>
      <c r="C131" s="23">
        <v>18</v>
      </c>
      <c r="D131" s="1">
        <v>17</v>
      </c>
      <c r="E131" s="1">
        <v>17</v>
      </c>
      <c r="F131" s="1">
        <v>9</v>
      </c>
      <c r="G131" s="1">
        <v>9</v>
      </c>
      <c r="H131" s="1">
        <v>8</v>
      </c>
      <c r="I131" s="1">
        <v>9</v>
      </c>
      <c r="J131" s="1">
        <v>9</v>
      </c>
      <c r="K131" s="1">
        <v>9</v>
      </c>
      <c r="L131" s="1">
        <v>9</v>
      </c>
      <c r="M131" s="1">
        <v>8</v>
      </c>
      <c r="N131" s="1">
        <v>12</v>
      </c>
      <c r="O131" s="24">
        <f t="shared" si="3"/>
        <v>134</v>
      </c>
      <c r="P131" s="23">
        <v>3093</v>
      </c>
      <c r="Q131" s="1">
        <v>2920</v>
      </c>
      <c r="R131" s="1">
        <v>2900</v>
      </c>
      <c r="S131" s="1">
        <v>1569</v>
      </c>
      <c r="T131" s="1">
        <v>1494</v>
      </c>
      <c r="U131" s="1">
        <v>1191</v>
      </c>
      <c r="V131" s="1">
        <v>1479</v>
      </c>
      <c r="W131" s="1">
        <v>1532</v>
      </c>
      <c r="X131" s="1">
        <v>1486</v>
      </c>
      <c r="Y131" s="1">
        <v>1547</v>
      </c>
      <c r="Z131" s="1">
        <v>1328</v>
      </c>
      <c r="AA131" s="1">
        <v>1792</v>
      </c>
      <c r="AB131" s="24">
        <f t="shared" si="4"/>
        <v>22331</v>
      </c>
      <c r="AC131" s="23">
        <v>3414</v>
      </c>
      <c r="AD131" s="1">
        <v>590.5</v>
      </c>
      <c r="AE131" s="1">
        <v>2769</v>
      </c>
      <c r="AF131" s="1">
        <v>380.5</v>
      </c>
      <c r="AG131" s="1">
        <v>611</v>
      </c>
      <c r="AH131" s="1">
        <v>342.5</v>
      </c>
      <c r="AI131" s="1">
        <v>571.5</v>
      </c>
      <c r="AJ131" s="1">
        <v>1578.5</v>
      </c>
      <c r="AK131" s="1">
        <v>954.7</v>
      </c>
      <c r="AL131" s="1">
        <v>1882</v>
      </c>
      <c r="AM131" s="1">
        <v>1913</v>
      </c>
      <c r="AN131" s="1">
        <v>1267.5</v>
      </c>
      <c r="AO131" s="24">
        <f t="shared" si="5"/>
        <v>16274.7</v>
      </c>
    </row>
    <row r="132" spans="1:41" ht="17.25" customHeight="1" x14ac:dyDescent="0.45">
      <c r="A132" s="12" t="s">
        <v>22</v>
      </c>
      <c r="B132" s="12" t="s">
        <v>12</v>
      </c>
      <c r="C132" s="25">
        <v>155</v>
      </c>
      <c r="D132" s="10">
        <v>162</v>
      </c>
      <c r="E132" s="10">
        <v>155</v>
      </c>
      <c r="F132" s="10">
        <v>203</v>
      </c>
      <c r="G132" s="10">
        <v>203</v>
      </c>
      <c r="H132" s="10">
        <v>176</v>
      </c>
      <c r="I132" s="10">
        <v>154</v>
      </c>
      <c r="J132" s="10">
        <v>163</v>
      </c>
      <c r="K132" s="10">
        <v>160</v>
      </c>
      <c r="L132" s="10">
        <v>165</v>
      </c>
      <c r="M132" s="10">
        <v>144</v>
      </c>
      <c r="N132" s="10">
        <v>138</v>
      </c>
      <c r="O132" s="26">
        <f t="shared" si="3"/>
        <v>1978</v>
      </c>
      <c r="P132" s="25">
        <v>13760</v>
      </c>
      <c r="Q132" s="10">
        <v>14154</v>
      </c>
      <c r="R132" s="10">
        <v>15598</v>
      </c>
      <c r="S132" s="10">
        <v>16441</v>
      </c>
      <c r="T132" s="10">
        <v>16518</v>
      </c>
      <c r="U132" s="10">
        <v>15121</v>
      </c>
      <c r="V132" s="10">
        <v>14556</v>
      </c>
      <c r="W132" s="10">
        <v>15650</v>
      </c>
      <c r="X132" s="10">
        <v>15543</v>
      </c>
      <c r="Y132" s="10">
        <v>15837</v>
      </c>
      <c r="Z132" s="10">
        <v>15239</v>
      </c>
      <c r="AA132" s="10">
        <v>12694</v>
      </c>
      <c r="AB132" s="26">
        <f t="shared" si="4"/>
        <v>181111</v>
      </c>
      <c r="AC132" s="25">
        <v>7620</v>
      </c>
      <c r="AD132" s="10">
        <v>8176</v>
      </c>
      <c r="AE132" s="10">
        <v>7811</v>
      </c>
      <c r="AF132" s="10">
        <v>7798</v>
      </c>
      <c r="AG132" s="10">
        <v>7214</v>
      </c>
      <c r="AH132" s="10">
        <v>5426</v>
      </c>
      <c r="AI132" s="10">
        <v>9986</v>
      </c>
      <c r="AJ132" s="10">
        <v>5961</v>
      </c>
      <c r="AK132" s="10">
        <v>7430</v>
      </c>
      <c r="AL132" s="10">
        <v>9988</v>
      </c>
      <c r="AM132" s="10">
        <v>7970</v>
      </c>
      <c r="AN132" s="10">
        <v>17094</v>
      </c>
      <c r="AO132" s="26">
        <f t="shared" si="5"/>
        <v>102474</v>
      </c>
    </row>
    <row r="133" spans="1:41" ht="17.25" customHeight="1" x14ac:dyDescent="0.45">
      <c r="A133" s="2" t="s">
        <v>22</v>
      </c>
      <c r="B133" s="2" t="s">
        <v>13</v>
      </c>
      <c r="C133" s="23">
        <v>79</v>
      </c>
      <c r="D133" s="1">
        <v>66</v>
      </c>
      <c r="E133" s="1">
        <v>71</v>
      </c>
      <c r="F133" s="1">
        <v>69</v>
      </c>
      <c r="G133" s="1">
        <v>74</v>
      </c>
      <c r="H133" s="1">
        <v>68</v>
      </c>
      <c r="I133" s="1">
        <v>67</v>
      </c>
      <c r="J133" s="1">
        <v>69</v>
      </c>
      <c r="K133" s="1">
        <v>68</v>
      </c>
      <c r="L133" s="1">
        <v>74</v>
      </c>
      <c r="M133" s="1">
        <v>89</v>
      </c>
      <c r="N133" s="1">
        <v>89</v>
      </c>
      <c r="O133" s="24">
        <f t="shared" si="3"/>
        <v>883</v>
      </c>
      <c r="P133" s="23">
        <v>12041</v>
      </c>
      <c r="Q133" s="1">
        <v>9828</v>
      </c>
      <c r="R133" s="1">
        <v>9973</v>
      </c>
      <c r="S133" s="1">
        <v>9879</v>
      </c>
      <c r="T133" s="1">
        <v>10548</v>
      </c>
      <c r="U133" s="1">
        <v>9977</v>
      </c>
      <c r="V133" s="1">
        <v>10561</v>
      </c>
      <c r="W133" s="1">
        <v>11016</v>
      </c>
      <c r="X133" s="1">
        <v>10739</v>
      </c>
      <c r="Y133" s="1">
        <v>11435</v>
      </c>
      <c r="Z133" s="1">
        <v>13518</v>
      </c>
      <c r="AA133" s="1">
        <v>12160</v>
      </c>
      <c r="AB133" s="24">
        <f t="shared" si="4"/>
        <v>131675</v>
      </c>
      <c r="AC133" s="23">
        <v>0</v>
      </c>
      <c r="AD133" s="1">
        <v>0</v>
      </c>
      <c r="AE133" s="1">
        <v>0</v>
      </c>
      <c r="AF133" s="1">
        <v>0</v>
      </c>
      <c r="AG133" s="1">
        <v>0</v>
      </c>
      <c r="AH133" s="1">
        <v>0</v>
      </c>
      <c r="AI133" s="1">
        <v>0</v>
      </c>
      <c r="AJ133" s="1">
        <v>0</v>
      </c>
      <c r="AK133" s="1">
        <v>0</v>
      </c>
      <c r="AL133" s="1">
        <v>0</v>
      </c>
      <c r="AM133" s="1">
        <v>0</v>
      </c>
      <c r="AN133" s="1">
        <v>0</v>
      </c>
      <c r="AO133" s="24">
        <f t="shared" si="5"/>
        <v>0</v>
      </c>
    </row>
    <row r="134" spans="1:41" ht="17.25" customHeight="1" x14ac:dyDescent="0.45">
      <c r="A134" s="12" t="s">
        <v>22</v>
      </c>
      <c r="B134" s="12" t="s">
        <v>26</v>
      </c>
      <c r="C134" s="25">
        <v>2</v>
      </c>
      <c r="D134" s="10">
        <v>0</v>
      </c>
      <c r="E134" s="10">
        <v>0</v>
      </c>
      <c r="F134" s="10">
        <v>0</v>
      </c>
      <c r="G134" s="10">
        <v>0</v>
      </c>
      <c r="H134" s="10">
        <v>0</v>
      </c>
      <c r="I134" s="10">
        <v>0</v>
      </c>
      <c r="J134" s="10">
        <v>0</v>
      </c>
      <c r="K134" s="10">
        <v>0</v>
      </c>
      <c r="L134" s="10">
        <v>0</v>
      </c>
      <c r="M134" s="10">
        <v>0</v>
      </c>
      <c r="N134" s="10">
        <v>0</v>
      </c>
      <c r="O134" s="26">
        <f t="shared" si="3"/>
        <v>2</v>
      </c>
      <c r="P134" s="25">
        <v>236</v>
      </c>
      <c r="Q134" s="10">
        <v>0</v>
      </c>
      <c r="R134" s="10">
        <v>0</v>
      </c>
      <c r="S134" s="10">
        <v>0</v>
      </c>
      <c r="T134" s="10">
        <v>0</v>
      </c>
      <c r="U134" s="10">
        <v>0</v>
      </c>
      <c r="V134" s="10">
        <v>0</v>
      </c>
      <c r="W134" s="10">
        <v>0</v>
      </c>
      <c r="X134" s="10">
        <v>0</v>
      </c>
      <c r="Y134" s="10">
        <v>0</v>
      </c>
      <c r="Z134" s="10">
        <v>0</v>
      </c>
      <c r="AA134" s="10">
        <v>0</v>
      </c>
      <c r="AB134" s="26">
        <f t="shared" si="4"/>
        <v>236</v>
      </c>
      <c r="AC134" s="25">
        <v>0</v>
      </c>
      <c r="AD134" s="10">
        <v>0</v>
      </c>
      <c r="AE134" s="10">
        <v>0</v>
      </c>
      <c r="AF134" s="10">
        <v>0</v>
      </c>
      <c r="AG134" s="10">
        <v>0</v>
      </c>
      <c r="AH134" s="10">
        <v>0</v>
      </c>
      <c r="AI134" s="10">
        <v>0</v>
      </c>
      <c r="AJ134" s="10">
        <v>0</v>
      </c>
      <c r="AK134" s="10">
        <v>0</v>
      </c>
      <c r="AL134" s="10">
        <v>0</v>
      </c>
      <c r="AM134" s="10">
        <v>0</v>
      </c>
      <c r="AN134" s="10">
        <v>0</v>
      </c>
      <c r="AO134" s="26">
        <f t="shared" si="5"/>
        <v>0</v>
      </c>
    </row>
    <row r="135" spans="1:41" ht="17.25" customHeight="1" x14ac:dyDescent="0.45">
      <c r="A135" s="2" t="s">
        <v>22</v>
      </c>
      <c r="B135" s="2" t="s">
        <v>17</v>
      </c>
      <c r="C135" s="23">
        <v>33</v>
      </c>
      <c r="D135" s="1">
        <v>29</v>
      </c>
      <c r="E135" s="1">
        <v>32</v>
      </c>
      <c r="F135" s="1">
        <v>38</v>
      </c>
      <c r="G135" s="1">
        <v>40</v>
      </c>
      <c r="H135" s="1">
        <v>37</v>
      </c>
      <c r="I135" s="1">
        <v>39</v>
      </c>
      <c r="J135" s="1">
        <v>40</v>
      </c>
      <c r="K135" s="1">
        <v>39</v>
      </c>
      <c r="L135" s="1">
        <v>41</v>
      </c>
      <c r="M135" s="1">
        <v>42</v>
      </c>
      <c r="N135" s="1">
        <v>48</v>
      </c>
      <c r="O135" s="24">
        <f t="shared" si="3"/>
        <v>458</v>
      </c>
      <c r="P135" s="23">
        <v>4837</v>
      </c>
      <c r="Q135" s="1">
        <v>4274</v>
      </c>
      <c r="R135" s="1">
        <v>5114</v>
      </c>
      <c r="S135" s="1">
        <v>5440</v>
      </c>
      <c r="T135" s="1">
        <v>6217</v>
      </c>
      <c r="U135" s="1">
        <v>5649</v>
      </c>
      <c r="V135" s="1">
        <v>5709</v>
      </c>
      <c r="W135" s="1">
        <v>5401</v>
      </c>
      <c r="X135" s="1">
        <v>5688</v>
      </c>
      <c r="Y135" s="1">
        <v>5443</v>
      </c>
      <c r="Z135" s="1">
        <v>5593</v>
      </c>
      <c r="AA135" s="1">
        <v>5919</v>
      </c>
      <c r="AB135" s="24">
        <f t="shared" si="4"/>
        <v>65284</v>
      </c>
      <c r="AC135" s="23">
        <v>89</v>
      </c>
      <c r="AD135" s="1">
        <v>862.3</v>
      </c>
      <c r="AE135" s="1">
        <v>407</v>
      </c>
      <c r="AF135" s="1">
        <v>584</v>
      </c>
      <c r="AG135" s="1">
        <v>90</v>
      </c>
      <c r="AH135" s="1">
        <v>45</v>
      </c>
      <c r="AI135" s="1">
        <v>3</v>
      </c>
      <c r="AJ135" s="1">
        <v>291</v>
      </c>
      <c r="AK135" s="1">
        <v>292.5</v>
      </c>
      <c r="AL135" s="1">
        <v>170</v>
      </c>
      <c r="AM135" s="1">
        <v>350</v>
      </c>
      <c r="AN135" s="1">
        <v>254</v>
      </c>
      <c r="AO135" s="24">
        <f t="shared" si="5"/>
        <v>3437.8</v>
      </c>
    </row>
    <row r="136" spans="1:41" ht="17.25" customHeight="1" x14ac:dyDescent="0.45">
      <c r="A136" s="12" t="s">
        <v>22</v>
      </c>
      <c r="B136" s="12" t="s">
        <v>48</v>
      </c>
      <c r="C136" s="25">
        <v>26</v>
      </c>
      <c r="D136" s="10">
        <v>25</v>
      </c>
      <c r="E136" s="10">
        <v>28</v>
      </c>
      <c r="F136" s="10">
        <v>12</v>
      </c>
      <c r="G136" s="10">
        <v>14</v>
      </c>
      <c r="H136" s="10">
        <v>13</v>
      </c>
      <c r="I136" s="10">
        <v>13</v>
      </c>
      <c r="J136" s="10">
        <v>13</v>
      </c>
      <c r="K136" s="10">
        <v>13</v>
      </c>
      <c r="L136" s="10">
        <v>13</v>
      </c>
      <c r="M136" s="10">
        <v>18</v>
      </c>
      <c r="N136" s="10">
        <v>18</v>
      </c>
      <c r="O136" s="26">
        <f t="shared" ref="O136:O199" si="6">SUM(C136:N136)</f>
        <v>206</v>
      </c>
      <c r="P136" s="25">
        <v>4292</v>
      </c>
      <c r="Q136" s="10">
        <v>3936</v>
      </c>
      <c r="R136" s="10">
        <v>4288</v>
      </c>
      <c r="S136" s="10">
        <v>1872</v>
      </c>
      <c r="T136" s="10">
        <v>2241</v>
      </c>
      <c r="U136" s="10">
        <v>2040</v>
      </c>
      <c r="V136" s="10">
        <v>2093</v>
      </c>
      <c r="W136" s="10">
        <v>1991</v>
      </c>
      <c r="X136" s="10">
        <v>1877</v>
      </c>
      <c r="Y136" s="10">
        <v>1903</v>
      </c>
      <c r="Z136" s="10">
        <v>2324</v>
      </c>
      <c r="AA136" s="10">
        <v>2369</v>
      </c>
      <c r="AB136" s="26">
        <f t="shared" ref="AB136:AB199" si="7">SUM(P136:AA136)</f>
        <v>31226</v>
      </c>
      <c r="AC136" s="25">
        <v>558.20000000000005</v>
      </c>
      <c r="AD136" s="10">
        <v>1021.6</v>
      </c>
      <c r="AE136" s="10">
        <v>510.5</v>
      </c>
      <c r="AF136" s="10">
        <v>889</v>
      </c>
      <c r="AG136" s="10">
        <v>479</v>
      </c>
      <c r="AH136" s="10">
        <v>373</v>
      </c>
      <c r="AI136" s="10">
        <v>174.5</v>
      </c>
      <c r="AJ136" s="10">
        <v>90</v>
      </c>
      <c r="AK136" s="10">
        <v>81.5</v>
      </c>
      <c r="AL136" s="10">
        <v>1003</v>
      </c>
      <c r="AM136" s="10">
        <v>281</v>
      </c>
      <c r="AN136" s="10">
        <v>401.5</v>
      </c>
      <c r="AO136" s="26">
        <f t="shared" ref="AO136:AO199" si="8">SUM(AC136:AN136)</f>
        <v>5862.8</v>
      </c>
    </row>
    <row r="137" spans="1:41" ht="17.25" customHeight="1" x14ac:dyDescent="0.45">
      <c r="A137" s="2" t="s">
        <v>22</v>
      </c>
      <c r="B137" s="2" t="s">
        <v>14</v>
      </c>
      <c r="C137" s="23">
        <v>7</v>
      </c>
      <c r="D137" s="1">
        <v>0</v>
      </c>
      <c r="E137" s="1">
        <v>0</v>
      </c>
      <c r="F137" s="1">
        <v>0</v>
      </c>
      <c r="G137" s="1">
        <v>0</v>
      </c>
      <c r="H137" s="1">
        <v>0</v>
      </c>
      <c r="I137" s="1">
        <v>0</v>
      </c>
      <c r="J137" s="1">
        <v>0</v>
      </c>
      <c r="K137" s="1">
        <v>0</v>
      </c>
      <c r="L137" s="1">
        <v>30</v>
      </c>
      <c r="M137" s="1">
        <v>30</v>
      </c>
      <c r="N137" s="1">
        <v>30</v>
      </c>
      <c r="O137" s="24">
        <f t="shared" si="6"/>
        <v>97</v>
      </c>
      <c r="P137" s="23">
        <v>422</v>
      </c>
      <c r="Q137" s="1">
        <v>0</v>
      </c>
      <c r="R137" s="1">
        <v>0</v>
      </c>
      <c r="S137" s="1">
        <v>0</v>
      </c>
      <c r="T137" s="1">
        <v>0</v>
      </c>
      <c r="U137" s="1">
        <v>0</v>
      </c>
      <c r="V137" s="1">
        <v>0</v>
      </c>
      <c r="W137" s="1">
        <v>0</v>
      </c>
      <c r="X137" s="1">
        <v>0</v>
      </c>
      <c r="Y137" s="1">
        <v>2712</v>
      </c>
      <c r="Z137" s="1">
        <v>2832</v>
      </c>
      <c r="AA137" s="1">
        <v>2835</v>
      </c>
      <c r="AB137" s="24">
        <f t="shared" si="7"/>
        <v>8801</v>
      </c>
      <c r="AC137" s="23">
        <v>0</v>
      </c>
      <c r="AD137" s="1">
        <v>0</v>
      </c>
      <c r="AE137" s="1">
        <v>0</v>
      </c>
      <c r="AF137" s="1">
        <v>0</v>
      </c>
      <c r="AG137" s="1">
        <v>0</v>
      </c>
      <c r="AH137" s="1">
        <v>0</v>
      </c>
      <c r="AI137" s="1">
        <v>0</v>
      </c>
      <c r="AJ137" s="1">
        <v>0</v>
      </c>
      <c r="AK137" s="1">
        <v>0</v>
      </c>
      <c r="AL137" s="1">
        <v>0</v>
      </c>
      <c r="AM137" s="1">
        <v>0</v>
      </c>
      <c r="AN137" s="1">
        <v>0</v>
      </c>
      <c r="AO137" s="24">
        <f t="shared" si="8"/>
        <v>0</v>
      </c>
    </row>
    <row r="138" spans="1:41" ht="17.25" customHeight="1" x14ac:dyDescent="0.45">
      <c r="A138" s="12" t="s">
        <v>22</v>
      </c>
      <c r="B138" s="12" t="s">
        <v>15</v>
      </c>
      <c r="C138" s="25">
        <v>151</v>
      </c>
      <c r="D138" s="10">
        <v>115</v>
      </c>
      <c r="E138" s="10">
        <v>125</v>
      </c>
      <c r="F138" s="10">
        <v>118</v>
      </c>
      <c r="G138" s="10">
        <v>140</v>
      </c>
      <c r="H138" s="10">
        <v>171</v>
      </c>
      <c r="I138" s="10">
        <v>187</v>
      </c>
      <c r="J138" s="10">
        <v>202</v>
      </c>
      <c r="K138" s="10">
        <v>156</v>
      </c>
      <c r="L138" s="10">
        <v>180</v>
      </c>
      <c r="M138" s="10">
        <v>166</v>
      </c>
      <c r="N138" s="10">
        <v>169</v>
      </c>
      <c r="O138" s="26">
        <f t="shared" si="6"/>
        <v>1880</v>
      </c>
      <c r="P138" s="25">
        <v>30688</v>
      </c>
      <c r="Q138" s="10">
        <v>22819</v>
      </c>
      <c r="R138" s="10">
        <v>23573</v>
      </c>
      <c r="S138" s="10">
        <v>23837</v>
      </c>
      <c r="T138" s="10">
        <v>27613</v>
      </c>
      <c r="U138" s="10">
        <v>28746</v>
      </c>
      <c r="V138" s="10">
        <v>35941</v>
      </c>
      <c r="W138" s="10">
        <v>37571</v>
      </c>
      <c r="X138" s="10">
        <v>27914</v>
      </c>
      <c r="Y138" s="10">
        <v>31559</v>
      </c>
      <c r="Z138" s="10">
        <v>27675</v>
      </c>
      <c r="AA138" s="10">
        <v>25407</v>
      </c>
      <c r="AB138" s="26">
        <f t="shared" si="7"/>
        <v>343343</v>
      </c>
      <c r="AC138" s="25">
        <v>11759.100000000002</v>
      </c>
      <c r="AD138" s="10">
        <v>24249.7</v>
      </c>
      <c r="AE138" s="10">
        <v>25182.7</v>
      </c>
      <c r="AF138" s="10">
        <v>22270.1</v>
      </c>
      <c r="AG138" s="10">
        <v>18713</v>
      </c>
      <c r="AH138" s="10">
        <v>17586.2</v>
      </c>
      <c r="AI138" s="10">
        <v>16811.900000000001</v>
      </c>
      <c r="AJ138" s="10">
        <v>17101.5</v>
      </c>
      <c r="AK138" s="10">
        <v>13829.500000000002</v>
      </c>
      <c r="AL138" s="10">
        <v>36297</v>
      </c>
      <c r="AM138" s="10">
        <v>31750.499999999996</v>
      </c>
      <c r="AN138" s="10">
        <v>20022</v>
      </c>
      <c r="AO138" s="26">
        <f t="shared" si="8"/>
        <v>255573.2</v>
      </c>
    </row>
    <row r="139" spans="1:41" ht="17.25" customHeight="1" x14ac:dyDescent="0.45">
      <c r="A139" s="2" t="s">
        <v>22</v>
      </c>
      <c r="B139" s="2" t="s">
        <v>34</v>
      </c>
      <c r="C139" s="23">
        <v>2</v>
      </c>
      <c r="D139" s="1">
        <v>0</v>
      </c>
      <c r="E139" s="1">
        <v>0</v>
      </c>
      <c r="F139" s="1">
        <v>9</v>
      </c>
      <c r="G139" s="1">
        <v>9</v>
      </c>
      <c r="H139" s="1">
        <v>8</v>
      </c>
      <c r="I139" s="1">
        <v>9</v>
      </c>
      <c r="J139" s="1">
        <v>9</v>
      </c>
      <c r="K139" s="1">
        <v>8</v>
      </c>
      <c r="L139" s="1">
        <v>8</v>
      </c>
      <c r="M139" s="1">
        <v>0</v>
      </c>
      <c r="N139" s="1">
        <v>0</v>
      </c>
      <c r="O139" s="24">
        <f t="shared" si="6"/>
        <v>62</v>
      </c>
      <c r="P139" s="23">
        <v>259</v>
      </c>
      <c r="Q139" s="1">
        <v>0</v>
      </c>
      <c r="R139" s="1">
        <v>0</v>
      </c>
      <c r="S139" s="1">
        <v>856</v>
      </c>
      <c r="T139" s="1">
        <v>847</v>
      </c>
      <c r="U139" s="1">
        <v>643</v>
      </c>
      <c r="V139" s="1">
        <v>1034</v>
      </c>
      <c r="W139" s="1">
        <v>1079</v>
      </c>
      <c r="X139" s="1">
        <v>792</v>
      </c>
      <c r="Y139" s="1">
        <v>788</v>
      </c>
      <c r="Z139" s="1">
        <v>0</v>
      </c>
      <c r="AA139" s="1">
        <v>0</v>
      </c>
      <c r="AB139" s="24">
        <f t="shared" si="7"/>
        <v>6298</v>
      </c>
      <c r="AC139" s="23">
        <v>24.5</v>
      </c>
      <c r="AD139" s="1">
        <v>0</v>
      </c>
      <c r="AE139" s="1">
        <v>0</v>
      </c>
      <c r="AF139" s="1">
        <v>236</v>
      </c>
      <c r="AG139" s="1">
        <v>7</v>
      </c>
      <c r="AH139" s="1">
        <v>74</v>
      </c>
      <c r="AI139" s="1">
        <v>47.5</v>
      </c>
      <c r="AJ139" s="1">
        <v>45</v>
      </c>
      <c r="AK139" s="1">
        <v>25.5</v>
      </c>
      <c r="AL139" s="1">
        <v>25</v>
      </c>
      <c r="AM139" s="1">
        <v>0</v>
      </c>
      <c r="AN139" s="1">
        <v>0</v>
      </c>
      <c r="AO139" s="24">
        <f t="shared" si="8"/>
        <v>484.5</v>
      </c>
    </row>
    <row r="140" spans="1:41" ht="17.25" customHeight="1" x14ac:dyDescent="0.45">
      <c r="A140" s="12" t="s">
        <v>22</v>
      </c>
      <c r="B140" s="12" t="s">
        <v>35</v>
      </c>
      <c r="C140" s="25">
        <v>2</v>
      </c>
      <c r="D140" s="10">
        <v>0</v>
      </c>
      <c r="E140" s="10">
        <v>0</v>
      </c>
      <c r="F140" s="10">
        <v>0</v>
      </c>
      <c r="G140" s="10">
        <v>0</v>
      </c>
      <c r="H140" s="10">
        <v>0</v>
      </c>
      <c r="I140" s="10">
        <v>0</v>
      </c>
      <c r="J140" s="10">
        <v>0</v>
      </c>
      <c r="K140" s="10">
        <v>0</v>
      </c>
      <c r="L140" s="10">
        <v>0</v>
      </c>
      <c r="M140" s="10">
        <v>0</v>
      </c>
      <c r="N140" s="10">
        <v>0</v>
      </c>
      <c r="O140" s="26">
        <f t="shared" si="6"/>
        <v>2</v>
      </c>
      <c r="P140" s="25">
        <v>167</v>
      </c>
      <c r="Q140" s="10">
        <v>0</v>
      </c>
      <c r="R140" s="10">
        <v>0</v>
      </c>
      <c r="S140" s="10">
        <v>0</v>
      </c>
      <c r="T140" s="10">
        <v>0</v>
      </c>
      <c r="U140" s="10">
        <v>0</v>
      </c>
      <c r="V140" s="10">
        <v>0</v>
      </c>
      <c r="W140" s="10">
        <v>0</v>
      </c>
      <c r="X140" s="10">
        <v>0</v>
      </c>
      <c r="Y140" s="10">
        <v>0</v>
      </c>
      <c r="Z140" s="10">
        <v>0</v>
      </c>
      <c r="AA140" s="10">
        <v>0</v>
      </c>
      <c r="AB140" s="26">
        <f t="shared" si="7"/>
        <v>167</v>
      </c>
      <c r="AC140" s="25">
        <v>14</v>
      </c>
      <c r="AD140" s="10">
        <v>0</v>
      </c>
      <c r="AE140" s="10">
        <v>0</v>
      </c>
      <c r="AF140" s="10">
        <v>0</v>
      </c>
      <c r="AG140" s="10">
        <v>0</v>
      </c>
      <c r="AH140" s="10">
        <v>0</v>
      </c>
      <c r="AI140" s="10">
        <v>0</v>
      </c>
      <c r="AJ140" s="10">
        <v>0</v>
      </c>
      <c r="AK140" s="10">
        <v>0</v>
      </c>
      <c r="AL140" s="10">
        <v>0</v>
      </c>
      <c r="AM140" s="10">
        <v>0</v>
      </c>
      <c r="AN140" s="10">
        <v>0</v>
      </c>
      <c r="AO140" s="26">
        <f t="shared" si="8"/>
        <v>14</v>
      </c>
    </row>
    <row r="141" spans="1:41" ht="17.25" customHeight="1" x14ac:dyDescent="0.45">
      <c r="A141" s="2" t="s">
        <v>42</v>
      </c>
      <c r="B141" s="2" t="s">
        <v>20</v>
      </c>
      <c r="C141" s="23">
        <v>6</v>
      </c>
      <c r="D141" s="1">
        <v>7</v>
      </c>
      <c r="E141" s="1">
        <v>5</v>
      </c>
      <c r="F141" s="1">
        <v>6</v>
      </c>
      <c r="G141" s="1">
        <v>5</v>
      </c>
      <c r="H141" s="1">
        <v>4</v>
      </c>
      <c r="I141" s="1">
        <v>6</v>
      </c>
      <c r="J141" s="1">
        <v>6</v>
      </c>
      <c r="K141" s="1">
        <v>3</v>
      </c>
      <c r="L141" s="1">
        <v>5</v>
      </c>
      <c r="M141" s="1">
        <v>12</v>
      </c>
      <c r="N141" s="1">
        <v>18</v>
      </c>
      <c r="O141" s="24">
        <f t="shared" si="6"/>
        <v>83</v>
      </c>
      <c r="P141" s="23">
        <v>156</v>
      </c>
      <c r="Q141" s="1">
        <v>116</v>
      </c>
      <c r="R141" s="1">
        <v>107</v>
      </c>
      <c r="S141" s="1">
        <v>141</v>
      </c>
      <c r="T141" s="1">
        <v>91</v>
      </c>
      <c r="U141" s="1">
        <v>88</v>
      </c>
      <c r="V141" s="1">
        <v>171</v>
      </c>
      <c r="W141" s="1">
        <v>155</v>
      </c>
      <c r="X141" s="1">
        <v>62</v>
      </c>
      <c r="Y141" s="1">
        <v>90</v>
      </c>
      <c r="Z141" s="1">
        <v>166</v>
      </c>
      <c r="AA141" s="1">
        <v>276</v>
      </c>
      <c r="AB141" s="24">
        <f t="shared" si="7"/>
        <v>1619</v>
      </c>
      <c r="AC141" s="23">
        <v>0</v>
      </c>
      <c r="AD141" s="1">
        <v>0</v>
      </c>
      <c r="AE141" s="1">
        <v>0</v>
      </c>
      <c r="AF141" s="1">
        <v>0</v>
      </c>
      <c r="AG141" s="1">
        <v>0</v>
      </c>
      <c r="AH141" s="1">
        <v>0</v>
      </c>
      <c r="AI141" s="1">
        <v>0</v>
      </c>
      <c r="AJ141" s="1">
        <v>0</v>
      </c>
      <c r="AK141" s="1">
        <v>0</v>
      </c>
      <c r="AL141" s="1">
        <v>0</v>
      </c>
      <c r="AM141" s="1">
        <v>0</v>
      </c>
      <c r="AN141" s="1">
        <v>0</v>
      </c>
      <c r="AO141" s="24">
        <f t="shared" si="8"/>
        <v>0</v>
      </c>
    </row>
    <row r="142" spans="1:41" ht="17.25" customHeight="1" x14ac:dyDescent="0.45">
      <c r="A142" s="12" t="s">
        <v>42</v>
      </c>
      <c r="B142" s="12" t="s">
        <v>21</v>
      </c>
      <c r="C142" s="25">
        <v>0</v>
      </c>
      <c r="D142" s="10">
        <v>0</v>
      </c>
      <c r="E142" s="10">
        <v>0</v>
      </c>
      <c r="F142" s="10">
        <v>0</v>
      </c>
      <c r="G142" s="10">
        <v>1</v>
      </c>
      <c r="H142" s="10">
        <v>0</v>
      </c>
      <c r="I142" s="10">
        <v>0</v>
      </c>
      <c r="J142" s="10">
        <v>0</v>
      </c>
      <c r="K142" s="10">
        <v>0</v>
      </c>
      <c r="L142" s="10">
        <v>0</v>
      </c>
      <c r="M142" s="10">
        <v>0</v>
      </c>
      <c r="N142" s="10">
        <v>0</v>
      </c>
      <c r="O142" s="26">
        <f t="shared" si="6"/>
        <v>1</v>
      </c>
      <c r="P142" s="25">
        <v>0</v>
      </c>
      <c r="Q142" s="10">
        <v>0</v>
      </c>
      <c r="R142" s="10">
        <v>0</v>
      </c>
      <c r="S142" s="10">
        <v>0</v>
      </c>
      <c r="T142" s="10">
        <v>48</v>
      </c>
      <c r="U142" s="10">
        <v>0</v>
      </c>
      <c r="V142" s="10">
        <v>0</v>
      </c>
      <c r="W142" s="10">
        <v>0</v>
      </c>
      <c r="X142" s="10">
        <v>0</v>
      </c>
      <c r="Y142" s="10">
        <v>0</v>
      </c>
      <c r="Z142" s="10">
        <v>0</v>
      </c>
      <c r="AA142" s="10">
        <v>0</v>
      </c>
      <c r="AB142" s="26">
        <f t="shared" si="7"/>
        <v>48</v>
      </c>
      <c r="AC142" s="25">
        <v>0</v>
      </c>
      <c r="AD142" s="10">
        <v>0</v>
      </c>
      <c r="AE142" s="10">
        <v>0</v>
      </c>
      <c r="AF142" s="10">
        <v>0</v>
      </c>
      <c r="AG142" s="10">
        <v>0</v>
      </c>
      <c r="AH142" s="10">
        <v>0</v>
      </c>
      <c r="AI142" s="10">
        <v>0</v>
      </c>
      <c r="AJ142" s="10">
        <v>0</v>
      </c>
      <c r="AK142" s="10">
        <v>0</v>
      </c>
      <c r="AL142" s="10">
        <v>0</v>
      </c>
      <c r="AM142" s="10">
        <v>0</v>
      </c>
      <c r="AN142" s="10">
        <v>0</v>
      </c>
      <c r="AO142" s="26">
        <f t="shared" si="8"/>
        <v>0</v>
      </c>
    </row>
    <row r="143" spans="1:41" ht="17.25" customHeight="1" x14ac:dyDescent="0.45">
      <c r="A143" s="2" t="s">
        <v>42</v>
      </c>
      <c r="B143" s="2" t="s">
        <v>11</v>
      </c>
      <c r="C143" s="23">
        <v>12</v>
      </c>
      <c r="D143" s="1">
        <v>8</v>
      </c>
      <c r="E143" s="1">
        <v>3</v>
      </c>
      <c r="F143" s="1">
        <v>3</v>
      </c>
      <c r="G143" s="1">
        <v>3</v>
      </c>
      <c r="H143" s="1">
        <v>3</v>
      </c>
      <c r="I143" s="1">
        <v>6</v>
      </c>
      <c r="J143" s="1">
        <v>7</v>
      </c>
      <c r="K143" s="1">
        <v>3</v>
      </c>
      <c r="L143" s="1">
        <v>5</v>
      </c>
      <c r="M143" s="1">
        <v>13</v>
      </c>
      <c r="N143" s="1">
        <v>16</v>
      </c>
      <c r="O143" s="24">
        <f t="shared" si="6"/>
        <v>82</v>
      </c>
      <c r="P143" s="23">
        <v>338</v>
      </c>
      <c r="Q143" s="1">
        <v>181</v>
      </c>
      <c r="R143" s="1">
        <v>108</v>
      </c>
      <c r="S143" s="1">
        <v>64</v>
      </c>
      <c r="T143" s="1">
        <v>63</v>
      </c>
      <c r="U143" s="1">
        <v>88</v>
      </c>
      <c r="V143" s="1">
        <v>186</v>
      </c>
      <c r="W143" s="1">
        <v>171</v>
      </c>
      <c r="X143" s="1">
        <v>43</v>
      </c>
      <c r="Y143" s="1">
        <v>121</v>
      </c>
      <c r="Z143" s="1">
        <v>263</v>
      </c>
      <c r="AA143" s="1">
        <v>382</v>
      </c>
      <c r="AB143" s="24">
        <f t="shared" si="7"/>
        <v>2008</v>
      </c>
      <c r="AC143" s="23">
        <v>0</v>
      </c>
      <c r="AD143" s="1">
        <v>0</v>
      </c>
      <c r="AE143" s="1">
        <v>0</v>
      </c>
      <c r="AF143" s="1">
        <v>0</v>
      </c>
      <c r="AG143" s="1">
        <v>0</v>
      </c>
      <c r="AH143" s="1">
        <v>0</v>
      </c>
      <c r="AI143" s="1">
        <v>0</v>
      </c>
      <c r="AJ143" s="1">
        <v>0</v>
      </c>
      <c r="AK143" s="1">
        <v>0</v>
      </c>
      <c r="AL143" s="1">
        <v>0</v>
      </c>
      <c r="AM143" s="1">
        <v>0</v>
      </c>
      <c r="AN143" s="1">
        <v>0</v>
      </c>
      <c r="AO143" s="24">
        <f t="shared" si="8"/>
        <v>0</v>
      </c>
    </row>
    <row r="144" spans="1:41" ht="17.25" customHeight="1" x14ac:dyDescent="0.45">
      <c r="A144" s="12" t="s">
        <v>42</v>
      </c>
      <c r="B144" s="12" t="s">
        <v>38</v>
      </c>
      <c r="C144" s="25">
        <v>5</v>
      </c>
      <c r="D144" s="10">
        <v>8</v>
      </c>
      <c r="E144" s="10">
        <v>1</v>
      </c>
      <c r="F144" s="10">
        <v>8</v>
      </c>
      <c r="G144" s="10">
        <v>3</v>
      </c>
      <c r="H144" s="10">
        <v>6</v>
      </c>
      <c r="I144" s="10">
        <v>7</v>
      </c>
      <c r="J144" s="10">
        <v>7</v>
      </c>
      <c r="K144" s="10">
        <v>3</v>
      </c>
      <c r="L144" s="10">
        <v>1</v>
      </c>
      <c r="M144" s="10">
        <v>7</v>
      </c>
      <c r="N144" s="10">
        <v>11</v>
      </c>
      <c r="O144" s="26">
        <f t="shared" si="6"/>
        <v>67</v>
      </c>
      <c r="P144" s="25">
        <v>89</v>
      </c>
      <c r="Q144" s="10">
        <v>138</v>
      </c>
      <c r="R144" s="10">
        <v>11</v>
      </c>
      <c r="S144" s="10">
        <v>148</v>
      </c>
      <c r="T144" s="10">
        <v>53</v>
      </c>
      <c r="U144" s="10">
        <v>85</v>
      </c>
      <c r="V144" s="10">
        <v>141</v>
      </c>
      <c r="W144" s="10">
        <v>128</v>
      </c>
      <c r="X144" s="10">
        <v>43</v>
      </c>
      <c r="Y144" s="10">
        <v>5</v>
      </c>
      <c r="Z144" s="10">
        <v>76</v>
      </c>
      <c r="AA144" s="10">
        <v>150</v>
      </c>
      <c r="AB144" s="26">
        <f t="shared" si="7"/>
        <v>1067</v>
      </c>
      <c r="AC144" s="25">
        <v>0</v>
      </c>
      <c r="AD144" s="10">
        <v>0</v>
      </c>
      <c r="AE144" s="10">
        <v>0</v>
      </c>
      <c r="AF144" s="10">
        <v>0</v>
      </c>
      <c r="AG144" s="10">
        <v>0</v>
      </c>
      <c r="AH144" s="10">
        <v>0</v>
      </c>
      <c r="AI144" s="10">
        <v>0</v>
      </c>
      <c r="AJ144" s="10">
        <v>0</v>
      </c>
      <c r="AK144" s="10">
        <v>0</v>
      </c>
      <c r="AL144" s="10">
        <v>0</v>
      </c>
      <c r="AM144" s="10">
        <v>0</v>
      </c>
      <c r="AN144" s="10">
        <v>0</v>
      </c>
      <c r="AO144" s="26">
        <f t="shared" si="8"/>
        <v>0</v>
      </c>
    </row>
    <row r="145" spans="1:41" ht="17.25" customHeight="1" x14ac:dyDescent="0.45">
      <c r="A145" s="2" t="s">
        <v>42</v>
      </c>
      <c r="B145" s="2" t="s">
        <v>12</v>
      </c>
      <c r="C145" s="23">
        <v>87</v>
      </c>
      <c r="D145" s="1">
        <v>82</v>
      </c>
      <c r="E145" s="1">
        <v>80</v>
      </c>
      <c r="F145" s="1">
        <v>90</v>
      </c>
      <c r="G145" s="1">
        <v>93</v>
      </c>
      <c r="H145" s="1">
        <v>90</v>
      </c>
      <c r="I145" s="1">
        <v>89</v>
      </c>
      <c r="J145" s="1">
        <v>98</v>
      </c>
      <c r="K145" s="1">
        <v>79</v>
      </c>
      <c r="L145" s="1">
        <v>84</v>
      </c>
      <c r="M145" s="1">
        <v>76</v>
      </c>
      <c r="N145" s="1">
        <v>69</v>
      </c>
      <c r="O145" s="24">
        <f t="shared" si="6"/>
        <v>1017</v>
      </c>
      <c r="P145" s="23">
        <v>6862</v>
      </c>
      <c r="Q145" s="1">
        <v>6071</v>
      </c>
      <c r="R145" s="1">
        <v>6509</v>
      </c>
      <c r="S145" s="1">
        <v>7092</v>
      </c>
      <c r="T145" s="1">
        <v>7798</v>
      </c>
      <c r="U145" s="1">
        <v>7395</v>
      </c>
      <c r="V145" s="1">
        <v>8032</v>
      </c>
      <c r="W145" s="1">
        <v>8328</v>
      </c>
      <c r="X145" s="1">
        <v>7118</v>
      </c>
      <c r="Y145" s="1">
        <v>7505</v>
      </c>
      <c r="Z145" s="1">
        <v>7021</v>
      </c>
      <c r="AA145" s="1">
        <v>6106</v>
      </c>
      <c r="AB145" s="24">
        <f t="shared" si="7"/>
        <v>85837</v>
      </c>
      <c r="AC145" s="23">
        <v>2489</v>
      </c>
      <c r="AD145" s="1">
        <v>3947</v>
      </c>
      <c r="AE145" s="1">
        <v>4044</v>
      </c>
      <c r="AF145" s="1">
        <v>3474</v>
      </c>
      <c r="AG145" s="1">
        <v>3763</v>
      </c>
      <c r="AH145" s="1">
        <v>3528</v>
      </c>
      <c r="AI145" s="1">
        <v>3563</v>
      </c>
      <c r="AJ145" s="1">
        <v>4834</v>
      </c>
      <c r="AK145" s="1">
        <v>3224</v>
      </c>
      <c r="AL145" s="1">
        <v>3297</v>
      </c>
      <c r="AM145" s="1">
        <v>5379</v>
      </c>
      <c r="AN145" s="1">
        <v>4054</v>
      </c>
      <c r="AO145" s="24">
        <f t="shared" si="8"/>
        <v>45596</v>
      </c>
    </row>
    <row r="146" spans="1:41" ht="17.25" customHeight="1" x14ac:dyDescent="0.45">
      <c r="A146" s="12" t="s">
        <v>42</v>
      </c>
      <c r="B146" s="12" t="s">
        <v>13</v>
      </c>
      <c r="C146" s="25">
        <v>15</v>
      </c>
      <c r="D146" s="10">
        <v>12</v>
      </c>
      <c r="E146" s="10">
        <v>7</v>
      </c>
      <c r="F146" s="10">
        <v>8</v>
      </c>
      <c r="G146" s="10">
        <v>5</v>
      </c>
      <c r="H146" s="10">
        <v>3</v>
      </c>
      <c r="I146" s="10">
        <v>8</v>
      </c>
      <c r="J146" s="10">
        <v>15</v>
      </c>
      <c r="K146" s="10">
        <v>12</v>
      </c>
      <c r="L146" s="10">
        <v>15</v>
      </c>
      <c r="M146" s="10">
        <v>21</v>
      </c>
      <c r="N146" s="10">
        <v>21</v>
      </c>
      <c r="O146" s="26">
        <f t="shared" si="6"/>
        <v>142</v>
      </c>
      <c r="P146" s="25">
        <v>366</v>
      </c>
      <c r="Q146" s="10">
        <v>283</v>
      </c>
      <c r="R146" s="10">
        <v>171</v>
      </c>
      <c r="S146" s="10">
        <v>224</v>
      </c>
      <c r="T146" s="10">
        <v>98</v>
      </c>
      <c r="U146" s="10">
        <v>56</v>
      </c>
      <c r="V146" s="10">
        <v>146</v>
      </c>
      <c r="W146" s="10">
        <v>251</v>
      </c>
      <c r="X146" s="10">
        <v>243</v>
      </c>
      <c r="Y146" s="10">
        <v>294</v>
      </c>
      <c r="Z146" s="10">
        <v>379</v>
      </c>
      <c r="AA146" s="10">
        <v>387</v>
      </c>
      <c r="AB146" s="26">
        <f t="shared" si="7"/>
        <v>2898</v>
      </c>
      <c r="AC146" s="25">
        <v>0</v>
      </c>
      <c r="AD146" s="10">
        <v>0</v>
      </c>
      <c r="AE146" s="10">
        <v>0</v>
      </c>
      <c r="AF146" s="10">
        <v>0</v>
      </c>
      <c r="AG146" s="10">
        <v>0</v>
      </c>
      <c r="AH146" s="10">
        <v>0</v>
      </c>
      <c r="AI146" s="10">
        <v>0</v>
      </c>
      <c r="AJ146" s="10">
        <v>0</v>
      </c>
      <c r="AK146" s="10">
        <v>0</v>
      </c>
      <c r="AL146" s="10">
        <v>0</v>
      </c>
      <c r="AM146" s="10">
        <v>0</v>
      </c>
      <c r="AN146" s="10">
        <v>0</v>
      </c>
      <c r="AO146" s="26">
        <f t="shared" si="8"/>
        <v>0</v>
      </c>
    </row>
    <row r="147" spans="1:41" ht="17.25" customHeight="1" x14ac:dyDescent="0.45">
      <c r="A147" s="2" t="s">
        <v>42</v>
      </c>
      <c r="B147" s="2" t="s">
        <v>17</v>
      </c>
      <c r="C147" s="23">
        <v>8</v>
      </c>
      <c r="D147" s="1">
        <v>7</v>
      </c>
      <c r="E147" s="1">
        <v>0</v>
      </c>
      <c r="F147" s="1">
        <v>0</v>
      </c>
      <c r="G147" s="1">
        <v>0</v>
      </c>
      <c r="H147" s="1">
        <v>0</v>
      </c>
      <c r="I147" s="1">
        <v>0</v>
      </c>
      <c r="J147" s="1">
        <v>0</v>
      </c>
      <c r="K147" s="1">
        <v>0</v>
      </c>
      <c r="L147" s="1">
        <v>0</v>
      </c>
      <c r="M147" s="1">
        <v>0</v>
      </c>
      <c r="N147" s="1">
        <v>0</v>
      </c>
      <c r="O147" s="24">
        <f t="shared" si="6"/>
        <v>15</v>
      </c>
      <c r="P147" s="23">
        <v>80</v>
      </c>
      <c r="Q147" s="1">
        <v>42</v>
      </c>
      <c r="R147" s="1">
        <v>0</v>
      </c>
      <c r="S147" s="1">
        <v>0</v>
      </c>
      <c r="T147" s="1">
        <v>0</v>
      </c>
      <c r="U147" s="1">
        <v>0</v>
      </c>
      <c r="V147" s="1">
        <v>0</v>
      </c>
      <c r="W147" s="1">
        <v>0</v>
      </c>
      <c r="X147" s="1">
        <v>0</v>
      </c>
      <c r="Y147" s="1">
        <v>0</v>
      </c>
      <c r="Z147" s="1">
        <v>0</v>
      </c>
      <c r="AA147" s="1">
        <v>0</v>
      </c>
      <c r="AB147" s="24">
        <f t="shared" si="7"/>
        <v>122</v>
      </c>
      <c r="AC147" s="23">
        <v>0</v>
      </c>
      <c r="AD147" s="1">
        <v>0</v>
      </c>
      <c r="AE147" s="1">
        <v>0</v>
      </c>
      <c r="AF147" s="1">
        <v>0</v>
      </c>
      <c r="AG147" s="1">
        <v>0</v>
      </c>
      <c r="AH147" s="1">
        <v>0</v>
      </c>
      <c r="AI147" s="1">
        <v>0</v>
      </c>
      <c r="AJ147" s="1">
        <v>0</v>
      </c>
      <c r="AK147" s="1">
        <v>0</v>
      </c>
      <c r="AL147" s="1">
        <v>0</v>
      </c>
      <c r="AM147" s="1">
        <v>0</v>
      </c>
      <c r="AN147" s="1">
        <v>0</v>
      </c>
      <c r="AO147" s="24">
        <f t="shared" si="8"/>
        <v>0</v>
      </c>
    </row>
    <row r="148" spans="1:41" ht="17.25" customHeight="1" x14ac:dyDescent="0.45">
      <c r="A148" s="12" t="s">
        <v>42</v>
      </c>
      <c r="B148" s="12" t="s">
        <v>14</v>
      </c>
      <c r="C148" s="25">
        <v>51</v>
      </c>
      <c r="D148" s="10">
        <v>58</v>
      </c>
      <c r="E148" s="10">
        <v>53</v>
      </c>
      <c r="F148" s="10">
        <v>54</v>
      </c>
      <c r="G148" s="10">
        <v>31</v>
      </c>
      <c r="H148" s="10">
        <v>30</v>
      </c>
      <c r="I148" s="10">
        <v>31</v>
      </c>
      <c r="J148" s="10">
        <v>31</v>
      </c>
      <c r="K148" s="10">
        <v>30</v>
      </c>
      <c r="L148" s="10">
        <v>31</v>
      </c>
      <c r="M148" s="10">
        <v>30</v>
      </c>
      <c r="N148" s="10">
        <v>29</v>
      </c>
      <c r="O148" s="26">
        <f t="shared" si="6"/>
        <v>459</v>
      </c>
      <c r="P148" s="25">
        <v>1917</v>
      </c>
      <c r="Q148" s="10">
        <v>1935</v>
      </c>
      <c r="R148" s="10">
        <v>2606</v>
      </c>
      <c r="S148" s="10">
        <v>3087</v>
      </c>
      <c r="T148" s="10">
        <v>1533</v>
      </c>
      <c r="U148" s="10">
        <v>1518</v>
      </c>
      <c r="V148" s="10">
        <v>1925</v>
      </c>
      <c r="W148" s="10">
        <v>1761</v>
      </c>
      <c r="X148" s="10">
        <v>1866</v>
      </c>
      <c r="Y148" s="10">
        <v>1936</v>
      </c>
      <c r="Z148" s="10">
        <v>2215</v>
      </c>
      <c r="AA148" s="10">
        <v>2470</v>
      </c>
      <c r="AB148" s="26">
        <f t="shared" si="7"/>
        <v>24769</v>
      </c>
      <c r="AC148" s="25">
        <v>0</v>
      </c>
      <c r="AD148" s="10">
        <v>0</v>
      </c>
      <c r="AE148" s="10">
        <v>0</v>
      </c>
      <c r="AF148" s="10">
        <v>0</v>
      </c>
      <c r="AG148" s="10">
        <v>0</v>
      </c>
      <c r="AH148" s="10">
        <v>0</v>
      </c>
      <c r="AI148" s="10">
        <v>62</v>
      </c>
      <c r="AJ148" s="10">
        <v>0</v>
      </c>
      <c r="AK148" s="10">
        <v>0</v>
      </c>
      <c r="AL148" s="10">
        <v>0</v>
      </c>
      <c r="AM148" s="10">
        <v>0</v>
      </c>
      <c r="AN148" s="10">
        <v>0</v>
      </c>
      <c r="AO148" s="26">
        <f t="shared" si="8"/>
        <v>62</v>
      </c>
    </row>
    <row r="149" spans="1:41" ht="17.25" customHeight="1" x14ac:dyDescent="0.45">
      <c r="A149" s="2" t="s">
        <v>42</v>
      </c>
      <c r="B149" s="2" t="s">
        <v>15</v>
      </c>
      <c r="C149" s="23">
        <v>50</v>
      </c>
      <c r="D149" s="1">
        <v>45</v>
      </c>
      <c r="E149" s="1">
        <v>49</v>
      </c>
      <c r="F149" s="1">
        <v>43</v>
      </c>
      <c r="G149" s="1">
        <v>41</v>
      </c>
      <c r="H149" s="1">
        <v>43</v>
      </c>
      <c r="I149" s="1">
        <v>51</v>
      </c>
      <c r="J149" s="1">
        <v>45</v>
      </c>
      <c r="K149" s="1">
        <v>37</v>
      </c>
      <c r="L149" s="1">
        <v>44</v>
      </c>
      <c r="M149" s="1">
        <v>38</v>
      </c>
      <c r="N149" s="1">
        <v>39</v>
      </c>
      <c r="O149" s="24">
        <f t="shared" si="6"/>
        <v>525</v>
      </c>
      <c r="P149" s="23">
        <v>7996</v>
      </c>
      <c r="Q149" s="1">
        <v>5992</v>
      </c>
      <c r="R149" s="1">
        <v>7010</v>
      </c>
      <c r="S149" s="1">
        <v>6875</v>
      </c>
      <c r="T149" s="1">
        <v>6036</v>
      </c>
      <c r="U149" s="1">
        <v>6437</v>
      </c>
      <c r="V149" s="1">
        <v>8731</v>
      </c>
      <c r="W149" s="1">
        <v>7690</v>
      </c>
      <c r="X149" s="1">
        <v>6169</v>
      </c>
      <c r="Y149" s="1">
        <v>7281</v>
      </c>
      <c r="Z149" s="1">
        <v>6821</v>
      </c>
      <c r="AA149" s="1">
        <v>7628</v>
      </c>
      <c r="AB149" s="24">
        <f t="shared" si="7"/>
        <v>84666</v>
      </c>
      <c r="AC149" s="23">
        <v>0</v>
      </c>
      <c r="AD149" s="1">
        <v>0</v>
      </c>
      <c r="AE149" s="1">
        <v>0</v>
      </c>
      <c r="AF149" s="1">
        <v>0</v>
      </c>
      <c r="AG149" s="1">
        <v>0</v>
      </c>
      <c r="AH149" s="1">
        <v>0</v>
      </c>
      <c r="AI149" s="1">
        <v>0</v>
      </c>
      <c r="AJ149" s="1">
        <v>0</v>
      </c>
      <c r="AK149" s="1">
        <v>0</v>
      </c>
      <c r="AL149" s="1">
        <v>0</v>
      </c>
      <c r="AM149" s="1">
        <v>0</v>
      </c>
      <c r="AN149" s="1">
        <v>0</v>
      </c>
      <c r="AO149" s="24">
        <f t="shared" si="8"/>
        <v>0</v>
      </c>
    </row>
    <row r="150" spans="1:41" ht="17.25" customHeight="1" x14ac:dyDescent="0.45">
      <c r="A150" s="12" t="s">
        <v>11</v>
      </c>
      <c r="B150" s="12" t="s">
        <v>9</v>
      </c>
      <c r="C150" s="25">
        <v>26</v>
      </c>
      <c r="D150" s="10">
        <v>25</v>
      </c>
      <c r="E150" s="10">
        <v>27</v>
      </c>
      <c r="F150" s="10">
        <v>32</v>
      </c>
      <c r="G150" s="10">
        <v>31</v>
      </c>
      <c r="H150" s="10">
        <v>30</v>
      </c>
      <c r="I150" s="10">
        <v>31</v>
      </c>
      <c r="J150" s="10">
        <v>31</v>
      </c>
      <c r="K150" s="10">
        <v>23</v>
      </c>
      <c r="L150" s="10">
        <v>30</v>
      </c>
      <c r="M150" s="10">
        <v>29</v>
      </c>
      <c r="N150" s="10">
        <v>36</v>
      </c>
      <c r="O150" s="26">
        <f t="shared" si="6"/>
        <v>351</v>
      </c>
      <c r="P150" s="25">
        <v>3061</v>
      </c>
      <c r="Q150" s="10">
        <v>3633</v>
      </c>
      <c r="R150" s="10">
        <v>3860</v>
      </c>
      <c r="S150" s="10">
        <v>4377</v>
      </c>
      <c r="T150" s="10">
        <v>4029</v>
      </c>
      <c r="U150" s="10">
        <v>4258</v>
      </c>
      <c r="V150" s="10">
        <v>4676</v>
      </c>
      <c r="W150" s="10">
        <v>4309</v>
      </c>
      <c r="X150" s="10">
        <v>3279</v>
      </c>
      <c r="Y150" s="10">
        <v>3750</v>
      </c>
      <c r="Z150" s="10">
        <v>5086</v>
      </c>
      <c r="AA150" s="10">
        <v>6221</v>
      </c>
      <c r="AB150" s="26">
        <f t="shared" si="7"/>
        <v>50539</v>
      </c>
      <c r="AC150" s="25">
        <v>0</v>
      </c>
      <c r="AD150" s="10">
        <v>0</v>
      </c>
      <c r="AE150" s="10">
        <v>0</v>
      </c>
      <c r="AF150" s="10">
        <v>0</v>
      </c>
      <c r="AG150" s="10">
        <v>0</v>
      </c>
      <c r="AH150" s="10">
        <v>0</v>
      </c>
      <c r="AI150" s="10">
        <v>0</v>
      </c>
      <c r="AJ150" s="10">
        <v>0</v>
      </c>
      <c r="AK150" s="10">
        <v>0</v>
      </c>
      <c r="AL150" s="10">
        <v>0</v>
      </c>
      <c r="AM150" s="10">
        <v>0</v>
      </c>
      <c r="AN150" s="10">
        <v>0</v>
      </c>
      <c r="AO150" s="26">
        <f t="shared" si="8"/>
        <v>0</v>
      </c>
    </row>
    <row r="151" spans="1:41" ht="17.25" customHeight="1" x14ac:dyDescent="0.45">
      <c r="A151" s="2" t="s">
        <v>11</v>
      </c>
      <c r="B151" s="2" t="s">
        <v>10</v>
      </c>
      <c r="C151" s="23">
        <v>194</v>
      </c>
      <c r="D151" s="1">
        <v>164</v>
      </c>
      <c r="E151" s="1">
        <v>174</v>
      </c>
      <c r="F151" s="1">
        <v>170</v>
      </c>
      <c r="G151" s="1">
        <v>181</v>
      </c>
      <c r="H151" s="1">
        <v>189</v>
      </c>
      <c r="I151" s="1">
        <v>204</v>
      </c>
      <c r="J151" s="1">
        <v>216</v>
      </c>
      <c r="K151" s="1">
        <v>214</v>
      </c>
      <c r="L151" s="1">
        <v>227</v>
      </c>
      <c r="M151" s="1">
        <v>216</v>
      </c>
      <c r="N151" s="1">
        <v>239</v>
      </c>
      <c r="O151" s="24">
        <f t="shared" si="6"/>
        <v>2388</v>
      </c>
      <c r="P151" s="23">
        <v>37231</v>
      </c>
      <c r="Q151" s="1">
        <v>31178</v>
      </c>
      <c r="R151" s="1">
        <v>34227</v>
      </c>
      <c r="S151" s="1">
        <v>31516</v>
      </c>
      <c r="T151" s="1">
        <v>35181</v>
      </c>
      <c r="U151" s="1">
        <v>36893</v>
      </c>
      <c r="V151" s="1">
        <v>36220</v>
      </c>
      <c r="W151" s="1">
        <v>39033</v>
      </c>
      <c r="X151" s="1">
        <v>40291</v>
      </c>
      <c r="Y151" s="1">
        <v>43248</v>
      </c>
      <c r="Z151" s="1">
        <v>37464</v>
      </c>
      <c r="AA151" s="1">
        <v>40662</v>
      </c>
      <c r="AB151" s="24">
        <f t="shared" si="7"/>
        <v>443144</v>
      </c>
      <c r="AC151" s="23">
        <v>40559.4</v>
      </c>
      <c r="AD151" s="1">
        <v>31569.800000000003</v>
      </c>
      <c r="AE151" s="1">
        <v>43583.599999999991</v>
      </c>
      <c r="AF151" s="1">
        <v>50895.999999999985</v>
      </c>
      <c r="AG151" s="1">
        <v>43533.299999999996</v>
      </c>
      <c r="AH151" s="1">
        <v>43072.109999999979</v>
      </c>
      <c r="AI151" s="1">
        <v>39123.730000000003</v>
      </c>
      <c r="AJ151" s="1">
        <v>31946.010000000002</v>
      </c>
      <c r="AK151" s="1">
        <v>29254.199999999997</v>
      </c>
      <c r="AL151" s="1">
        <v>52337.599999999999</v>
      </c>
      <c r="AM151" s="1">
        <v>49030.000000000007</v>
      </c>
      <c r="AN151" s="1">
        <v>62155.26999999999</v>
      </c>
      <c r="AO151" s="24">
        <f t="shared" si="8"/>
        <v>517061.0199999999</v>
      </c>
    </row>
    <row r="152" spans="1:41" ht="17.25" customHeight="1" x14ac:dyDescent="0.45">
      <c r="A152" s="12" t="s">
        <v>11</v>
      </c>
      <c r="B152" s="12" t="s">
        <v>19</v>
      </c>
      <c r="C152" s="25">
        <v>71</v>
      </c>
      <c r="D152" s="10">
        <v>67</v>
      </c>
      <c r="E152" s="10">
        <v>70</v>
      </c>
      <c r="F152" s="10">
        <v>60</v>
      </c>
      <c r="G152" s="10">
        <v>62</v>
      </c>
      <c r="H152" s="10">
        <v>66</v>
      </c>
      <c r="I152" s="10">
        <v>69</v>
      </c>
      <c r="J152" s="10">
        <v>66</v>
      </c>
      <c r="K152" s="10">
        <v>60</v>
      </c>
      <c r="L152" s="10">
        <v>62</v>
      </c>
      <c r="M152" s="10">
        <v>60</v>
      </c>
      <c r="N152" s="10">
        <v>64</v>
      </c>
      <c r="O152" s="26">
        <f t="shared" si="6"/>
        <v>777</v>
      </c>
      <c r="P152" s="25">
        <v>13084</v>
      </c>
      <c r="Q152" s="10">
        <v>10879</v>
      </c>
      <c r="R152" s="10">
        <v>11680</v>
      </c>
      <c r="S152" s="10">
        <v>10364</v>
      </c>
      <c r="T152" s="10">
        <v>10584</v>
      </c>
      <c r="U152" s="10">
        <v>10663</v>
      </c>
      <c r="V152" s="10">
        <v>12801</v>
      </c>
      <c r="W152" s="10">
        <v>12526</v>
      </c>
      <c r="X152" s="10">
        <v>11105</v>
      </c>
      <c r="Y152" s="10">
        <v>13305</v>
      </c>
      <c r="Z152" s="10">
        <v>10576</v>
      </c>
      <c r="AA152" s="10">
        <v>10441</v>
      </c>
      <c r="AB152" s="26">
        <f t="shared" si="7"/>
        <v>138008</v>
      </c>
      <c r="AC152" s="25">
        <v>5121.0000000000009</v>
      </c>
      <c r="AD152" s="10">
        <v>2467.9499999999998</v>
      </c>
      <c r="AE152" s="10">
        <v>5530.6500000000005</v>
      </c>
      <c r="AF152" s="10">
        <v>7490.7999999999993</v>
      </c>
      <c r="AG152" s="10">
        <v>8933.0999999999985</v>
      </c>
      <c r="AH152" s="10">
        <v>8037.75</v>
      </c>
      <c r="AI152" s="10">
        <v>5537.0499999999993</v>
      </c>
      <c r="AJ152" s="10">
        <v>6203.8000000000011</v>
      </c>
      <c r="AK152" s="10">
        <v>3908.75</v>
      </c>
      <c r="AL152" s="10">
        <v>4894</v>
      </c>
      <c r="AM152" s="10">
        <v>7665.33</v>
      </c>
      <c r="AN152" s="10">
        <v>18218.04</v>
      </c>
      <c r="AO152" s="26">
        <f t="shared" si="8"/>
        <v>84008.22</v>
      </c>
    </row>
    <row r="153" spans="1:41" ht="17.25" customHeight="1" x14ac:dyDescent="0.45">
      <c r="A153" s="2" t="s">
        <v>11</v>
      </c>
      <c r="B153" s="2" t="s">
        <v>20</v>
      </c>
      <c r="C153" s="23">
        <v>85</v>
      </c>
      <c r="D153" s="1">
        <v>75</v>
      </c>
      <c r="E153" s="1">
        <v>79</v>
      </c>
      <c r="F153" s="1">
        <v>109</v>
      </c>
      <c r="G153" s="1">
        <v>105</v>
      </c>
      <c r="H153" s="1">
        <v>103</v>
      </c>
      <c r="I153" s="1">
        <v>104</v>
      </c>
      <c r="J153" s="1">
        <v>105</v>
      </c>
      <c r="K153" s="1">
        <v>90</v>
      </c>
      <c r="L153" s="1">
        <v>103</v>
      </c>
      <c r="M153" s="1">
        <v>89</v>
      </c>
      <c r="N153" s="1">
        <v>103</v>
      </c>
      <c r="O153" s="24">
        <f t="shared" si="6"/>
        <v>1150</v>
      </c>
      <c r="P153" s="23">
        <v>16140</v>
      </c>
      <c r="Q153" s="1">
        <v>13698</v>
      </c>
      <c r="R153" s="1">
        <v>14539</v>
      </c>
      <c r="S153" s="1">
        <v>18309</v>
      </c>
      <c r="T153" s="1">
        <v>18785</v>
      </c>
      <c r="U153" s="1">
        <v>18376</v>
      </c>
      <c r="V153" s="1">
        <v>18368</v>
      </c>
      <c r="W153" s="1">
        <v>18253</v>
      </c>
      <c r="X153" s="1">
        <v>15756</v>
      </c>
      <c r="Y153" s="1">
        <v>17727</v>
      </c>
      <c r="Z153" s="1">
        <v>15335</v>
      </c>
      <c r="AA153" s="1">
        <v>15403</v>
      </c>
      <c r="AB153" s="24">
        <f t="shared" si="7"/>
        <v>200689</v>
      </c>
      <c r="AC153" s="23">
        <v>12294.600000000002</v>
      </c>
      <c r="AD153" s="1">
        <v>10625.599999999999</v>
      </c>
      <c r="AE153" s="1">
        <v>13425.550000000001</v>
      </c>
      <c r="AF153" s="1">
        <v>16530.399999999998</v>
      </c>
      <c r="AG153" s="1">
        <v>19025.499999999996</v>
      </c>
      <c r="AH153" s="1">
        <v>14780.499999999996</v>
      </c>
      <c r="AI153" s="1">
        <v>9751.75</v>
      </c>
      <c r="AJ153" s="1">
        <v>12375.8</v>
      </c>
      <c r="AK153" s="1">
        <v>7161.35</v>
      </c>
      <c r="AL153" s="1">
        <v>16251.8</v>
      </c>
      <c r="AM153" s="1">
        <v>4444.8</v>
      </c>
      <c r="AN153" s="1">
        <v>6015.4000000000005</v>
      </c>
      <c r="AO153" s="24">
        <f t="shared" si="8"/>
        <v>142683.04999999999</v>
      </c>
    </row>
    <row r="154" spans="1:41" ht="17.25" customHeight="1" x14ac:dyDescent="0.45">
      <c r="A154" s="12" t="s">
        <v>11</v>
      </c>
      <c r="B154" s="12" t="s">
        <v>43</v>
      </c>
      <c r="C154" s="25">
        <v>16</v>
      </c>
      <c r="D154" s="10">
        <v>12</v>
      </c>
      <c r="E154" s="10">
        <v>15</v>
      </c>
      <c r="F154" s="10">
        <v>35</v>
      </c>
      <c r="G154" s="10">
        <v>31</v>
      </c>
      <c r="H154" s="10">
        <v>30</v>
      </c>
      <c r="I154" s="10">
        <v>31</v>
      </c>
      <c r="J154" s="10">
        <v>31</v>
      </c>
      <c r="K154" s="10">
        <v>30</v>
      </c>
      <c r="L154" s="10">
        <v>31</v>
      </c>
      <c r="M154" s="10">
        <v>29</v>
      </c>
      <c r="N154" s="10">
        <v>44</v>
      </c>
      <c r="O154" s="26">
        <f t="shared" si="6"/>
        <v>335</v>
      </c>
      <c r="P154" s="25">
        <v>2670</v>
      </c>
      <c r="Q154" s="10">
        <v>2078</v>
      </c>
      <c r="R154" s="10">
        <v>2594</v>
      </c>
      <c r="S154" s="10">
        <v>5515</v>
      </c>
      <c r="T154" s="10">
        <v>5129</v>
      </c>
      <c r="U154" s="10">
        <v>4831</v>
      </c>
      <c r="V154" s="10">
        <v>5564</v>
      </c>
      <c r="W154" s="10">
        <v>5596</v>
      </c>
      <c r="X154" s="10">
        <v>5388</v>
      </c>
      <c r="Y154" s="10">
        <v>6474</v>
      </c>
      <c r="Z154" s="10">
        <v>5451</v>
      </c>
      <c r="AA154" s="10">
        <v>7552</v>
      </c>
      <c r="AB154" s="26">
        <f t="shared" si="7"/>
        <v>58842</v>
      </c>
      <c r="AC154" s="25">
        <v>0</v>
      </c>
      <c r="AD154" s="10">
        <v>0</v>
      </c>
      <c r="AE154" s="10">
        <v>0</v>
      </c>
      <c r="AF154" s="10">
        <v>0</v>
      </c>
      <c r="AG154" s="10">
        <v>0</v>
      </c>
      <c r="AH154" s="10">
        <v>0</v>
      </c>
      <c r="AI154" s="10">
        <v>0</v>
      </c>
      <c r="AJ154" s="10">
        <v>0</v>
      </c>
      <c r="AK154" s="10">
        <v>0</v>
      </c>
      <c r="AL154" s="10">
        <v>0</v>
      </c>
      <c r="AM154" s="10">
        <v>0</v>
      </c>
      <c r="AN154" s="10">
        <v>0</v>
      </c>
      <c r="AO154" s="26">
        <f t="shared" si="8"/>
        <v>0</v>
      </c>
    </row>
    <row r="155" spans="1:41" ht="17.25" customHeight="1" x14ac:dyDescent="0.45">
      <c r="A155" s="2" t="s">
        <v>11</v>
      </c>
      <c r="B155" s="2" t="s">
        <v>46</v>
      </c>
      <c r="C155" s="23">
        <v>13</v>
      </c>
      <c r="D155" s="1">
        <v>13</v>
      </c>
      <c r="E155" s="1">
        <v>13</v>
      </c>
      <c r="F155" s="1">
        <v>0</v>
      </c>
      <c r="G155" s="1">
        <v>0</v>
      </c>
      <c r="H155" s="1">
        <v>0</v>
      </c>
      <c r="I155" s="1">
        <v>0</v>
      </c>
      <c r="J155" s="1">
        <v>0</v>
      </c>
      <c r="K155" s="1">
        <v>0</v>
      </c>
      <c r="L155" s="1">
        <v>0</v>
      </c>
      <c r="M155" s="1">
        <v>0</v>
      </c>
      <c r="N155" s="1">
        <v>0</v>
      </c>
      <c r="O155" s="24">
        <f t="shared" si="6"/>
        <v>39</v>
      </c>
      <c r="P155" s="23">
        <v>1571</v>
      </c>
      <c r="Q155" s="1">
        <v>1377</v>
      </c>
      <c r="R155" s="1">
        <v>1746</v>
      </c>
      <c r="S155" s="1">
        <v>0</v>
      </c>
      <c r="T155" s="1">
        <v>0</v>
      </c>
      <c r="U155" s="1">
        <v>0</v>
      </c>
      <c r="V155" s="1">
        <v>0</v>
      </c>
      <c r="W155" s="1">
        <v>0</v>
      </c>
      <c r="X155" s="1">
        <v>0</v>
      </c>
      <c r="Y155" s="1">
        <v>0</v>
      </c>
      <c r="Z155" s="1">
        <v>0</v>
      </c>
      <c r="AA155" s="1">
        <v>0</v>
      </c>
      <c r="AB155" s="24">
        <f t="shared" si="7"/>
        <v>4694</v>
      </c>
      <c r="AC155" s="23">
        <v>989</v>
      </c>
      <c r="AD155" s="1">
        <v>1166.5</v>
      </c>
      <c r="AE155" s="1">
        <v>731.7</v>
      </c>
      <c r="AF155" s="1">
        <v>0</v>
      </c>
      <c r="AG155" s="1">
        <v>0</v>
      </c>
      <c r="AH155" s="1">
        <v>0</v>
      </c>
      <c r="AI155" s="1">
        <v>0</v>
      </c>
      <c r="AJ155" s="1">
        <v>0</v>
      </c>
      <c r="AK155" s="1">
        <v>0</v>
      </c>
      <c r="AL155" s="1">
        <v>0</v>
      </c>
      <c r="AM155" s="1">
        <v>0</v>
      </c>
      <c r="AN155" s="1">
        <v>0</v>
      </c>
      <c r="AO155" s="24">
        <f t="shared" si="8"/>
        <v>2887.2</v>
      </c>
    </row>
    <row r="156" spans="1:41" ht="17.25" customHeight="1" x14ac:dyDescent="0.45">
      <c r="A156" s="12" t="s">
        <v>11</v>
      </c>
      <c r="B156" s="12" t="s">
        <v>21</v>
      </c>
      <c r="C156" s="25">
        <v>58</v>
      </c>
      <c r="D156" s="10">
        <v>50</v>
      </c>
      <c r="E156" s="10">
        <v>54</v>
      </c>
      <c r="F156" s="10">
        <v>95</v>
      </c>
      <c r="G156" s="10">
        <v>97</v>
      </c>
      <c r="H156" s="10">
        <v>95</v>
      </c>
      <c r="I156" s="10">
        <v>97</v>
      </c>
      <c r="J156" s="10">
        <v>97</v>
      </c>
      <c r="K156" s="10">
        <v>94</v>
      </c>
      <c r="L156" s="10">
        <v>98</v>
      </c>
      <c r="M156" s="10">
        <v>100</v>
      </c>
      <c r="N156" s="10">
        <v>104</v>
      </c>
      <c r="O156" s="26">
        <f t="shared" si="6"/>
        <v>1039</v>
      </c>
      <c r="P156" s="25">
        <v>9540</v>
      </c>
      <c r="Q156" s="10">
        <v>8724</v>
      </c>
      <c r="R156" s="10">
        <v>9277</v>
      </c>
      <c r="S156" s="10">
        <v>14714</v>
      </c>
      <c r="T156" s="10">
        <v>14776</v>
      </c>
      <c r="U156" s="10">
        <v>13779</v>
      </c>
      <c r="V156" s="10">
        <v>14810</v>
      </c>
      <c r="W156" s="10">
        <v>16143</v>
      </c>
      <c r="X156" s="10">
        <v>13650</v>
      </c>
      <c r="Y156" s="10">
        <v>16750</v>
      </c>
      <c r="Z156" s="10">
        <v>17476</v>
      </c>
      <c r="AA156" s="10">
        <v>17749</v>
      </c>
      <c r="AB156" s="26">
        <f t="shared" si="7"/>
        <v>167388</v>
      </c>
      <c r="AC156" s="25">
        <v>0</v>
      </c>
      <c r="AD156" s="10">
        <v>0</v>
      </c>
      <c r="AE156" s="10">
        <v>0</v>
      </c>
      <c r="AF156" s="10">
        <v>0</v>
      </c>
      <c r="AG156" s="10">
        <v>0</v>
      </c>
      <c r="AH156" s="10">
        <v>0</v>
      </c>
      <c r="AI156" s="10">
        <v>0</v>
      </c>
      <c r="AJ156" s="10">
        <v>0</v>
      </c>
      <c r="AK156" s="10">
        <v>0</v>
      </c>
      <c r="AL156" s="10">
        <v>0</v>
      </c>
      <c r="AM156" s="10">
        <v>0</v>
      </c>
      <c r="AN156" s="10">
        <v>0</v>
      </c>
      <c r="AO156" s="26">
        <f t="shared" si="8"/>
        <v>0</v>
      </c>
    </row>
    <row r="157" spans="1:41" ht="17.25" customHeight="1" x14ac:dyDescent="0.45">
      <c r="A157" s="2" t="s">
        <v>11</v>
      </c>
      <c r="B157" s="2" t="s">
        <v>42</v>
      </c>
      <c r="C157" s="23">
        <v>11</v>
      </c>
      <c r="D157" s="1">
        <v>7</v>
      </c>
      <c r="E157" s="1">
        <v>4</v>
      </c>
      <c r="F157" s="1">
        <v>7</v>
      </c>
      <c r="G157" s="1">
        <v>3</v>
      </c>
      <c r="H157" s="1">
        <v>3</v>
      </c>
      <c r="I157" s="1">
        <v>5</v>
      </c>
      <c r="J157" s="1">
        <v>7</v>
      </c>
      <c r="K157" s="1">
        <v>3</v>
      </c>
      <c r="L157" s="1">
        <v>5</v>
      </c>
      <c r="M157" s="1">
        <v>13</v>
      </c>
      <c r="N157" s="1">
        <v>16</v>
      </c>
      <c r="O157" s="24">
        <f t="shared" si="6"/>
        <v>84</v>
      </c>
      <c r="P157" s="23">
        <v>251</v>
      </c>
      <c r="Q157" s="1">
        <v>171</v>
      </c>
      <c r="R157" s="1">
        <v>103</v>
      </c>
      <c r="S157" s="1">
        <v>159</v>
      </c>
      <c r="T157" s="1">
        <v>76</v>
      </c>
      <c r="U157" s="1">
        <v>101</v>
      </c>
      <c r="V157" s="1">
        <v>205</v>
      </c>
      <c r="W157" s="1">
        <v>202</v>
      </c>
      <c r="X157" s="1">
        <v>34</v>
      </c>
      <c r="Y157" s="1">
        <v>121</v>
      </c>
      <c r="Z157" s="1">
        <v>277</v>
      </c>
      <c r="AA157" s="1">
        <v>475</v>
      </c>
      <c r="AB157" s="24">
        <f t="shared" si="7"/>
        <v>2175</v>
      </c>
      <c r="AC157" s="23">
        <v>0</v>
      </c>
      <c r="AD157" s="1">
        <v>0</v>
      </c>
      <c r="AE157" s="1">
        <v>0</v>
      </c>
      <c r="AF157" s="1">
        <v>0</v>
      </c>
      <c r="AG157" s="1">
        <v>0</v>
      </c>
      <c r="AH157" s="1">
        <v>0</v>
      </c>
      <c r="AI157" s="1">
        <v>0</v>
      </c>
      <c r="AJ157" s="1">
        <v>0</v>
      </c>
      <c r="AK157" s="1">
        <v>0</v>
      </c>
      <c r="AL157" s="1">
        <v>0</v>
      </c>
      <c r="AM157" s="1">
        <v>0</v>
      </c>
      <c r="AN157" s="1">
        <v>0</v>
      </c>
      <c r="AO157" s="24">
        <f t="shared" si="8"/>
        <v>0</v>
      </c>
    </row>
    <row r="158" spans="1:41" ht="17.25" customHeight="1" x14ac:dyDescent="0.45">
      <c r="A158" s="12" t="s">
        <v>11</v>
      </c>
      <c r="B158" s="12" t="s">
        <v>38</v>
      </c>
      <c r="C158" s="25">
        <v>64</v>
      </c>
      <c r="D158" s="10">
        <v>54</v>
      </c>
      <c r="E158" s="10">
        <v>66</v>
      </c>
      <c r="F158" s="10">
        <v>94</v>
      </c>
      <c r="G158" s="10">
        <v>97</v>
      </c>
      <c r="H158" s="10">
        <v>100</v>
      </c>
      <c r="I158" s="10">
        <v>91</v>
      </c>
      <c r="J158" s="10">
        <v>93</v>
      </c>
      <c r="K158" s="10">
        <v>90</v>
      </c>
      <c r="L158" s="10">
        <v>93</v>
      </c>
      <c r="M158" s="10">
        <v>91</v>
      </c>
      <c r="N158" s="10">
        <v>95</v>
      </c>
      <c r="O158" s="26">
        <f t="shared" si="6"/>
        <v>1028</v>
      </c>
      <c r="P158" s="25">
        <v>12344</v>
      </c>
      <c r="Q158" s="10">
        <v>10061</v>
      </c>
      <c r="R158" s="10">
        <v>12296</v>
      </c>
      <c r="S158" s="10">
        <v>17980</v>
      </c>
      <c r="T158" s="10">
        <v>17884</v>
      </c>
      <c r="U158" s="10">
        <v>17930</v>
      </c>
      <c r="V158" s="10">
        <v>17034</v>
      </c>
      <c r="W158" s="10">
        <v>17379</v>
      </c>
      <c r="X158" s="10">
        <v>15941</v>
      </c>
      <c r="Y158" s="10">
        <v>17408</v>
      </c>
      <c r="Z158" s="10">
        <v>15664</v>
      </c>
      <c r="AA158" s="10">
        <v>15292</v>
      </c>
      <c r="AB158" s="26">
        <f t="shared" si="7"/>
        <v>187213</v>
      </c>
      <c r="AC158" s="25">
        <v>9970.6500000000015</v>
      </c>
      <c r="AD158" s="10">
        <v>9825.75</v>
      </c>
      <c r="AE158" s="10">
        <v>12231.050000000001</v>
      </c>
      <c r="AF158" s="10">
        <v>15860.850000000004</v>
      </c>
      <c r="AG158" s="10">
        <v>32983.4</v>
      </c>
      <c r="AH158" s="10">
        <v>28200.65</v>
      </c>
      <c r="AI158" s="10">
        <v>31605.85</v>
      </c>
      <c r="AJ158" s="10">
        <v>25083.7</v>
      </c>
      <c r="AK158" s="10">
        <v>15881.25</v>
      </c>
      <c r="AL158" s="10">
        <v>36698.5</v>
      </c>
      <c r="AM158" s="10">
        <v>10777.900000000001</v>
      </c>
      <c r="AN158" s="10">
        <v>6792.7</v>
      </c>
      <c r="AO158" s="26">
        <f t="shared" si="8"/>
        <v>235912.25000000003</v>
      </c>
    </row>
    <row r="159" spans="1:41" ht="17.25" customHeight="1" x14ac:dyDescent="0.45">
      <c r="A159" s="2" t="s">
        <v>11</v>
      </c>
      <c r="B159" s="2" t="s">
        <v>51</v>
      </c>
      <c r="C159" s="23">
        <v>8</v>
      </c>
      <c r="D159" s="1">
        <v>9</v>
      </c>
      <c r="E159" s="1">
        <v>11</v>
      </c>
      <c r="F159" s="1">
        <v>14</v>
      </c>
      <c r="G159" s="1">
        <v>13</v>
      </c>
      <c r="H159" s="1">
        <v>13</v>
      </c>
      <c r="I159" s="1">
        <v>13</v>
      </c>
      <c r="J159" s="1">
        <v>13</v>
      </c>
      <c r="K159" s="1">
        <v>12</v>
      </c>
      <c r="L159" s="1">
        <v>14</v>
      </c>
      <c r="M159" s="1">
        <v>13</v>
      </c>
      <c r="N159" s="1">
        <v>14</v>
      </c>
      <c r="O159" s="24">
        <f t="shared" si="6"/>
        <v>147</v>
      </c>
      <c r="P159" s="23">
        <v>1161</v>
      </c>
      <c r="Q159" s="1">
        <v>1275</v>
      </c>
      <c r="R159" s="1">
        <v>1539</v>
      </c>
      <c r="S159" s="1">
        <v>2024</v>
      </c>
      <c r="T159" s="1">
        <v>2080</v>
      </c>
      <c r="U159" s="1">
        <v>2178</v>
      </c>
      <c r="V159" s="1">
        <v>2142</v>
      </c>
      <c r="W159" s="1">
        <v>2090</v>
      </c>
      <c r="X159" s="1">
        <v>1887</v>
      </c>
      <c r="Y159" s="1">
        <v>2422</v>
      </c>
      <c r="Z159" s="1">
        <v>1969</v>
      </c>
      <c r="AA159" s="1">
        <v>2124</v>
      </c>
      <c r="AB159" s="24">
        <f t="shared" si="7"/>
        <v>22891</v>
      </c>
      <c r="AC159" s="23">
        <v>12.5</v>
      </c>
      <c r="AD159" s="1">
        <v>378.5</v>
      </c>
      <c r="AE159" s="1">
        <v>197.5</v>
      </c>
      <c r="AF159" s="1">
        <v>561.5</v>
      </c>
      <c r="AG159" s="1">
        <v>266</v>
      </c>
      <c r="AH159" s="1">
        <v>532.70000000000005</v>
      </c>
      <c r="AI159" s="1">
        <v>797.4</v>
      </c>
      <c r="AJ159" s="1">
        <v>451.6</v>
      </c>
      <c r="AK159" s="1">
        <v>205.4</v>
      </c>
      <c r="AL159" s="1">
        <v>545</v>
      </c>
      <c r="AM159" s="1">
        <v>525.4</v>
      </c>
      <c r="AN159" s="1">
        <v>1132.5999999999999</v>
      </c>
      <c r="AO159" s="24">
        <f t="shared" si="8"/>
        <v>5606.1</v>
      </c>
    </row>
    <row r="160" spans="1:41" ht="17.25" customHeight="1" x14ac:dyDescent="0.45">
      <c r="A160" s="12" t="s">
        <v>11</v>
      </c>
      <c r="B160" s="12" t="s">
        <v>47</v>
      </c>
      <c r="C160" s="25">
        <v>88</v>
      </c>
      <c r="D160" s="10">
        <v>79</v>
      </c>
      <c r="E160" s="10">
        <v>100</v>
      </c>
      <c r="F160" s="10">
        <v>79</v>
      </c>
      <c r="G160" s="10">
        <v>80</v>
      </c>
      <c r="H160" s="10">
        <v>77</v>
      </c>
      <c r="I160" s="10">
        <v>83</v>
      </c>
      <c r="J160" s="10">
        <v>80</v>
      </c>
      <c r="K160" s="10">
        <v>77</v>
      </c>
      <c r="L160" s="10">
        <v>79</v>
      </c>
      <c r="M160" s="10">
        <v>78</v>
      </c>
      <c r="N160" s="10">
        <v>79</v>
      </c>
      <c r="O160" s="26">
        <f t="shared" si="6"/>
        <v>979</v>
      </c>
      <c r="P160" s="25">
        <v>15490</v>
      </c>
      <c r="Q160" s="10">
        <v>14906</v>
      </c>
      <c r="R160" s="10">
        <v>17566</v>
      </c>
      <c r="S160" s="10">
        <v>13536</v>
      </c>
      <c r="T160" s="10">
        <v>14194</v>
      </c>
      <c r="U160" s="10">
        <v>13302</v>
      </c>
      <c r="V160" s="10">
        <v>15229</v>
      </c>
      <c r="W160" s="10">
        <v>14623</v>
      </c>
      <c r="X160" s="10">
        <v>13279</v>
      </c>
      <c r="Y160" s="10">
        <v>14312</v>
      </c>
      <c r="Z160" s="10">
        <v>14201</v>
      </c>
      <c r="AA160" s="10">
        <v>14020</v>
      </c>
      <c r="AB160" s="26">
        <f t="shared" si="7"/>
        <v>174658</v>
      </c>
      <c r="AC160" s="25">
        <v>11197.85</v>
      </c>
      <c r="AD160" s="10">
        <v>19801.95</v>
      </c>
      <c r="AE160" s="10">
        <v>16272.899999999996</v>
      </c>
      <c r="AF160" s="10">
        <v>18604</v>
      </c>
      <c r="AG160" s="10">
        <v>20479</v>
      </c>
      <c r="AH160" s="10">
        <v>17309.95</v>
      </c>
      <c r="AI160" s="10">
        <v>22645.350000000002</v>
      </c>
      <c r="AJ160" s="10">
        <v>15787.2</v>
      </c>
      <c r="AK160" s="10">
        <v>27566.75</v>
      </c>
      <c r="AL160" s="10">
        <v>60586.5</v>
      </c>
      <c r="AM160" s="10">
        <v>34620.800000000003</v>
      </c>
      <c r="AN160" s="10">
        <v>25411.3</v>
      </c>
      <c r="AO160" s="26">
        <f t="shared" si="8"/>
        <v>290283.55</v>
      </c>
    </row>
    <row r="161" spans="1:41" ht="17.25" customHeight="1" x14ac:dyDescent="0.45">
      <c r="A161" s="2" t="s">
        <v>11</v>
      </c>
      <c r="B161" s="2" t="s">
        <v>54</v>
      </c>
      <c r="C161" s="23">
        <v>4</v>
      </c>
      <c r="D161" s="1">
        <v>0</v>
      </c>
      <c r="E161" s="1">
        <v>0</v>
      </c>
      <c r="F161" s="1">
        <v>9</v>
      </c>
      <c r="G161" s="1">
        <v>8</v>
      </c>
      <c r="H161" s="1">
        <v>9</v>
      </c>
      <c r="I161" s="1">
        <v>9</v>
      </c>
      <c r="J161" s="1">
        <v>9</v>
      </c>
      <c r="K161" s="1">
        <v>8</v>
      </c>
      <c r="L161" s="1">
        <v>8</v>
      </c>
      <c r="M161" s="1">
        <v>0</v>
      </c>
      <c r="N161" s="1">
        <v>0</v>
      </c>
      <c r="O161" s="24">
        <f t="shared" si="6"/>
        <v>64</v>
      </c>
      <c r="P161" s="23">
        <v>661</v>
      </c>
      <c r="Q161" s="1">
        <v>0</v>
      </c>
      <c r="R161" s="1">
        <v>0</v>
      </c>
      <c r="S161" s="1">
        <v>926</v>
      </c>
      <c r="T161" s="1">
        <v>1031</v>
      </c>
      <c r="U161" s="1">
        <v>1032</v>
      </c>
      <c r="V161" s="1">
        <v>1275</v>
      </c>
      <c r="W161" s="1">
        <v>1259</v>
      </c>
      <c r="X161" s="1">
        <v>942</v>
      </c>
      <c r="Y161" s="1">
        <v>1004</v>
      </c>
      <c r="Z161" s="1">
        <v>0</v>
      </c>
      <c r="AA161" s="1">
        <v>0</v>
      </c>
      <c r="AB161" s="24">
        <f t="shared" si="7"/>
        <v>8130</v>
      </c>
      <c r="AC161" s="23">
        <v>0</v>
      </c>
      <c r="AD161" s="1">
        <v>0</v>
      </c>
      <c r="AE161" s="1">
        <v>0</v>
      </c>
      <c r="AF161" s="1">
        <v>0</v>
      </c>
      <c r="AG161" s="1">
        <v>0</v>
      </c>
      <c r="AH161" s="1">
        <v>0</v>
      </c>
      <c r="AI161" s="1">
        <v>0</v>
      </c>
      <c r="AJ161" s="1">
        <v>0</v>
      </c>
      <c r="AK161" s="1">
        <v>0</v>
      </c>
      <c r="AL161" s="1">
        <v>0</v>
      </c>
      <c r="AM161" s="1">
        <v>0</v>
      </c>
      <c r="AN161" s="1">
        <v>0</v>
      </c>
      <c r="AO161" s="24">
        <f t="shared" si="8"/>
        <v>0</v>
      </c>
    </row>
    <row r="162" spans="1:41" ht="17.25" customHeight="1" x14ac:dyDescent="0.45">
      <c r="A162" s="12" t="s">
        <v>11</v>
      </c>
      <c r="B162" s="12" t="s">
        <v>39</v>
      </c>
      <c r="C162" s="25">
        <v>22</v>
      </c>
      <c r="D162" s="10">
        <v>21</v>
      </c>
      <c r="E162" s="10">
        <v>22</v>
      </c>
      <c r="F162" s="10">
        <v>29</v>
      </c>
      <c r="G162" s="10">
        <v>18</v>
      </c>
      <c r="H162" s="10">
        <v>17</v>
      </c>
      <c r="I162" s="10">
        <v>18</v>
      </c>
      <c r="J162" s="10">
        <v>18</v>
      </c>
      <c r="K162" s="10">
        <v>17</v>
      </c>
      <c r="L162" s="10">
        <v>18</v>
      </c>
      <c r="M162" s="10">
        <v>22</v>
      </c>
      <c r="N162" s="10">
        <v>21</v>
      </c>
      <c r="O162" s="26">
        <f t="shared" si="6"/>
        <v>243</v>
      </c>
      <c r="P162" s="25">
        <v>3254</v>
      </c>
      <c r="Q162" s="10">
        <v>3355</v>
      </c>
      <c r="R162" s="10">
        <v>3707</v>
      </c>
      <c r="S162" s="10">
        <v>4180</v>
      </c>
      <c r="T162" s="10">
        <v>2964</v>
      </c>
      <c r="U162" s="10">
        <v>2731</v>
      </c>
      <c r="V162" s="10">
        <v>2846</v>
      </c>
      <c r="W162" s="10">
        <v>2970</v>
      </c>
      <c r="X162" s="10">
        <v>2609</v>
      </c>
      <c r="Y162" s="10">
        <v>3260</v>
      </c>
      <c r="Z162" s="10">
        <v>3860</v>
      </c>
      <c r="AA162" s="10">
        <v>3677</v>
      </c>
      <c r="AB162" s="26">
        <f t="shared" si="7"/>
        <v>39413</v>
      </c>
      <c r="AC162" s="25">
        <v>0</v>
      </c>
      <c r="AD162" s="10">
        <v>0</v>
      </c>
      <c r="AE162" s="10">
        <v>0</v>
      </c>
      <c r="AF162" s="10">
        <v>0</v>
      </c>
      <c r="AG162" s="10">
        <v>0</v>
      </c>
      <c r="AH162" s="10">
        <v>0</v>
      </c>
      <c r="AI162" s="10">
        <v>0</v>
      </c>
      <c r="AJ162" s="10">
        <v>0</v>
      </c>
      <c r="AK162" s="10">
        <v>0</v>
      </c>
      <c r="AL162" s="10">
        <v>0</v>
      </c>
      <c r="AM162" s="10">
        <v>0</v>
      </c>
      <c r="AN162" s="10">
        <v>0</v>
      </c>
      <c r="AO162" s="26">
        <f t="shared" si="8"/>
        <v>0</v>
      </c>
    </row>
    <row r="163" spans="1:41" ht="17.25" customHeight="1" x14ac:dyDescent="0.45">
      <c r="A163" s="2" t="s">
        <v>11</v>
      </c>
      <c r="B163" s="2" t="s">
        <v>23</v>
      </c>
      <c r="C163" s="23">
        <v>58</v>
      </c>
      <c r="D163" s="1">
        <v>54</v>
      </c>
      <c r="E163" s="1">
        <v>69</v>
      </c>
      <c r="F163" s="1">
        <v>66</v>
      </c>
      <c r="G163" s="1">
        <v>65</v>
      </c>
      <c r="H163" s="1">
        <v>78</v>
      </c>
      <c r="I163" s="1">
        <v>78</v>
      </c>
      <c r="J163" s="1">
        <v>83</v>
      </c>
      <c r="K163" s="1">
        <v>74</v>
      </c>
      <c r="L163" s="1">
        <v>77</v>
      </c>
      <c r="M163" s="1">
        <v>73</v>
      </c>
      <c r="N163" s="1">
        <v>80</v>
      </c>
      <c r="O163" s="24">
        <f t="shared" si="6"/>
        <v>855</v>
      </c>
      <c r="P163" s="23">
        <v>11563</v>
      </c>
      <c r="Q163" s="1">
        <v>10280</v>
      </c>
      <c r="R163" s="1">
        <v>13815</v>
      </c>
      <c r="S163" s="1">
        <v>11012</v>
      </c>
      <c r="T163" s="1">
        <v>10870</v>
      </c>
      <c r="U163" s="1">
        <v>12642</v>
      </c>
      <c r="V163" s="1">
        <v>12658</v>
      </c>
      <c r="W163" s="1">
        <v>13403</v>
      </c>
      <c r="X163" s="1">
        <v>12159</v>
      </c>
      <c r="Y163" s="1">
        <v>13398</v>
      </c>
      <c r="Z163" s="1">
        <v>12804</v>
      </c>
      <c r="AA163" s="1">
        <v>13764</v>
      </c>
      <c r="AB163" s="24">
        <f t="shared" si="7"/>
        <v>148368</v>
      </c>
      <c r="AC163" s="23">
        <v>6068.35</v>
      </c>
      <c r="AD163" s="1">
        <v>8306.4</v>
      </c>
      <c r="AE163" s="1">
        <v>8611.9500000000007</v>
      </c>
      <c r="AF163" s="1">
        <v>8718.15</v>
      </c>
      <c r="AG163" s="1">
        <v>7973.3999999999987</v>
      </c>
      <c r="AH163" s="1">
        <v>9710.7000000000025</v>
      </c>
      <c r="AI163" s="1">
        <v>14021.1</v>
      </c>
      <c r="AJ163" s="1">
        <v>12048.2</v>
      </c>
      <c r="AK163" s="1">
        <v>10416.25</v>
      </c>
      <c r="AL163" s="1">
        <v>14296.8</v>
      </c>
      <c r="AM163" s="1">
        <v>15165.3</v>
      </c>
      <c r="AN163" s="1">
        <v>9124.0999999999985</v>
      </c>
      <c r="AO163" s="24">
        <f t="shared" si="8"/>
        <v>124460.70000000001</v>
      </c>
    </row>
    <row r="164" spans="1:41" ht="17.25" customHeight="1" x14ac:dyDescent="0.45">
      <c r="A164" s="12" t="s">
        <v>11</v>
      </c>
      <c r="B164" s="12" t="s">
        <v>24</v>
      </c>
      <c r="C164" s="25">
        <v>72</v>
      </c>
      <c r="D164" s="10">
        <v>61</v>
      </c>
      <c r="E164" s="10">
        <v>64</v>
      </c>
      <c r="F164" s="10">
        <v>61</v>
      </c>
      <c r="G164" s="10">
        <v>62</v>
      </c>
      <c r="H164" s="10">
        <v>84</v>
      </c>
      <c r="I164" s="10">
        <v>92</v>
      </c>
      <c r="J164" s="10">
        <v>76</v>
      </c>
      <c r="K164" s="10">
        <v>60</v>
      </c>
      <c r="L164" s="10">
        <v>62</v>
      </c>
      <c r="M164" s="10">
        <v>60</v>
      </c>
      <c r="N164" s="10">
        <v>112</v>
      </c>
      <c r="O164" s="26">
        <f t="shared" si="6"/>
        <v>866</v>
      </c>
      <c r="P164" s="25">
        <v>13017</v>
      </c>
      <c r="Q164" s="10">
        <v>10840</v>
      </c>
      <c r="R164" s="10">
        <v>11160</v>
      </c>
      <c r="S164" s="10">
        <v>10778</v>
      </c>
      <c r="T164" s="10">
        <v>10669</v>
      </c>
      <c r="U164" s="10">
        <v>14700</v>
      </c>
      <c r="V164" s="10">
        <v>15500</v>
      </c>
      <c r="W164" s="10">
        <v>13419</v>
      </c>
      <c r="X164" s="10">
        <v>10176</v>
      </c>
      <c r="Y164" s="10">
        <v>10910</v>
      </c>
      <c r="Z164" s="10">
        <v>10241</v>
      </c>
      <c r="AA164" s="10">
        <v>17117</v>
      </c>
      <c r="AB164" s="26">
        <f t="shared" si="7"/>
        <v>148527</v>
      </c>
      <c r="AC164" s="25">
        <v>51688.600000000006</v>
      </c>
      <c r="AD164" s="10">
        <v>38046.6</v>
      </c>
      <c r="AE164" s="10">
        <v>63789.15</v>
      </c>
      <c r="AF164" s="10">
        <v>80071.199999999997</v>
      </c>
      <c r="AG164" s="10">
        <v>81773</v>
      </c>
      <c r="AH164" s="10">
        <v>66212.799999999988</v>
      </c>
      <c r="AI164" s="10">
        <v>77564.55</v>
      </c>
      <c r="AJ164" s="10">
        <v>72390.650000000009</v>
      </c>
      <c r="AK164" s="10">
        <v>58045.82</v>
      </c>
      <c r="AL164" s="10">
        <v>65255</v>
      </c>
      <c r="AM164" s="10">
        <v>54160.750000000007</v>
      </c>
      <c r="AN164" s="10">
        <v>45036.150000000009</v>
      </c>
      <c r="AO164" s="26">
        <f t="shared" si="8"/>
        <v>754034.2699999999</v>
      </c>
    </row>
    <row r="165" spans="1:41" ht="17.25" customHeight="1" x14ac:dyDescent="0.45">
      <c r="A165" s="2" t="s">
        <v>11</v>
      </c>
      <c r="B165" s="2" t="s">
        <v>12</v>
      </c>
      <c r="C165" s="23">
        <v>690</v>
      </c>
      <c r="D165" s="1">
        <v>662</v>
      </c>
      <c r="E165" s="1">
        <v>679</v>
      </c>
      <c r="F165" s="1">
        <v>794</v>
      </c>
      <c r="G165" s="1">
        <v>819</v>
      </c>
      <c r="H165" s="1">
        <v>766</v>
      </c>
      <c r="I165" s="1">
        <v>803</v>
      </c>
      <c r="J165" s="1">
        <v>785</v>
      </c>
      <c r="K165" s="1">
        <v>749</v>
      </c>
      <c r="L165" s="1">
        <v>756</v>
      </c>
      <c r="M165" s="1">
        <v>673</v>
      </c>
      <c r="N165" s="1">
        <v>674</v>
      </c>
      <c r="O165" s="24">
        <f t="shared" si="6"/>
        <v>8850</v>
      </c>
      <c r="P165" s="23">
        <v>108396</v>
      </c>
      <c r="Q165" s="1">
        <v>109559</v>
      </c>
      <c r="R165" s="1">
        <v>108998</v>
      </c>
      <c r="S165" s="1">
        <v>117649</v>
      </c>
      <c r="T165" s="1">
        <v>123297</v>
      </c>
      <c r="U165" s="1">
        <v>115379</v>
      </c>
      <c r="V165" s="1">
        <v>122028</v>
      </c>
      <c r="W165" s="1">
        <v>119682</v>
      </c>
      <c r="X165" s="1">
        <v>118966</v>
      </c>
      <c r="Y165" s="1">
        <v>121467</v>
      </c>
      <c r="Z165" s="1">
        <v>109294</v>
      </c>
      <c r="AA165" s="1">
        <v>109609</v>
      </c>
      <c r="AB165" s="24">
        <f t="shared" si="7"/>
        <v>1384324</v>
      </c>
      <c r="AC165" s="23">
        <v>179342</v>
      </c>
      <c r="AD165" s="1">
        <v>175783.6</v>
      </c>
      <c r="AE165" s="1">
        <v>181920.9</v>
      </c>
      <c r="AF165" s="1">
        <v>184906.3</v>
      </c>
      <c r="AG165" s="1">
        <v>198077.09999999998</v>
      </c>
      <c r="AH165" s="1">
        <v>170852.84999999998</v>
      </c>
      <c r="AI165" s="1">
        <v>166395.24</v>
      </c>
      <c r="AJ165" s="1">
        <v>175211.01</v>
      </c>
      <c r="AK165" s="1">
        <v>157355.50000000003</v>
      </c>
      <c r="AL165" s="1">
        <v>165163.4</v>
      </c>
      <c r="AM165" s="1">
        <v>172236.67</v>
      </c>
      <c r="AN165" s="1">
        <v>166365.19999999998</v>
      </c>
      <c r="AO165" s="24">
        <f t="shared" si="8"/>
        <v>2093609.7699999998</v>
      </c>
    </row>
    <row r="166" spans="1:41" ht="17.25" customHeight="1" x14ac:dyDescent="0.45">
      <c r="A166" s="12" t="s">
        <v>11</v>
      </c>
      <c r="B166" s="12" t="s">
        <v>13</v>
      </c>
      <c r="C166" s="25">
        <v>224</v>
      </c>
      <c r="D166" s="10">
        <v>199</v>
      </c>
      <c r="E166" s="10">
        <v>211</v>
      </c>
      <c r="F166" s="10">
        <v>266</v>
      </c>
      <c r="G166" s="10">
        <v>268</v>
      </c>
      <c r="H166" s="10">
        <v>245</v>
      </c>
      <c r="I166" s="10">
        <v>261</v>
      </c>
      <c r="J166" s="10">
        <v>268</v>
      </c>
      <c r="K166" s="10">
        <v>258</v>
      </c>
      <c r="L166" s="10">
        <v>268</v>
      </c>
      <c r="M166" s="10">
        <v>261</v>
      </c>
      <c r="N166" s="10">
        <v>267</v>
      </c>
      <c r="O166" s="26">
        <f t="shared" si="6"/>
        <v>2996</v>
      </c>
      <c r="P166" s="25">
        <v>37737</v>
      </c>
      <c r="Q166" s="10">
        <v>34865</v>
      </c>
      <c r="R166" s="10">
        <v>38009</v>
      </c>
      <c r="S166" s="10">
        <v>43304</v>
      </c>
      <c r="T166" s="10">
        <v>43763</v>
      </c>
      <c r="U166" s="10">
        <v>39695</v>
      </c>
      <c r="V166" s="10">
        <v>45540</v>
      </c>
      <c r="W166" s="10">
        <v>46276</v>
      </c>
      <c r="X166" s="10">
        <v>44425</v>
      </c>
      <c r="Y166" s="10">
        <v>47150</v>
      </c>
      <c r="Z166" s="10">
        <v>46371</v>
      </c>
      <c r="AA166" s="10">
        <v>42609</v>
      </c>
      <c r="AB166" s="26">
        <f t="shared" si="7"/>
        <v>509744</v>
      </c>
      <c r="AC166" s="25">
        <v>13651.049999999997</v>
      </c>
      <c r="AD166" s="10">
        <v>9293.9000000000015</v>
      </c>
      <c r="AE166" s="10">
        <v>9748.1499999999978</v>
      </c>
      <c r="AF166" s="10">
        <v>12777.299999999997</v>
      </c>
      <c r="AG166" s="10">
        <v>16186.199999999999</v>
      </c>
      <c r="AH166" s="10">
        <v>13621.400000000005</v>
      </c>
      <c r="AI166" s="10">
        <v>11865.150000000001</v>
      </c>
      <c r="AJ166" s="10">
        <v>14919.559999999998</v>
      </c>
      <c r="AK166" s="10">
        <v>15812.599999999999</v>
      </c>
      <c r="AL166" s="10">
        <v>17667.2</v>
      </c>
      <c r="AM166" s="10">
        <v>23362.68</v>
      </c>
      <c r="AN166" s="10">
        <v>20518</v>
      </c>
      <c r="AO166" s="26">
        <f t="shared" si="8"/>
        <v>179423.19</v>
      </c>
    </row>
    <row r="167" spans="1:41" ht="17.25" customHeight="1" x14ac:dyDescent="0.45">
      <c r="A167" s="2" t="s">
        <v>11</v>
      </c>
      <c r="B167" s="2" t="s">
        <v>59</v>
      </c>
      <c r="C167" s="23">
        <v>0</v>
      </c>
      <c r="D167" s="1">
        <v>0</v>
      </c>
      <c r="E167" s="1">
        <v>0</v>
      </c>
      <c r="F167" s="1">
        <v>0</v>
      </c>
      <c r="G167" s="1">
        <v>0</v>
      </c>
      <c r="H167" s="1">
        <v>0</v>
      </c>
      <c r="I167" s="1">
        <v>0</v>
      </c>
      <c r="J167" s="1">
        <v>0</v>
      </c>
      <c r="K167" s="1">
        <v>21</v>
      </c>
      <c r="L167" s="1">
        <v>22</v>
      </c>
      <c r="M167" s="1">
        <v>30</v>
      </c>
      <c r="N167" s="1">
        <v>31</v>
      </c>
      <c r="O167" s="24">
        <f t="shared" si="6"/>
        <v>104</v>
      </c>
      <c r="P167" s="23">
        <v>0</v>
      </c>
      <c r="Q167" s="1">
        <v>0</v>
      </c>
      <c r="R167" s="1">
        <v>0</v>
      </c>
      <c r="S167" s="1">
        <v>0</v>
      </c>
      <c r="T167" s="1">
        <v>0</v>
      </c>
      <c r="U167" s="1">
        <v>0</v>
      </c>
      <c r="V167" s="1">
        <v>0</v>
      </c>
      <c r="W167" s="1">
        <v>0</v>
      </c>
      <c r="X167" s="1">
        <v>392</v>
      </c>
      <c r="Y167" s="1">
        <v>433</v>
      </c>
      <c r="Z167" s="1">
        <v>571</v>
      </c>
      <c r="AA167" s="1">
        <v>406</v>
      </c>
      <c r="AB167" s="24">
        <f t="shared" si="7"/>
        <v>1802</v>
      </c>
      <c r="AC167" s="23">
        <v>0</v>
      </c>
      <c r="AD167" s="1">
        <v>0</v>
      </c>
      <c r="AE167" s="1">
        <v>0</v>
      </c>
      <c r="AF167" s="1">
        <v>0</v>
      </c>
      <c r="AG167" s="1">
        <v>0</v>
      </c>
      <c r="AH167" s="1">
        <v>0</v>
      </c>
      <c r="AI167" s="1">
        <v>0</v>
      </c>
      <c r="AJ167" s="1">
        <v>0</v>
      </c>
      <c r="AK167" s="1">
        <v>0</v>
      </c>
      <c r="AL167" s="1">
        <v>0</v>
      </c>
      <c r="AM167" s="1">
        <v>0</v>
      </c>
      <c r="AN167" s="1">
        <v>0</v>
      </c>
      <c r="AO167" s="24">
        <f t="shared" si="8"/>
        <v>0</v>
      </c>
    </row>
    <row r="168" spans="1:41" ht="17.25" customHeight="1" x14ac:dyDescent="0.45">
      <c r="A168" s="12" t="s">
        <v>11</v>
      </c>
      <c r="B168" s="12" t="s">
        <v>26</v>
      </c>
      <c r="C168" s="25">
        <v>39</v>
      </c>
      <c r="D168" s="10">
        <v>29</v>
      </c>
      <c r="E168" s="10">
        <v>40</v>
      </c>
      <c r="F168" s="10">
        <v>46</v>
      </c>
      <c r="G168" s="10">
        <v>45</v>
      </c>
      <c r="H168" s="10">
        <v>42</v>
      </c>
      <c r="I168" s="10">
        <v>48</v>
      </c>
      <c r="J168" s="10">
        <v>44</v>
      </c>
      <c r="K168" s="10">
        <v>43</v>
      </c>
      <c r="L168" s="10">
        <v>44</v>
      </c>
      <c r="M168" s="10">
        <v>44</v>
      </c>
      <c r="N168" s="10">
        <v>48</v>
      </c>
      <c r="O168" s="26">
        <f t="shared" si="6"/>
        <v>512</v>
      </c>
      <c r="P168" s="25">
        <v>6131</v>
      </c>
      <c r="Q168" s="10">
        <v>4897</v>
      </c>
      <c r="R168" s="10">
        <v>6535</v>
      </c>
      <c r="S168" s="10">
        <v>6447</v>
      </c>
      <c r="T168" s="10">
        <v>6556</v>
      </c>
      <c r="U168" s="10">
        <v>6181</v>
      </c>
      <c r="V168" s="10">
        <v>7782</v>
      </c>
      <c r="W168" s="10">
        <v>6516</v>
      </c>
      <c r="X168" s="10">
        <v>6568</v>
      </c>
      <c r="Y168" s="10">
        <v>7585</v>
      </c>
      <c r="Z168" s="10">
        <v>7225</v>
      </c>
      <c r="AA168" s="10">
        <v>8058</v>
      </c>
      <c r="AB168" s="26">
        <f t="shared" si="7"/>
        <v>80481</v>
      </c>
      <c r="AC168" s="25">
        <v>3775.7999999999997</v>
      </c>
      <c r="AD168" s="10">
        <v>2684.54</v>
      </c>
      <c r="AE168" s="10">
        <v>2665.88</v>
      </c>
      <c r="AF168" s="10">
        <v>2279.8000000000002</v>
      </c>
      <c r="AG168" s="10">
        <v>2646</v>
      </c>
      <c r="AH168" s="10">
        <v>1807.25</v>
      </c>
      <c r="AI168" s="10">
        <v>3832.35</v>
      </c>
      <c r="AJ168" s="10">
        <v>1948.7</v>
      </c>
      <c r="AK168" s="10">
        <v>2167.7000000000003</v>
      </c>
      <c r="AL168" s="10">
        <v>3626</v>
      </c>
      <c r="AM168" s="10">
        <v>2574.0500000000002</v>
      </c>
      <c r="AN168" s="10">
        <v>3121.85</v>
      </c>
      <c r="AO168" s="26">
        <f t="shared" si="8"/>
        <v>33129.919999999998</v>
      </c>
    </row>
    <row r="169" spans="1:41" ht="17.25" customHeight="1" x14ac:dyDescent="0.45">
      <c r="A169" s="2" t="s">
        <v>11</v>
      </c>
      <c r="B169" s="2" t="s">
        <v>27</v>
      </c>
      <c r="C169" s="23">
        <v>20</v>
      </c>
      <c r="D169" s="1">
        <v>16</v>
      </c>
      <c r="E169" s="1">
        <v>25</v>
      </c>
      <c r="F169" s="1">
        <v>30</v>
      </c>
      <c r="G169" s="1">
        <v>31</v>
      </c>
      <c r="H169" s="1">
        <v>29</v>
      </c>
      <c r="I169" s="1">
        <v>45</v>
      </c>
      <c r="J169" s="1">
        <v>31</v>
      </c>
      <c r="K169" s="1">
        <v>35</v>
      </c>
      <c r="L169" s="1">
        <v>29</v>
      </c>
      <c r="M169" s="1">
        <v>30</v>
      </c>
      <c r="N169" s="1">
        <v>31</v>
      </c>
      <c r="O169" s="24">
        <f t="shared" si="6"/>
        <v>352</v>
      </c>
      <c r="P169" s="23">
        <v>3099</v>
      </c>
      <c r="Q169" s="1">
        <v>2619</v>
      </c>
      <c r="R169" s="1">
        <v>3884</v>
      </c>
      <c r="S169" s="1">
        <v>4282</v>
      </c>
      <c r="T169" s="1">
        <v>4674</v>
      </c>
      <c r="U169" s="1">
        <v>4205</v>
      </c>
      <c r="V169" s="1">
        <v>6288</v>
      </c>
      <c r="W169" s="1">
        <v>5263</v>
      </c>
      <c r="X169" s="1">
        <v>5748</v>
      </c>
      <c r="Y169" s="1">
        <v>4870</v>
      </c>
      <c r="Z169" s="1">
        <v>4669</v>
      </c>
      <c r="AA169" s="1">
        <v>4909</v>
      </c>
      <c r="AB169" s="24">
        <f t="shared" si="7"/>
        <v>54510</v>
      </c>
      <c r="AC169" s="23">
        <v>0</v>
      </c>
      <c r="AD169" s="1">
        <v>0</v>
      </c>
      <c r="AE169" s="1">
        <v>0</v>
      </c>
      <c r="AF169" s="1">
        <v>0</v>
      </c>
      <c r="AG169" s="1">
        <v>0</v>
      </c>
      <c r="AH169" s="1">
        <v>0</v>
      </c>
      <c r="AI169" s="1">
        <v>0</v>
      </c>
      <c r="AJ169" s="1">
        <v>0</v>
      </c>
      <c r="AK169" s="1">
        <v>0</v>
      </c>
      <c r="AL169" s="1">
        <v>0</v>
      </c>
      <c r="AM169" s="1">
        <v>0</v>
      </c>
      <c r="AN169" s="1">
        <v>0</v>
      </c>
      <c r="AO169" s="24">
        <f t="shared" si="8"/>
        <v>0</v>
      </c>
    </row>
    <row r="170" spans="1:41" ht="17.25" customHeight="1" x14ac:dyDescent="0.45">
      <c r="A170" s="12" t="s">
        <v>11</v>
      </c>
      <c r="B170" s="12" t="s">
        <v>49</v>
      </c>
      <c r="C170" s="25">
        <v>18</v>
      </c>
      <c r="D170" s="10">
        <v>16</v>
      </c>
      <c r="E170" s="10">
        <v>20</v>
      </c>
      <c r="F170" s="10">
        <v>18</v>
      </c>
      <c r="G170" s="10">
        <v>18</v>
      </c>
      <c r="H170" s="10">
        <v>17</v>
      </c>
      <c r="I170" s="10">
        <v>18</v>
      </c>
      <c r="J170" s="10">
        <v>17</v>
      </c>
      <c r="K170" s="10">
        <v>18</v>
      </c>
      <c r="L170" s="10">
        <v>17</v>
      </c>
      <c r="M170" s="10">
        <v>17</v>
      </c>
      <c r="N170" s="10">
        <v>31</v>
      </c>
      <c r="O170" s="26">
        <f t="shared" si="6"/>
        <v>225</v>
      </c>
      <c r="P170" s="25">
        <v>2157</v>
      </c>
      <c r="Q170" s="10">
        <v>2080</v>
      </c>
      <c r="R170" s="10">
        <v>2717</v>
      </c>
      <c r="S170" s="10">
        <v>2485</v>
      </c>
      <c r="T170" s="10">
        <v>2919</v>
      </c>
      <c r="U170" s="10">
        <v>2663</v>
      </c>
      <c r="V170" s="10">
        <v>3007</v>
      </c>
      <c r="W170" s="10">
        <v>2643</v>
      </c>
      <c r="X170" s="10">
        <v>2601</v>
      </c>
      <c r="Y170" s="10">
        <v>2912</v>
      </c>
      <c r="Z170" s="10">
        <v>3177</v>
      </c>
      <c r="AA170" s="10">
        <v>5008</v>
      </c>
      <c r="AB170" s="26">
        <f t="shared" si="7"/>
        <v>34369</v>
      </c>
      <c r="AC170" s="25">
        <v>0</v>
      </c>
      <c r="AD170" s="10">
        <v>0</v>
      </c>
      <c r="AE170" s="10">
        <v>0</v>
      </c>
      <c r="AF170" s="10">
        <v>0</v>
      </c>
      <c r="AG170" s="10">
        <v>0</v>
      </c>
      <c r="AH170" s="10">
        <v>0</v>
      </c>
      <c r="AI170" s="10">
        <v>0</v>
      </c>
      <c r="AJ170" s="10">
        <v>0</v>
      </c>
      <c r="AK170" s="10">
        <v>0</v>
      </c>
      <c r="AL170" s="10">
        <v>0</v>
      </c>
      <c r="AM170" s="10">
        <v>0</v>
      </c>
      <c r="AN170" s="10">
        <v>0</v>
      </c>
      <c r="AO170" s="26">
        <f t="shared" si="8"/>
        <v>0</v>
      </c>
    </row>
    <row r="171" spans="1:41" ht="17.25" customHeight="1" x14ac:dyDescent="0.45">
      <c r="A171" s="2" t="s">
        <v>11</v>
      </c>
      <c r="B171" s="2" t="s">
        <v>17</v>
      </c>
      <c r="C171" s="23">
        <v>95</v>
      </c>
      <c r="D171" s="1">
        <v>87</v>
      </c>
      <c r="E171" s="1">
        <v>110</v>
      </c>
      <c r="F171" s="1">
        <v>135</v>
      </c>
      <c r="G171" s="1">
        <v>142</v>
      </c>
      <c r="H171" s="1">
        <v>138</v>
      </c>
      <c r="I171" s="1">
        <v>149</v>
      </c>
      <c r="J171" s="1">
        <v>136</v>
      </c>
      <c r="K171" s="1">
        <v>134</v>
      </c>
      <c r="L171" s="1">
        <v>141</v>
      </c>
      <c r="M171" s="1">
        <v>143</v>
      </c>
      <c r="N171" s="1">
        <v>143</v>
      </c>
      <c r="O171" s="24">
        <f t="shared" si="6"/>
        <v>1553</v>
      </c>
      <c r="P171" s="23">
        <v>13836</v>
      </c>
      <c r="Q171" s="1">
        <v>12347</v>
      </c>
      <c r="R171" s="1">
        <v>16351</v>
      </c>
      <c r="S171" s="1">
        <v>15096</v>
      </c>
      <c r="T171" s="1">
        <v>17533</v>
      </c>
      <c r="U171" s="1">
        <v>17197</v>
      </c>
      <c r="V171" s="1">
        <v>18406</v>
      </c>
      <c r="W171" s="1">
        <v>16515</v>
      </c>
      <c r="X171" s="1">
        <v>15111</v>
      </c>
      <c r="Y171" s="1">
        <v>18034</v>
      </c>
      <c r="Z171" s="1">
        <v>17956</v>
      </c>
      <c r="AA171" s="1">
        <v>18421</v>
      </c>
      <c r="AB171" s="24">
        <f t="shared" si="7"/>
        <v>196803</v>
      </c>
      <c r="AC171" s="23">
        <v>6887.85</v>
      </c>
      <c r="AD171" s="1">
        <v>13551.099999999999</v>
      </c>
      <c r="AE171" s="1">
        <v>13754.29</v>
      </c>
      <c r="AF171" s="1">
        <v>2295.29</v>
      </c>
      <c r="AG171" s="1">
        <v>1677</v>
      </c>
      <c r="AH171" s="1">
        <v>1543.1000000000001</v>
      </c>
      <c r="AI171" s="1">
        <v>1121.6500000000001</v>
      </c>
      <c r="AJ171" s="1">
        <v>1136.1999999999998</v>
      </c>
      <c r="AK171" s="1">
        <v>718.30000000000007</v>
      </c>
      <c r="AL171" s="1">
        <v>2106</v>
      </c>
      <c r="AM171" s="1">
        <v>3873.7000000000007</v>
      </c>
      <c r="AN171" s="1">
        <v>4455.4399999999996</v>
      </c>
      <c r="AO171" s="24">
        <f t="shared" si="8"/>
        <v>53119.92</v>
      </c>
    </row>
    <row r="172" spans="1:41" ht="17.25" customHeight="1" x14ac:dyDescent="0.45">
      <c r="A172" s="12" t="s">
        <v>11</v>
      </c>
      <c r="B172" s="12" t="s">
        <v>29</v>
      </c>
      <c r="C172" s="25">
        <v>15</v>
      </c>
      <c r="D172" s="10">
        <v>12</v>
      </c>
      <c r="E172" s="10">
        <v>17</v>
      </c>
      <c r="F172" s="10">
        <v>17</v>
      </c>
      <c r="G172" s="10">
        <v>31</v>
      </c>
      <c r="H172" s="10">
        <v>21</v>
      </c>
      <c r="I172" s="10">
        <v>31</v>
      </c>
      <c r="J172" s="10">
        <v>31</v>
      </c>
      <c r="K172" s="10">
        <v>49</v>
      </c>
      <c r="L172" s="10">
        <v>56</v>
      </c>
      <c r="M172" s="10">
        <v>25</v>
      </c>
      <c r="N172" s="10">
        <v>26</v>
      </c>
      <c r="O172" s="26">
        <f t="shared" si="6"/>
        <v>331</v>
      </c>
      <c r="P172" s="25">
        <v>2452</v>
      </c>
      <c r="Q172" s="10">
        <v>1920</v>
      </c>
      <c r="R172" s="10">
        <v>2560</v>
      </c>
      <c r="S172" s="10">
        <v>2605</v>
      </c>
      <c r="T172" s="10">
        <v>4622</v>
      </c>
      <c r="U172" s="10">
        <v>3288</v>
      </c>
      <c r="V172" s="10">
        <v>4923</v>
      </c>
      <c r="W172" s="10">
        <v>5021</v>
      </c>
      <c r="X172" s="10">
        <v>3809</v>
      </c>
      <c r="Y172" s="10">
        <v>4560</v>
      </c>
      <c r="Z172" s="10">
        <v>3240</v>
      </c>
      <c r="AA172" s="10">
        <v>3396</v>
      </c>
      <c r="AB172" s="26">
        <f t="shared" si="7"/>
        <v>42396</v>
      </c>
      <c r="AC172" s="25">
        <v>0</v>
      </c>
      <c r="AD172" s="10">
        <v>0</v>
      </c>
      <c r="AE172" s="10">
        <v>0</v>
      </c>
      <c r="AF172" s="10">
        <v>0</v>
      </c>
      <c r="AG172" s="10">
        <v>0</v>
      </c>
      <c r="AH172" s="10">
        <v>0</v>
      </c>
      <c r="AI172" s="10">
        <v>0</v>
      </c>
      <c r="AJ172" s="10">
        <v>0</v>
      </c>
      <c r="AK172" s="10">
        <v>0</v>
      </c>
      <c r="AL172" s="10">
        <v>0</v>
      </c>
      <c r="AM172" s="10">
        <v>0</v>
      </c>
      <c r="AN172" s="10">
        <v>0</v>
      </c>
      <c r="AO172" s="26">
        <f t="shared" si="8"/>
        <v>0</v>
      </c>
    </row>
    <row r="173" spans="1:41" ht="17.25" customHeight="1" x14ac:dyDescent="0.45">
      <c r="A173" s="2" t="s">
        <v>11</v>
      </c>
      <c r="B173" s="2" t="s">
        <v>48</v>
      </c>
      <c r="C173" s="23">
        <v>112</v>
      </c>
      <c r="D173" s="1">
        <v>100</v>
      </c>
      <c r="E173" s="1">
        <v>118</v>
      </c>
      <c r="F173" s="1">
        <v>121</v>
      </c>
      <c r="G173" s="1">
        <v>120</v>
      </c>
      <c r="H173" s="1">
        <v>131</v>
      </c>
      <c r="I173" s="1">
        <v>136</v>
      </c>
      <c r="J173" s="1">
        <v>131</v>
      </c>
      <c r="K173" s="1">
        <v>115</v>
      </c>
      <c r="L173" s="1">
        <v>118</v>
      </c>
      <c r="M173" s="1">
        <v>128</v>
      </c>
      <c r="N173" s="1">
        <v>136</v>
      </c>
      <c r="O173" s="24">
        <f t="shared" si="6"/>
        <v>1466</v>
      </c>
      <c r="P173" s="23">
        <v>20336</v>
      </c>
      <c r="Q173" s="1">
        <v>17903</v>
      </c>
      <c r="R173" s="1">
        <v>20544</v>
      </c>
      <c r="S173" s="1">
        <v>17851</v>
      </c>
      <c r="T173" s="1">
        <v>18707</v>
      </c>
      <c r="U173" s="1">
        <v>21359</v>
      </c>
      <c r="V173" s="1">
        <v>23185</v>
      </c>
      <c r="W173" s="1">
        <v>22705</v>
      </c>
      <c r="X173" s="1">
        <v>19185</v>
      </c>
      <c r="Y173" s="1">
        <v>20912</v>
      </c>
      <c r="Z173" s="1">
        <v>20533</v>
      </c>
      <c r="AA173" s="1">
        <v>21008</v>
      </c>
      <c r="AB173" s="24">
        <f t="shared" si="7"/>
        <v>244228</v>
      </c>
      <c r="AC173" s="23">
        <v>46933.15</v>
      </c>
      <c r="AD173" s="1">
        <v>51948.479999999996</v>
      </c>
      <c r="AE173" s="1">
        <v>56529.069999999992</v>
      </c>
      <c r="AF173" s="1">
        <v>44651.799999999988</v>
      </c>
      <c r="AG173" s="1">
        <v>58335.1</v>
      </c>
      <c r="AH173" s="1">
        <v>40082.670000000006</v>
      </c>
      <c r="AI173" s="1">
        <v>39037.75</v>
      </c>
      <c r="AJ173" s="1">
        <v>36540.5</v>
      </c>
      <c r="AK173" s="1">
        <v>34767.299999999996</v>
      </c>
      <c r="AL173" s="1">
        <v>57481.3</v>
      </c>
      <c r="AM173" s="1">
        <v>70161.3</v>
      </c>
      <c r="AN173" s="1">
        <v>54230.899999999994</v>
      </c>
      <c r="AO173" s="24">
        <f t="shared" si="8"/>
        <v>590699.32000000007</v>
      </c>
    </row>
    <row r="174" spans="1:41" ht="17.25" customHeight="1" x14ac:dyDescent="0.45">
      <c r="A174" s="12" t="s">
        <v>11</v>
      </c>
      <c r="B174" s="12" t="s">
        <v>30</v>
      </c>
      <c r="C174" s="25">
        <v>17</v>
      </c>
      <c r="D174" s="10">
        <v>16</v>
      </c>
      <c r="E174" s="10">
        <v>15</v>
      </c>
      <c r="F174" s="10">
        <v>17</v>
      </c>
      <c r="G174" s="10">
        <v>18</v>
      </c>
      <c r="H174" s="10">
        <v>17</v>
      </c>
      <c r="I174" s="10">
        <v>18</v>
      </c>
      <c r="J174" s="10">
        <v>18</v>
      </c>
      <c r="K174" s="10">
        <v>15</v>
      </c>
      <c r="L174" s="10">
        <v>18</v>
      </c>
      <c r="M174" s="10">
        <v>17</v>
      </c>
      <c r="N174" s="10">
        <v>16</v>
      </c>
      <c r="O174" s="26">
        <f t="shared" si="6"/>
        <v>202</v>
      </c>
      <c r="P174" s="25">
        <v>0</v>
      </c>
      <c r="Q174" s="10">
        <v>0</v>
      </c>
      <c r="R174" s="10">
        <v>0</v>
      </c>
      <c r="S174" s="10">
        <v>0</v>
      </c>
      <c r="T174" s="10">
        <v>0</v>
      </c>
      <c r="U174" s="10">
        <v>0</v>
      </c>
      <c r="V174" s="10">
        <v>0</v>
      </c>
      <c r="W174" s="10">
        <v>0</v>
      </c>
      <c r="X174" s="10">
        <v>0</v>
      </c>
      <c r="Y174" s="10">
        <v>0</v>
      </c>
      <c r="Z174" s="10">
        <v>0</v>
      </c>
      <c r="AA174" s="10">
        <v>0</v>
      </c>
      <c r="AB174" s="26">
        <f t="shared" si="7"/>
        <v>0</v>
      </c>
      <c r="AC174" s="25">
        <v>88029</v>
      </c>
      <c r="AD174" s="10">
        <v>73747</v>
      </c>
      <c r="AE174" s="10">
        <v>59585</v>
      </c>
      <c r="AF174" s="10">
        <v>52191</v>
      </c>
      <c r="AG174" s="10">
        <v>58866</v>
      </c>
      <c r="AH174" s="10">
        <v>43587</v>
      </c>
      <c r="AI174" s="10">
        <v>57995</v>
      </c>
      <c r="AJ174" s="10">
        <v>61884</v>
      </c>
      <c r="AK174" s="10">
        <v>50890</v>
      </c>
      <c r="AL174" s="10">
        <v>72580</v>
      </c>
      <c r="AM174" s="10">
        <v>77530</v>
      </c>
      <c r="AN174" s="10">
        <v>89542</v>
      </c>
      <c r="AO174" s="26">
        <f t="shared" si="8"/>
        <v>786426</v>
      </c>
    </row>
    <row r="175" spans="1:41" ht="17.25" customHeight="1" x14ac:dyDescent="0.45">
      <c r="A175" s="2" t="s">
        <v>11</v>
      </c>
      <c r="B175" s="2" t="s">
        <v>14</v>
      </c>
      <c r="C175" s="23">
        <v>179</v>
      </c>
      <c r="D175" s="1">
        <v>189</v>
      </c>
      <c r="E175" s="1">
        <v>204</v>
      </c>
      <c r="F175" s="1">
        <v>217</v>
      </c>
      <c r="G175" s="1">
        <v>205</v>
      </c>
      <c r="H175" s="1">
        <v>220</v>
      </c>
      <c r="I175" s="1">
        <v>228</v>
      </c>
      <c r="J175" s="1">
        <v>197</v>
      </c>
      <c r="K175" s="1">
        <v>230</v>
      </c>
      <c r="L175" s="1">
        <v>218</v>
      </c>
      <c r="M175" s="1">
        <v>231</v>
      </c>
      <c r="N175" s="1">
        <v>229</v>
      </c>
      <c r="O175" s="24">
        <f t="shared" si="6"/>
        <v>2547</v>
      </c>
      <c r="P175" s="23">
        <v>14722</v>
      </c>
      <c r="Q175" s="1">
        <v>19540</v>
      </c>
      <c r="R175" s="1">
        <v>21607</v>
      </c>
      <c r="S175" s="1">
        <v>19885</v>
      </c>
      <c r="T175" s="1">
        <v>21579</v>
      </c>
      <c r="U175" s="1">
        <v>22637</v>
      </c>
      <c r="V175" s="1">
        <v>23610</v>
      </c>
      <c r="W175" s="1">
        <v>19933</v>
      </c>
      <c r="X175" s="1">
        <v>23659</v>
      </c>
      <c r="Y175" s="1">
        <v>25055</v>
      </c>
      <c r="Z175" s="1">
        <v>26660</v>
      </c>
      <c r="AA175" s="1">
        <v>25545</v>
      </c>
      <c r="AB175" s="24">
        <f t="shared" si="7"/>
        <v>264432</v>
      </c>
      <c r="AC175" s="23">
        <v>582854.07000000007</v>
      </c>
      <c r="AD175" s="1">
        <v>573663.0199999999</v>
      </c>
      <c r="AE175" s="1">
        <v>445418.4</v>
      </c>
      <c r="AF175" s="1">
        <v>689208</v>
      </c>
      <c r="AG175" s="1">
        <v>722305</v>
      </c>
      <c r="AH175" s="1">
        <v>602914</v>
      </c>
      <c r="AI175" s="1">
        <v>639971.02623583656</v>
      </c>
      <c r="AJ175" s="1">
        <v>781667.9</v>
      </c>
      <c r="AK175" s="1">
        <v>749961.39999999991</v>
      </c>
      <c r="AL175" s="1">
        <v>665769.89999999991</v>
      </c>
      <c r="AM175" s="1">
        <v>688477.1</v>
      </c>
      <c r="AN175" s="1">
        <v>664919.1</v>
      </c>
      <c r="AO175" s="24">
        <f t="shared" si="8"/>
        <v>7807128.9162358362</v>
      </c>
    </row>
    <row r="176" spans="1:41" ht="17.25" customHeight="1" x14ac:dyDescent="0.45">
      <c r="A176" s="12" t="s">
        <v>11</v>
      </c>
      <c r="B176" s="12" t="s">
        <v>31</v>
      </c>
      <c r="C176" s="25">
        <v>0</v>
      </c>
      <c r="D176" s="10">
        <v>0</v>
      </c>
      <c r="E176" s="10">
        <v>0</v>
      </c>
      <c r="F176" s="10">
        <v>0</v>
      </c>
      <c r="G176" s="10">
        <v>0</v>
      </c>
      <c r="H176" s="10">
        <v>0</v>
      </c>
      <c r="I176" s="10">
        <v>0</v>
      </c>
      <c r="J176" s="10">
        <v>0</v>
      </c>
      <c r="K176" s="10">
        <v>9</v>
      </c>
      <c r="L176" s="10">
        <v>8</v>
      </c>
      <c r="M176" s="10">
        <v>25</v>
      </c>
      <c r="N176" s="10">
        <v>26</v>
      </c>
      <c r="O176" s="26">
        <f t="shared" si="6"/>
        <v>68</v>
      </c>
      <c r="P176" s="25">
        <v>0</v>
      </c>
      <c r="Q176" s="10">
        <v>0</v>
      </c>
      <c r="R176" s="10">
        <v>0</v>
      </c>
      <c r="S176" s="10">
        <v>0</v>
      </c>
      <c r="T176" s="10">
        <v>0</v>
      </c>
      <c r="U176" s="10">
        <v>0</v>
      </c>
      <c r="V176" s="10">
        <v>0</v>
      </c>
      <c r="W176" s="10">
        <v>0</v>
      </c>
      <c r="X176" s="10">
        <v>164</v>
      </c>
      <c r="Y176" s="10">
        <v>184</v>
      </c>
      <c r="Z176" s="10">
        <v>824</v>
      </c>
      <c r="AA176" s="10">
        <v>1178</v>
      </c>
      <c r="AB176" s="26">
        <f t="shared" si="7"/>
        <v>2350</v>
      </c>
      <c r="AC176" s="25">
        <v>0</v>
      </c>
      <c r="AD176" s="10">
        <v>0</v>
      </c>
      <c r="AE176" s="10">
        <v>0</v>
      </c>
      <c r="AF176" s="10">
        <v>0</v>
      </c>
      <c r="AG176" s="10">
        <v>0</v>
      </c>
      <c r="AH176" s="10">
        <v>0</v>
      </c>
      <c r="AI176" s="10">
        <v>0</v>
      </c>
      <c r="AJ176" s="10">
        <v>0</v>
      </c>
      <c r="AK176" s="10">
        <v>0</v>
      </c>
      <c r="AL176" s="10">
        <v>0</v>
      </c>
      <c r="AM176" s="10">
        <v>0</v>
      </c>
      <c r="AN176" s="10">
        <v>0</v>
      </c>
      <c r="AO176" s="26">
        <f t="shared" si="8"/>
        <v>0</v>
      </c>
    </row>
    <row r="177" spans="1:41" ht="17.25" customHeight="1" x14ac:dyDescent="0.45">
      <c r="A177" s="2" t="s">
        <v>11</v>
      </c>
      <c r="B177" s="2" t="s">
        <v>50</v>
      </c>
      <c r="C177" s="23">
        <v>18</v>
      </c>
      <c r="D177" s="1">
        <v>16</v>
      </c>
      <c r="E177" s="1">
        <v>22</v>
      </c>
      <c r="F177" s="1">
        <v>20</v>
      </c>
      <c r="G177" s="1">
        <v>18</v>
      </c>
      <c r="H177" s="1">
        <v>17</v>
      </c>
      <c r="I177" s="1">
        <v>18</v>
      </c>
      <c r="J177" s="1">
        <v>18</v>
      </c>
      <c r="K177" s="1">
        <v>17</v>
      </c>
      <c r="L177" s="1">
        <v>17</v>
      </c>
      <c r="M177" s="1">
        <v>18</v>
      </c>
      <c r="N177" s="1">
        <v>17</v>
      </c>
      <c r="O177" s="24">
        <f t="shared" si="6"/>
        <v>216</v>
      </c>
      <c r="P177" s="23">
        <v>1878</v>
      </c>
      <c r="Q177" s="1">
        <v>1622</v>
      </c>
      <c r="R177" s="1">
        <v>2469</v>
      </c>
      <c r="S177" s="1">
        <v>2229</v>
      </c>
      <c r="T177" s="1">
        <v>1933</v>
      </c>
      <c r="U177" s="1">
        <v>1941</v>
      </c>
      <c r="V177" s="1">
        <v>2454</v>
      </c>
      <c r="W177" s="1">
        <v>2402</v>
      </c>
      <c r="X177" s="1">
        <v>2059</v>
      </c>
      <c r="Y177" s="1">
        <v>2301</v>
      </c>
      <c r="Z177" s="1">
        <v>2159</v>
      </c>
      <c r="AA177" s="1">
        <v>2781</v>
      </c>
      <c r="AB177" s="24">
        <f t="shared" si="7"/>
        <v>26228</v>
      </c>
      <c r="AC177" s="23">
        <v>747.5</v>
      </c>
      <c r="AD177" s="1">
        <v>769.2</v>
      </c>
      <c r="AE177" s="1">
        <v>1617.9</v>
      </c>
      <c r="AF177" s="1">
        <v>2159.4499999999998</v>
      </c>
      <c r="AG177" s="1">
        <v>2023</v>
      </c>
      <c r="AH177" s="1">
        <v>2580.1999999999998</v>
      </c>
      <c r="AI177" s="1">
        <v>2005.38</v>
      </c>
      <c r="AJ177" s="1">
        <v>2133.8000000000002</v>
      </c>
      <c r="AK177" s="1">
        <v>1922.5000000000002</v>
      </c>
      <c r="AL177" s="1">
        <v>1785</v>
      </c>
      <c r="AM177" s="1">
        <v>3588.7</v>
      </c>
      <c r="AN177" s="1">
        <v>1634.7000000000003</v>
      </c>
      <c r="AO177" s="24">
        <f t="shared" si="8"/>
        <v>22967.33</v>
      </c>
    </row>
    <row r="178" spans="1:41" ht="17.25" customHeight="1" x14ac:dyDescent="0.45">
      <c r="A178" s="12" t="s">
        <v>11</v>
      </c>
      <c r="B178" s="12" t="s">
        <v>15</v>
      </c>
      <c r="C178" s="25">
        <v>422</v>
      </c>
      <c r="D178" s="10">
        <v>351</v>
      </c>
      <c r="E178" s="10">
        <v>399</v>
      </c>
      <c r="F178" s="10">
        <v>426</v>
      </c>
      <c r="G178" s="10">
        <v>457</v>
      </c>
      <c r="H178" s="10">
        <v>463</v>
      </c>
      <c r="I178" s="10">
        <v>535</v>
      </c>
      <c r="J178" s="10">
        <v>522</v>
      </c>
      <c r="K178" s="10">
        <v>401</v>
      </c>
      <c r="L178" s="10">
        <v>441</v>
      </c>
      <c r="M178" s="10">
        <v>448</v>
      </c>
      <c r="N178" s="10">
        <v>457</v>
      </c>
      <c r="O178" s="26">
        <f t="shared" si="6"/>
        <v>5322</v>
      </c>
      <c r="P178" s="25">
        <v>83768</v>
      </c>
      <c r="Q178" s="10">
        <v>68055</v>
      </c>
      <c r="R178" s="10">
        <v>75568</v>
      </c>
      <c r="S178" s="10">
        <v>78241</v>
      </c>
      <c r="T178" s="10">
        <v>84077</v>
      </c>
      <c r="U178" s="10">
        <v>83950</v>
      </c>
      <c r="V178" s="10">
        <v>97938</v>
      </c>
      <c r="W178" s="10">
        <v>95311</v>
      </c>
      <c r="X178" s="10">
        <v>71042</v>
      </c>
      <c r="Y178" s="10">
        <v>77354</v>
      </c>
      <c r="Z178" s="10">
        <v>78173</v>
      </c>
      <c r="AA178" s="10">
        <v>77135</v>
      </c>
      <c r="AB178" s="26">
        <f t="shared" si="7"/>
        <v>970612</v>
      </c>
      <c r="AC178" s="25">
        <v>200434.11999999997</v>
      </c>
      <c r="AD178" s="10">
        <v>161177.30000000005</v>
      </c>
      <c r="AE178" s="10">
        <v>184905.94999999998</v>
      </c>
      <c r="AF178" s="10">
        <v>210205.66999999998</v>
      </c>
      <c r="AG178" s="10">
        <v>226458.99999999994</v>
      </c>
      <c r="AH178" s="10">
        <v>176344.19999999998</v>
      </c>
      <c r="AI178" s="10">
        <v>206013.85000000003</v>
      </c>
      <c r="AJ178" s="10">
        <v>198877.30000000002</v>
      </c>
      <c r="AK178" s="10">
        <v>204180.19000000003</v>
      </c>
      <c r="AL178" s="10">
        <v>218783.5</v>
      </c>
      <c r="AM178" s="10">
        <v>186072.70000000007</v>
      </c>
      <c r="AN178" s="10">
        <v>151020.28</v>
      </c>
      <c r="AO178" s="26">
        <f t="shared" si="8"/>
        <v>2324474.06</v>
      </c>
    </row>
    <row r="179" spans="1:41" ht="17.25" customHeight="1" x14ac:dyDescent="0.45">
      <c r="A179" s="2" t="s">
        <v>11</v>
      </c>
      <c r="B179" s="2" t="s">
        <v>32</v>
      </c>
      <c r="C179" s="23">
        <v>15</v>
      </c>
      <c r="D179" s="1">
        <v>8</v>
      </c>
      <c r="E179" s="1">
        <v>8</v>
      </c>
      <c r="F179" s="1">
        <v>36</v>
      </c>
      <c r="G179" s="1">
        <v>31</v>
      </c>
      <c r="H179" s="1">
        <v>30</v>
      </c>
      <c r="I179" s="1">
        <v>31</v>
      </c>
      <c r="J179" s="1">
        <v>31</v>
      </c>
      <c r="K179" s="1">
        <v>31</v>
      </c>
      <c r="L179" s="1">
        <v>31</v>
      </c>
      <c r="M179" s="1">
        <v>36</v>
      </c>
      <c r="N179" s="1">
        <v>38</v>
      </c>
      <c r="O179" s="24">
        <f t="shared" si="6"/>
        <v>326</v>
      </c>
      <c r="P179" s="23">
        <v>1614</v>
      </c>
      <c r="Q179" s="1">
        <v>1071</v>
      </c>
      <c r="R179" s="1">
        <v>933</v>
      </c>
      <c r="S179" s="1">
        <v>3661</v>
      </c>
      <c r="T179" s="1">
        <v>3890</v>
      </c>
      <c r="U179" s="1">
        <v>3530</v>
      </c>
      <c r="V179" s="1">
        <v>3589</v>
      </c>
      <c r="W179" s="1">
        <v>3646</v>
      </c>
      <c r="X179" s="1">
        <v>4263</v>
      </c>
      <c r="Y179" s="1">
        <v>4602</v>
      </c>
      <c r="Z179" s="1">
        <v>5177</v>
      </c>
      <c r="AA179" s="1">
        <v>5262</v>
      </c>
      <c r="AB179" s="24">
        <f t="shared" si="7"/>
        <v>41238</v>
      </c>
      <c r="AC179" s="23">
        <v>119.5</v>
      </c>
      <c r="AD179" s="1">
        <v>246.6</v>
      </c>
      <c r="AE179" s="1">
        <v>0</v>
      </c>
      <c r="AF179" s="1">
        <v>2291.1000000000004</v>
      </c>
      <c r="AG179" s="1">
        <v>5234</v>
      </c>
      <c r="AH179" s="1">
        <v>1804.3</v>
      </c>
      <c r="AI179" s="1">
        <v>3788.5</v>
      </c>
      <c r="AJ179" s="1">
        <v>227.4</v>
      </c>
      <c r="AK179" s="1">
        <v>1924.8000000000002</v>
      </c>
      <c r="AL179" s="1">
        <v>177</v>
      </c>
      <c r="AM179" s="1">
        <v>479.75</v>
      </c>
      <c r="AN179" s="1">
        <v>204.9</v>
      </c>
      <c r="AO179" s="24">
        <f t="shared" si="8"/>
        <v>16497.850000000002</v>
      </c>
    </row>
    <row r="180" spans="1:41" ht="17.25" customHeight="1" x14ac:dyDescent="0.45">
      <c r="A180" s="12" t="s">
        <v>11</v>
      </c>
      <c r="B180" s="12" t="s">
        <v>33</v>
      </c>
      <c r="C180" s="25">
        <v>25</v>
      </c>
      <c r="D180" s="10">
        <v>21</v>
      </c>
      <c r="E180" s="10">
        <v>22</v>
      </c>
      <c r="F180" s="10">
        <v>24</v>
      </c>
      <c r="G180" s="10">
        <v>23</v>
      </c>
      <c r="H180" s="10">
        <v>21</v>
      </c>
      <c r="I180" s="10">
        <v>23</v>
      </c>
      <c r="J180" s="10">
        <v>22</v>
      </c>
      <c r="K180" s="10">
        <v>17</v>
      </c>
      <c r="L180" s="10">
        <v>22</v>
      </c>
      <c r="M180" s="10">
        <v>22</v>
      </c>
      <c r="N180" s="10">
        <v>37</v>
      </c>
      <c r="O180" s="26">
        <f t="shared" si="6"/>
        <v>279</v>
      </c>
      <c r="P180" s="25">
        <v>3142</v>
      </c>
      <c r="Q180" s="10">
        <v>2799</v>
      </c>
      <c r="R180" s="10">
        <v>3220</v>
      </c>
      <c r="S180" s="10">
        <v>3363</v>
      </c>
      <c r="T180" s="10">
        <v>2914</v>
      </c>
      <c r="U180" s="10">
        <v>2912</v>
      </c>
      <c r="V180" s="10">
        <v>3628</v>
      </c>
      <c r="W180" s="10">
        <v>3428</v>
      </c>
      <c r="X180" s="10">
        <v>2853</v>
      </c>
      <c r="Y180" s="10">
        <v>3696</v>
      </c>
      <c r="Z180" s="10">
        <v>3431</v>
      </c>
      <c r="AA180" s="10">
        <v>5334</v>
      </c>
      <c r="AB180" s="26">
        <f t="shared" si="7"/>
        <v>40720</v>
      </c>
      <c r="AC180" s="25">
        <v>3115.8500000000004</v>
      </c>
      <c r="AD180" s="10">
        <v>4167.2</v>
      </c>
      <c r="AE180" s="10">
        <v>2824.9999999999995</v>
      </c>
      <c r="AF180" s="10">
        <v>4251.8999999999996</v>
      </c>
      <c r="AG180" s="10">
        <v>2196</v>
      </c>
      <c r="AH180" s="10">
        <v>3408.6000000000004</v>
      </c>
      <c r="AI180" s="10">
        <v>4065.4</v>
      </c>
      <c r="AJ180" s="10">
        <v>3099.5</v>
      </c>
      <c r="AK180" s="10">
        <v>3400.55</v>
      </c>
      <c r="AL180" s="10">
        <v>3792</v>
      </c>
      <c r="AM180" s="10">
        <v>5940.9</v>
      </c>
      <c r="AN180" s="10">
        <v>3844.35</v>
      </c>
      <c r="AO180" s="26">
        <f t="shared" si="8"/>
        <v>44107.25</v>
      </c>
    </row>
    <row r="181" spans="1:41" ht="17.25" customHeight="1" x14ac:dyDescent="0.45">
      <c r="A181" s="2" t="s">
        <v>11</v>
      </c>
      <c r="B181" s="2" t="s">
        <v>247</v>
      </c>
      <c r="C181" s="23">
        <v>13</v>
      </c>
      <c r="D181" s="1">
        <v>13</v>
      </c>
      <c r="E181" s="1">
        <v>13</v>
      </c>
      <c r="F181" s="1">
        <v>13</v>
      </c>
      <c r="G181" s="1">
        <v>13</v>
      </c>
      <c r="H181" s="1">
        <v>13</v>
      </c>
      <c r="I181" s="1">
        <v>18</v>
      </c>
      <c r="J181" s="1">
        <v>18</v>
      </c>
      <c r="K181" s="1">
        <v>12</v>
      </c>
      <c r="L181" s="1">
        <v>14</v>
      </c>
      <c r="M181" s="1">
        <v>30</v>
      </c>
      <c r="N181" s="1">
        <v>56</v>
      </c>
      <c r="O181" s="24">
        <f t="shared" si="6"/>
        <v>226</v>
      </c>
      <c r="P181" s="23">
        <v>1748</v>
      </c>
      <c r="Q181" s="1">
        <v>1650</v>
      </c>
      <c r="R181" s="1">
        <v>1668</v>
      </c>
      <c r="S181" s="1">
        <v>1465</v>
      </c>
      <c r="T181" s="1">
        <v>1676</v>
      </c>
      <c r="U181" s="1">
        <v>1809</v>
      </c>
      <c r="V181" s="1">
        <v>2480</v>
      </c>
      <c r="W181" s="1">
        <v>2580</v>
      </c>
      <c r="X181" s="1">
        <v>1800</v>
      </c>
      <c r="Y181" s="1">
        <v>1916</v>
      </c>
      <c r="Z181" s="1">
        <v>4426</v>
      </c>
      <c r="AA181" s="1">
        <v>7951</v>
      </c>
      <c r="AB181" s="24">
        <f t="shared" si="7"/>
        <v>31169</v>
      </c>
      <c r="AC181" s="23">
        <v>0</v>
      </c>
      <c r="AD181" s="1">
        <v>0</v>
      </c>
      <c r="AE181" s="1">
        <v>0</v>
      </c>
      <c r="AF181" s="1">
        <v>0</v>
      </c>
      <c r="AG181" s="1">
        <v>0</v>
      </c>
      <c r="AH181" s="1">
        <v>0</v>
      </c>
      <c r="AI181" s="1">
        <v>0</v>
      </c>
      <c r="AJ181" s="1">
        <v>0</v>
      </c>
      <c r="AK181" s="1">
        <v>0</v>
      </c>
      <c r="AL181" s="1">
        <v>0</v>
      </c>
      <c r="AM181" s="1">
        <v>0</v>
      </c>
      <c r="AN181" s="1">
        <v>0</v>
      </c>
      <c r="AO181" s="24">
        <f t="shared" si="8"/>
        <v>0</v>
      </c>
    </row>
    <row r="182" spans="1:41" ht="17.25" customHeight="1" x14ac:dyDescent="0.45">
      <c r="A182" s="12" t="s">
        <v>11</v>
      </c>
      <c r="B182" s="12" t="s">
        <v>34</v>
      </c>
      <c r="C182" s="25">
        <v>56</v>
      </c>
      <c r="D182" s="10">
        <v>50</v>
      </c>
      <c r="E182" s="10">
        <v>62</v>
      </c>
      <c r="F182" s="10">
        <v>63</v>
      </c>
      <c r="G182" s="10">
        <v>62</v>
      </c>
      <c r="H182" s="10">
        <v>60</v>
      </c>
      <c r="I182" s="10">
        <v>61</v>
      </c>
      <c r="J182" s="10">
        <v>63</v>
      </c>
      <c r="K182" s="10">
        <v>60</v>
      </c>
      <c r="L182" s="10">
        <v>62</v>
      </c>
      <c r="M182" s="10">
        <v>60</v>
      </c>
      <c r="N182" s="10">
        <v>60</v>
      </c>
      <c r="O182" s="26">
        <f t="shared" si="6"/>
        <v>719</v>
      </c>
      <c r="P182" s="25">
        <v>8283</v>
      </c>
      <c r="Q182" s="10">
        <v>7527</v>
      </c>
      <c r="R182" s="10">
        <v>10157</v>
      </c>
      <c r="S182" s="10">
        <v>7842</v>
      </c>
      <c r="T182" s="10">
        <v>8078</v>
      </c>
      <c r="U182" s="10">
        <v>7766</v>
      </c>
      <c r="V182" s="10">
        <v>9426</v>
      </c>
      <c r="W182" s="10">
        <v>8940</v>
      </c>
      <c r="X182" s="10">
        <v>8044</v>
      </c>
      <c r="Y182" s="10">
        <v>9047</v>
      </c>
      <c r="Z182" s="10">
        <v>9319</v>
      </c>
      <c r="AA182" s="10">
        <v>10316</v>
      </c>
      <c r="AB182" s="26">
        <f t="shared" si="7"/>
        <v>104745</v>
      </c>
      <c r="AC182" s="25">
        <v>2659.2999999999997</v>
      </c>
      <c r="AD182" s="10">
        <v>1929.1499999999999</v>
      </c>
      <c r="AE182" s="10">
        <v>3359.75</v>
      </c>
      <c r="AF182" s="10">
        <v>3539.7999999999997</v>
      </c>
      <c r="AG182" s="10">
        <v>2785</v>
      </c>
      <c r="AH182" s="10">
        <v>3364.2000000000003</v>
      </c>
      <c r="AI182" s="10">
        <v>3094.75</v>
      </c>
      <c r="AJ182" s="10">
        <v>5920.7999999999993</v>
      </c>
      <c r="AK182" s="10">
        <v>2635.45</v>
      </c>
      <c r="AL182" s="10">
        <v>3081</v>
      </c>
      <c r="AM182" s="10">
        <v>2941.2</v>
      </c>
      <c r="AN182" s="10">
        <v>2963.1000000000004</v>
      </c>
      <c r="AO182" s="26">
        <f t="shared" si="8"/>
        <v>38273.5</v>
      </c>
    </row>
    <row r="183" spans="1:41" ht="17.25" customHeight="1" x14ac:dyDescent="0.45">
      <c r="A183" s="2" t="s">
        <v>11</v>
      </c>
      <c r="B183" s="2" t="s">
        <v>35</v>
      </c>
      <c r="C183" s="23">
        <v>77</v>
      </c>
      <c r="D183" s="1">
        <v>70</v>
      </c>
      <c r="E183" s="1">
        <v>76</v>
      </c>
      <c r="F183" s="1">
        <v>74</v>
      </c>
      <c r="G183" s="1">
        <v>82</v>
      </c>
      <c r="H183" s="1">
        <v>64</v>
      </c>
      <c r="I183" s="1">
        <v>71</v>
      </c>
      <c r="J183" s="1">
        <v>75</v>
      </c>
      <c r="K183" s="1">
        <v>72</v>
      </c>
      <c r="L183" s="1">
        <v>76</v>
      </c>
      <c r="M183" s="1">
        <v>72</v>
      </c>
      <c r="N183" s="1">
        <v>78</v>
      </c>
      <c r="O183" s="24">
        <f t="shared" si="6"/>
        <v>887</v>
      </c>
      <c r="P183" s="23">
        <v>9115</v>
      </c>
      <c r="Q183" s="1">
        <v>8663</v>
      </c>
      <c r="R183" s="1">
        <v>10653</v>
      </c>
      <c r="S183" s="1">
        <v>9920</v>
      </c>
      <c r="T183" s="1">
        <v>11374</v>
      </c>
      <c r="U183" s="1">
        <v>10009</v>
      </c>
      <c r="V183" s="1">
        <v>11279</v>
      </c>
      <c r="W183" s="1">
        <v>11873</v>
      </c>
      <c r="X183" s="1">
        <v>10996</v>
      </c>
      <c r="Y183" s="1">
        <v>12062</v>
      </c>
      <c r="Z183" s="1">
        <v>10829</v>
      </c>
      <c r="AA183" s="1">
        <v>13153</v>
      </c>
      <c r="AB183" s="24">
        <f t="shared" si="7"/>
        <v>129926</v>
      </c>
      <c r="AC183" s="23">
        <v>3773.6499999999996</v>
      </c>
      <c r="AD183" s="1">
        <v>3023.4999999999995</v>
      </c>
      <c r="AE183" s="1">
        <v>4229.8</v>
      </c>
      <c r="AF183" s="1">
        <v>3611.9500000000003</v>
      </c>
      <c r="AG183" s="1">
        <v>3664</v>
      </c>
      <c r="AH183" s="1">
        <v>3329.9500000000003</v>
      </c>
      <c r="AI183" s="1">
        <v>3304.85</v>
      </c>
      <c r="AJ183" s="1">
        <v>2918</v>
      </c>
      <c r="AK183" s="1">
        <v>2548.6999999999998</v>
      </c>
      <c r="AL183" s="1">
        <v>4100</v>
      </c>
      <c r="AM183" s="1">
        <v>1194.3999999999999</v>
      </c>
      <c r="AN183" s="1">
        <v>196.5</v>
      </c>
      <c r="AO183" s="24">
        <f t="shared" si="8"/>
        <v>35895.300000000003</v>
      </c>
    </row>
    <row r="184" spans="1:41" ht="17.25" customHeight="1" x14ac:dyDescent="0.45">
      <c r="A184" s="12" t="s">
        <v>11</v>
      </c>
      <c r="B184" s="12" t="s">
        <v>36</v>
      </c>
      <c r="C184" s="25">
        <v>38</v>
      </c>
      <c r="D184" s="10">
        <v>29</v>
      </c>
      <c r="E184" s="10">
        <v>32</v>
      </c>
      <c r="F184" s="10">
        <v>30</v>
      </c>
      <c r="G184" s="10">
        <v>31</v>
      </c>
      <c r="H184" s="10">
        <v>29</v>
      </c>
      <c r="I184" s="10">
        <v>27</v>
      </c>
      <c r="J184" s="10">
        <v>26</v>
      </c>
      <c r="K184" s="10">
        <v>22</v>
      </c>
      <c r="L184" s="10">
        <v>21</v>
      </c>
      <c r="M184" s="10">
        <v>21</v>
      </c>
      <c r="N184" s="10">
        <v>22</v>
      </c>
      <c r="O184" s="26">
        <f t="shared" si="6"/>
        <v>328</v>
      </c>
      <c r="P184" s="25">
        <v>5297</v>
      </c>
      <c r="Q184" s="10">
        <v>4133</v>
      </c>
      <c r="R184" s="10">
        <v>4837</v>
      </c>
      <c r="S184" s="10">
        <v>4430</v>
      </c>
      <c r="T184" s="10">
        <v>4794</v>
      </c>
      <c r="U184" s="10">
        <v>4629</v>
      </c>
      <c r="V184" s="10">
        <v>4523</v>
      </c>
      <c r="W184" s="10">
        <v>4332</v>
      </c>
      <c r="X184" s="10">
        <v>3490</v>
      </c>
      <c r="Y184" s="10">
        <v>3396</v>
      </c>
      <c r="Z184" s="10">
        <v>3366</v>
      </c>
      <c r="AA184" s="10">
        <v>3714</v>
      </c>
      <c r="AB184" s="26">
        <f t="shared" si="7"/>
        <v>50941</v>
      </c>
      <c r="AC184" s="25">
        <v>1491.5</v>
      </c>
      <c r="AD184" s="10">
        <v>360.5</v>
      </c>
      <c r="AE184" s="10">
        <v>1788.7</v>
      </c>
      <c r="AF184" s="10">
        <v>1223.7000000000003</v>
      </c>
      <c r="AG184" s="10">
        <v>3279.8</v>
      </c>
      <c r="AH184" s="10">
        <v>1472.3</v>
      </c>
      <c r="AI184" s="10">
        <v>2812.2999999999997</v>
      </c>
      <c r="AJ184" s="10">
        <v>1250.3999999999999</v>
      </c>
      <c r="AK184" s="10">
        <v>1554.5</v>
      </c>
      <c r="AL184" s="10">
        <v>690.3</v>
      </c>
      <c r="AM184" s="10">
        <v>424.4</v>
      </c>
      <c r="AN184" s="10">
        <v>388.1</v>
      </c>
      <c r="AO184" s="26">
        <f t="shared" si="8"/>
        <v>16736.499999999996</v>
      </c>
    </row>
    <row r="185" spans="1:41" ht="17.25" customHeight="1" x14ac:dyDescent="0.45">
      <c r="A185" s="2" t="s">
        <v>38</v>
      </c>
      <c r="B185" s="2" t="s">
        <v>10</v>
      </c>
      <c r="C185" s="23">
        <v>8</v>
      </c>
      <c r="D185" s="1">
        <v>9</v>
      </c>
      <c r="E185" s="1">
        <v>9</v>
      </c>
      <c r="F185" s="1">
        <v>13</v>
      </c>
      <c r="G185" s="1">
        <v>13</v>
      </c>
      <c r="H185" s="1">
        <v>13</v>
      </c>
      <c r="I185" s="1">
        <v>13</v>
      </c>
      <c r="J185" s="1">
        <v>13</v>
      </c>
      <c r="K185" s="1">
        <v>9</v>
      </c>
      <c r="L185" s="1">
        <v>9</v>
      </c>
      <c r="M185" s="1">
        <v>12</v>
      </c>
      <c r="N185" s="1">
        <v>14</v>
      </c>
      <c r="O185" s="24">
        <f t="shared" si="6"/>
        <v>135</v>
      </c>
      <c r="P185" s="23">
        <v>919</v>
      </c>
      <c r="Q185" s="1">
        <v>1091</v>
      </c>
      <c r="R185" s="1">
        <v>1208</v>
      </c>
      <c r="S185" s="1">
        <v>1801</v>
      </c>
      <c r="T185" s="1">
        <v>2117</v>
      </c>
      <c r="U185" s="1">
        <v>2358</v>
      </c>
      <c r="V185" s="1">
        <v>2517</v>
      </c>
      <c r="W185" s="1">
        <v>2293</v>
      </c>
      <c r="X185" s="1">
        <v>1572</v>
      </c>
      <c r="Y185" s="1">
        <v>1562</v>
      </c>
      <c r="Z185" s="1">
        <v>1658</v>
      </c>
      <c r="AA185" s="1">
        <v>1898</v>
      </c>
      <c r="AB185" s="24">
        <f t="shared" si="7"/>
        <v>20994</v>
      </c>
      <c r="AC185" s="23">
        <v>256.7</v>
      </c>
      <c r="AD185" s="1">
        <v>221.2</v>
      </c>
      <c r="AE185" s="1">
        <v>248.8</v>
      </c>
      <c r="AF185" s="1">
        <v>0</v>
      </c>
      <c r="AG185" s="1">
        <v>0</v>
      </c>
      <c r="AH185" s="1">
        <v>0</v>
      </c>
      <c r="AI185" s="1">
        <v>0</v>
      </c>
      <c r="AJ185" s="1">
        <v>0</v>
      </c>
      <c r="AK185" s="1">
        <v>0</v>
      </c>
      <c r="AL185" s="1">
        <v>0</v>
      </c>
      <c r="AM185" s="1">
        <v>0</v>
      </c>
      <c r="AN185" s="1">
        <v>0</v>
      </c>
      <c r="AO185" s="24">
        <f t="shared" si="8"/>
        <v>726.7</v>
      </c>
    </row>
    <row r="186" spans="1:41" ht="17.25" customHeight="1" x14ac:dyDescent="0.45">
      <c r="A186" s="12" t="s">
        <v>38</v>
      </c>
      <c r="B186" s="12" t="s">
        <v>37</v>
      </c>
      <c r="C186" s="25">
        <v>0</v>
      </c>
      <c r="D186" s="10">
        <v>0</v>
      </c>
      <c r="E186" s="10">
        <v>0</v>
      </c>
      <c r="F186" s="10">
        <v>0</v>
      </c>
      <c r="G186" s="10">
        <v>0</v>
      </c>
      <c r="H186" s="10">
        <v>0</v>
      </c>
      <c r="I186" s="10">
        <v>0</v>
      </c>
      <c r="J186" s="10">
        <v>0</v>
      </c>
      <c r="K186" s="10">
        <v>0</v>
      </c>
      <c r="L186" s="10">
        <v>0</v>
      </c>
      <c r="M186" s="10">
        <v>21</v>
      </c>
      <c r="N186" s="10">
        <v>19</v>
      </c>
      <c r="O186" s="26">
        <f t="shared" si="6"/>
        <v>40</v>
      </c>
      <c r="P186" s="25">
        <v>0</v>
      </c>
      <c r="Q186" s="10">
        <v>0</v>
      </c>
      <c r="R186" s="10">
        <v>0</v>
      </c>
      <c r="S186" s="10">
        <v>0</v>
      </c>
      <c r="T186" s="10">
        <v>0</v>
      </c>
      <c r="U186" s="10">
        <v>0</v>
      </c>
      <c r="V186" s="10">
        <v>0</v>
      </c>
      <c r="W186" s="10">
        <v>0</v>
      </c>
      <c r="X186" s="10">
        <v>0</v>
      </c>
      <c r="Y186" s="10">
        <v>0</v>
      </c>
      <c r="Z186" s="10">
        <v>20</v>
      </c>
      <c r="AA186" s="10">
        <v>19</v>
      </c>
      <c r="AB186" s="26">
        <f t="shared" si="7"/>
        <v>39</v>
      </c>
      <c r="AC186" s="25">
        <v>0</v>
      </c>
      <c r="AD186" s="10">
        <v>0</v>
      </c>
      <c r="AE186" s="10">
        <v>0</v>
      </c>
      <c r="AF186" s="10">
        <v>0</v>
      </c>
      <c r="AG186" s="10">
        <v>0</v>
      </c>
      <c r="AH186" s="10">
        <v>0</v>
      </c>
      <c r="AI186" s="10">
        <v>0</v>
      </c>
      <c r="AJ186" s="10">
        <v>0</v>
      </c>
      <c r="AK186" s="10">
        <v>0</v>
      </c>
      <c r="AL186" s="10">
        <v>0</v>
      </c>
      <c r="AM186" s="10">
        <v>0</v>
      </c>
      <c r="AN186" s="10">
        <v>0</v>
      </c>
      <c r="AO186" s="26">
        <f t="shared" si="8"/>
        <v>0</v>
      </c>
    </row>
    <row r="187" spans="1:41" ht="17.25" customHeight="1" x14ac:dyDescent="0.45">
      <c r="A187" s="2" t="s">
        <v>38</v>
      </c>
      <c r="B187" s="2" t="s">
        <v>19</v>
      </c>
      <c r="C187" s="23">
        <v>16</v>
      </c>
      <c r="D187" s="1">
        <v>16</v>
      </c>
      <c r="E187" s="1">
        <v>15</v>
      </c>
      <c r="F187" s="1">
        <v>20</v>
      </c>
      <c r="G187" s="1">
        <v>19</v>
      </c>
      <c r="H187" s="1">
        <v>17</v>
      </c>
      <c r="I187" s="1">
        <v>18</v>
      </c>
      <c r="J187" s="1">
        <v>15</v>
      </c>
      <c r="K187" s="1">
        <v>10</v>
      </c>
      <c r="L187" s="1">
        <v>8</v>
      </c>
      <c r="M187" s="1">
        <v>17</v>
      </c>
      <c r="N187" s="1">
        <v>30</v>
      </c>
      <c r="O187" s="24">
        <f t="shared" si="6"/>
        <v>201</v>
      </c>
      <c r="P187" s="23">
        <v>491</v>
      </c>
      <c r="Q187" s="1">
        <v>404</v>
      </c>
      <c r="R187" s="1">
        <v>422</v>
      </c>
      <c r="S187" s="1">
        <v>656</v>
      </c>
      <c r="T187" s="1">
        <v>619</v>
      </c>
      <c r="U187" s="1">
        <v>561</v>
      </c>
      <c r="V187" s="1">
        <v>574</v>
      </c>
      <c r="W187" s="1">
        <v>536</v>
      </c>
      <c r="X187" s="1">
        <v>366</v>
      </c>
      <c r="Y187" s="1">
        <v>281</v>
      </c>
      <c r="Z187" s="1">
        <v>456</v>
      </c>
      <c r="AA187" s="1">
        <v>727</v>
      </c>
      <c r="AB187" s="24">
        <f t="shared" si="7"/>
        <v>6093</v>
      </c>
      <c r="AC187" s="23">
        <v>0</v>
      </c>
      <c r="AD187" s="1">
        <v>0</v>
      </c>
      <c r="AE187" s="1">
        <v>0</v>
      </c>
      <c r="AF187" s="1">
        <v>0</v>
      </c>
      <c r="AG187" s="1">
        <v>0</v>
      </c>
      <c r="AH187" s="1">
        <v>0</v>
      </c>
      <c r="AI187" s="1">
        <v>0</v>
      </c>
      <c r="AJ187" s="1">
        <v>0</v>
      </c>
      <c r="AK187" s="1">
        <v>0</v>
      </c>
      <c r="AL187" s="1">
        <v>0</v>
      </c>
      <c r="AM187" s="1">
        <v>0</v>
      </c>
      <c r="AN187" s="1">
        <v>0</v>
      </c>
      <c r="AO187" s="24">
        <f t="shared" si="8"/>
        <v>0</v>
      </c>
    </row>
    <row r="188" spans="1:41" ht="17.25" customHeight="1" x14ac:dyDescent="0.45">
      <c r="A188" s="12" t="s">
        <v>38</v>
      </c>
      <c r="B188" s="12" t="s">
        <v>20</v>
      </c>
      <c r="C188" s="25">
        <v>7</v>
      </c>
      <c r="D188" s="10">
        <v>9</v>
      </c>
      <c r="E188" s="10">
        <v>10</v>
      </c>
      <c r="F188" s="10">
        <v>10</v>
      </c>
      <c r="G188" s="10">
        <v>5</v>
      </c>
      <c r="H188" s="10">
        <v>7</v>
      </c>
      <c r="I188" s="10">
        <v>4</v>
      </c>
      <c r="J188" s="10">
        <v>10</v>
      </c>
      <c r="K188" s="10">
        <v>9</v>
      </c>
      <c r="L188" s="10">
        <v>12</v>
      </c>
      <c r="M188" s="10">
        <v>15</v>
      </c>
      <c r="N188" s="10">
        <v>16</v>
      </c>
      <c r="O188" s="26">
        <f t="shared" si="6"/>
        <v>114</v>
      </c>
      <c r="P188" s="25">
        <v>228</v>
      </c>
      <c r="Q188" s="10">
        <v>246</v>
      </c>
      <c r="R188" s="10">
        <v>264</v>
      </c>
      <c r="S188" s="10">
        <v>291</v>
      </c>
      <c r="T188" s="10">
        <v>132</v>
      </c>
      <c r="U188" s="10">
        <v>247</v>
      </c>
      <c r="V188" s="10">
        <v>144</v>
      </c>
      <c r="W188" s="10">
        <v>226</v>
      </c>
      <c r="X188" s="10">
        <v>281</v>
      </c>
      <c r="Y188" s="10">
        <v>328</v>
      </c>
      <c r="Z188" s="10">
        <v>321</v>
      </c>
      <c r="AA188" s="10">
        <v>442</v>
      </c>
      <c r="AB188" s="26">
        <f t="shared" si="7"/>
        <v>3150</v>
      </c>
      <c r="AC188" s="25">
        <v>0</v>
      </c>
      <c r="AD188" s="10">
        <v>0</v>
      </c>
      <c r="AE188" s="10">
        <v>0</v>
      </c>
      <c r="AF188" s="10">
        <v>0</v>
      </c>
      <c r="AG188" s="10">
        <v>0</v>
      </c>
      <c r="AH188" s="10">
        <v>0</v>
      </c>
      <c r="AI188" s="10">
        <v>0</v>
      </c>
      <c r="AJ188" s="10">
        <v>0</v>
      </c>
      <c r="AK188" s="10">
        <v>0</v>
      </c>
      <c r="AL188" s="10">
        <v>0</v>
      </c>
      <c r="AM188" s="10">
        <v>0</v>
      </c>
      <c r="AN188" s="10">
        <v>0</v>
      </c>
      <c r="AO188" s="26">
        <f t="shared" si="8"/>
        <v>0</v>
      </c>
    </row>
    <row r="189" spans="1:41" ht="17.25" customHeight="1" x14ac:dyDescent="0.45">
      <c r="A189" s="2" t="s">
        <v>38</v>
      </c>
      <c r="B189" s="2" t="s">
        <v>21</v>
      </c>
      <c r="C189" s="23">
        <v>33</v>
      </c>
      <c r="D189" s="1">
        <v>31</v>
      </c>
      <c r="E189" s="1">
        <v>25</v>
      </c>
      <c r="F189" s="1">
        <v>34</v>
      </c>
      <c r="G189" s="1">
        <v>30</v>
      </c>
      <c r="H189" s="1">
        <v>30</v>
      </c>
      <c r="I189" s="1">
        <v>31</v>
      </c>
      <c r="J189" s="1">
        <v>31</v>
      </c>
      <c r="K189" s="1">
        <v>22</v>
      </c>
      <c r="L189" s="1">
        <v>24</v>
      </c>
      <c r="M189" s="1">
        <v>39</v>
      </c>
      <c r="N189" s="1">
        <v>47</v>
      </c>
      <c r="O189" s="24">
        <f t="shared" si="6"/>
        <v>377</v>
      </c>
      <c r="P189" s="23">
        <v>410</v>
      </c>
      <c r="Q189" s="1">
        <v>451</v>
      </c>
      <c r="R189" s="1">
        <v>267</v>
      </c>
      <c r="S189" s="1">
        <v>430</v>
      </c>
      <c r="T189" s="1">
        <v>333</v>
      </c>
      <c r="U189" s="1">
        <v>298</v>
      </c>
      <c r="V189" s="1">
        <v>292</v>
      </c>
      <c r="W189" s="1">
        <v>301</v>
      </c>
      <c r="X189" s="1">
        <v>128</v>
      </c>
      <c r="Y189" s="1">
        <v>106</v>
      </c>
      <c r="Z189" s="1">
        <v>413</v>
      </c>
      <c r="AA189" s="1">
        <v>483</v>
      </c>
      <c r="AB189" s="24">
        <f t="shared" si="7"/>
        <v>3912</v>
      </c>
      <c r="AC189" s="23">
        <v>70548</v>
      </c>
      <c r="AD189" s="1">
        <v>59136</v>
      </c>
      <c r="AE189" s="1">
        <v>50754</v>
      </c>
      <c r="AF189" s="1">
        <v>68457</v>
      </c>
      <c r="AG189" s="1">
        <v>68308</v>
      </c>
      <c r="AH189" s="1">
        <v>76135</v>
      </c>
      <c r="AI189" s="1">
        <v>82376</v>
      </c>
      <c r="AJ189" s="1">
        <v>60326</v>
      </c>
      <c r="AK189" s="1">
        <v>66103</v>
      </c>
      <c r="AL189" s="1">
        <v>78310</v>
      </c>
      <c r="AM189" s="1">
        <v>86530</v>
      </c>
      <c r="AN189" s="1">
        <v>58137</v>
      </c>
      <c r="AO189" s="24">
        <f t="shared" si="8"/>
        <v>825120</v>
      </c>
    </row>
    <row r="190" spans="1:41" ht="17.25" customHeight="1" x14ac:dyDescent="0.45">
      <c r="A190" s="12" t="s">
        <v>38</v>
      </c>
      <c r="B190" s="12" t="s">
        <v>22</v>
      </c>
      <c r="C190" s="25">
        <v>2</v>
      </c>
      <c r="D190" s="10">
        <v>0</v>
      </c>
      <c r="E190" s="10">
        <v>0</v>
      </c>
      <c r="F190" s="10">
        <v>9</v>
      </c>
      <c r="G190" s="10">
        <v>9</v>
      </c>
      <c r="H190" s="10">
        <v>8</v>
      </c>
      <c r="I190" s="10">
        <v>9</v>
      </c>
      <c r="J190" s="10">
        <v>9</v>
      </c>
      <c r="K190" s="10">
        <v>9</v>
      </c>
      <c r="L190" s="10">
        <v>8</v>
      </c>
      <c r="M190" s="10">
        <v>9</v>
      </c>
      <c r="N190" s="10">
        <v>11</v>
      </c>
      <c r="O190" s="26">
        <f t="shared" si="6"/>
        <v>83</v>
      </c>
      <c r="P190" s="25">
        <v>283</v>
      </c>
      <c r="Q190" s="10">
        <v>0</v>
      </c>
      <c r="R190" s="10">
        <v>0</v>
      </c>
      <c r="S190" s="10">
        <v>1158</v>
      </c>
      <c r="T190" s="10">
        <v>1238</v>
      </c>
      <c r="U190" s="10">
        <v>1120</v>
      </c>
      <c r="V190" s="10">
        <v>1406</v>
      </c>
      <c r="W190" s="10">
        <v>1124</v>
      </c>
      <c r="X190" s="10">
        <v>1315</v>
      </c>
      <c r="Y190" s="10">
        <v>1233</v>
      </c>
      <c r="Z190" s="10">
        <v>1286</v>
      </c>
      <c r="AA190" s="10">
        <v>1778</v>
      </c>
      <c r="AB190" s="26">
        <f t="shared" si="7"/>
        <v>11941</v>
      </c>
      <c r="AC190" s="25">
        <v>0</v>
      </c>
      <c r="AD190" s="10">
        <v>0</v>
      </c>
      <c r="AE190" s="10">
        <v>0</v>
      </c>
      <c r="AF190" s="10">
        <v>375.60000000000008</v>
      </c>
      <c r="AG190" s="10">
        <v>176</v>
      </c>
      <c r="AH190" s="10">
        <v>116.5</v>
      </c>
      <c r="AI190" s="10">
        <v>163.19999999999999</v>
      </c>
      <c r="AJ190" s="10">
        <v>62</v>
      </c>
      <c r="AK190" s="10">
        <v>0</v>
      </c>
      <c r="AL190" s="10">
        <v>0</v>
      </c>
      <c r="AM190" s="10">
        <v>0</v>
      </c>
      <c r="AN190" s="10">
        <v>0</v>
      </c>
      <c r="AO190" s="26">
        <f t="shared" si="8"/>
        <v>893.30000000000018</v>
      </c>
    </row>
    <row r="191" spans="1:41" ht="17.25" customHeight="1" x14ac:dyDescent="0.45">
      <c r="A191" s="2" t="s">
        <v>38</v>
      </c>
      <c r="B191" s="2" t="s">
        <v>42</v>
      </c>
      <c r="C191" s="23">
        <v>6</v>
      </c>
      <c r="D191" s="1">
        <v>8</v>
      </c>
      <c r="E191" s="1">
        <v>1</v>
      </c>
      <c r="F191" s="1">
        <v>8</v>
      </c>
      <c r="G191" s="1">
        <v>4</v>
      </c>
      <c r="H191" s="1">
        <v>6</v>
      </c>
      <c r="I191" s="1">
        <v>7</v>
      </c>
      <c r="J191" s="1">
        <v>7</v>
      </c>
      <c r="K191" s="1">
        <v>3</v>
      </c>
      <c r="L191" s="1">
        <v>1</v>
      </c>
      <c r="M191" s="1">
        <v>6</v>
      </c>
      <c r="N191" s="1">
        <v>11</v>
      </c>
      <c r="O191" s="24">
        <f t="shared" si="6"/>
        <v>68</v>
      </c>
      <c r="P191" s="23">
        <v>115</v>
      </c>
      <c r="Q191" s="1">
        <v>123</v>
      </c>
      <c r="R191" s="1">
        <v>8</v>
      </c>
      <c r="S191" s="1">
        <v>133</v>
      </c>
      <c r="T191" s="1">
        <v>129</v>
      </c>
      <c r="U191" s="1">
        <v>86</v>
      </c>
      <c r="V191" s="1">
        <v>133</v>
      </c>
      <c r="W191" s="1">
        <v>117</v>
      </c>
      <c r="X191" s="1">
        <v>19</v>
      </c>
      <c r="Y191" s="1">
        <v>8</v>
      </c>
      <c r="Z191" s="1">
        <v>71</v>
      </c>
      <c r="AA191" s="1">
        <v>200</v>
      </c>
      <c r="AB191" s="24">
        <f t="shared" si="7"/>
        <v>1142</v>
      </c>
      <c r="AC191" s="23">
        <v>0</v>
      </c>
      <c r="AD191" s="1">
        <v>0</v>
      </c>
      <c r="AE191" s="1">
        <v>0</v>
      </c>
      <c r="AF191" s="1">
        <v>0</v>
      </c>
      <c r="AG191" s="1">
        <v>0</v>
      </c>
      <c r="AH191" s="1">
        <v>0</v>
      </c>
      <c r="AI191" s="1">
        <v>0</v>
      </c>
      <c r="AJ191" s="1">
        <v>0</v>
      </c>
      <c r="AK191" s="1">
        <v>0</v>
      </c>
      <c r="AL191" s="1">
        <v>0</v>
      </c>
      <c r="AM191" s="1">
        <v>0</v>
      </c>
      <c r="AN191" s="1">
        <v>0</v>
      </c>
      <c r="AO191" s="24">
        <f t="shared" si="8"/>
        <v>0</v>
      </c>
    </row>
    <row r="192" spans="1:41" ht="17.25" customHeight="1" x14ac:dyDescent="0.45">
      <c r="A192" s="12" t="s">
        <v>38</v>
      </c>
      <c r="B192" s="12" t="s">
        <v>11</v>
      </c>
      <c r="C192" s="25">
        <v>64</v>
      </c>
      <c r="D192" s="10">
        <v>54</v>
      </c>
      <c r="E192" s="10">
        <v>66</v>
      </c>
      <c r="F192" s="10">
        <v>94</v>
      </c>
      <c r="G192" s="10">
        <v>97</v>
      </c>
      <c r="H192" s="10">
        <v>100</v>
      </c>
      <c r="I192" s="10">
        <v>91</v>
      </c>
      <c r="J192" s="10">
        <v>92</v>
      </c>
      <c r="K192" s="10">
        <v>90</v>
      </c>
      <c r="L192" s="10">
        <v>93</v>
      </c>
      <c r="M192" s="10">
        <v>91</v>
      </c>
      <c r="N192" s="10">
        <v>95</v>
      </c>
      <c r="O192" s="26">
        <f t="shared" si="6"/>
        <v>1027</v>
      </c>
      <c r="P192" s="25">
        <v>11543</v>
      </c>
      <c r="Q192" s="10">
        <v>9780</v>
      </c>
      <c r="R192" s="10">
        <v>11714</v>
      </c>
      <c r="S192" s="10">
        <v>14764</v>
      </c>
      <c r="T192" s="10">
        <v>14984</v>
      </c>
      <c r="U192" s="10">
        <v>16347</v>
      </c>
      <c r="V192" s="10">
        <v>16688</v>
      </c>
      <c r="W192" s="10">
        <v>14604</v>
      </c>
      <c r="X192" s="10">
        <v>14431</v>
      </c>
      <c r="Y192" s="10">
        <v>16514</v>
      </c>
      <c r="Z192" s="10">
        <v>15267</v>
      </c>
      <c r="AA192" s="10">
        <v>15243</v>
      </c>
      <c r="AB192" s="26">
        <f t="shared" si="7"/>
        <v>171879</v>
      </c>
      <c r="AC192" s="25">
        <v>3933.7000000000007</v>
      </c>
      <c r="AD192" s="10">
        <v>2973.6</v>
      </c>
      <c r="AE192" s="10">
        <v>3495.7999999999997</v>
      </c>
      <c r="AF192" s="10">
        <v>3264.5000000000005</v>
      </c>
      <c r="AG192" s="10">
        <v>6845.5000000000009</v>
      </c>
      <c r="AH192" s="10">
        <v>4239.3999999999996</v>
      </c>
      <c r="AI192" s="10">
        <v>4731.2999999999993</v>
      </c>
      <c r="AJ192" s="10">
        <v>4589.7999999999993</v>
      </c>
      <c r="AK192" s="10">
        <v>3223.2</v>
      </c>
      <c r="AL192" s="10">
        <v>7591.4</v>
      </c>
      <c r="AM192" s="10">
        <v>4165.2000000000007</v>
      </c>
      <c r="AN192" s="10">
        <v>4552.45</v>
      </c>
      <c r="AO192" s="26">
        <f t="shared" si="8"/>
        <v>53605.849999999991</v>
      </c>
    </row>
    <row r="193" spans="1:41" ht="17.25" customHeight="1" x14ac:dyDescent="0.45">
      <c r="A193" s="2" t="s">
        <v>38</v>
      </c>
      <c r="B193" s="2" t="s">
        <v>47</v>
      </c>
      <c r="C193" s="23">
        <v>18</v>
      </c>
      <c r="D193" s="1">
        <v>19</v>
      </c>
      <c r="E193" s="1">
        <v>17</v>
      </c>
      <c r="F193" s="1">
        <v>18</v>
      </c>
      <c r="G193" s="1">
        <v>18</v>
      </c>
      <c r="H193" s="1">
        <v>18</v>
      </c>
      <c r="I193" s="1">
        <v>17</v>
      </c>
      <c r="J193" s="1">
        <v>21</v>
      </c>
      <c r="K193" s="1">
        <v>14</v>
      </c>
      <c r="L193" s="1">
        <v>18</v>
      </c>
      <c r="M193" s="1">
        <v>25</v>
      </c>
      <c r="N193" s="1">
        <v>31</v>
      </c>
      <c r="O193" s="24">
        <f t="shared" si="6"/>
        <v>234</v>
      </c>
      <c r="P193" s="23">
        <v>676</v>
      </c>
      <c r="Q193" s="1">
        <v>629</v>
      </c>
      <c r="R193" s="1">
        <v>656</v>
      </c>
      <c r="S193" s="1">
        <v>687</v>
      </c>
      <c r="T193" s="1">
        <v>675</v>
      </c>
      <c r="U193" s="1">
        <v>654</v>
      </c>
      <c r="V193" s="1">
        <v>780</v>
      </c>
      <c r="W193" s="1">
        <v>675</v>
      </c>
      <c r="X193" s="1">
        <v>445</v>
      </c>
      <c r="Y193" s="1">
        <v>642</v>
      </c>
      <c r="Z193" s="1">
        <v>880</v>
      </c>
      <c r="AA193" s="1">
        <v>1084</v>
      </c>
      <c r="AB193" s="24">
        <f t="shared" si="7"/>
        <v>8483</v>
      </c>
      <c r="AC193" s="23">
        <v>0</v>
      </c>
      <c r="AD193" s="1">
        <v>0</v>
      </c>
      <c r="AE193" s="1">
        <v>0</v>
      </c>
      <c r="AF193" s="1">
        <v>0</v>
      </c>
      <c r="AG193" s="1">
        <v>0</v>
      </c>
      <c r="AH193" s="1">
        <v>0</v>
      </c>
      <c r="AI193" s="1">
        <v>0</v>
      </c>
      <c r="AJ193" s="1">
        <v>0</v>
      </c>
      <c r="AK193" s="1">
        <v>0</v>
      </c>
      <c r="AL193" s="1">
        <v>0</v>
      </c>
      <c r="AM193" s="1">
        <v>0</v>
      </c>
      <c r="AN193" s="1">
        <v>0</v>
      </c>
      <c r="AO193" s="24">
        <f t="shared" si="8"/>
        <v>0</v>
      </c>
    </row>
    <row r="194" spans="1:41" ht="17.25" customHeight="1" x14ac:dyDescent="0.45">
      <c r="A194" s="12" t="s">
        <v>38</v>
      </c>
      <c r="B194" s="12" t="s">
        <v>24</v>
      </c>
      <c r="C194" s="25">
        <v>9</v>
      </c>
      <c r="D194" s="10">
        <v>8</v>
      </c>
      <c r="E194" s="10">
        <v>9</v>
      </c>
      <c r="F194" s="10">
        <v>13</v>
      </c>
      <c r="G194" s="10">
        <v>14</v>
      </c>
      <c r="H194" s="10">
        <v>12</v>
      </c>
      <c r="I194" s="10">
        <v>14</v>
      </c>
      <c r="J194" s="10">
        <v>13</v>
      </c>
      <c r="K194" s="10">
        <v>13</v>
      </c>
      <c r="L194" s="10">
        <v>13</v>
      </c>
      <c r="M194" s="10">
        <v>13</v>
      </c>
      <c r="N194" s="10">
        <v>14</v>
      </c>
      <c r="O194" s="26">
        <f t="shared" si="6"/>
        <v>145</v>
      </c>
      <c r="P194" s="25">
        <v>1234</v>
      </c>
      <c r="Q194" s="10">
        <v>1214</v>
      </c>
      <c r="R194" s="10">
        <v>1393</v>
      </c>
      <c r="S194" s="10">
        <v>2032</v>
      </c>
      <c r="T194" s="10">
        <v>2193</v>
      </c>
      <c r="U194" s="10">
        <v>1682</v>
      </c>
      <c r="V194" s="10">
        <v>1857</v>
      </c>
      <c r="W194" s="10">
        <v>1853</v>
      </c>
      <c r="X194" s="10">
        <v>2086</v>
      </c>
      <c r="Y194" s="10">
        <v>2178</v>
      </c>
      <c r="Z194" s="10">
        <v>2189</v>
      </c>
      <c r="AA194" s="10">
        <v>1992</v>
      </c>
      <c r="AB194" s="26">
        <f t="shared" si="7"/>
        <v>21903</v>
      </c>
      <c r="AC194" s="25">
        <v>82.8</v>
      </c>
      <c r="AD194" s="10">
        <v>0</v>
      </c>
      <c r="AE194" s="10">
        <v>138.5</v>
      </c>
      <c r="AF194" s="10">
        <v>637.4</v>
      </c>
      <c r="AG194" s="10">
        <v>37</v>
      </c>
      <c r="AH194" s="10">
        <v>0</v>
      </c>
      <c r="AI194" s="10">
        <v>1544.8</v>
      </c>
      <c r="AJ194" s="10">
        <v>61.3</v>
      </c>
      <c r="AK194" s="10">
        <v>246.3</v>
      </c>
      <c r="AL194" s="10">
        <v>440</v>
      </c>
      <c r="AM194" s="10">
        <v>74.5</v>
      </c>
      <c r="AN194" s="10">
        <v>313.10000000000002</v>
      </c>
      <c r="AO194" s="26">
        <f t="shared" si="8"/>
        <v>3575.7000000000003</v>
      </c>
    </row>
    <row r="195" spans="1:41" ht="17.25" customHeight="1" x14ac:dyDescent="0.45">
      <c r="A195" s="2" t="s">
        <v>38</v>
      </c>
      <c r="B195" s="2" t="s">
        <v>12</v>
      </c>
      <c r="C195" s="23">
        <v>208</v>
      </c>
      <c r="D195" s="1">
        <v>217</v>
      </c>
      <c r="E195" s="1">
        <v>220</v>
      </c>
      <c r="F195" s="1">
        <v>262</v>
      </c>
      <c r="G195" s="1">
        <v>273</v>
      </c>
      <c r="H195" s="1">
        <v>249</v>
      </c>
      <c r="I195" s="1">
        <v>233</v>
      </c>
      <c r="J195" s="1">
        <v>240</v>
      </c>
      <c r="K195" s="1">
        <v>232</v>
      </c>
      <c r="L195" s="1">
        <v>235</v>
      </c>
      <c r="M195" s="1">
        <v>200</v>
      </c>
      <c r="N195" s="1">
        <v>209</v>
      </c>
      <c r="O195" s="24">
        <f t="shared" si="6"/>
        <v>2778</v>
      </c>
      <c r="P195" s="23">
        <v>31681</v>
      </c>
      <c r="Q195" s="1">
        <v>31532</v>
      </c>
      <c r="R195" s="1">
        <v>32874</v>
      </c>
      <c r="S195" s="1">
        <v>34079</v>
      </c>
      <c r="T195" s="1">
        <v>36775</v>
      </c>
      <c r="U195" s="1">
        <v>34444</v>
      </c>
      <c r="V195" s="1">
        <v>36757</v>
      </c>
      <c r="W195" s="1">
        <v>33388</v>
      </c>
      <c r="X195" s="1">
        <v>32114</v>
      </c>
      <c r="Y195" s="1">
        <v>34635</v>
      </c>
      <c r="Z195" s="1">
        <v>30334</v>
      </c>
      <c r="AA195" s="1">
        <v>31360</v>
      </c>
      <c r="AB195" s="24">
        <f t="shared" si="7"/>
        <v>399973</v>
      </c>
      <c r="AC195" s="23">
        <v>116124.20000000001</v>
      </c>
      <c r="AD195" s="1">
        <v>113692.5</v>
      </c>
      <c r="AE195" s="1">
        <v>121766.1</v>
      </c>
      <c r="AF195" s="1">
        <v>99226.2</v>
      </c>
      <c r="AG195" s="1">
        <v>115106.6</v>
      </c>
      <c r="AH195" s="1">
        <v>99389.799999999988</v>
      </c>
      <c r="AI195" s="1">
        <v>114342.6</v>
      </c>
      <c r="AJ195" s="1">
        <v>123851.4</v>
      </c>
      <c r="AK195" s="1">
        <v>109913.09999999998</v>
      </c>
      <c r="AL195" s="1">
        <v>112754.90000000001</v>
      </c>
      <c r="AM195" s="1">
        <v>91774.2</v>
      </c>
      <c r="AN195" s="1">
        <v>113795.99999999999</v>
      </c>
      <c r="AO195" s="24">
        <f t="shared" si="8"/>
        <v>1331737.6000000001</v>
      </c>
    </row>
    <row r="196" spans="1:41" ht="17.25" customHeight="1" x14ac:dyDescent="0.45">
      <c r="A196" s="12" t="s">
        <v>38</v>
      </c>
      <c r="B196" s="12" t="s">
        <v>13</v>
      </c>
      <c r="C196" s="25">
        <v>47</v>
      </c>
      <c r="D196" s="10">
        <v>41</v>
      </c>
      <c r="E196" s="10">
        <v>60</v>
      </c>
      <c r="F196" s="10">
        <v>56</v>
      </c>
      <c r="G196" s="10">
        <v>66</v>
      </c>
      <c r="H196" s="10">
        <v>50</v>
      </c>
      <c r="I196" s="10">
        <v>61</v>
      </c>
      <c r="J196" s="10">
        <v>62</v>
      </c>
      <c r="K196" s="10">
        <v>60</v>
      </c>
      <c r="L196" s="10">
        <v>62</v>
      </c>
      <c r="M196" s="10">
        <v>146</v>
      </c>
      <c r="N196" s="10">
        <v>150</v>
      </c>
      <c r="O196" s="26">
        <f t="shared" si="6"/>
        <v>861</v>
      </c>
      <c r="P196" s="25">
        <v>8379</v>
      </c>
      <c r="Q196" s="10">
        <v>6258</v>
      </c>
      <c r="R196" s="10">
        <v>8659</v>
      </c>
      <c r="S196" s="10">
        <v>7879</v>
      </c>
      <c r="T196" s="10">
        <v>9226</v>
      </c>
      <c r="U196" s="10">
        <v>7638</v>
      </c>
      <c r="V196" s="10">
        <v>11108</v>
      </c>
      <c r="W196" s="10">
        <v>9907</v>
      </c>
      <c r="X196" s="10">
        <v>9034</v>
      </c>
      <c r="Y196" s="10">
        <v>10553</v>
      </c>
      <c r="Z196" s="10">
        <v>17930</v>
      </c>
      <c r="AA196" s="10">
        <v>17535</v>
      </c>
      <c r="AB196" s="26">
        <f t="shared" si="7"/>
        <v>124106</v>
      </c>
      <c r="AC196" s="25">
        <v>4434.6000000000004</v>
      </c>
      <c r="AD196" s="10">
        <v>0</v>
      </c>
      <c r="AE196" s="10">
        <v>4717.7</v>
      </c>
      <c r="AF196" s="10">
        <v>664.3</v>
      </c>
      <c r="AG196" s="10">
        <v>507.59999999999997</v>
      </c>
      <c r="AH196" s="10">
        <v>4802.8999999999996</v>
      </c>
      <c r="AI196" s="10">
        <v>3722.7999999999997</v>
      </c>
      <c r="AJ196" s="10">
        <v>1646.2999999999997</v>
      </c>
      <c r="AK196" s="10">
        <v>5328.7</v>
      </c>
      <c r="AL196" s="10">
        <v>4211.1000000000004</v>
      </c>
      <c r="AM196" s="10">
        <v>3050</v>
      </c>
      <c r="AN196" s="10">
        <v>3151.3999999999996</v>
      </c>
      <c r="AO196" s="26">
        <f t="shared" si="8"/>
        <v>36237.4</v>
      </c>
    </row>
    <row r="197" spans="1:41" ht="17.25" customHeight="1" x14ac:dyDescent="0.45">
      <c r="A197" s="2" t="s">
        <v>38</v>
      </c>
      <c r="B197" s="2" t="s">
        <v>28</v>
      </c>
      <c r="C197" s="23">
        <v>5</v>
      </c>
      <c r="D197" s="1">
        <v>5</v>
      </c>
      <c r="E197" s="1">
        <v>5</v>
      </c>
      <c r="F197" s="1">
        <v>4</v>
      </c>
      <c r="G197" s="1">
        <v>8</v>
      </c>
      <c r="H197" s="1">
        <v>5</v>
      </c>
      <c r="I197" s="1">
        <v>8</v>
      </c>
      <c r="J197" s="1">
        <v>8</v>
      </c>
      <c r="K197" s="1">
        <v>7</v>
      </c>
      <c r="L197" s="1">
        <v>6</v>
      </c>
      <c r="M197" s="1">
        <v>9</v>
      </c>
      <c r="N197" s="1">
        <v>13</v>
      </c>
      <c r="O197" s="24">
        <f t="shared" si="6"/>
        <v>83</v>
      </c>
      <c r="P197" s="23">
        <v>166</v>
      </c>
      <c r="Q197" s="1">
        <v>108</v>
      </c>
      <c r="R197" s="1">
        <v>98</v>
      </c>
      <c r="S197" s="1">
        <v>96</v>
      </c>
      <c r="T197" s="1">
        <v>158</v>
      </c>
      <c r="U197" s="1">
        <v>96</v>
      </c>
      <c r="V197" s="1">
        <v>248</v>
      </c>
      <c r="W197" s="1">
        <v>227</v>
      </c>
      <c r="X197" s="1">
        <v>149</v>
      </c>
      <c r="Y197" s="1">
        <v>147</v>
      </c>
      <c r="Z197" s="1">
        <v>224</v>
      </c>
      <c r="AA197" s="1">
        <v>415</v>
      </c>
      <c r="AB197" s="24">
        <f t="shared" si="7"/>
        <v>2132</v>
      </c>
      <c r="AC197" s="23">
        <v>0</v>
      </c>
      <c r="AD197" s="1">
        <v>0</v>
      </c>
      <c r="AE197" s="1">
        <v>0</v>
      </c>
      <c r="AF197" s="1">
        <v>0</v>
      </c>
      <c r="AG197" s="1">
        <v>0</v>
      </c>
      <c r="AH197" s="1">
        <v>0</v>
      </c>
      <c r="AI197" s="1">
        <v>0</v>
      </c>
      <c r="AJ197" s="1">
        <v>0</v>
      </c>
      <c r="AK197" s="1">
        <v>0</v>
      </c>
      <c r="AL197" s="1">
        <v>0</v>
      </c>
      <c r="AM197" s="1">
        <v>0</v>
      </c>
      <c r="AN197" s="1">
        <v>0</v>
      </c>
      <c r="AO197" s="24">
        <f t="shared" si="8"/>
        <v>0</v>
      </c>
    </row>
    <row r="198" spans="1:41" ht="17.25" customHeight="1" x14ac:dyDescent="0.45">
      <c r="A198" s="12" t="s">
        <v>38</v>
      </c>
      <c r="B198" s="12" t="s">
        <v>48</v>
      </c>
      <c r="C198" s="25">
        <v>9</v>
      </c>
      <c r="D198" s="10">
        <v>8</v>
      </c>
      <c r="E198" s="10">
        <v>9</v>
      </c>
      <c r="F198" s="10">
        <v>8</v>
      </c>
      <c r="G198" s="10">
        <v>9</v>
      </c>
      <c r="H198" s="10">
        <v>9</v>
      </c>
      <c r="I198" s="10">
        <v>9</v>
      </c>
      <c r="J198" s="10">
        <v>9</v>
      </c>
      <c r="K198" s="10">
        <v>8</v>
      </c>
      <c r="L198" s="10">
        <v>9</v>
      </c>
      <c r="M198" s="10">
        <v>9</v>
      </c>
      <c r="N198" s="10">
        <v>8</v>
      </c>
      <c r="O198" s="26">
        <f t="shared" si="6"/>
        <v>104</v>
      </c>
      <c r="P198" s="25">
        <v>1330</v>
      </c>
      <c r="Q198" s="10">
        <v>1235</v>
      </c>
      <c r="R198" s="10">
        <v>1522</v>
      </c>
      <c r="S198" s="10">
        <v>1229</v>
      </c>
      <c r="T198" s="10">
        <v>1434</v>
      </c>
      <c r="U198" s="10">
        <v>1562</v>
      </c>
      <c r="V198" s="10">
        <v>1930</v>
      </c>
      <c r="W198" s="10">
        <v>1603</v>
      </c>
      <c r="X198" s="10">
        <v>1278</v>
      </c>
      <c r="Y198" s="10">
        <v>1455</v>
      </c>
      <c r="Z198" s="10">
        <v>1336</v>
      </c>
      <c r="AA198" s="10">
        <v>1317</v>
      </c>
      <c r="AB198" s="26">
        <f t="shared" si="7"/>
        <v>17231</v>
      </c>
      <c r="AC198" s="25">
        <v>0</v>
      </c>
      <c r="AD198" s="10">
        <v>147.5</v>
      </c>
      <c r="AE198" s="10">
        <v>41</v>
      </c>
      <c r="AF198" s="10">
        <v>609.79999999999995</v>
      </c>
      <c r="AG198" s="10">
        <v>1144.3</v>
      </c>
      <c r="AH198" s="10">
        <v>1079.7</v>
      </c>
      <c r="AI198" s="10">
        <v>1215.2</v>
      </c>
      <c r="AJ198" s="10">
        <v>1834.1999999999998</v>
      </c>
      <c r="AK198" s="10">
        <v>1444</v>
      </c>
      <c r="AL198" s="10">
        <v>2388.3999999999996</v>
      </c>
      <c r="AM198" s="10">
        <v>1558.6</v>
      </c>
      <c r="AN198" s="10">
        <v>2446</v>
      </c>
      <c r="AO198" s="26">
        <f t="shared" si="8"/>
        <v>13908.699999999999</v>
      </c>
    </row>
    <row r="199" spans="1:41" ht="17.25" customHeight="1" x14ac:dyDescent="0.45">
      <c r="A199" s="2" t="s">
        <v>38</v>
      </c>
      <c r="B199" s="2" t="s">
        <v>30</v>
      </c>
      <c r="C199" s="23">
        <v>4</v>
      </c>
      <c r="D199" s="1">
        <v>5</v>
      </c>
      <c r="E199" s="1">
        <v>4</v>
      </c>
      <c r="F199" s="1">
        <v>4</v>
      </c>
      <c r="G199" s="1">
        <v>6</v>
      </c>
      <c r="H199" s="1">
        <v>5</v>
      </c>
      <c r="I199" s="1">
        <v>4</v>
      </c>
      <c r="J199" s="1">
        <v>6</v>
      </c>
      <c r="K199" s="1">
        <v>5</v>
      </c>
      <c r="L199" s="1">
        <v>3</v>
      </c>
      <c r="M199" s="1">
        <v>5</v>
      </c>
      <c r="N199" s="1">
        <v>5</v>
      </c>
      <c r="O199" s="24">
        <f t="shared" si="6"/>
        <v>56</v>
      </c>
      <c r="P199" s="23">
        <v>0</v>
      </c>
      <c r="Q199" s="1">
        <v>0</v>
      </c>
      <c r="R199" s="1">
        <v>0</v>
      </c>
      <c r="S199" s="1">
        <v>0</v>
      </c>
      <c r="T199" s="1">
        <v>0</v>
      </c>
      <c r="U199" s="1">
        <v>0</v>
      </c>
      <c r="V199" s="1">
        <v>0</v>
      </c>
      <c r="W199" s="1">
        <v>0</v>
      </c>
      <c r="X199" s="1">
        <v>0</v>
      </c>
      <c r="Y199" s="1">
        <v>0</v>
      </c>
      <c r="Z199" s="1">
        <v>0</v>
      </c>
      <c r="AA199" s="1">
        <v>0</v>
      </c>
      <c r="AB199" s="24">
        <f t="shared" si="7"/>
        <v>0</v>
      </c>
      <c r="AC199" s="23">
        <v>18557</v>
      </c>
      <c r="AD199" s="1">
        <v>19156</v>
      </c>
      <c r="AE199" s="1">
        <v>14090</v>
      </c>
      <c r="AF199" s="1">
        <v>13369</v>
      </c>
      <c r="AG199" s="1">
        <v>32176</v>
      </c>
      <c r="AH199" s="1">
        <v>18711</v>
      </c>
      <c r="AI199" s="1">
        <v>14697</v>
      </c>
      <c r="AJ199" s="1">
        <v>20637</v>
      </c>
      <c r="AK199" s="1">
        <v>15803</v>
      </c>
      <c r="AL199" s="1">
        <v>11754</v>
      </c>
      <c r="AM199" s="1">
        <v>17068</v>
      </c>
      <c r="AN199" s="1">
        <v>16392</v>
      </c>
      <c r="AO199" s="24">
        <f t="shared" si="8"/>
        <v>212410</v>
      </c>
    </row>
    <row r="200" spans="1:41" ht="17.25" customHeight="1" x14ac:dyDescent="0.45">
      <c r="A200" s="12" t="s">
        <v>38</v>
      </c>
      <c r="B200" s="12" t="s">
        <v>14</v>
      </c>
      <c r="C200" s="25">
        <v>22</v>
      </c>
      <c r="D200" s="10">
        <v>21</v>
      </c>
      <c r="E200" s="10">
        <v>26</v>
      </c>
      <c r="F200" s="10">
        <v>30</v>
      </c>
      <c r="G200" s="10">
        <v>31</v>
      </c>
      <c r="H200" s="10">
        <v>29</v>
      </c>
      <c r="I200" s="10">
        <v>31</v>
      </c>
      <c r="J200" s="10">
        <v>31</v>
      </c>
      <c r="K200" s="10">
        <v>30</v>
      </c>
      <c r="L200" s="10">
        <v>31</v>
      </c>
      <c r="M200" s="10">
        <v>30</v>
      </c>
      <c r="N200" s="10">
        <v>31</v>
      </c>
      <c r="O200" s="26">
        <f t="shared" ref="O200:O263" si="9">SUM(C200:N200)</f>
        <v>343</v>
      </c>
      <c r="P200" s="25">
        <v>2856</v>
      </c>
      <c r="Q200" s="10">
        <v>3199</v>
      </c>
      <c r="R200" s="10">
        <v>3844</v>
      </c>
      <c r="S200" s="10">
        <v>4388</v>
      </c>
      <c r="T200" s="10">
        <v>4253</v>
      </c>
      <c r="U200" s="10">
        <v>4694</v>
      </c>
      <c r="V200" s="10">
        <v>5188</v>
      </c>
      <c r="W200" s="10">
        <v>4727</v>
      </c>
      <c r="X200" s="10">
        <v>4600</v>
      </c>
      <c r="Y200" s="10">
        <v>5062</v>
      </c>
      <c r="Z200" s="10">
        <v>4889</v>
      </c>
      <c r="AA200" s="10">
        <v>5169</v>
      </c>
      <c r="AB200" s="26">
        <f t="shared" ref="AB200:AB263" si="10">SUM(P200:AA200)</f>
        <v>52869</v>
      </c>
      <c r="AC200" s="25">
        <v>0</v>
      </c>
      <c r="AD200" s="10">
        <v>0</v>
      </c>
      <c r="AE200" s="10">
        <v>0</v>
      </c>
      <c r="AF200" s="10">
        <v>0</v>
      </c>
      <c r="AG200" s="10">
        <v>0</v>
      </c>
      <c r="AH200" s="10">
        <v>0</v>
      </c>
      <c r="AI200" s="10">
        <v>0</v>
      </c>
      <c r="AJ200" s="10">
        <v>0</v>
      </c>
      <c r="AK200" s="10">
        <v>0</v>
      </c>
      <c r="AL200" s="10">
        <v>0</v>
      </c>
      <c r="AM200" s="10">
        <v>0</v>
      </c>
      <c r="AN200" s="10">
        <v>0</v>
      </c>
      <c r="AO200" s="26">
        <f t="shared" ref="AO200:AO263" si="11">SUM(AC200:AN200)</f>
        <v>0</v>
      </c>
    </row>
    <row r="201" spans="1:41" ht="17.25" customHeight="1" x14ac:dyDescent="0.45">
      <c r="A201" s="2" t="s">
        <v>38</v>
      </c>
      <c r="B201" s="2" t="s">
        <v>15</v>
      </c>
      <c r="C201" s="23">
        <v>70</v>
      </c>
      <c r="D201" s="1">
        <v>62</v>
      </c>
      <c r="E201" s="1">
        <v>71</v>
      </c>
      <c r="F201" s="1">
        <v>93</v>
      </c>
      <c r="G201" s="1">
        <v>97</v>
      </c>
      <c r="H201" s="1">
        <v>89</v>
      </c>
      <c r="I201" s="1">
        <v>95</v>
      </c>
      <c r="J201" s="1">
        <v>91</v>
      </c>
      <c r="K201" s="1">
        <v>99</v>
      </c>
      <c r="L201" s="1">
        <v>103</v>
      </c>
      <c r="M201" s="1">
        <v>105</v>
      </c>
      <c r="N201" s="1">
        <v>102</v>
      </c>
      <c r="O201" s="24">
        <f t="shared" si="9"/>
        <v>1077</v>
      </c>
      <c r="P201" s="23">
        <v>10798</v>
      </c>
      <c r="Q201" s="1">
        <v>10617</v>
      </c>
      <c r="R201" s="1">
        <v>11487</v>
      </c>
      <c r="S201" s="1">
        <v>11605</v>
      </c>
      <c r="T201" s="1">
        <v>11892</v>
      </c>
      <c r="U201" s="1">
        <v>10323</v>
      </c>
      <c r="V201" s="1">
        <v>11045</v>
      </c>
      <c r="W201" s="1">
        <v>11078</v>
      </c>
      <c r="X201" s="1">
        <v>11150</v>
      </c>
      <c r="Y201" s="1">
        <v>13041</v>
      </c>
      <c r="Z201" s="1">
        <v>13659</v>
      </c>
      <c r="AA201" s="1">
        <v>11269</v>
      </c>
      <c r="AB201" s="24">
        <f t="shared" si="10"/>
        <v>137964</v>
      </c>
      <c r="AC201" s="23">
        <v>12107.800000000001</v>
      </c>
      <c r="AD201" s="1">
        <v>29607.599999999999</v>
      </c>
      <c r="AE201" s="1">
        <v>26286.899999999998</v>
      </c>
      <c r="AF201" s="1">
        <v>21977.200000000001</v>
      </c>
      <c r="AG201" s="1">
        <v>19434</v>
      </c>
      <c r="AH201" s="1">
        <v>33819.4</v>
      </c>
      <c r="AI201" s="1">
        <v>24104.2</v>
      </c>
      <c r="AJ201" s="1">
        <v>16741.599999999999</v>
      </c>
      <c r="AK201" s="1">
        <v>24417</v>
      </c>
      <c r="AL201" s="1">
        <v>22999</v>
      </c>
      <c r="AM201" s="1">
        <v>23283.099999999995</v>
      </c>
      <c r="AN201" s="1">
        <v>28481.9</v>
      </c>
      <c r="AO201" s="24">
        <f t="shared" si="11"/>
        <v>283259.7</v>
      </c>
    </row>
    <row r="202" spans="1:41" ht="17.25" customHeight="1" x14ac:dyDescent="0.45">
      <c r="A202" s="12" t="s">
        <v>51</v>
      </c>
      <c r="B202" s="12" t="s">
        <v>11</v>
      </c>
      <c r="C202" s="25">
        <v>8</v>
      </c>
      <c r="D202" s="10">
        <v>9</v>
      </c>
      <c r="E202" s="10">
        <v>11</v>
      </c>
      <c r="F202" s="10">
        <v>14</v>
      </c>
      <c r="G202" s="10">
        <v>13</v>
      </c>
      <c r="H202" s="10">
        <v>13</v>
      </c>
      <c r="I202" s="10">
        <v>13</v>
      </c>
      <c r="J202" s="10">
        <v>13</v>
      </c>
      <c r="K202" s="10">
        <v>12</v>
      </c>
      <c r="L202" s="10">
        <v>14</v>
      </c>
      <c r="M202" s="10">
        <v>13</v>
      </c>
      <c r="N202" s="10">
        <v>14</v>
      </c>
      <c r="O202" s="26">
        <f t="shared" si="9"/>
        <v>147</v>
      </c>
      <c r="P202" s="25">
        <v>1513</v>
      </c>
      <c r="Q202" s="10">
        <v>1468</v>
      </c>
      <c r="R202" s="10">
        <v>1492</v>
      </c>
      <c r="S202" s="10">
        <v>2374</v>
      </c>
      <c r="T202" s="10">
        <v>2047</v>
      </c>
      <c r="U202" s="10">
        <v>2191</v>
      </c>
      <c r="V202" s="10">
        <v>2095</v>
      </c>
      <c r="W202" s="10">
        <v>2185</v>
      </c>
      <c r="X202" s="10">
        <v>1812</v>
      </c>
      <c r="Y202" s="10">
        <v>2344</v>
      </c>
      <c r="Z202" s="10">
        <v>1974</v>
      </c>
      <c r="AA202" s="10">
        <v>1945</v>
      </c>
      <c r="AB202" s="26">
        <f t="shared" si="10"/>
        <v>23440</v>
      </c>
      <c r="AC202" s="25">
        <v>1044.7</v>
      </c>
      <c r="AD202" s="10">
        <v>2781.0999999999995</v>
      </c>
      <c r="AE202" s="10">
        <v>1664.9</v>
      </c>
      <c r="AF202" s="10">
        <v>2603.1999999999998</v>
      </c>
      <c r="AG202" s="10">
        <v>2563</v>
      </c>
      <c r="AH202" s="10">
        <v>2818.8999999999996</v>
      </c>
      <c r="AI202" s="10">
        <v>2000.1000000000001</v>
      </c>
      <c r="AJ202" s="10">
        <v>1493.9</v>
      </c>
      <c r="AK202" s="10">
        <v>184.70000000000002</v>
      </c>
      <c r="AL202" s="10">
        <v>151</v>
      </c>
      <c r="AM202" s="10">
        <v>182.00000000000003</v>
      </c>
      <c r="AN202" s="10">
        <v>517.70000000000005</v>
      </c>
      <c r="AO202" s="26">
        <f t="shared" si="11"/>
        <v>18005.2</v>
      </c>
    </row>
    <row r="203" spans="1:41" ht="17.25" customHeight="1" x14ac:dyDescent="0.45">
      <c r="A203" s="2" t="s">
        <v>51</v>
      </c>
      <c r="B203" s="2" t="s">
        <v>12</v>
      </c>
      <c r="C203" s="23">
        <v>181</v>
      </c>
      <c r="D203" s="1">
        <v>169</v>
      </c>
      <c r="E203" s="1">
        <v>180</v>
      </c>
      <c r="F203" s="1">
        <v>157</v>
      </c>
      <c r="G203" s="1">
        <v>163</v>
      </c>
      <c r="H203" s="1">
        <v>160</v>
      </c>
      <c r="I203" s="1">
        <v>171</v>
      </c>
      <c r="J203" s="1">
        <v>153</v>
      </c>
      <c r="K203" s="1">
        <v>121</v>
      </c>
      <c r="L203" s="1">
        <v>131</v>
      </c>
      <c r="M203" s="1">
        <v>128</v>
      </c>
      <c r="N203" s="1">
        <v>142</v>
      </c>
      <c r="O203" s="24">
        <f t="shared" si="9"/>
        <v>1856</v>
      </c>
      <c r="P203" s="23">
        <v>27965</v>
      </c>
      <c r="Q203" s="1">
        <v>22902</v>
      </c>
      <c r="R203" s="1">
        <v>24862</v>
      </c>
      <c r="S203" s="1">
        <v>21837</v>
      </c>
      <c r="T203" s="1">
        <v>22412</v>
      </c>
      <c r="U203" s="1">
        <v>22168</v>
      </c>
      <c r="V203" s="1">
        <v>25004</v>
      </c>
      <c r="W203" s="1">
        <v>22859</v>
      </c>
      <c r="X203" s="1">
        <v>17294</v>
      </c>
      <c r="Y203" s="1">
        <v>17176</v>
      </c>
      <c r="Z203" s="1">
        <v>18105</v>
      </c>
      <c r="AA203" s="1">
        <v>19716</v>
      </c>
      <c r="AB203" s="24">
        <f t="shared" si="10"/>
        <v>262300</v>
      </c>
      <c r="AC203" s="23">
        <v>4347.2000000000007</v>
      </c>
      <c r="AD203" s="1">
        <v>1942.3000000000002</v>
      </c>
      <c r="AE203" s="1">
        <v>2363.6</v>
      </c>
      <c r="AF203" s="1">
        <v>1281.0999999999999</v>
      </c>
      <c r="AG203" s="1">
        <v>793</v>
      </c>
      <c r="AH203" s="1">
        <v>637.40000000000009</v>
      </c>
      <c r="AI203" s="1">
        <v>381.1</v>
      </c>
      <c r="AJ203" s="1">
        <v>438.00000000000006</v>
      </c>
      <c r="AK203" s="1">
        <v>496.70000000000005</v>
      </c>
      <c r="AL203" s="1">
        <v>1870</v>
      </c>
      <c r="AM203" s="1">
        <v>1648.8999999999999</v>
      </c>
      <c r="AN203" s="1">
        <v>370.9</v>
      </c>
      <c r="AO203" s="24">
        <f t="shared" si="11"/>
        <v>16570.2</v>
      </c>
    </row>
    <row r="204" spans="1:41" ht="17.25" customHeight="1" x14ac:dyDescent="0.45">
      <c r="A204" s="12" t="s">
        <v>51</v>
      </c>
      <c r="B204" s="12" t="s">
        <v>13</v>
      </c>
      <c r="C204" s="25">
        <v>10</v>
      </c>
      <c r="D204" s="10">
        <v>9</v>
      </c>
      <c r="E204" s="10">
        <v>11</v>
      </c>
      <c r="F204" s="10">
        <v>8</v>
      </c>
      <c r="G204" s="10">
        <v>13</v>
      </c>
      <c r="H204" s="10">
        <v>12</v>
      </c>
      <c r="I204" s="10">
        <v>22</v>
      </c>
      <c r="J204" s="10">
        <v>21</v>
      </c>
      <c r="K204" s="10">
        <v>9</v>
      </c>
      <c r="L204" s="10">
        <v>9</v>
      </c>
      <c r="M204" s="10">
        <v>8</v>
      </c>
      <c r="N204" s="10">
        <v>9</v>
      </c>
      <c r="O204" s="26">
        <f t="shared" si="9"/>
        <v>141</v>
      </c>
      <c r="P204" s="25">
        <v>1626</v>
      </c>
      <c r="Q204" s="10">
        <v>1149</v>
      </c>
      <c r="R204" s="10">
        <v>1566</v>
      </c>
      <c r="S204" s="10">
        <v>1290</v>
      </c>
      <c r="T204" s="10">
        <v>2107</v>
      </c>
      <c r="U204" s="10">
        <v>1915</v>
      </c>
      <c r="V204" s="10">
        <v>3721</v>
      </c>
      <c r="W204" s="10">
        <v>3406</v>
      </c>
      <c r="X204" s="10">
        <v>1390</v>
      </c>
      <c r="Y204" s="10">
        <v>1364</v>
      </c>
      <c r="Z204" s="10">
        <v>1374</v>
      </c>
      <c r="AA204" s="10">
        <v>1285</v>
      </c>
      <c r="AB204" s="26">
        <f t="shared" si="10"/>
        <v>22193</v>
      </c>
      <c r="AC204" s="25">
        <v>0</v>
      </c>
      <c r="AD204" s="10">
        <v>0</v>
      </c>
      <c r="AE204" s="10">
        <v>0</v>
      </c>
      <c r="AF204" s="10">
        <v>0</v>
      </c>
      <c r="AG204" s="10">
        <v>0</v>
      </c>
      <c r="AH204" s="10">
        <v>0</v>
      </c>
      <c r="AI204" s="10">
        <v>0</v>
      </c>
      <c r="AJ204" s="10">
        <v>0</v>
      </c>
      <c r="AK204" s="10">
        <v>0</v>
      </c>
      <c r="AL204" s="10">
        <v>0</v>
      </c>
      <c r="AM204" s="10">
        <v>0</v>
      </c>
      <c r="AN204" s="10">
        <v>0</v>
      </c>
      <c r="AO204" s="26">
        <f t="shared" si="11"/>
        <v>0</v>
      </c>
    </row>
    <row r="205" spans="1:41" ht="17.25" customHeight="1" x14ac:dyDescent="0.45">
      <c r="A205" s="2" t="s">
        <v>51</v>
      </c>
      <c r="B205" s="2" t="s">
        <v>14</v>
      </c>
      <c r="C205" s="23">
        <v>10</v>
      </c>
      <c r="D205" s="1">
        <v>13</v>
      </c>
      <c r="E205" s="1">
        <v>24</v>
      </c>
      <c r="F205" s="1">
        <v>30</v>
      </c>
      <c r="G205" s="1">
        <v>31</v>
      </c>
      <c r="H205" s="1">
        <v>28</v>
      </c>
      <c r="I205" s="1">
        <v>31</v>
      </c>
      <c r="J205" s="1">
        <v>30</v>
      </c>
      <c r="K205" s="1">
        <v>29</v>
      </c>
      <c r="L205" s="1">
        <v>31</v>
      </c>
      <c r="M205" s="1">
        <v>30</v>
      </c>
      <c r="N205" s="1">
        <v>31</v>
      </c>
      <c r="O205" s="24">
        <f t="shared" si="9"/>
        <v>318</v>
      </c>
      <c r="P205" s="23">
        <v>1660</v>
      </c>
      <c r="Q205" s="1">
        <v>1884</v>
      </c>
      <c r="R205" s="1">
        <v>3042</v>
      </c>
      <c r="S205" s="1">
        <v>4314</v>
      </c>
      <c r="T205" s="1">
        <v>4650</v>
      </c>
      <c r="U205" s="1">
        <v>4260</v>
      </c>
      <c r="V205" s="1">
        <v>4465</v>
      </c>
      <c r="W205" s="1">
        <v>4779</v>
      </c>
      <c r="X205" s="1">
        <v>3969</v>
      </c>
      <c r="Y205" s="1">
        <v>4035</v>
      </c>
      <c r="Z205" s="1">
        <v>4664</v>
      </c>
      <c r="AA205" s="1">
        <v>4235</v>
      </c>
      <c r="AB205" s="24">
        <f t="shared" si="10"/>
        <v>45957</v>
      </c>
      <c r="AC205" s="23">
        <v>0</v>
      </c>
      <c r="AD205" s="1">
        <v>0</v>
      </c>
      <c r="AE205" s="1">
        <v>0</v>
      </c>
      <c r="AF205" s="1">
        <v>0</v>
      </c>
      <c r="AG205" s="1">
        <v>0</v>
      </c>
      <c r="AH205" s="1">
        <v>0</v>
      </c>
      <c r="AI205" s="1">
        <v>0</v>
      </c>
      <c r="AJ205" s="1">
        <v>0</v>
      </c>
      <c r="AK205" s="1">
        <v>0</v>
      </c>
      <c r="AL205" s="1">
        <v>0</v>
      </c>
      <c r="AM205" s="1">
        <v>0</v>
      </c>
      <c r="AN205" s="1">
        <v>0</v>
      </c>
      <c r="AO205" s="24">
        <f t="shared" si="11"/>
        <v>0</v>
      </c>
    </row>
    <row r="206" spans="1:41" ht="17.25" customHeight="1" x14ac:dyDescent="0.45">
      <c r="A206" s="12" t="s">
        <v>51</v>
      </c>
      <c r="B206" s="12" t="s">
        <v>15</v>
      </c>
      <c r="C206" s="25">
        <v>3</v>
      </c>
      <c r="D206" s="10">
        <v>0</v>
      </c>
      <c r="E206" s="10">
        <v>0</v>
      </c>
      <c r="F206" s="10">
        <v>0</v>
      </c>
      <c r="G206" s="10">
        <v>0</v>
      </c>
      <c r="H206" s="10">
        <v>0</v>
      </c>
      <c r="I206" s="10">
        <v>0</v>
      </c>
      <c r="J206" s="10">
        <v>0</v>
      </c>
      <c r="K206" s="10">
        <v>0</v>
      </c>
      <c r="L206" s="10">
        <v>0</v>
      </c>
      <c r="M206" s="10">
        <v>0</v>
      </c>
      <c r="N206" s="10">
        <v>0</v>
      </c>
      <c r="O206" s="26">
        <f t="shared" si="9"/>
        <v>3</v>
      </c>
      <c r="P206" s="25">
        <v>647</v>
      </c>
      <c r="Q206" s="10">
        <v>0</v>
      </c>
      <c r="R206" s="10">
        <v>0</v>
      </c>
      <c r="S206" s="10">
        <v>0</v>
      </c>
      <c r="T206" s="10">
        <v>0</v>
      </c>
      <c r="U206" s="10">
        <v>0</v>
      </c>
      <c r="V206" s="10">
        <v>0</v>
      </c>
      <c r="W206" s="10">
        <v>0</v>
      </c>
      <c r="X206" s="10">
        <v>0</v>
      </c>
      <c r="Y206" s="10">
        <v>0</v>
      </c>
      <c r="Z206" s="10">
        <v>0</v>
      </c>
      <c r="AA206" s="10">
        <v>0</v>
      </c>
      <c r="AB206" s="26">
        <f t="shared" si="10"/>
        <v>647</v>
      </c>
      <c r="AC206" s="25">
        <v>0</v>
      </c>
      <c r="AD206" s="10">
        <v>0</v>
      </c>
      <c r="AE206" s="10">
        <v>0</v>
      </c>
      <c r="AF206" s="10">
        <v>0</v>
      </c>
      <c r="AG206" s="10">
        <v>0</v>
      </c>
      <c r="AH206" s="10">
        <v>0</v>
      </c>
      <c r="AI206" s="10">
        <v>0</v>
      </c>
      <c r="AJ206" s="10">
        <v>0</v>
      </c>
      <c r="AK206" s="10">
        <v>0</v>
      </c>
      <c r="AL206" s="10">
        <v>0</v>
      </c>
      <c r="AM206" s="10">
        <v>0</v>
      </c>
      <c r="AN206" s="10">
        <v>0</v>
      </c>
      <c r="AO206" s="26">
        <f t="shared" si="11"/>
        <v>0</v>
      </c>
    </row>
    <row r="207" spans="1:41" ht="17.25" customHeight="1" x14ac:dyDescent="0.45">
      <c r="A207" s="2" t="s">
        <v>52</v>
      </c>
      <c r="B207" s="2" t="s">
        <v>9</v>
      </c>
      <c r="C207" s="23">
        <v>0</v>
      </c>
      <c r="D207" s="1">
        <v>0</v>
      </c>
      <c r="E207" s="1">
        <v>0</v>
      </c>
      <c r="F207" s="1">
        <v>0</v>
      </c>
      <c r="G207" s="1">
        <v>0</v>
      </c>
      <c r="H207" s="1">
        <v>0</v>
      </c>
      <c r="I207" s="1">
        <v>0</v>
      </c>
      <c r="J207" s="1">
        <v>2</v>
      </c>
      <c r="K207" s="1">
        <v>0</v>
      </c>
      <c r="L207" s="1">
        <v>1</v>
      </c>
      <c r="M207" s="1">
        <v>7</v>
      </c>
      <c r="N207" s="1">
        <v>9</v>
      </c>
      <c r="O207" s="24">
        <f t="shared" si="9"/>
        <v>19</v>
      </c>
      <c r="P207" s="23">
        <v>0</v>
      </c>
      <c r="Q207" s="1">
        <v>0</v>
      </c>
      <c r="R207" s="1">
        <v>0</v>
      </c>
      <c r="S207" s="1">
        <v>0</v>
      </c>
      <c r="T207" s="1">
        <v>0</v>
      </c>
      <c r="U207" s="1">
        <v>0</v>
      </c>
      <c r="V207" s="1">
        <v>0</v>
      </c>
      <c r="W207" s="1">
        <v>36</v>
      </c>
      <c r="X207" s="1">
        <v>0</v>
      </c>
      <c r="Y207" s="1">
        <v>5</v>
      </c>
      <c r="Z207" s="1">
        <v>120</v>
      </c>
      <c r="AA207" s="1">
        <v>140</v>
      </c>
      <c r="AB207" s="24">
        <f t="shared" si="10"/>
        <v>301</v>
      </c>
      <c r="AC207" s="23">
        <v>0</v>
      </c>
      <c r="AD207" s="1">
        <v>0</v>
      </c>
      <c r="AE207" s="1">
        <v>0</v>
      </c>
      <c r="AF207" s="1">
        <v>0</v>
      </c>
      <c r="AG207" s="1">
        <v>0</v>
      </c>
      <c r="AH207" s="1">
        <v>0</v>
      </c>
      <c r="AI207" s="1">
        <v>0</v>
      </c>
      <c r="AJ207" s="1">
        <v>0</v>
      </c>
      <c r="AK207" s="1">
        <v>0</v>
      </c>
      <c r="AL207" s="1">
        <v>0</v>
      </c>
      <c r="AM207" s="1">
        <v>0</v>
      </c>
      <c r="AN207" s="1">
        <v>0</v>
      </c>
      <c r="AO207" s="24">
        <f t="shared" si="11"/>
        <v>0</v>
      </c>
    </row>
    <row r="208" spans="1:41" ht="17.25" customHeight="1" x14ac:dyDescent="0.45">
      <c r="A208" s="12" t="s">
        <v>52</v>
      </c>
      <c r="B208" s="12" t="s">
        <v>22</v>
      </c>
      <c r="C208" s="25">
        <v>2</v>
      </c>
      <c r="D208" s="10">
        <v>0</v>
      </c>
      <c r="E208" s="10">
        <v>0</v>
      </c>
      <c r="F208" s="10">
        <v>0</v>
      </c>
      <c r="G208" s="10">
        <v>0</v>
      </c>
      <c r="H208" s="10">
        <v>0</v>
      </c>
      <c r="I208" s="10">
        <v>0</v>
      </c>
      <c r="J208" s="10">
        <v>0</v>
      </c>
      <c r="K208" s="10">
        <v>0</v>
      </c>
      <c r="L208" s="10">
        <v>0</v>
      </c>
      <c r="M208" s="10">
        <v>0</v>
      </c>
      <c r="N208" s="10">
        <v>0</v>
      </c>
      <c r="O208" s="26">
        <f t="shared" si="9"/>
        <v>2</v>
      </c>
      <c r="P208" s="25">
        <v>247</v>
      </c>
      <c r="Q208" s="10">
        <v>0</v>
      </c>
      <c r="R208" s="10">
        <v>0</v>
      </c>
      <c r="S208" s="10">
        <v>0</v>
      </c>
      <c r="T208" s="10">
        <v>0</v>
      </c>
      <c r="U208" s="10">
        <v>0</v>
      </c>
      <c r="V208" s="10">
        <v>0</v>
      </c>
      <c r="W208" s="10">
        <v>0</v>
      </c>
      <c r="X208" s="10">
        <v>0</v>
      </c>
      <c r="Y208" s="10">
        <v>0</v>
      </c>
      <c r="Z208" s="10">
        <v>0</v>
      </c>
      <c r="AA208" s="10">
        <v>0</v>
      </c>
      <c r="AB208" s="26">
        <f t="shared" si="10"/>
        <v>247</v>
      </c>
      <c r="AC208" s="25">
        <v>0</v>
      </c>
      <c r="AD208" s="10">
        <v>0</v>
      </c>
      <c r="AE208" s="10">
        <v>0</v>
      </c>
      <c r="AF208" s="10">
        <v>0</v>
      </c>
      <c r="AG208" s="10">
        <v>0</v>
      </c>
      <c r="AH208" s="10">
        <v>0</v>
      </c>
      <c r="AI208" s="10">
        <v>0</v>
      </c>
      <c r="AJ208" s="10">
        <v>0</v>
      </c>
      <c r="AK208" s="10">
        <v>0</v>
      </c>
      <c r="AL208" s="10">
        <v>0</v>
      </c>
      <c r="AM208" s="10">
        <v>0</v>
      </c>
      <c r="AN208" s="10">
        <v>0</v>
      </c>
      <c r="AO208" s="26">
        <f t="shared" si="11"/>
        <v>0</v>
      </c>
    </row>
    <row r="209" spans="1:41" ht="17.25" customHeight="1" x14ac:dyDescent="0.45">
      <c r="A209" s="2" t="s">
        <v>52</v>
      </c>
      <c r="B209" s="2" t="s">
        <v>12</v>
      </c>
      <c r="C209" s="23">
        <v>106</v>
      </c>
      <c r="D209" s="1">
        <v>91</v>
      </c>
      <c r="E209" s="1">
        <v>97</v>
      </c>
      <c r="F209" s="1">
        <v>80</v>
      </c>
      <c r="G209" s="1">
        <v>87</v>
      </c>
      <c r="H209" s="1">
        <v>98</v>
      </c>
      <c r="I209" s="1">
        <v>115</v>
      </c>
      <c r="J209" s="1">
        <v>107</v>
      </c>
      <c r="K209" s="1">
        <v>85</v>
      </c>
      <c r="L209" s="1">
        <v>90</v>
      </c>
      <c r="M209" s="1">
        <v>81</v>
      </c>
      <c r="N209" s="1">
        <v>97</v>
      </c>
      <c r="O209" s="24">
        <f t="shared" si="9"/>
        <v>1134</v>
      </c>
      <c r="P209" s="23">
        <v>14236</v>
      </c>
      <c r="Q209" s="1">
        <v>11839</v>
      </c>
      <c r="R209" s="1">
        <v>12969</v>
      </c>
      <c r="S209" s="1">
        <v>9257</v>
      </c>
      <c r="T209" s="1">
        <v>10527</v>
      </c>
      <c r="U209" s="1">
        <v>10437</v>
      </c>
      <c r="V209" s="1">
        <v>13472</v>
      </c>
      <c r="W209" s="1">
        <v>13172</v>
      </c>
      <c r="X209" s="1">
        <v>9457</v>
      </c>
      <c r="Y209" s="1">
        <v>9720</v>
      </c>
      <c r="Z209" s="1">
        <v>9758</v>
      </c>
      <c r="AA209" s="1">
        <v>11040</v>
      </c>
      <c r="AB209" s="24">
        <f t="shared" si="10"/>
        <v>135884</v>
      </c>
      <c r="AC209" s="23">
        <v>12649</v>
      </c>
      <c r="AD209" s="1">
        <v>12824</v>
      </c>
      <c r="AE209" s="1">
        <v>14821</v>
      </c>
      <c r="AF209" s="1">
        <v>15493</v>
      </c>
      <c r="AG209" s="1">
        <v>15421</v>
      </c>
      <c r="AH209" s="1">
        <v>12478</v>
      </c>
      <c r="AI209" s="1">
        <v>8079</v>
      </c>
      <c r="AJ209" s="1">
        <v>9868</v>
      </c>
      <c r="AK209" s="1">
        <v>6756</v>
      </c>
      <c r="AL209" s="1">
        <v>11305</v>
      </c>
      <c r="AM209" s="1">
        <v>12385</v>
      </c>
      <c r="AN209" s="1">
        <v>12716</v>
      </c>
      <c r="AO209" s="24">
        <f t="shared" si="11"/>
        <v>144795</v>
      </c>
    </row>
    <row r="210" spans="1:41" ht="17.25" customHeight="1" x14ac:dyDescent="0.45">
      <c r="A210" s="12" t="s">
        <v>52</v>
      </c>
      <c r="B210" s="12" t="s">
        <v>13</v>
      </c>
      <c r="C210" s="25">
        <v>0</v>
      </c>
      <c r="D210" s="10">
        <v>0</v>
      </c>
      <c r="E210" s="10">
        <v>0</v>
      </c>
      <c r="F210" s="10">
        <v>0</v>
      </c>
      <c r="G210" s="10">
        <v>0</v>
      </c>
      <c r="H210" s="10">
        <v>0</v>
      </c>
      <c r="I210" s="10">
        <v>0</v>
      </c>
      <c r="J210" s="10">
        <v>0</v>
      </c>
      <c r="K210" s="10">
        <v>0</v>
      </c>
      <c r="L210" s="10">
        <v>0</v>
      </c>
      <c r="M210" s="10">
        <v>20</v>
      </c>
      <c r="N210" s="10">
        <v>22</v>
      </c>
      <c r="O210" s="26">
        <f t="shared" si="9"/>
        <v>42</v>
      </c>
      <c r="P210" s="25">
        <v>0</v>
      </c>
      <c r="Q210" s="10">
        <v>0</v>
      </c>
      <c r="R210" s="10">
        <v>0</v>
      </c>
      <c r="S210" s="10">
        <v>0</v>
      </c>
      <c r="T210" s="10">
        <v>0</v>
      </c>
      <c r="U210" s="10">
        <v>0</v>
      </c>
      <c r="V210" s="10">
        <v>0</v>
      </c>
      <c r="W210" s="10">
        <v>0</v>
      </c>
      <c r="X210" s="10">
        <v>0</v>
      </c>
      <c r="Y210" s="10">
        <v>0</v>
      </c>
      <c r="Z210" s="10">
        <v>434</v>
      </c>
      <c r="AA210" s="10">
        <v>430</v>
      </c>
      <c r="AB210" s="26">
        <f t="shared" si="10"/>
        <v>864</v>
      </c>
      <c r="AC210" s="25">
        <v>0</v>
      </c>
      <c r="AD210" s="10">
        <v>0</v>
      </c>
      <c r="AE210" s="10">
        <v>0</v>
      </c>
      <c r="AF210" s="10">
        <v>0</v>
      </c>
      <c r="AG210" s="10">
        <v>0</v>
      </c>
      <c r="AH210" s="10">
        <v>0</v>
      </c>
      <c r="AI210" s="10">
        <v>0</v>
      </c>
      <c r="AJ210" s="10">
        <v>0</v>
      </c>
      <c r="AK210" s="10">
        <v>0</v>
      </c>
      <c r="AL210" s="10">
        <v>0</v>
      </c>
      <c r="AM210" s="10">
        <v>0</v>
      </c>
      <c r="AN210" s="10">
        <v>0</v>
      </c>
      <c r="AO210" s="26">
        <f t="shared" si="11"/>
        <v>0</v>
      </c>
    </row>
    <row r="211" spans="1:41" ht="17.25" customHeight="1" x14ac:dyDescent="0.45">
      <c r="A211" s="2" t="s">
        <v>52</v>
      </c>
      <c r="B211" s="2" t="s">
        <v>28</v>
      </c>
      <c r="C211" s="23">
        <v>12</v>
      </c>
      <c r="D211" s="1">
        <v>12</v>
      </c>
      <c r="E211" s="1">
        <v>14</v>
      </c>
      <c r="F211" s="1">
        <v>7</v>
      </c>
      <c r="G211" s="1">
        <v>9</v>
      </c>
      <c r="H211" s="1">
        <v>9</v>
      </c>
      <c r="I211" s="1">
        <v>8</v>
      </c>
      <c r="J211" s="1">
        <v>10</v>
      </c>
      <c r="K211" s="1">
        <v>8</v>
      </c>
      <c r="L211" s="1">
        <v>9</v>
      </c>
      <c r="M211" s="1">
        <v>8</v>
      </c>
      <c r="N211" s="1">
        <v>9</v>
      </c>
      <c r="O211" s="24">
        <f t="shared" si="9"/>
        <v>115</v>
      </c>
      <c r="P211" s="23">
        <v>1360</v>
      </c>
      <c r="Q211" s="1">
        <v>1360</v>
      </c>
      <c r="R211" s="1">
        <v>1724</v>
      </c>
      <c r="S211" s="1">
        <v>990</v>
      </c>
      <c r="T211" s="1">
        <v>1414</v>
      </c>
      <c r="U211" s="1">
        <v>1356</v>
      </c>
      <c r="V211" s="1">
        <v>1233</v>
      </c>
      <c r="W211" s="1">
        <v>1486</v>
      </c>
      <c r="X211" s="1">
        <v>996</v>
      </c>
      <c r="Y211" s="1">
        <v>1262</v>
      </c>
      <c r="Z211" s="1">
        <v>1225</v>
      </c>
      <c r="AA211" s="1">
        <v>1282</v>
      </c>
      <c r="AB211" s="24">
        <f t="shared" si="10"/>
        <v>15688</v>
      </c>
      <c r="AC211" s="23">
        <v>0</v>
      </c>
      <c r="AD211" s="1">
        <v>0</v>
      </c>
      <c r="AE211" s="1">
        <v>0</v>
      </c>
      <c r="AF211" s="1">
        <v>0</v>
      </c>
      <c r="AG211" s="1">
        <v>0</v>
      </c>
      <c r="AH211" s="1">
        <v>0</v>
      </c>
      <c r="AI211" s="1">
        <v>0</v>
      </c>
      <c r="AJ211" s="1">
        <v>0</v>
      </c>
      <c r="AK211" s="1">
        <v>0</v>
      </c>
      <c r="AL211" s="1">
        <v>0</v>
      </c>
      <c r="AM211" s="1">
        <v>0</v>
      </c>
      <c r="AN211" s="1">
        <v>0</v>
      </c>
      <c r="AO211" s="24">
        <f t="shared" si="11"/>
        <v>0</v>
      </c>
    </row>
    <row r="212" spans="1:41" ht="17.25" customHeight="1" x14ac:dyDescent="0.45">
      <c r="A212" s="12" t="s">
        <v>52</v>
      </c>
      <c r="B212" s="12" t="s">
        <v>14</v>
      </c>
      <c r="C212" s="25">
        <v>11</v>
      </c>
      <c r="D212" s="10">
        <v>9</v>
      </c>
      <c r="E212" s="10">
        <v>15</v>
      </c>
      <c r="F212" s="10">
        <v>21</v>
      </c>
      <c r="G212" s="10">
        <v>22</v>
      </c>
      <c r="H212" s="10">
        <v>22</v>
      </c>
      <c r="I212" s="10">
        <v>22</v>
      </c>
      <c r="J212" s="10">
        <v>22</v>
      </c>
      <c r="K212" s="10">
        <v>20</v>
      </c>
      <c r="L212" s="10">
        <v>23</v>
      </c>
      <c r="M212" s="10">
        <v>21</v>
      </c>
      <c r="N212" s="10">
        <v>22</v>
      </c>
      <c r="O212" s="26">
        <f t="shared" si="9"/>
        <v>230</v>
      </c>
      <c r="P212" s="25">
        <v>1676</v>
      </c>
      <c r="Q212" s="10">
        <v>1096</v>
      </c>
      <c r="R212" s="10">
        <v>1967</v>
      </c>
      <c r="S212" s="10">
        <v>3123</v>
      </c>
      <c r="T212" s="10">
        <v>3184</v>
      </c>
      <c r="U212" s="10">
        <v>3101</v>
      </c>
      <c r="V212" s="10">
        <v>3295</v>
      </c>
      <c r="W212" s="10">
        <v>3473</v>
      </c>
      <c r="X212" s="10">
        <v>2653</v>
      </c>
      <c r="Y212" s="10">
        <v>2942</v>
      </c>
      <c r="Z212" s="10">
        <v>2739</v>
      </c>
      <c r="AA212" s="10">
        <v>2624</v>
      </c>
      <c r="AB212" s="26">
        <f t="shared" si="10"/>
        <v>31873</v>
      </c>
      <c r="AC212" s="25">
        <v>0</v>
      </c>
      <c r="AD212" s="10">
        <v>0</v>
      </c>
      <c r="AE212" s="10">
        <v>0</v>
      </c>
      <c r="AF212" s="10">
        <v>0</v>
      </c>
      <c r="AG212" s="10">
        <v>0</v>
      </c>
      <c r="AH212" s="10">
        <v>0</v>
      </c>
      <c r="AI212" s="10">
        <v>0</v>
      </c>
      <c r="AJ212" s="10">
        <v>0</v>
      </c>
      <c r="AK212" s="10">
        <v>0</v>
      </c>
      <c r="AL212" s="10">
        <v>0</v>
      </c>
      <c r="AM212" s="10">
        <v>0</v>
      </c>
      <c r="AN212" s="10">
        <v>0</v>
      </c>
      <c r="AO212" s="26">
        <f t="shared" si="11"/>
        <v>0</v>
      </c>
    </row>
    <row r="213" spans="1:41" ht="17.25" customHeight="1" x14ac:dyDescent="0.45">
      <c r="A213" s="2" t="s">
        <v>52</v>
      </c>
      <c r="B213" s="2" t="s">
        <v>15</v>
      </c>
      <c r="C213" s="23">
        <v>18</v>
      </c>
      <c r="D213" s="1">
        <v>17</v>
      </c>
      <c r="E213" s="1">
        <v>18</v>
      </c>
      <c r="F213" s="1">
        <v>16</v>
      </c>
      <c r="G213" s="1">
        <v>17</v>
      </c>
      <c r="H213" s="1">
        <v>18</v>
      </c>
      <c r="I213" s="1">
        <v>17</v>
      </c>
      <c r="J213" s="1">
        <v>18</v>
      </c>
      <c r="K213" s="1">
        <v>16</v>
      </c>
      <c r="L213" s="1">
        <v>19</v>
      </c>
      <c r="M213" s="1">
        <v>19</v>
      </c>
      <c r="N213" s="1">
        <v>21</v>
      </c>
      <c r="O213" s="24">
        <f t="shared" si="9"/>
        <v>214</v>
      </c>
      <c r="P213" s="23">
        <v>3490</v>
      </c>
      <c r="Q213" s="1">
        <v>3287</v>
      </c>
      <c r="R213" s="1">
        <v>3389</v>
      </c>
      <c r="S213" s="1">
        <v>2715</v>
      </c>
      <c r="T213" s="1">
        <v>2764</v>
      </c>
      <c r="U213" s="1">
        <v>2868</v>
      </c>
      <c r="V213" s="1">
        <v>2903</v>
      </c>
      <c r="W213" s="1">
        <v>3121</v>
      </c>
      <c r="X213" s="1">
        <v>2404</v>
      </c>
      <c r="Y213" s="1">
        <v>2925</v>
      </c>
      <c r="Z213" s="1">
        <v>2936</v>
      </c>
      <c r="AA213" s="1">
        <v>2920</v>
      </c>
      <c r="AB213" s="24">
        <f t="shared" si="10"/>
        <v>35722</v>
      </c>
      <c r="AC213" s="23">
        <v>0</v>
      </c>
      <c r="AD213" s="1">
        <v>0</v>
      </c>
      <c r="AE213" s="1">
        <v>0</v>
      </c>
      <c r="AF213" s="1">
        <v>0</v>
      </c>
      <c r="AG213" s="1">
        <v>0</v>
      </c>
      <c r="AH213" s="1">
        <v>0</v>
      </c>
      <c r="AI213" s="1">
        <v>0</v>
      </c>
      <c r="AJ213" s="1">
        <v>0</v>
      </c>
      <c r="AK213" s="1">
        <v>0</v>
      </c>
      <c r="AL213" s="1">
        <v>0</v>
      </c>
      <c r="AM213" s="1">
        <v>0</v>
      </c>
      <c r="AN213" s="1">
        <v>0</v>
      </c>
      <c r="AO213" s="24">
        <f t="shared" si="11"/>
        <v>0</v>
      </c>
    </row>
    <row r="214" spans="1:41" ht="17.25" customHeight="1" x14ac:dyDescent="0.45">
      <c r="A214" s="12" t="s">
        <v>47</v>
      </c>
      <c r="B214" s="12" t="s">
        <v>21</v>
      </c>
      <c r="C214" s="25">
        <v>13</v>
      </c>
      <c r="D214" s="10">
        <v>9</v>
      </c>
      <c r="E214" s="10">
        <v>13</v>
      </c>
      <c r="F214" s="10">
        <v>13</v>
      </c>
      <c r="G214" s="10">
        <v>13</v>
      </c>
      <c r="H214" s="10">
        <v>16</v>
      </c>
      <c r="I214" s="10">
        <v>17</v>
      </c>
      <c r="J214" s="10">
        <v>18</v>
      </c>
      <c r="K214" s="10">
        <v>17</v>
      </c>
      <c r="L214" s="10">
        <v>18</v>
      </c>
      <c r="M214" s="10">
        <v>16</v>
      </c>
      <c r="N214" s="10">
        <v>21</v>
      </c>
      <c r="O214" s="26">
        <f t="shared" si="9"/>
        <v>184</v>
      </c>
      <c r="P214" s="25">
        <v>2342</v>
      </c>
      <c r="Q214" s="10">
        <v>1585</v>
      </c>
      <c r="R214" s="10">
        <v>2193</v>
      </c>
      <c r="S214" s="10">
        <v>2141</v>
      </c>
      <c r="T214" s="10">
        <v>2211</v>
      </c>
      <c r="U214" s="10">
        <v>2319</v>
      </c>
      <c r="V214" s="10">
        <v>2855</v>
      </c>
      <c r="W214" s="10">
        <v>2956</v>
      </c>
      <c r="X214" s="10">
        <v>1522</v>
      </c>
      <c r="Y214" s="10">
        <v>1808</v>
      </c>
      <c r="Z214" s="10">
        <v>1599</v>
      </c>
      <c r="AA214" s="10">
        <v>2553</v>
      </c>
      <c r="AB214" s="26">
        <f t="shared" si="10"/>
        <v>26084</v>
      </c>
      <c r="AC214" s="25">
        <v>4.5999999999999996</v>
      </c>
      <c r="AD214" s="10">
        <v>0</v>
      </c>
      <c r="AE214" s="10">
        <v>79.599999999999994</v>
      </c>
      <c r="AF214" s="10">
        <v>25.2</v>
      </c>
      <c r="AG214" s="10">
        <v>3.1</v>
      </c>
      <c r="AH214" s="10">
        <v>0</v>
      </c>
      <c r="AI214" s="10">
        <v>22.1</v>
      </c>
      <c r="AJ214" s="10">
        <v>59</v>
      </c>
      <c r="AK214" s="10">
        <v>3.4</v>
      </c>
      <c r="AL214" s="10">
        <v>736.19999999999993</v>
      </c>
      <c r="AM214" s="10">
        <v>1</v>
      </c>
      <c r="AN214" s="10">
        <v>0</v>
      </c>
      <c r="AO214" s="26">
        <f t="shared" si="11"/>
        <v>934.19999999999993</v>
      </c>
    </row>
    <row r="215" spans="1:41" ht="17.25" customHeight="1" x14ac:dyDescent="0.45">
      <c r="A215" s="2" t="s">
        <v>47</v>
      </c>
      <c r="B215" s="2" t="s">
        <v>22</v>
      </c>
      <c r="C215" s="23">
        <v>2</v>
      </c>
      <c r="D215" s="1">
        <v>0</v>
      </c>
      <c r="E215" s="1">
        <v>0</v>
      </c>
      <c r="F215" s="1">
        <v>0</v>
      </c>
      <c r="G215" s="1">
        <v>0</v>
      </c>
      <c r="H215" s="1">
        <v>0</v>
      </c>
      <c r="I215" s="1">
        <v>0</v>
      </c>
      <c r="J215" s="1">
        <v>0</v>
      </c>
      <c r="K215" s="1">
        <v>0</v>
      </c>
      <c r="L215" s="1">
        <v>0</v>
      </c>
      <c r="M215" s="1">
        <v>0</v>
      </c>
      <c r="N215" s="1">
        <v>0</v>
      </c>
      <c r="O215" s="24">
        <f t="shared" si="9"/>
        <v>2</v>
      </c>
      <c r="P215" s="23">
        <v>248</v>
      </c>
      <c r="Q215" s="1">
        <v>0</v>
      </c>
      <c r="R215" s="1">
        <v>0</v>
      </c>
      <c r="S215" s="1">
        <v>0</v>
      </c>
      <c r="T215" s="1">
        <v>0</v>
      </c>
      <c r="U215" s="1">
        <v>0</v>
      </c>
      <c r="V215" s="1">
        <v>0</v>
      </c>
      <c r="W215" s="1">
        <v>0</v>
      </c>
      <c r="X215" s="1">
        <v>0</v>
      </c>
      <c r="Y215" s="1">
        <v>0</v>
      </c>
      <c r="Z215" s="1">
        <v>0</v>
      </c>
      <c r="AA215" s="1">
        <v>0</v>
      </c>
      <c r="AB215" s="24">
        <f t="shared" si="10"/>
        <v>248</v>
      </c>
      <c r="AC215" s="23">
        <v>0</v>
      </c>
      <c r="AD215" s="1">
        <v>0</v>
      </c>
      <c r="AE215" s="1">
        <v>0</v>
      </c>
      <c r="AF215" s="1">
        <v>0</v>
      </c>
      <c r="AG215" s="1">
        <v>0</v>
      </c>
      <c r="AH215" s="1">
        <v>0</v>
      </c>
      <c r="AI215" s="1">
        <v>0</v>
      </c>
      <c r="AJ215" s="1">
        <v>0</v>
      </c>
      <c r="AK215" s="1">
        <v>0</v>
      </c>
      <c r="AL215" s="1">
        <v>0</v>
      </c>
      <c r="AM215" s="1">
        <v>0</v>
      </c>
      <c r="AN215" s="1">
        <v>0</v>
      </c>
      <c r="AO215" s="24">
        <f t="shared" si="11"/>
        <v>0</v>
      </c>
    </row>
    <row r="216" spans="1:41" ht="17.25" customHeight="1" x14ac:dyDescent="0.45">
      <c r="A216" s="12" t="s">
        <v>47</v>
      </c>
      <c r="B216" s="12" t="s">
        <v>11</v>
      </c>
      <c r="C216" s="25">
        <v>88</v>
      </c>
      <c r="D216" s="10">
        <v>79</v>
      </c>
      <c r="E216" s="10">
        <v>100</v>
      </c>
      <c r="F216" s="10">
        <v>79</v>
      </c>
      <c r="G216" s="10">
        <v>80</v>
      </c>
      <c r="H216" s="10">
        <v>77</v>
      </c>
      <c r="I216" s="10">
        <v>83</v>
      </c>
      <c r="J216" s="10">
        <v>80</v>
      </c>
      <c r="K216" s="10">
        <v>77</v>
      </c>
      <c r="L216" s="10">
        <v>79</v>
      </c>
      <c r="M216" s="10">
        <v>78</v>
      </c>
      <c r="N216" s="10">
        <v>79</v>
      </c>
      <c r="O216" s="26">
        <f t="shared" si="9"/>
        <v>979</v>
      </c>
      <c r="P216" s="25">
        <v>12781</v>
      </c>
      <c r="Q216" s="10">
        <v>12050</v>
      </c>
      <c r="R216" s="10">
        <v>15884</v>
      </c>
      <c r="S216" s="10">
        <v>13499</v>
      </c>
      <c r="T216" s="10">
        <v>13645</v>
      </c>
      <c r="U216" s="10">
        <v>12625</v>
      </c>
      <c r="V216" s="10">
        <v>15303</v>
      </c>
      <c r="W216" s="10">
        <v>14819</v>
      </c>
      <c r="X216" s="10">
        <v>13056</v>
      </c>
      <c r="Y216" s="10">
        <v>14114</v>
      </c>
      <c r="Z216" s="10">
        <v>14149</v>
      </c>
      <c r="AA216" s="10">
        <v>14400</v>
      </c>
      <c r="AB216" s="26">
        <f t="shared" si="10"/>
        <v>166325</v>
      </c>
      <c r="AC216" s="25">
        <v>9166.8000000000011</v>
      </c>
      <c r="AD216" s="10">
        <v>7963.9</v>
      </c>
      <c r="AE216" s="10">
        <v>12097.479999999998</v>
      </c>
      <c r="AF216" s="10">
        <v>9900.7199999999993</v>
      </c>
      <c r="AG216" s="10">
        <v>12130.400000000001</v>
      </c>
      <c r="AH216" s="10">
        <v>7541.8000000000011</v>
      </c>
      <c r="AI216" s="10">
        <v>13347.500000000004</v>
      </c>
      <c r="AJ216" s="10">
        <v>12336.2</v>
      </c>
      <c r="AK216" s="10">
        <v>9872.3000000000011</v>
      </c>
      <c r="AL216" s="10">
        <v>8436.2000000000007</v>
      </c>
      <c r="AM216" s="10">
        <v>11790.380000000001</v>
      </c>
      <c r="AN216" s="10">
        <v>10630.089999999998</v>
      </c>
      <c r="AO216" s="26">
        <f t="shared" si="11"/>
        <v>125213.77</v>
      </c>
    </row>
    <row r="217" spans="1:41" ht="17.25" customHeight="1" x14ac:dyDescent="0.45">
      <c r="A217" s="2" t="s">
        <v>47</v>
      </c>
      <c r="B217" s="2" t="s">
        <v>38</v>
      </c>
      <c r="C217" s="23">
        <v>18</v>
      </c>
      <c r="D217" s="1">
        <v>20</v>
      </c>
      <c r="E217" s="1">
        <v>18</v>
      </c>
      <c r="F217" s="1">
        <v>18</v>
      </c>
      <c r="G217" s="1">
        <v>18</v>
      </c>
      <c r="H217" s="1">
        <v>18</v>
      </c>
      <c r="I217" s="1">
        <v>16</v>
      </c>
      <c r="J217" s="1">
        <v>23</v>
      </c>
      <c r="K217" s="1">
        <v>14</v>
      </c>
      <c r="L217" s="1">
        <v>16</v>
      </c>
      <c r="M217" s="1">
        <v>24</v>
      </c>
      <c r="N217" s="1">
        <v>31</v>
      </c>
      <c r="O217" s="24">
        <f t="shared" si="9"/>
        <v>234</v>
      </c>
      <c r="P217" s="23">
        <v>674</v>
      </c>
      <c r="Q217" s="1">
        <v>717</v>
      </c>
      <c r="R217" s="1">
        <v>740</v>
      </c>
      <c r="S217" s="1">
        <v>697</v>
      </c>
      <c r="T217" s="1">
        <v>692</v>
      </c>
      <c r="U217" s="1">
        <v>638</v>
      </c>
      <c r="V217" s="1">
        <v>716</v>
      </c>
      <c r="W217" s="1">
        <v>831</v>
      </c>
      <c r="X217" s="1">
        <v>447</v>
      </c>
      <c r="Y217" s="1">
        <v>628</v>
      </c>
      <c r="Z217" s="1">
        <v>785</v>
      </c>
      <c r="AA217" s="1">
        <v>1122</v>
      </c>
      <c r="AB217" s="24">
        <f t="shared" si="10"/>
        <v>8687</v>
      </c>
      <c r="AC217" s="23">
        <v>0</v>
      </c>
      <c r="AD217" s="1">
        <v>0</v>
      </c>
      <c r="AE217" s="1">
        <v>0</v>
      </c>
      <c r="AF217" s="1">
        <v>0</v>
      </c>
      <c r="AG217" s="1">
        <v>0</v>
      </c>
      <c r="AH217" s="1">
        <v>0</v>
      </c>
      <c r="AI217" s="1">
        <v>0</v>
      </c>
      <c r="AJ217" s="1">
        <v>0</v>
      </c>
      <c r="AK217" s="1">
        <v>0</v>
      </c>
      <c r="AL217" s="1">
        <v>0</v>
      </c>
      <c r="AM217" s="1">
        <v>0</v>
      </c>
      <c r="AN217" s="1">
        <v>0</v>
      </c>
      <c r="AO217" s="24">
        <f t="shared" si="11"/>
        <v>0</v>
      </c>
    </row>
    <row r="218" spans="1:41" ht="17.25" customHeight="1" x14ac:dyDescent="0.45">
      <c r="A218" s="12" t="s">
        <v>47</v>
      </c>
      <c r="B218" s="12" t="s">
        <v>40</v>
      </c>
      <c r="C218" s="25">
        <v>10</v>
      </c>
      <c r="D218" s="10">
        <v>8</v>
      </c>
      <c r="E218" s="10">
        <v>12</v>
      </c>
      <c r="F218" s="10">
        <v>13</v>
      </c>
      <c r="G218" s="10">
        <v>11</v>
      </c>
      <c r="H218" s="10">
        <v>12</v>
      </c>
      <c r="I218" s="10">
        <v>12</v>
      </c>
      <c r="J218" s="10">
        <v>11</v>
      </c>
      <c r="K218" s="10">
        <v>10</v>
      </c>
      <c r="L218" s="10">
        <v>12</v>
      </c>
      <c r="M218" s="10">
        <v>16</v>
      </c>
      <c r="N218" s="10">
        <v>21</v>
      </c>
      <c r="O218" s="26">
        <f t="shared" si="9"/>
        <v>148</v>
      </c>
      <c r="P218" s="25">
        <v>475</v>
      </c>
      <c r="Q218" s="10">
        <v>361</v>
      </c>
      <c r="R218" s="10">
        <v>556</v>
      </c>
      <c r="S218" s="10">
        <v>523</v>
      </c>
      <c r="T218" s="10">
        <v>457</v>
      </c>
      <c r="U218" s="10">
        <v>464</v>
      </c>
      <c r="V218" s="10">
        <v>560</v>
      </c>
      <c r="W218" s="10">
        <v>515</v>
      </c>
      <c r="X218" s="10">
        <v>379</v>
      </c>
      <c r="Y218" s="10">
        <v>501</v>
      </c>
      <c r="Z218" s="10">
        <v>610</v>
      </c>
      <c r="AA218" s="10">
        <v>1246</v>
      </c>
      <c r="AB218" s="26">
        <f t="shared" si="10"/>
        <v>6647</v>
      </c>
      <c r="AC218" s="25">
        <v>0</v>
      </c>
      <c r="AD218" s="10">
        <v>0</v>
      </c>
      <c r="AE218" s="10">
        <v>0</v>
      </c>
      <c r="AF218" s="10">
        <v>0</v>
      </c>
      <c r="AG218" s="10">
        <v>0</v>
      </c>
      <c r="AH218" s="10">
        <v>0</v>
      </c>
      <c r="AI218" s="10">
        <v>0</v>
      </c>
      <c r="AJ218" s="10">
        <v>0</v>
      </c>
      <c r="AK218" s="10">
        <v>0</v>
      </c>
      <c r="AL218" s="10">
        <v>0</v>
      </c>
      <c r="AM218" s="10">
        <v>0</v>
      </c>
      <c r="AN218" s="10">
        <v>0</v>
      </c>
      <c r="AO218" s="26">
        <f t="shared" si="11"/>
        <v>0</v>
      </c>
    </row>
    <row r="219" spans="1:41" ht="17.25" customHeight="1" x14ac:dyDescent="0.45">
      <c r="A219" s="2" t="s">
        <v>47</v>
      </c>
      <c r="B219" s="2" t="s">
        <v>12</v>
      </c>
      <c r="C219" s="23">
        <v>93</v>
      </c>
      <c r="D219" s="1">
        <v>90</v>
      </c>
      <c r="E219" s="1">
        <v>99</v>
      </c>
      <c r="F219" s="1">
        <v>91</v>
      </c>
      <c r="G219" s="1">
        <v>93</v>
      </c>
      <c r="H219" s="1">
        <v>90</v>
      </c>
      <c r="I219" s="1">
        <v>96</v>
      </c>
      <c r="J219" s="1">
        <v>93</v>
      </c>
      <c r="K219" s="1">
        <v>90</v>
      </c>
      <c r="L219" s="1">
        <v>92</v>
      </c>
      <c r="M219" s="1">
        <v>88</v>
      </c>
      <c r="N219" s="1">
        <v>90</v>
      </c>
      <c r="O219" s="24">
        <f t="shared" si="9"/>
        <v>1105</v>
      </c>
      <c r="P219" s="23">
        <v>13322</v>
      </c>
      <c r="Q219" s="1">
        <v>13787</v>
      </c>
      <c r="R219" s="1">
        <v>13950</v>
      </c>
      <c r="S219" s="1">
        <v>13468</v>
      </c>
      <c r="T219" s="1">
        <v>14801</v>
      </c>
      <c r="U219" s="1">
        <v>13541</v>
      </c>
      <c r="V219" s="1">
        <v>15619</v>
      </c>
      <c r="W219" s="1">
        <v>14650</v>
      </c>
      <c r="X219" s="1">
        <v>12937</v>
      </c>
      <c r="Y219" s="1">
        <v>14038</v>
      </c>
      <c r="Z219" s="1">
        <v>14254</v>
      </c>
      <c r="AA219" s="1">
        <v>15248</v>
      </c>
      <c r="AB219" s="24">
        <f t="shared" si="10"/>
        <v>169615</v>
      </c>
      <c r="AC219" s="23">
        <v>39060.5</v>
      </c>
      <c r="AD219" s="1">
        <v>41172.550000000003</v>
      </c>
      <c r="AE219" s="1">
        <v>48507.8</v>
      </c>
      <c r="AF219" s="1">
        <v>47212.1</v>
      </c>
      <c r="AG219" s="1">
        <v>59294</v>
      </c>
      <c r="AH219" s="1">
        <v>49492.850000000006</v>
      </c>
      <c r="AI219" s="1">
        <v>50017.32</v>
      </c>
      <c r="AJ219" s="1">
        <v>50228.86</v>
      </c>
      <c r="AK219" s="1">
        <v>48774.400000000001</v>
      </c>
      <c r="AL219" s="1">
        <v>51230</v>
      </c>
      <c r="AM219" s="1">
        <v>46588.36</v>
      </c>
      <c r="AN219" s="1">
        <v>50266.91</v>
      </c>
      <c r="AO219" s="24">
        <f t="shared" si="11"/>
        <v>581845.65000000014</v>
      </c>
    </row>
    <row r="220" spans="1:41" ht="17.25" customHeight="1" x14ac:dyDescent="0.45">
      <c r="A220" s="12" t="s">
        <v>47</v>
      </c>
      <c r="B220" s="12" t="s">
        <v>13</v>
      </c>
      <c r="C220" s="25">
        <v>10</v>
      </c>
      <c r="D220" s="10">
        <v>8</v>
      </c>
      <c r="E220" s="10">
        <v>11</v>
      </c>
      <c r="F220" s="10">
        <v>8</v>
      </c>
      <c r="G220" s="10">
        <v>9</v>
      </c>
      <c r="H220" s="10">
        <v>9</v>
      </c>
      <c r="I220" s="10">
        <v>22</v>
      </c>
      <c r="J220" s="10">
        <v>21</v>
      </c>
      <c r="K220" s="10">
        <v>26</v>
      </c>
      <c r="L220" s="10">
        <v>27</v>
      </c>
      <c r="M220" s="10">
        <v>23</v>
      </c>
      <c r="N220" s="10">
        <v>33</v>
      </c>
      <c r="O220" s="26">
        <f t="shared" si="9"/>
        <v>207</v>
      </c>
      <c r="P220" s="25">
        <v>1061</v>
      </c>
      <c r="Q220" s="10">
        <v>900</v>
      </c>
      <c r="R220" s="10">
        <v>1592</v>
      </c>
      <c r="S220" s="10">
        <v>1204</v>
      </c>
      <c r="T220" s="10">
        <v>1304</v>
      </c>
      <c r="U220" s="10">
        <v>1346</v>
      </c>
      <c r="V220" s="10">
        <v>3715</v>
      </c>
      <c r="W220" s="10">
        <v>3619</v>
      </c>
      <c r="X220" s="10">
        <v>2016</v>
      </c>
      <c r="Y220" s="10">
        <v>1912</v>
      </c>
      <c r="Z220" s="10">
        <v>2002</v>
      </c>
      <c r="AA220" s="10">
        <v>2759</v>
      </c>
      <c r="AB220" s="26">
        <f t="shared" si="10"/>
        <v>23430</v>
      </c>
      <c r="AC220" s="25">
        <v>36.1</v>
      </c>
      <c r="AD220" s="10">
        <v>92.5</v>
      </c>
      <c r="AE220" s="10">
        <v>246.2</v>
      </c>
      <c r="AF220" s="10">
        <v>28.9</v>
      </c>
      <c r="AG220" s="10">
        <v>142</v>
      </c>
      <c r="AH220" s="10">
        <v>28.599999999999998</v>
      </c>
      <c r="AI220" s="10">
        <v>0</v>
      </c>
      <c r="AJ220" s="10">
        <v>22.8</v>
      </c>
      <c r="AK220" s="10">
        <v>23.400000000000002</v>
      </c>
      <c r="AL220" s="10">
        <v>19</v>
      </c>
      <c r="AM220" s="10">
        <v>303</v>
      </c>
      <c r="AN220" s="10">
        <v>2327.5500000000002</v>
      </c>
      <c r="AO220" s="26">
        <f t="shared" si="11"/>
        <v>3270.05</v>
      </c>
    </row>
    <row r="221" spans="1:41" ht="17.25" customHeight="1" x14ac:dyDescent="0.45">
      <c r="A221" s="2" t="s">
        <v>47</v>
      </c>
      <c r="B221" s="2" t="s">
        <v>14</v>
      </c>
      <c r="C221" s="23">
        <v>16</v>
      </c>
      <c r="D221" s="1">
        <v>17</v>
      </c>
      <c r="E221" s="1">
        <v>18</v>
      </c>
      <c r="F221" s="1">
        <v>21</v>
      </c>
      <c r="G221" s="1">
        <v>13</v>
      </c>
      <c r="H221" s="1">
        <v>30</v>
      </c>
      <c r="I221" s="1">
        <v>31</v>
      </c>
      <c r="J221" s="1">
        <v>30</v>
      </c>
      <c r="K221" s="1">
        <v>29</v>
      </c>
      <c r="L221" s="1">
        <v>30</v>
      </c>
      <c r="M221" s="1">
        <v>30</v>
      </c>
      <c r="N221" s="1">
        <v>31</v>
      </c>
      <c r="O221" s="24">
        <f t="shared" si="9"/>
        <v>296</v>
      </c>
      <c r="P221" s="23">
        <v>2044</v>
      </c>
      <c r="Q221" s="1">
        <v>2417</v>
      </c>
      <c r="R221" s="1">
        <v>2392</v>
      </c>
      <c r="S221" s="1">
        <v>2817</v>
      </c>
      <c r="T221" s="1">
        <v>1606</v>
      </c>
      <c r="U221" s="1">
        <v>3732</v>
      </c>
      <c r="V221" s="1">
        <v>4937</v>
      </c>
      <c r="W221" s="1">
        <v>4816</v>
      </c>
      <c r="X221" s="1">
        <v>3476</v>
      </c>
      <c r="Y221" s="1">
        <v>4135</v>
      </c>
      <c r="Z221" s="1">
        <v>4354</v>
      </c>
      <c r="AA221" s="1">
        <v>4650</v>
      </c>
      <c r="AB221" s="24">
        <f t="shared" si="10"/>
        <v>41376</v>
      </c>
      <c r="AC221" s="23">
        <v>3.5</v>
      </c>
      <c r="AD221" s="1">
        <v>1</v>
      </c>
      <c r="AE221" s="1">
        <v>0.30000000000000004</v>
      </c>
      <c r="AF221" s="1">
        <v>0</v>
      </c>
      <c r="AG221" s="1">
        <v>21</v>
      </c>
      <c r="AH221" s="1">
        <v>20.5</v>
      </c>
      <c r="AI221" s="1">
        <v>0</v>
      </c>
      <c r="AJ221" s="1">
        <v>0.1</v>
      </c>
      <c r="AK221" s="1">
        <v>0.5</v>
      </c>
      <c r="AL221" s="1">
        <v>22</v>
      </c>
      <c r="AM221" s="1">
        <v>62.8</v>
      </c>
      <c r="AN221" s="1">
        <v>0</v>
      </c>
      <c r="AO221" s="24">
        <f t="shared" si="11"/>
        <v>131.69999999999999</v>
      </c>
    </row>
    <row r="222" spans="1:41" ht="17.25" customHeight="1" x14ac:dyDescent="0.45">
      <c r="A222" s="12" t="s">
        <v>47</v>
      </c>
      <c r="B222" s="12" t="s">
        <v>15</v>
      </c>
      <c r="C222" s="25">
        <v>51</v>
      </c>
      <c r="D222" s="10">
        <v>41</v>
      </c>
      <c r="E222" s="10">
        <v>50</v>
      </c>
      <c r="F222" s="10">
        <v>68</v>
      </c>
      <c r="G222" s="10">
        <v>75</v>
      </c>
      <c r="H222" s="10">
        <v>69</v>
      </c>
      <c r="I222" s="10">
        <v>75</v>
      </c>
      <c r="J222" s="10">
        <v>76</v>
      </c>
      <c r="K222" s="10">
        <v>69</v>
      </c>
      <c r="L222" s="10">
        <v>73</v>
      </c>
      <c r="M222" s="10">
        <v>72</v>
      </c>
      <c r="N222" s="10">
        <v>77</v>
      </c>
      <c r="O222" s="26">
        <f t="shared" si="9"/>
        <v>796</v>
      </c>
      <c r="P222" s="25">
        <v>9799</v>
      </c>
      <c r="Q222" s="10">
        <v>7825</v>
      </c>
      <c r="R222" s="10">
        <v>9102</v>
      </c>
      <c r="S222" s="10">
        <v>12376</v>
      </c>
      <c r="T222" s="10">
        <v>12396</v>
      </c>
      <c r="U222" s="10">
        <v>11749</v>
      </c>
      <c r="V222" s="10">
        <v>13474</v>
      </c>
      <c r="W222" s="10">
        <v>13620</v>
      </c>
      <c r="X222" s="10">
        <v>10865</v>
      </c>
      <c r="Y222" s="10">
        <v>11979</v>
      </c>
      <c r="Z222" s="10">
        <v>12915</v>
      </c>
      <c r="AA222" s="10">
        <v>12523</v>
      </c>
      <c r="AB222" s="26">
        <f t="shared" si="10"/>
        <v>138623</v>
      </c>
      <c r="AC222" s="25">
        <v>25794.699999999997</v>
      </c>
      <c r="AD222" s="10">
        <v>19743.55</v>
      </c>
      <c r="AE222" s="10">
        <v>20885.199999999993</v>
      </c>
      <c r="AF222" s="10">
        <v>12902.4</v>
      </c>
      <c r="AG222" s="10">
        <v>17086</v>
      </c>
      <c r="AH222" s="10">
        <v>13426.400000000001</v>
      </c>
      <c r="AI222" s="10">
        <v>17747.300000000003</v>
      </c>
      <c r="AJ222" s="10">
        <v>18027.53</v>
      </c>
      <c r="AK222" s="10">
        <v>17125.8</v>
      </c>
      <c r="AL222" s="10">
        <v>28436</v>
      </c>
      <c r="AM222" s="10">
        <v>34323.560000000005</v>
      </c>
      <c r="AN222" s="10">
        <v>20962.690000000002</v>
      </c>
      <c r="AO222" s="26">
        <f t="shared" si="11"/>
        <v>246461.13</v>
      </c>
    </row>
    <row r="223" spans="1:41" ht="17.25" customHeight="1" x14ac:dyDescent="0.45">
      <c r="A223" s="2" t="s">
        <v>54</v>
      </c>
      <c r="B223" s="2" t="s">
        <v>11</v>
      </c>
      <c r="C223" s="23">
        <v>4</v>
      </c>
      <c r="D223" s="1">
        <v>0</v>
      </c>
      <c r="E223" s="1">
        <v>0</v>
      </c>
      <c r="F223" s="1">
        <v>9</v>
      </c>
      <c r="G223" s="1">
        <v>8</v>
      </c>
      <c r="H223" s="1">
        <v>9</v>
      </c>
      <c r="I223" s="1">
        <v>9</v>
      </c>
      <c r="J223" s="1">
        <v>9</v>
      </c>
      <c r="K223" s="1">
        <v>8</v>
      </c>
      <c r="L223" s="1">
        <v>8</v>
      </c>
      <c r="M223" s="1">
        <v>0</v>
      </c>
      <c r="N223" s="1">
        <v>0</v>
      </c>
      <c r="O223" s="24">
        <f t="shared" si="9"/>
        <v>64</v>
      </c>
      <c r="P223" s="23">
        <v>455</v>
      </c>
      <c r="Q223" s="1">
        <v>0</v>
      </c>
      <c r="R223" s="1">
        <v>0</v>
      </c>
      <c r="S223" s="1">
        <v>992</v>
      </c>
      <c r="T223" s="1">
        <v>959</v>
      </c>
      <c r="U223" s="1">
        <v>1048</v>
      </c>
      <c r="V223" s="1">
        <v>1343</v>
      </c>
      <c r="W223" s="1">
        <v>1344</v>
      </c>
      <c r="X223" s="1">
        <v>918</v>
      </c>
      <c r="Y223" s="1">
        <v>985</v>
      </c>
      <c r="Z223" s="1">
        <v>0</v>
      </c>
      <c r="AA223" s="1">
        <v>0</v>
      </c>
      <c r="AB223" s="24">
        <f t="shared" si="10"/>
        <v>8044</v>
      </c>
      <c r="AC223" s="23">
        <v>0</v>
      </c>
      <c r="AD223" s="1">
        <v>0</v>
      </c>
      <c r="AE223" s="1">
        <v>0</v>
      </c>
      <c r="AF223" s="1">
        <v>0</v>
      </c>
      <c r="AG223" s="1">
        <v>0</v>
      </c>
      <c r="AH223" s="1">
        <v>0</v>
      </c>
      <c r="AI223" s="1">
        <v>0</v>
      </c>
      <c r="AJ223" s="1">
        <v>0</v>
      </c>
      <c r="AK223" s="1">
        <v>0</v>
      </c>
      <c r="AL223" s="1">
        <v>0</v>
      </c>
      <c r="AM223" s="1">
        <v>0</v>
      </c>
      <c r="AN223" s="1">
        <v>0</v>
      </c>
      <c r="AO223" s="24">
        <f t="shared" si="11"/>
        <v>0</v>
      </c>
    </row>
    <row r="224" spans="1:41" ht="17.25" customHeight="1" x14ac:dyDescent="0.45">
      <c r="A224" s="12" t="s">
        <v>54</v>
      </c>
      <c r="B224" s="12" t="s">
        <v>15</v>
      </c>
      <c r="C224" s="25">
        <v>17</v>
      </c>
      <c r="D224" s="10">
        <v>17</v>
      </c>
      <c r="E224" s="10">
        <v>20</v>
      </c>
      <c r="F224" s="10">
        <v>19</v>
      </c>
      <c r="G224" s="10">
        <v>16</v>
      </c>
      <c r="H224" s="10">
        <v>17</v>
      </c>
      <c r="I224" s="10">
        <v>23</v>
      </c>
      <c r="J224" s="10">
        <v>19</v>
      </c>
      <c r="K224" s="10">
        <v>17</v>
      </c>
      <c r="L224" s="10">
        <v>17</v>
      </c>
      <c r="M224" s="10">
        <v>18</v>
      </c>
      <c r="N224" s="10">
        <v>19</v>
      </c>
      <c r="O224" s="26">
        <f t="shared" si="9"/>
        <v>219</v>
      </c>
      <c r="P224" s="25">
        <v>2328</v>
      </c>
      <c r="Q224" s="10">
        <v>2334</v>
      </c>
      <c r="R224" s="10">
        <v>2933</v>
      </c>
      <c r="S224" s="10">
        <v>2903</v>
      </c>
      <c r="T224" s="10">
        <v>2304</v>
      </c>
      <c r="U224" s="10">
        <v>2667</v>
      </c>
      <c r="V224" s="10">
        <v>3474</v>
      </c>
      <c r="W224" s="10">
        <v>2982</v>
      </c>
      <c r="X224" s="10">
        <v>2340</v>
      </c>
      <c r="Y224" s="10">
        <v>2449</v>
      </c>
      <c r="Z224" s="10">
        <v>2529</v>
      </c>
      <c r="AA224" s="10">
        <v>2252</v>
      </c>
      <c r="AB224" s="26">
        <f t="shared" si="10"/>
        <v>31495</v>
      </c>
      <c r="AC224" s="25">
        <v>0</v>
      </c>
      <c r="AD224" s="10">
        <v>0</v>
      </c>
      <c r="AE224" s="10">
        <v>0</v>
      </c>
      <c r="AF224" s="10">
        <v>0</v>
      </c>
      <c r="AG224" s="10">
        <v>0</v>
      </c>
      <c r="AH224" s="10">
        <v>0</v>
      </c>
      <c r="AI224" s="10">
        <v>0</v>
      </c>
      <c r="AJ224" s="10">
        <v>0</v>
      </c>
      <c r="AK224" s="10">
        <v>0</v>
      </c>
      <c r="AL224" s="10">
        <v>0</v>
      </c>
      <c r="AM224" s="10">
        <v>0</v>
      </c>
      <c r="AN224" s="10">
        <v>0</v>
      </c>
      <c r="AO224" s="26">
        <f t="shared" si="11"/>
        <v>0</v>
      </c>
    </row>
    <row r="225" spans="1:41" ht="17.25" customHeight="1" x14ac:dyDescent="0.45">
      <c r="A225" s="2" t="s">
        <v>55</v>
      </c>
      <c r="B225" s="2" t="s">
        <v>21</v>
      </c>
      <c r="C225" s="23">
        <v>3</v>
      </c>
      <c r="D225" s="1">
        <v>0</v>
      </c>
      <c r="E225" s="1">
        <v>0</v>
      </c>
      <c r="F225" s="1">
        <v>0</v>
      </c>
      <c r="G225" s="1">
        <v>0</v>
      </c>
      <c r="H225" s="1">
        <v>0</v>
      </c>
      <c r="I225" s="1">
        <v>0</v>
      </c>
      <c r="J225" s="1">
        <v>0</v>
      </c>
      <c r="K225" s="1">
        <v>0</v>
      </c>
      <c r="L225" s="1">
        <v>0</v>
      </c>
      <c r="M225" s="1">
        <v>0</v>
      </c>
      <c r="N225" s="1">
        <v>0</v>
      </c>
      <c r="O225" s="24">
        <f t="shared" si="9"/>
        <v>3</v>
      </c>
      <c r="P225" s="23">
        <v>19</v>
      </c>
      <c r="Q225" s="1">
        <v>0</v>
      </c>
      <c r="R225" s="1">
        <v>0</v>
      </c>
      <c r="S225" s="1">
        <v>0</v>
      </c>
      <c r="T225" s="1">
        <v>0</v>
      </c>
      <c r="U225" s="1">
        <v>0</v>
      </c>
      <c r="V225" s="1">
        <v>0</v>
      </c>
      <c r="W225" s="1">
        <v>0</v>
      </c>
      <c r="X225" s="1">
        <v>0</v>
      </c>
      <c r="Y225" s="1">
        <v>0</v>
      </c>
      <c r="Z225" s="1">
        <v>0</v>
      </c>
      <c r="AA225" s="1">
        <v>0</v>
      </c>
      <c r="AB225" s="24">
        <f t="shared" si="10"/>
        <v>19</v>
      </c>
      <c r="AC225" s="23">
        <v>0</v>
      </c>
      <c r="AD225" s="1">
        <v>0</v>
      </c>
      <c r="AE225" s="1">
        <v>0</v>
      </c>
      <c r="AF225" s="1">
        <v>0</v>
      </c>
      <c r="AG225" s="1">
        <v>0</v>
      </c>
      <c r="AH225" s="1">
        <v>0</v>
      </c>
      <c r="AI225" s="1">
        <v>0</v>
      </c>
      <c r="AJ225" s="1">
        <v>0</v>
      </c>
      <c r="AK225" s="1">
        <v>0</v>
      </c>
      <c r="AL225" s="1">
        <v>0</v>
      </c>
      <c r="AM225" s="1">
        <v>0</v>
      </c>
      <c r="AN225" s="1">
        <v>0</v>
      </c>
      <c r="AO225" s="24">
        <f t="shared" si="11"/>
        <v>0</v>
      </c>
    </row>
    <row r="226" spans="1:41" ht="17.25" customHeight="1" x14ac:dyDescent="0.45">
      <c r="A226" s="12" t="s">
        <v>55</v>
      </c>
      <c r="B226" s="12" t="s">
        <v>40</v>
      </c>
      <c r="C226" s="25">
        <v>13</v>
      </c>
      <c r="D226" s="10">
        <v>16</v>
      </c>
      <c r="E226" s="10">
        <v>18</v>
      </c>
      <c r="F226" s="10">
        <v>16</v>
      </c>
      <c r="G226" s="10">
        <v>13</v>
      </c>
      <c r="H226" s="10">
        <v>12</v>
      </c>
      <c r="I226" s="10">
        <v>13</v>
      </c>
      <c r="J226" s="10">
        <v>0</v>
      </c>
      <c r="K226" s="10">
        <v>0</v>
      </c>
      <c r="L226" s="10">
        <v>0</v>
      </c>
      <c r="M226" s="10">
        <v>0</v>
      </c>
      <c r="N226" s="10">
        <v>0</v>
      </c>
      <c r="O226" s="26">
        <f t="shared" si="9"/>
        <v>101</v>
      </c>
      <c r="P226" s="25">
        <v>395</v>
      </c>
      <c r="Q226" s="10">
        <v>499</v>
      </c>
      <c r="R226" s="10">
        <v>605</v>
      </c>
      <c r="S226" s="10">
        <v>576</v>
      </c>
      <c r="T226" s="10">
        <v>437</v>
      </c>
      <c r="U226" s="10">
        <v>365</v>
      </c>
      <c r="V226" s="10">
        <v>511</v>
      </c>
      <c r="W226" s="10">
        <v>0</v>
      </c>
      <c r="X226" s="10">
        <v>0</v>
      </c>
      <c r="Y226" s="10">
        <v>0</v>
      </c>
      <c r="Z226" s="10">
        <v>0</v>
      </c>
      <c r="AA226" s="10">
        <v>0</v>
      </c>
      <c r="AB226" s="26">
        <f t="shared" si="10"/>
        <v>3388</v>
      </c>
      <c r="AC226" s="25">
        <v>0</v>
      </c>
      <c r="AD226" s="10">
        <v>0</v>
      </c>
      <c r="AE226" s="10">
        <v>0</v>
      </c>
      <c r="AF226" s="10">
        <v>0</v>
      </c>
      <c r="AG226" s="10">
        <v>0</v>
      </c>
      <c r="AH226" s="10">
        <v>0</v>
      </c>
      <c r="AI226" s="10">
        <v>0</v>
      </c>
      <c r="AJ226" s="10">
        <v>0</v>
      </c>
      <c r="AK226" s="10">
        <v>0</v>
      </c>
      <c r="AL226" s="10">
        <v>0</v>
      </c>
      <c r="AM226" s="10">
        <v>0</v>
      </c>
      <c r="AN226" s="10">
        <v>0</v>
      </c>
      <c r="AO226" s="26">
        <f t="shared" si="11"/>
        <v>0</v>
      </c>
    </row>
    <row r="227" spans="1:41" ht="17.25" customHeight="1" x14ac:dyDescent="0.45">
      <c r="A227" s="2" t="s">
        <v>39</v>
      </c>
      <c r="B227" s="2" t="s">
        <v>22</v>
      </c>
      <c r="C227" s="23">
        <v>2</v>
      </c>
      <c r="D227" s="1">
        <v>0</v>
      </c>
      <c r="E227" s="1">
        <v>0</v>
      </c>
      <c r="F227" s="1">
        <v>0</v>
      </c>
      <c r="G227" s="1">
        <v>0</v>
      </c>
      <c r="H227" s="1">
        <v>0</v>
      </c>
      <c r="I227" s="1">
        <v>0</v>
      </c>
      <c r="J227" s="1">
        <v>0</v>
      </c>
      <c r="K227" s="1">
        <v>0</v>
      </c>
      <c r="L227" s="1">
        <v>0</v>
      </c>
      <c r="M227" s="1">
        <v>0</v>
      </c>
      <c r="N227" s="1">
        <v>0</v>
      </c>
      <c r="O227" s="24">
        <f t="shared" si="9"/>
        <v>2</v>
      </c>
      <c r="P227" s="23">
        <v>274</v>
      </c>
      <c r="Q227" s="1">
        <v>0</v>
      </c>
      <c r="R227" s="1">
        <v>0</v>
      </c>
      <c r="S227" s="1">
        <v>0</v>
      </c>
      <c r="T227" s="1">
        <v>0</v>
      </c>
      <c r="U227" s="1">
        <v>0</v>
      </c>
      <c r="V227" s="1">
        <v>0</v>
      </c>
      <c r="W227" s="1">
        <v>0</v>
      </c>
      <c r="X227" s="1">
        <v>0</v>
      </c>
      <c r="Y227" s="1">
        <v>0</v>
      </c>
      <c r="Z227" s="1">
        <v>0</v>
      </c>
      <c r="AA227" s="1">
        <v>0</v>
      </c>
      <c r="AB227" s="24">
        <f t="shared" si="10"/>
        <v>274</v>
      </c>
      <c r="AC227" s="23">
        <v>0</v>
      </c>
      <c r="AD227" s="1">
        <v>0</v>
      </c>
      <c r="AE227" s="1">
        <v>0</v>
      </c>
      <c r="AF227" s="1">
        <v>0</v>
      </c>
      <c r="AG227" s="1">
        <v>0</v>
      </c>
      <c r="AH227" s="1">
        <v>0</v>
      </c>
      <c r="AI227" s="1">
        <v>0</v>
      </c>
      <c r="AJ227" s="1">
        <v>0</v>
      </c>
      <c r="AK227" s="1">
        <v>0</v>
      </c>
      <c r="AL227" s="1">
        <v>0</v>
      </c>
      <c r="AM227" s="1">
        <v>0</v>
      </c>
      <c r="AN227" s="1">
        <v>0</v>
      </c>
      <c r="AO227" s="24">
        <f t="shared" si="11"/>
        <v>0</v>
      </c>
    </row>
    <row r="228" spans="1:41" ht="17.25" customHeight="1" x14ac:dyDescent="0.45">
      <c r="A228" s="12" t="s">
        <v>39</v>
      </c>
      <c r="B228" s="12" t="s">
        <v>11</v>
      </c>
      <c r="C228" s="25">
        <v>22</v>
      </c>
      <c r="D228" s="10">
        <v>21</v>
      </c>
      <c r="E228" s="10">
        <v>22</v>
      </c>
      <c r="F228" s="10">
        <v>28</v>
      </c>
      <c r="G228" s="10">
        <v>18</v>
      </c>
      <c r="H228" s="10">
        <v>17</v>
      </c>
      <c r="I228" s="10">
        <v>18</v>
      </c>
      <c r="J228" s="10">
        <v>18</v>
      </c>
      <c r="K228" s="10">
        <v>17</v>
      </c>
      <c r="L228" s="10">
        <v>18</v>
      </c>
      <c r="M228" s="10">
        <v>22</v>
      </c>
      <c r="N228" s="10">
        <v>21</v>
      </c>
      <c r="O228" s="26">
        <f t="shared" si="9"/>
        <v>242</v>
      </c>
      <c r="P228" s="25">
        <v>3650</v>
      </c>
      <c r="Q228" s="10">
        <v>3443</v>
      </c>
      <c r="R228" s="10">
        <v>3521</v>
      </c>
      <c r="S228" s="10">
        <v>3979</v>
      </c>
      <c r="T228" s="10">
        <v>2788</v>
      </c>
      <c r="U228" s="10">
        <v>2584</v>
      </c>
      <c r="V228" s="10">
        <v>2778</v>
      </c>
      <c r="W228" s="10">
        <v>2804</v>
      </c>
      <c r="X228" s="10">
        <v>2631</v>
      </c>
      <c r="Y228" s="10">
        <v>3248</v>
      </c>
      <c r="Z228" s="10">
        <v>3828</v>
      </c>
      <c r="AA228" s="10">
        <v>3405</v>
      </c>
      <c r="AB228" s="26">
        <f t="shared" si="10"/>
        <v>38659</v>
      </c>
      <c r="AC228" s="25">
        <v>0</v>
      </c>
      <c r="AD228" s="10">
        <v>0</v>
      </c>
      <c r="AE228" s="10">
        <v>0</v>
      </c>
      <c r="AF228" s="10">
        <v>0</v>
      </c>
      <c r="AG228" s="10">
        <v>0</v>
      </c>
      <c r="AH228" s="10">
        <v>0</v>
      </c>
      <c r="AI228" s="10">
        <v>0</v>
      </c>
      <c r="AJ228" s="10">
        <v>0</v>
      </c>
      <c r="AK228" s="10">
        <v>0</v>
      </c>
      <c r="AL228" s="10">
        <v>0</v>
      </c>
      <c r="AM228" s="10">
        <v>0</v>
      </c>
      <c r="AN228" s="10">
        <v>0</v>
      </c>
      <c r="AO228" s="26">
        <f t="shared" si="11"/>
        <v>0</v>
      </c>
    </row>
    <row r="229" spans="1:41" ht="17.25" customHeight="1" x14ac:dyDescent="0.45">
      <c r="A229" s="2" t="s">
        <v>39</v>
      </c>
      <c r="B229" s="2" t="s">
        <v>24</v>
      </c>
      <c r="C229" s="23">
        <v>9</v>
      </c>
      <c r="D229" s="1">
        <v>8</v>
      </c>
      <c r="E229" s="1">
        <v>8</v>
      </c>
      <c r="F229" s="1">
        <v>9</v>
      </c>
      <c r="G229" s="1">
        <v>8</v>
      </c>
      <c r="H229" s="1">
        <v>9</v>
      </c>
      <c r="I229" s="1">
        <v>9</v>
      </c>
      <c r="J229" s="1">
        <v>9</v>
      </c>
      <c r="K229" s="1">
        <v>8</v>
      </c>
      <c r="L229" s="1">
        <v>9</v>
      </c>
      <c r="M229" s="1">
        <v>9</v>
      </c>
      <c r="N229" s="1">
        <v>9</v>
      </c>
      <c r="O229" s="24">
        <f t="shared" si="9"/>
        <v>104</v>
      </c>
      <c r="P229" s="23">
        <v>1533</v>
      </c>
      <c r="Q229" s="1">
        <v>1253</v>
      </c>
      <c r="R229" s="1">
        <v>1208</v>
      </c>
      <c r="S229" s="1">
        <v>1519</v>
      </c>
      <c r="T229" s="1">
        <v>1364</v>
      </c>
      <c r="U229" s="1">
        <v>1403</v>
      </c>
      <c r="V229" s="1">
        <v>1450</v>
      </c>
      <c r="W229" s="1">
        <v>1470</v>
      </c>
      <c r="X229" s="1">
        <v>1148</v>
      </c>
      <c r="Y229" s="1">
        <v>1489</v>
      </c>
      <c r="Z229" s="1">
        <v>1513</v>
      </c>
      <c r="AA229" s="1">
        <v>1382</v>
      </c>
      <c r="AB229" s="24">
        <f t="shared" si="10"/>
        <v>16732</v>
      </c>
      <c r="AC229" s="23">
        <v>0</v>
      </c>
      <c r="AD229" s="1">
        <v>0</v>
      </c>
      <c r="AE229" s="1">
        <v>0</v>
      </c>
      <c r="AF229" s="1">
        <v>0</v>
      </c>
      <c r="AG229" s="1">
        <v>0</v>
      </c>
      <c r="AH229" s="1">
        <v>0</v>
      </c>
      <c r="AI229" s="1">
        <v>0</v>
      </c>
      <c r="AJ229" s="1">
        <v>0</v>
      </c>
      <c r="AK229" s="1">
        <v>0</v>
      </c>
      <c r="AL229" s="1">
        <v>0</v>
      </c>
      <c r="AM229" s="1">
        <v>0</v>
      </c>
      <c r="AN229" s="1">
        <v>0</v>
      </c>
      <c r="AO229" s="24">
        <f t="shared" si="11"/>
        <v>0</v>
      </c>
    </row>
    <row r="230" spans="1:41" ht="17.25" customHeight="1" x14ac:dyDescent="0.45">
      <c r="A230" s="12" t="s">
        <v>39</v>
      </c>
      <c r="B230" s="12" t="s">
        <v>12</v>
      </c>
      <c r="C230" s="25">
        <v>67</v>
      </c>
      <c r="D230" s="10">
        <v>61</v>
      </c>
      <c r="E230" s="10">
        <v>57</v>
      </c>
      <c r="F230" s="10">
        <v>71</v>
      </c>
      <c r="G230" s="10">
        <v>75</v>
      </c>
      <c r="H230" s="10">
        <v>72</v>
      </c>
      <c r="I230" s="10">
        <v>74</v>
      </c>
      <c r="J230" s="10">
        <v>76</v>
      </c>
      <c r="K230" s="10">
        <v>78</v>
      </c>
      <c r="L230" s="10">
        <v>79</v>
      </c>
      <c r="M230" s="10">
        <v>62</v>
      </c>
      <c r="N230" s="10">
        <v>63</v>
      </c>
      <c r="O230" s="26">
        <f t="shared" si="9"/>
        <v>835</v>
      </c>
      <c r="P230" s="25">
        <v>7423</v>
      </c>
      <c r="Q230" s="10">
        <v>6258</v>
      </c>
      <c r="R230" s="10">
        <v>5421</v>
      </c>
      <c r="S230" s="10">
        <v>7525</v>
      </c>
      <c r="T230" s="10">
        <v>7763</v>
      </c>
      <c r="U230" s="10">
        <v>7337</v>
      </c>
      <c r="V230" s="10">
        <v>8226</v>
      </c>
      <c r="W230" s="10">
        <v>7967</v>
      </c>
      <c r="X230" s="10">
        <v>8412</v>
      </c>
      <c r="Y230" s="10">
        <v>9128</v>
      </c>
      <c r="Z230" s="10">
        <v>6461</v>
      </c>
      <c r="AA230" s="10">
        <v>6220</v>
      </c>
      <c r="AB230" s="26">
        <f t="shared" si="10"/>
        <v>88141</v>
      </c>
      <c r="AC230" s="25">
        <v>60403</v>
      </c>
      <c r="AD230" s="10">
        <v>65103</v>
      </c>
      <c r="AE230" s="10">
        <v>73455</v>
      </c>
      <c r="AF230" s="10">
        <v>64360</v>
      </c>
      <c r="AG230" s="10">
        <v>71510</v>
      </c>
      <c r="AH230" s="10">
        <v>60166</v>
      </c>
      <c r="AI230" s="10">
        <v>77545</v>
      </c>
      <c r="AJ230" s="10">
        <v>77435</v>
      </c>
      <c r="AK230" s="10">
        <v>61987</v>
      </c>
      <c r="AL230" s="10">
        <v>79682</v>
      </c>
      <c r="AM230" s="10">
        <v>80273</v>
      </c>
      <c r="AN230" s="10">
        <v>74128</v>
      </c>
      <c r="AO230" s="26">
        <f t="shared" si="11"/>
        <v>846047</v>
      </c>
    </row>
    <row r="231" spans="1:41" ht="17.25" customHeight="1" x14ac:dyDescent="0.45">
      <c r="A231" s="2" t="s">
        <v>39</v>
      </c>
      <c r="B231" s="2" t="s">
        <v>13</v>
      </c>
      <c r="C231" s="23">
        <v>9</v>
      </c>
      <c r="D231" s="1">
        <v>8</v>
      </c>
      <c r="E231" s="1">
        <v>9</v>
      </c>
      <c r="F231" s="1">
        <v>13</v>
      </c>
      <c r="G231" s="1">
        <v>16</v>
      </c>
      <c r="H231" s="1">
        <v>13</v>
      </c>
      <c r="I231" s="1">
        <v>14</v>
      </c>
      <c r="J231" s="1">
        <v>11</v>
      </c>
      <c r="K231" s="1">
        <v>9</v>
      </c>
      <c r="L231" s="1">
        <v>8</v>
      </c>
      <c r="M231" s="1">
        <v>37</v>
      </c>
      <c r="N231" s="1">
        <v>40</v>
      </c>
      <c r="O231" s="24">
        <f t="shared" si="9"/>
        <v>187</v>
      </c>
      <c r="P231" s="23">
        <v>1737</v>
      </c>
      <c r="Q231" s="1">
        <v>1429</v>
      </c>
      <c r="R231" s="1">
        <v>1570</v>
      </c>
      <c r="S231" s="1">
        <v>2236</v>
      </c>
      <c r="T231" s="1">
        <v>2211</v>
      </c>
      <c r="U231" s="1">
        <v>1967</v>
      </c>
      <c r="V231" s="1">
        <v>2364</v>
      </c>
      <c r="W231" s="1">
        <v>1877</v>
      </c>
      <c r="X231" s="1">
        <v>1495</v>
      </c>
      <c r="Y231" s="1">
        <v>1399</v>
      </c>
      <c r="Z231" s="1">
        <v>4765</v>
      </c>
      <c r="AA231" s="1">
        <v>4582</v>
      </c>
      <c r="AB231" s="24">
        <f t="shared" si="10"/>
        <v>27632</v>
      </c>
      <c r="AC231" s="23">
        <v>0</v>
      </c>
      <c r="AD231" s="1">
        <v>0</v>
      </c>
      <c r="AE231" s="1">
        <v>0</v>
      </c>
      <c r="AF231" s="1">
        <v>0</v>
      </c>
      <c r="AG231" s="1">
        <v>0</v>
      </c>
      <c r="AH231" s="1">
        <v>0</v>
      </c>
      <c r="AI231" s="1">
        <v>0</v>
      </c>
      <c r="AJ231" s="1">
        <v>0</v>
      </c>
      <c r="AK231" s="1">
        <v>0</v>
      </c>
      <c r="AL231" s="1">
        <v>0</v>
      </c>
      <c r="AM231" s="1">
        <v>0</v>
      </c>
      <c r="AN231" s="1">
        <v>0</v>
      </c>
      <c r="AO231" s="24">
        <f t="shared" si="11"/>
        <v>0</v>
      </c>
    </row>
    <row r="232" spans="1:41" ht="17.25" customHeight="1" x14ac:dyDescent="0.45">
      <c r="A232" s="12" t="s">
        <v>39</v>
      </c>
      <c r="B232" s="12" t="s">
        <v>14</v>
      </c>
      <c r="C232" s="25">
        <v>0</v>
      </c>
      <c r="D232" s="10">
        <v>0</v>
      </c>
      <c r="E232" s="10">
        <v>0</v>
      </c>
      <c r="F232" s="10">
        <v>0</v>
      </c>
      <c r="G232" s="10">
        <v>0</v>
      </c>
      <c r="H232" s="10">
        <v>0</v>
      </c>
      <c r="I232" s="10">
        <v>0</v>
      </c>
      <c r="J232" s="10">
        <v>0</v>
      </c>
      <c r="K232" s="10">
        <v>0</v>
      </c>
      <c r="L232" s="10">
        <v>0</v>
      </c>
      <c r="M232" s="10">
        <v>25</v>
      </c>
      <c r="N232" s="10">
        <v>22</v>
      </c>
      <c r="O232" s="26">
        <f t="shared" si="9"/>
        <v>47</v>
      </c>
      <c r="P232" s="25">
        <v>0</v>
      </c>
      <c r="Q232" s="10">
        <v>0</v>
      </c>
      <c r="R232" s="10">
        <v>0</v>
      </c>
      <c r="S232" s="10">
        <v>0</v>
      </c>
      <c r="T232" s="10">
        <v>0</v>
      </c>
      <c r="U232" s="10">
        <v>0</v>
      </c>
      <c r="V232" s="10">
        <v>0</v>
      </c>
      <c r="W232" s="10">
        <v>0</v>
      </c>
      <c r="X232" s="10">
        <v>0</v>
      </c>
      <c r="Y232" s="10">
        <v>0</v>
      </c>
      <c r="Z232" s="10">
        <v>372</v>
      </c>
      <c r="AA232" s="10">
        <v>299</v>
      </c>
      <c r="AB232" s="26">
        <f t="shared" si="10"/>
        <v>671</v>
      </c>
      <c r="AC232" s="25">
        <v>0</v>
      </c>
      <c r="AD232" s="10">
        <v>0</v>
      </c>
      <c r="AE232" s="10">
        <v>0</v>
      </c>
      <c r="AF232" s="10">
        <v>0</v>
      </c>
      <c r="AG232" s="10">
        <v>0</v>
      </c>
      <c r="AH232" s="10">
        <v>0</v>
      </c>
      <c r="AI232" s="10">
        <v>0</v>
      </c>
      <c r="AJ232" s="10">
        <v>0</v>
      </c>
      <c r="AK232" s="10">
        <v>0</v>
      </c>
      <c r="AL232" s="10">
        <v>0</v>
      </c>
      <c r="AM232" s="10">
        <v>0</v>
      </c>
      <c r="AN232" s="10">
        <v>0</v>
      </c>
      <c r="AO232" s="26">
        <f t="shared" si="11"/>
        <v>0</v>
      </c>
    </row>
    <row r="233" spans="1:41" ht="17.25" customHeight="1" x14ac:dyDescent="0.45">
      <c r="A233" s="2" t="s">
        <v>39</v>
      </c>
      <c r="B233" s="2" t="s">
        <v>15</v>
      </c>
      <c r="C233" s="23">
        <v>50</v>
      </c>
      <c r="D233" s="1">
        <v>45</v>
      </c>
      <c r="E233" s="1">
        <v>50</v>
      </c>
      <c r="F233" s="1">
        <v>58</v>
      </c>
      <c r="G233" s="1">
        <v>62</v>
      </c>
      <c r="H233" s="1">
        <v>47</v>
      </c>
      <c r="I233" s="1">
        <v>61</v>
      </c>
      <c r="J233" s="1">
        <v>62</v>
      </c>
      <c r="K233" s="1">
        <v>54</v>
      </c>
      <c r="L233" s="1">
        <v>61</v>
      </c>
      <c r="M233" s="1">
        <v>60</v>
      </c>
      <c r="N233" s="1">
        <v>64</v>
      </c>
      <c r="O233" s="24">
        <f t="shared" si="9"/>
        <v>674</v>
      </c>
      <c r="P233" s="23">
        <v>8624</v>
      </c>
      <c r="Q233" s="1">
        <v>7394</v>
      </c>
      <c r="R233" s="1">
        <v>8025</v>
      </c>
      <c r="S233" s="1">
        <v>9347</v>
      </c>
      <c r="T233" s="1">
        <v>9308</v>
      </c>
      <c r="U233" s="1">
        <v>7232</v>
      </c>
      <c r="V233" s="1">
        <v>9614</v>
      </c>
      <c r="W233" s="1">
        <v>8888</v>
      </c>
      <c r="X233" s="1">
        <v>7641</v>
      </c>
      <c r="Y233" s="1">
        <v>9303</v>
      </c>
      <c r="Z233" s="1">
        <v>9524</v>
      </c>
      <c r="AA233" s="1">
        <v>9262</v>
      </c>
      <c r="AB233" s="24">
        <f t="shared" si="10"/>
        <v>104162</v>
      </c>
      <c r="AC233" s="23">
        <v>0</v>
      </c>
      <c r="AD233" s="1">
        <v>0</v>
      </c>
      <c r="AE233" s="1">
        <v>0</v>
      </c>
      <c r="AF233" s="1">
        <v>0</v>
      </c>
      <c r="AG233" s="1">
        <v>0</v>
      </c>
      <c r="AH233" s="1">
        <v>0</v>
      </c>
      <c r="AI233" s="1">
        <v>0</v>
      </c>
      <c r="AJ233" s="1">
        <v>0</v>
      </c>
      <c r="AK233" s="1">
        <v>0</v>
      </c>
      <c r="AL233" s="1">
        <v>0</v>
      </c>
      <c r="AM233" s="1">
        <v>0</v>
      </c>
      <c r="AN233" s="1">
        <v>0</v>
      </c>
      <c r="AO233" s="24">
        <f t="shared" si="11"/>
        <v>0</v>
      </c>
    </row>
    <row r="234" spans="1:41" ht="17.25" customHeight="1" x14ac:dyDescent="0.45">
      <c r="A234" s="12" t="s">
        <v>56</v>
      </c>
      <c r="B234" s="12" t="s">
        <v>12</v>
      </c>
      <c r="C234" s="25">
        <v>82</v>
      </c>
      <c r="D234" s="10">
        <v>83</v>
      </c>
      <c r="E234" s="10">
        <v>88</v>
      </c>
      <c r="F234" s="10">
        <v>60</v>
      </c>
      <c r="G234" s="10">
        <v>63</v>
      </c>
      <c r="H234" s="10">
        <v>59</v>
      </c>
      <c r="I234" s="10">
        <v>62</v>
      </c>
      <c r="J234" s="10">
        <v>62</v>
      </c>
      <c r="K234" s="10">
        <v>59</v>
      </c>
      <c r="L234" s="10">
        <v>60</v>
      </c>
      <c r="M234" s="10">
        <v>59</v>
      </c>
      <c r="N234" s="10">
        <v>61</v>
      </c>
      <c r="O234" s="26">
        <f t="shared" si="9"/>
        <v>798</v>
      </c>
      <c r="P234" s="25">
        <v>6202</v>
      </c>
      <c r="Q234" s="10">
        <v>6146</v>
      </c>
      <c r="R234" s="10">
        <v>7031</v>
      </c>
      <c r="S234" s="10">
        <v>5418</v>
      </c>
      <c r="T234" s="10">
        <v>5608</v>
      </c>
      <c r="U234" s="10">
        <v>5006</v>
      </c>
      <c r="V234" s="10">
        <v>5499</v>
      </c>
      <c r="W234" s="10">
        <v>5184</v>
      </c>
      <c r="X234" s="10">
        <v>4028</v>
      </c>
      <c r="Y234" s="10">
        <v>4348</v>
      </c>
      <c r="Z234" s="10">
        <v>5990</v>
      </c>
      <c r="AA234" s="10">
        <v>5527</v>
      </c>
      <c r="AB234" s="26">
        <f t="shared" si="10"/>
        <v>65987</v>
      </c>
      <c r="AC234" s="25">
        <v>35</v>
      </c>
      <c r="AD234" s="10">
        <v>59</v>
      </c>
      <c r="AE234" s="10">
        <v>0</v>
      </c>
      <c r="AF234" s="10">
        <v>0</v>
      </c>
      <c r="AG234" s="10">
        <v>1</v>
      </c>
      <c r="AH234" s="10">
        <v>5</v>
      </c>
      <c r="AI234" s="10">
        <v>0</v>
      </c>
      <c r="AJ234" s="10">
        <v>0</v>
      </c>
      <c r="AK234" s="10">
        <v>0</v>
      </c>
      <c r="AL234" s="10">
        <v>0</v>
      </c>
      <c r="AM234" s="10">
        <v>0</v>
      </c>
      <c r="AN234" s="10">
        <v>18</v>
      </c>
      <c r="AO234" s="26">
        <f t="shared" si="11"/>
        <v>118</v>
      </c>
    </row>
    <row r="235" spans="1:41" ht="17.25" customHeight="1" x14ac:dyDescent="0.45">
      <c r="A235" s="2" t="s">
        <v>57</v>
      </c>
      <c r="B235" s="2" t="s">
        <v>44</v>
      </c>
      <c r="C235" s="23">
        <v>5</v>
      </c>
      <c r="D235" s="1">
        <v>0</v>
      </c>
      <c r="E235" s="1">
        <v>0</v>
      </c>
      <c r="F235" s="1">
        <v>0</v>
      </c>
      <c r="G235" s="1">
        <v>0</v>
      </c>
      <c r="H235" s="1">
        <v>0</v>
      </c>
      <c r="I235" s="1">
        <v>0</v>
      </c>
      <c r="J235" s="1">
        <v>0</v>
      </c>
      <c r="K235" s="1">
        <v>0</v>
      </c>
      <c r="L235" s="1">
        <v>0</v>
      </c>
      <c r="M235" s="1">
        <v>0</v>
      </c>
      <c r="N235" s="1">
        <v>0</v>
      </c>
      <c r="O235" s="24">
        <f t="shared" si="9"/>
        <v>5</v>
      </c>
      <c r="P235" s="23">
        <v>5</v>
      </c>
      <c r="Q235" s="1">
        <v>0</v>
      </c>
      <c r="R235" s="1">
        <v>0</v>
      </c>
      <c r="S235" s="1">
        <v>0</v>
      </c>
      <c r="T235" s="1">
        <v>0</v>
      </c>
      <c r="U235" s="1">
        <v>0</v>
      </c>
      <c r="V235" s="1">
        <v>0</v>
      </c>
      <c r="W235" s="1">
        <v>0</v>
      </c>
      <c r="X235" s="1">
        <v>0</v>
      </c>
      <c r="Y235" s="1">
        <v>0</v>
      </c>
      <c r="Z235" s="1">
        <v>0</v>
      </c>
      <c r="AA235" s="1">
        <v>0</v>
      </c>
      <c r="AB235" s="24">
        <f t="shared" si="10"/>
        <v>5</v>
      </c>
      <c r="AC235" s="23">
        <v>0</v>
      </c>
      <c r="AD235" s="1">
        <v>0</v>
      </c>
      <c r="AE235" s="1">
        <v>0</v>
      </c>
      <c r="AF235" s="1">
        <v>0</v>
      </c>
      <c r="AG235" s="1">
        <v>0</v>
      </c>
      <c r="AH235" s="1">
        <v>0</v>
      </c>
      <c r="AI235" s="1">
        <v>0</v>
      </c>
      <c r="AJ235" s="1">
        <v>0</v>
      </c>
      <c r="AK235" s="1">
        <v>0</v>
      </c>
      <c r="AL235" s="1">
        <v>0</v>
      </c>
      <c r="AM235" s="1">
        <v>0</v>
      </c>
      <c r="AN235" s="1">
        <v>0</v>
      </c>
      <c r="AO235" s="24">
        <f t="shared" si="11"/>
        <v>0</v>
      </c>
    </row>
    <row r="236" spans="1:41" ht="17.25" customHeight="1" x14ac:dyDescent="0.45">
      <c r="A236" s="12" t="s">
        <v>57</v>
      </c>
      <c r="B236" s="12" t="s">
        <v>12</v>
      </c>
      <c r="C236" s="25">
        <v>29</v>
      </c>
      <c r="D236" s="10">
        <v>29</v>
      </c>
      <c r="E236" s="10">
        <v>30</v>
      </c>
      <c r="F236" s="10">
        <v>30</v>
      </c>
      <c r="G236" s="10">
        <v>31</v>
      </c>
      <c r="H236" s="10">
        <v>30</v>
      </c>
      <c r="I236" s="10">
        <v>31</v>
      </c>
      <c r="J236" s="10">
        <v>31</v>
      </c>
      <c r="K236" s="10">
        <v>30</v>
      </c>
      <c r="L236" s="10">
        <v>31</v>
      </c>
      <c r="M236" s="10">
        <v>30</v>
      </c>
      <c r="N236" s="10">
        <v>30</v>
      </c>
      <c r="O236" s="26">
        <f t="shared" si="9"/>
        <v>362</v>
      </c>
      <c r="P236" s="25">
        <v>1193</v>
      </c>
      <c r="Q236" s="10">
        <v>1488</v>
      </c>
      <c r="R236" s="10">
        <v>1283</v>
      </c>
      <c r="S236" s="10">
        <v>1417</v>
      </c>
      <c r="T236" s="10">
        <v>1402</v>
      </c>
      <c r="U236" s="10">
        <v>1431</v>
      </c>
      <c r="V236" s="10">
        <v>1410</v>
      </c>
      <c r="W236" s="10">
        <v>1403</v>
      </c>
      <c r="X236" s="10">
        <v>1304</v>
      </c>
      <c r="Y236" s="10">
        <v>1507</v>
      </c>
      <c r="Z236" s="10">
        <v>1442</v>
      </c>
      <c r="AA236" s="10">
        <v>1547</v>
      </c>
      <c r="AB236" s="26">
        <f t="shared" si="10"/>
        <v>16827</v>
      </c>
      <c r="AC236" s="25">
        <v>0</v>
      </c>
      <c r="AD236" s="10">
        <v>0</v>
      </c>
      <c r="AE236" s="10">
        <v>0</v>
      </c>
      <c r="AF236" s="10">
        <v>0</v>
      </c>
      <c r="AG236" s="10">
        <v>0</v>
      </c>
      <c r="AH236" s="10">
        <v>0</v>
      </c>
      <c r="AI236" s="10">
        <v>0</v>
      </c>
      <c r="AJ236" s="10">
        <v>0</v>
      </c>
      <c r="AK236" s="10">
        <v>0</v>
      </c>
      <c r="AL236" s="10">
        <v>249</v>
      </c>
      <c r="AM236" s="10">
        <v>0</v>
      </c>
      <c r="AN236" s="10">
        <v>1</v>
      </c>
      <c r="AO236" s="26">
        <f t="shared" si="11"/>
        <v>250</v>
      </c>
    </row>
    <row r="237" spans="1:41" ht="17.25" customHeight="1" x14ac:dyDescent="0.45">
      <c r="A237" s="2" t="s">
        <v>57</v>
      </c>
      <c r="B237" s="2" t="s">
        <v>13</v>
      </c>
      <c r="C237" s="23">
        <v>24</v>
      </c>
      <c r="D237" s="1">
        <v>23</v>
      </c>
      <c r="E237" s="1">
        <v>26</v>
      </c>
      <c r="F237" s="1">
        <v>24</v>
      </c>
      <c r="G237" s="1">
        <v>23</v>
      </c>
      <c r="H237" s="1">
        <v>19</v>
      </c>
      <c r="I237" s="1">
        <v>27</v>
      </c>
      <c r="J237" s="1">
        <v>24</v>
      </c>
      <c r="K237" s="1">
        <v>62</v>
      </c>
      <c r="L237" s="1">
        <v>74</v>
      </c>
      <c r="M237" s="1">
        <v>66</v>
      </c>
      <c r="N237" s="1">
        <v>39</v>
      </c>
      <c r="O237" s="24">
        <f t="shared" si="9"/>
        <v>431</v>
      </c>
      <c r="P237" s="23">
        <v>46</v>
      </c>
      <c r="Q237" s="1">
        <v>54</v>
      </c>
      <c r="R237" s="1">
        <v>43</v>
      </c>
      <c r="S237" s="1">
        <v>42</v>
      </c>
      <c r="T237" s="1">
        <v>45</v>
      </c>
      <c r="U237" s="1">
        <v>30</v>
      </c>
      <c r="V237" s="1">
        <v>55</v>
      </c>
      <c r="W237" s="1">
        <v>42</v>
      </c>
      <c r="X237" s="1">
        <v>78</v>
      </c>
      <c r="Y237" s="1">
        <v>61</v>
      </c>
      <c r="Z237" s="1">
        <v>99</v>
      </c>
      <c r="AA237" s="1">
        <v>80</v>
      </c>
      <c r="AB237" s="24">
        <f t="shared" si="10"/>
        <v>675</v>
      </c>
      <c r="AC237" s="23">
        <v>0</v>
      </c>
      <c r="AD237" s="1">
        <v>0</v>
      </c>
      <c r="AE237" s="1">
        <v>0</v>
      </c>
      <c r="AF237" s="1">
        <v>0</v>
      </c>
      <c r="AG237" s="1">
        <v>0</v>
      </c>
      <c r="AH237" s="1">
        <v>0</v>
      </c>
      <c r="AI237" s="1">
        <v>0</v>
      </c>
      <c r="AJ237" s="1">
        <v>0</v>
      </c>
      <c r="AK237" s="1">
        <v>0</v>
      </c>
      <c r="AL237" s="1">
        <v>0</v>
      </c>
      <c r="AM237" s="1">
        <v>0</v>
      </c>
      <c r="AN237" s="1">
        <v>0</v>
      </c>
      <c r="AO237" s="24">
        <f t="shared" si="11"/>
        <v>0</v>
      </c>
    </row>
    <row r="238" spans="1:41" ht="17.25" customHeight="1" x14ac:dyDescent="0.45">
      <c r="A238" s="12" t="s">
        <v>57</v>
      </c>
      <c r="B238" s="12" t="s">
        <v>14</v>
      </c>
      <c r="C238" s="25">
        <v>0</v>
      </c>
      <c r="D238" s="10">
        <v>0</v>
      </c>
      <c r="E238" s="10">
        <v>0</v>
      </c>
      <c r="F238" s="10">
        <v>0</v>
      </c>
      <c r="G238" s="10">
        <v>0</v>
      </c>
      <c r="H238" s="10">
        <v>0</v>
      </c>
      <c r="I238" s="10">
        <v>0</v>
      </c>
      <c r="J238" s="10">
        <v>0</v>
      </c>
      <c r="K238" s="10">
        <v>0</v>
      </c>
      <c r="L238" s="10">
        <v>0</v>
      </c>
      <c r="M238" s="10">
        <v>11</v>
      </c>
      <c r="N238" s="10">
        <v>17</v>
      </c>
      <c r="O238" s="26">
        <f t="shared" si="9"/>
        <v>28</v>
      </c>
      <c r="P238" s="25">
        <v>0</v>
      </c>
      <c r="Q238" s="10">
        <v>0</v>
      </c>
      <c r="R238" s="10">
        <v>0</v>
      </c>
      <c r="S238" s="10">
        <v>0</v>
      </c>
      <c r="T238" s="10">
        <v>0</v>
      </c>
      <c r="U238" s="10">
        <v>0</v>
      </c>
      <c r="V238" s="10">
        <v>0</v>
      </c>
      <c r="W238" s="10">
        <v>0</v>
      </c>
      <c r="X238" s="10">
        <v>0</v>
      </c>
      <c r="Y238" s="10">
        <v>0</v>
      </c>
      <c r="Z238" s="10">
        <v>1069</v>
      </c>
      <c r="AA238" s="10">
        <v>1963</v>
      </c>
      <c r="AB238" s="26">
        <f t="shared" si="10"/>
        <v>3032</v>
      </c>
      <c r="AC238" s="25">
        <v>0</v>
      </c>
      <c r="AD238" s="10">
        <v>0</v>
      </c>
      <c r="AE238" s="10">
        <v>0</v>
      </c>
      <c r="AF238" s="10">
        <v>0</v>
      </c>
      <c r="AG238" s="10">
        <v>0</v>
      </c>
      <c r="AH238" s="10">
        <v>0</v>
      </c>
      <c r="AI238" s="10">
        <v>0</v>
      </c>
      <c r="AJ238" s="10">
        <v>0</v>
      </c>
      <c r="AK238" s="10">
        <v>0</v>
      </c>
      <c r="AL238" s="10">
        <v>0</v>
      </c>
      <c r="AM238" s="10">
        <v>0</v>
      </c>
      <c r="AN238" s="10">
        <v>0</v>
      </c>
      <c r="AO238" s="26">
        <f t="shared" si="11"/>
        <v>0</v>
      </c>
    </row>
    <row r="239" spans="1:41" ht="17.25" customHeight="1" x14ac:dyDescent="0.45">
      <c r="A239" s="2" t="s">
        <v>57</v>
      </c>
      <c r="B239" s="2" t="s">
        <v>31</v>
      </c>
      <c r="C239" s="23">
        <v>15</v>
      </c>
      <c r="D239" s="1">
        <v>14</v>
      </c>
      <c r="E239" s="1">
        <v>8</v>
      </c>
      <c r="F239" s="1">
        <v>8</v>
      </c>
      <c r="G239" s="1">
        <v>5</v>
      </c>
      <c r="H239" s="1">
        <v>4</v>
      </c>
      <c r="I239" s="1">
        <v>3</v>
      </c>
      <c r="J239" s="1">
        <v>5</v>
      </c>
      <c r="K239" s="1">
        <v>4</v>
      </c>
      <c r="L239" s="1">
        <v>3</v>
      </c>
      <c r="M239" s="1">
        <v>0</v>
      </c>
      <c r="N239" s="1">
        <v>0</v>
      </c>
      <c r="O239" s="24">
        <f t="shared" si="9"/>
        <v>69</v>
      </c>
      <c r="P239" s="23">
        <v>32</v>
      </c>
      <c r="Q239" s="1">
        <v>34</v>
      </c>
      <c r="R239" s="1">
        <v>18</v>
      </c>
      <c r="S239" s="1">
        <v>19</v>
      </c>
      <c r="T239" s="1">
        <v>3</v>
      </c>
      <c r="U239" s="1">
        <v>17</v>
      </c>
      <c r="V239" s="1">
        <v>5</v>
      </c>
      <c r="W239" s="1">
        <v>8</v>
      </c>
      <c r="X239" s="1">
        <v>14</v>
      </c>
      <c r="Y239" s="1">
        <v>4</v>
      </c>
      <c r="Z239" s="1">
        <v>0</v>
      </c>
      <c r="AA239" s="1">
        <v>0</v>
      </c>
      <c r="AB239" s="24">
        <f t="shared" si="10"/>
        <v>154</v>
      </c>
      <c r="AC239" s="23">
        <v>0</v>
      </c>
      <c r="AD239" s="1">
        <v>0</v>
      </c>
      <c r="AE239" s="1">
        <v>0</v>
      </c>
      <c r="AF239" s="1">
        <v>0</v>
      </c>
      <c r="AG239" s="1">
        <v>0</v>
      </c>
      <c r="AH239" s="1">
        <v>0</v>
      </c>
      <c r="AI239" s="1">
        <v>0</v>
      </c>
      <c r="AJ239" s="1">
        <v>0</v>
      </c>
      <c r="AK239" s="1">
        <v>0</v>
      </c>
      <c r="AL239" s="1">
        <v>0</v>
      </c>
      <c r="AM239" s="1">
        <v>0</v>
      </c>
      <c r="AN239" s="1">
        <v>0</v>
      </c>
      <c r="AO239" s="24">
        <f t="shared" si="11"/>
        <v>0</v>
      </c>
    </row>
    <row r="240" spans="1:41" ht="17.25" customHeight="1" x14ac:dyDescent="0.45">
      <c r="A240" s="12" t="s">
        <v>40</v>
      </c>
      <c r="B240" s="12" t="s">
        <v>19</v>
      </c>
      <c r="C240" s="25">
        <v>9</v>
      </c>
      <c r="D240" s="10">
        <v>8</v>
      </c>
      <c r="E240" s="10">
        <v>9</v>
      </c>
      <c r="F240" s="10">
        <v>9</v>
      </c>
      <c r="G240" s="10">
        <v>9</v>
      </c>
      <c r="H240" s="10">
        <v>8</v>
      </c>
      <c r="I240" s="10">
        <v>9</v>
      </c>
      <c r="J240" s="10">
        <v>9</v>
      </c>
      <c r="K240" s="10">
        <v>9</v>
      </c>
      <c r="L240" s="10">
        <v>8</v>
      </c>
      <c r="M240" s="10">
        <v>9</v>
      </c>
      <c r="N240" s="10">
        <v>9</v>
      </c>
      <c r="O240" s="26">
        <f t="shared" si="9"/>
        <v>105</v>
      </c>
      <c r="P240" s="25">
        <v>1308</v>
      </c>
      <c r="Q240" s="10">
        <v>1045</v>
      </c>
      <c r="R240" s="10">
        <v>1239</v>
      </c>
      <c r="S240" s="10">
        <v>1366</v>
      </c>
      <c r="T240" s="10">
        <v>1324</v>
      </c>
      <c r="U240" s="10">
        <v>1282</v>
      </c>
      <c r="V240" s="10">
        <v>1488</v>
      </c>
      <c r="W240" s="10">
        <v>1508</v>
      </c>
      <c r="X240" s="10">
        <v>1637</v>
      </c>
      <c r="Y240" s="10">
        <v>1249</v>
      </c>
      <c r="Z240" s="10">
        <v>1348</v>
      </c>
      <c r="AA240" s="10">
        <v>1317</v>
      </c>
      <c r="AB240" s="26">
        <f t="shared" si="10"/>
        <v>16111</v>
      </c>
      <c r="AC240" s="25">
        <v>0</v>
      </c>
      <c r="AD240" s="10">
        <v>0</v>
      </c>
      <c r="AE240" s="10">
        <v>0</v>
      </c>
      <c r="AF240" s="10">
        <v>0</v>
      </c>
      <c r="AG240" s="10">
        <v>0</v>
      </c>
      <c r="AH240" s="10">
        <v>0</v>
      </c>
      <c r="AI240" s="10">
        <v>0</v>
      </c>
      <c r="AJ240" s="10">
        <v>0</v>
      </c>
      <c r="AK240" s="10">
        <v>0</v>
      </c>
      <c r="AL240" s="10">
        <v>0</v>
      </c>
      <c r="AM240" s="10">
        <v>0</v>
      </c>
      <c r="AN240" s="10">
        <v>0</v>
      </c>
      <c r="AO240" s="26">
        <f t="shared" si="11"/>
        <v>0</v>
      </c>
    </row>
    <row r="241" spans="1:41" ht="17.25" customHeight="1" x14ac:dyDescent="0.45">
      <c r="A241" s="2" t="s">
        <v>40</v>
      </c>
      <c r="B241" s="2" t="s">
        <v>20</v>
      </c>
      <c r="C241" s="23">
        <v>11</v>
      </c>
      <c r="D241" s="1">
        <v>17</v>
      </c>
      <c r="E241" s="1">
        <v>22</v>
      </c>
      <c r="F241" s="1">
        <v>22</v>
      </c>
      <c r="G241" s="1">
        <v>22</v>
      </c>
      <c r="H241" s="1">
        <v>17</v>
      </c>
      <c r="I241" s="1">
        <v>23</v>
      </c>
      <c r="J241" s="1">
        <v>21</v>
      </c>
      <c r="K241" s="1">
        <v>17</v>
      </c>
      <c r="L241" s="1">
        <v>17</v>
      </c>
      <c r="M241" s="1">
        <v>18</v>
      </c>
      <c r="N241" s="1">
        <v>17</v>
      </c>
      <c r="O241" s="24">
        <f t="shared" si="9"/>
        <v>224</v>
      </c>
      <c r="P241" s="23">
        <v>1954</v>
      </c>
      <c r="Q241" s="1">
        <v>2453</v>
      </c>
      <c r="R241" s="1">
        <v>3460</v>
      </c>
      <c r="S241" s="1">
        <v>3317</v>
      </c>
      <c r="T241" s="1">
        <v>3964</v>
      </c>
      <c r="U241" s="1">
        <v>3637</v>
      </c>
      <c r="V241" s="1">
        <v>4127</v>
      </c>
      <c r="W241" s="1">
        <v>3592</v>
      </c>
      <c r="X241" s="1">
        <v>3083</v>
      </c>
      <c r="Y241" s="1">
        <v>3213</v>
      </c>
      <c r="Z241" s="1">
        <v>2300</v>
      </c>
      <c r="AA241" s="1">
        <v>2140</v>
      </c>
      <c r="AB241" s="24">
        <f t="shared" si="10"/>
        <v>37240</v>
      </c>
      <c r="AC241" s="23">
        <v>0</v>
      </c>
      <c r="AD241" s="1">
        <v>0</v>
      </c>
      <c r="AE241" s="1">
        <v>0</v>
      </c>
      <c r="AF241" s="1">
        <v>0</v>
      </c>
      <c r="AG241" s="1">
        <v>0</v>
      </c>
      <c r="AH241" s="1">
        <v>0</v>
      </c>
      <c r="AI241" s="1">
        <v>0</v>
      </c>
      <c r="AJ241" s="1">
        <v>0</v>
      </c>
      <c r="AK241" s="1">
        <v>0</v>
      </c>
      <c r="AL241" s="1">
        <v>0</v>
      </c>
      <c r="AM241" s="1">
        <v>0</v>
      </c>
      <c r="AN241" s="1">
        <v>0</v>
      </c>
      <c r="AO241" s="24">
        <f t="shared" si="11"/>
        <v>0</v>
      </c>
    </row>
    <row r="242" spans="1:41" ht="17.25" customHeight="1" x14ac:dyDescent="0.45">
      <c r="A242" s="12" t="s">
        <v>40</v>
      </c>
      <c r="B242" s="12" t="s">
        <v>22</v>
      </c>
      <c r="C242" s="25">
        <v>2</v>
      </c>
      <c r="D242" s="10">
        <v>0</v>
      </c>
      <c r="E242" s="10">
        <v>0</v>
      </c>
      <c r="F242" s="10">
        <v>9</v>
      </c>
      <c r="G242" s="10">
        <v>8</v>
      </c>
      <c r="H242" s="10">
        <v>9</v>
      </c>
      <c r="I242" s="10">
        <v>9</v>
      </c>
      <c r="J242" s="10">
        <v>9</v>
      </c>
      <c r="K242" s="10">
        <v>8</v>
      </c>
      <c r="L242" s="10">
        <v>10</v>
      </c>
      <c r="M242" s="10">
        <v>11</v>
      </c>
      <c r="N242" s="10">
        <v>9</v>
      </c>
      <c r="O242" s="26">
        <f t="shared" si="9"/>
        <v>84</v>
      </c>
      <c r="P242" s="25">
        <v>235</v>
      </c>
      <c r="Q242" s="10">
        <v>0</v>
      </c>
      <c r="R242" s="10">
        <v>0</v>
      </c>
      <c r="S242" s="10">
        <v>931</v>
      </c>
      <c r="T242" s="10">
        <v>887</v>
      </c>
      <c r="U242" s="10">
        <v>993</v>
      </c>
      <c r="V242" s="10">
        <v>882</v>
      </c>
      <c r="W242" s="10">
        <v>903</v>
      </c>
      <c r="X242" s="10">
        <v>1003</v>
      </c>
      <c r="Y242" s="10">
        <v>910</v>
      </c>
      <c r="Z242" s="10">
        <v>1031</v>
      </c>
      <c r="AA242" s="10">
        <v>1130</v>
      </c>
      <c r="AB242" s="26">
        <f t="shared" si="10"/>
        <v>8905</v>
      </c>
      <c r="AC242" s="25">
        <v>15</v>
      </c>
      <c r="AD242" s="10">
        <v>0</v>
      </c>
      <c r="AE242" s="10">
        <v>0</v>
      </c>
      <c r="AF242" s="10">
        <v>0</v>
      </c>
      <c r="AG242" s="10">
        <v>0</v>
      </c>
      <c r="AH242" s="10">
        <v>0</v>
      </c>
      <c r="AI242" s="10">
        <v>0</v>
      </c>
      <c r="AJ242" s="10">
        <v>0</v>
      </c>
      <c r="AK242" s="10">
        <v>0</v>
      </c>
      <c r="AL242" s="10">
        <v>0</v>
      </c>
      <c r="AM242" s="10">
        <v>0</v>
      </c>
      <c r="AN242" s="10">
        <v>0</v>
      </c>
      <c r="AO242" s="26">
        <f t="shared" si="11"/>
        <v>15</v>
      </c>
    </row>
    <row r="243" spans="1:41" ht="17.25" customHeight="1" x14ac:dyDescent="0.45">
      <c r="A243" s="2" t="s">
        <v>40</v>
      </c>
      <c r="B243" s="2" t="s">
        <v>38</v>
      </c>
      <c r="C243" s="23">
        <v>0</v>
      </c>
      <c r="D243" s="1">
        <v>0</v>
      </c>
      <c r="E243" s="1">
        <v>1</v>
      </c>
      <c r="F243" s="1">
        <v>0</v>
      </c>
      <c r="G243" s="1">
        <v>2</v>
      </c>
      <c r="H243" s="1">
        <v>0</v>
      </c>
      <c r="I243" s="1">
        <v>0</v>
      </c>
      <c r="J243" s="1">
        <v>0</v>
      </c>
      <c r="K243" s="1">
        <v>0</v>
      </c>
      <c r="L243" s="1">
        <v>0</v>
      </c>
      <c r="M243" s="1">
        <v>0</v>
      </c>
      <c r="N243" s="1">
        <v>0</v>
      </c>
      <c r="O243" s="24">
        <f t="shared" si="9"/>
        <v>3</v>
      </c>
      <c r="P243" s="23">
        <v>0</v>
      </c>
      <c r="Q243" s="1">
        <v>0</v>
      </c>
      <c r="R243" s="1">
        <v>49</v>
      </c>
      <c r="S243" s="1">
        <v>0</v>
      </c>
      <c r="T243" s="1">
        <v>71</v>
      </c>
      <c r="U243" s="1">
        <v>0</v>
      </c>
      <c r="V243" s="1">
        <v>0</v>
      </c>
      <c r="W243" s="1">
        <v>0</v>
      </c>
      <c r="X243" s="1">
        <v>0</v>
      </c>
      <c r="Y243" s="1">
        <v>0</v>
      </c>
      <c r="Z243" s="1">
        <v>0</v>
      </c>
      <c r="AA243" s="1">
        <v>0</v>
      </c>
      <c r="AB243" s="24">
        <f t="shared" si="10"/>
        <v>120</v>
      </c>
      <c r="AC243" s="23">
        <v>0</v>
      </c>
      <c r="AD243" s="1">
        <v>0</v>
      </c>
      <c r="AE243" s="1">
        <v>0</v>
      </c>
      <c r="AF243" s="1">
        <v>0</v>
      </c>
      <c r="AG243" s="1">
        <v>0</v>
      </c>
      <c r="AH243" s="1">
        <v>0</v>
      </c>
      <c r="AI243" s="1">
        <v>0</v>
      </c>
      <c r="AJ243" s="1">
        <v>0</v>
      </c>
      <c r="AK243" s="1">
        <v>0</v>
      </c>
      <c r="AL243" s="1">
        <v>0</v>
      </c>
      <c r="AM243" s="1">
        <v>0</v>
      </c>
      <c r="AN243" s="1">
        <v>0</v>
      </c>
      <c r="AO243" s="24">
        <f t="shared" si="11"/>
        <v>0</v>
      </c>
    </row>
    <row r="244" spans="1:41" ht="17.25" customHeight="1" x14ac:dyDescent="0.45">
      <c r="A244" s="12" t="s">
        <v>40</v>
      </c>
      <c r="B244" s="12" t="s">
        <v>47</v>
      </c>
      <c r="C244" s="25">
        <v>8</v>
      </c>
      <c r="D244" s="10">
        <v>9</v>
      </c>
      <c r="E244" s="10">
        <v>13</v>
      </c>
      <c r="F244" s="10">
        <v>13</v>
      </c>
      <c r="G244" s="10">
        <v>11</v>
      </c>
      <c r="H244" s="10">
        <v>11</v>
      </c>
      <c r="I244" s="10">
        <v>11</v>
      </c>
      <c r="J244" s="10">
        <v>13</v>
      </c>
      <c r="K244" s="10">
        <v>10</v>
      </c>
      <c r="L244" s="10">
        <v>12</v>
      </c>
      <c r="M244" s="10">
        <v>15</v>
      </c>
      <c r="N244" s="10">
        <v>21</v>
      </c>
      <c r="O244" s="26">
        <f t="shared" si="9"/>
        <v>147</v>
      </c>
      <c r="P244" s="25">
        <v>372</v>
      </c>
      <c r="Q244" s="10">
        <v>416</v>
      </c>
      <c r="R244" s="10">
        <v>589</v>
      </c>
      <c r="S244" s="10">
        <v>549</v>
      </c>
      <c r="T244" s="10">
        <v>458</v>
      </c>
      <c r="U244" s="10">
        <v>468</v>
      </c>
      <c r="V244" s="10">
        <v>477</v>
      </c>
      <c r="W244" s="10">
        <v>538</v>
      </c>
      <c r="X244" s="10">
        <v>407</v>
      </c>
      <c r="Y244" s="10">
        <v>506</v>
      </c>
      <c r="Z244" s="10">
        <v>609</v>
      </c>
      <c r="AA244" s="10">
        <v>1103</v>
      </c>
      <c r="AB244" s="26">
        <f t="shared" si="10"/>
        <v>6492</v>
      </c>
      <c r="AC244" s="25">
        <v>0</v>
      </c>
      <c r="AD244" s="10">
        <v>0</v>
      </c>
      <c r="AE244" s="10">
        <v>0</v>
      </c>
      <c r="AF244" s="10">
        <v>0</v>
      </c>
      <c r="AG244" s="10">
        <v>0</v>
      </c>
      <c r="AH244" s="10">
        <v>0</v>
      </c>
      <c r="AI244" s="10">
        <v>0</v>
      </c>
      <c r="AJ244" s="10">
        <v>0</v>
      </c>
      <c r="AK244" s="10">
        <v>0</v>
      </c>
      <c r="AL244" s="10">
        <v>0</v>
      </c>
      <c r="AM244" s="10">
        <v>0</v>
      </c>
      <c r="AN244" s="10">
        <v>0</v>
      </c>
      <c r="AO244" s="26">
        <f t="shared" si="11"/>
        <v>0</v>
      </c>
    </row>
    <row r="245" spans="1:41" ht="17.25" customHeight="1" x14ac:dyDescent="0.45">
      <c r="A245" s="2" t="s">
        <v>40</v>
      </c>
      <c r="B245" s="2" t="s">
        <v>55</v>
      </c>
      <c r="C245" s="23">
        <v>13</v>
      </c>
      <c r="D245" s="1">
        <v>10</v>
      </c>
      <c r="E245" s="1">
        <v>15</v>
      </c>
      <c r="F245" s="1">
        <v>13</v>
      </c>
      <c r="G245" s="1">
        <v>10</v>
      </c>
      <c r="H245" s="1">
        <v>10</v>
      </c>
      <c r="I245" s="1">
        <v>11</v>
      </c>
      <c r="J245" s="1">
        <v>0</v>
      </c>
      <c r="K245" s="1">
        <v>0</v>
      </c>
      <c r="L245" s="1">
        <v>0</v>
      </c>
      <c r="M245" s="1">
        <v>0</v>
      </c>
      <c r="N245" s="1">
        <v>0</v>
      </c>
      <c r="O245" s="24">
        <f t="shared" si="9"/>
        <v>82</v>
      </c>
      <c r="P245" s="23">
        <v>544</v>
      </c>
      <c r="Q245" s="1">
        <v>204</v>
      </c>
      <c r="R245" s="1">
        <v>380</v>
      </c>
      <c r="S245" s="1">
        <v>442</v>
      </c>
      <c r="T245" s="1">
        <v>351</v>
      </c>
      <c r="U245" s="1">
        <v>379</v>
      </c>
      <c r="V245" s="1">
        <v>461</v>
      </c>
      <c r="W245" s="1">
        <v>0</v>
      </c>
      <c r="X245" s="1">
        <v>0</v>
      </c>
      <c r="Y245" s="1">
        <v>0</v>
      </c>
      <c r="Z245" s="1">
        <v>0</v>
      </c>
      <c r="AA245" s="1">
        <v>0</v>
      </c>
      <c r="AB245" s="24">
        <f t="shared" si="10"/>
        <v>2761</v>
      </c>
      <c r="AC245" s="23">
        <v>0</v>
      </c>
      <c r="AD245" s="1">
        <v>0</v>
      </c>
      <c r="AE245" s="1">
        <v>0</v>
      </c>
      <c r="AF245" s="1">
        <v>0</v>
      </c>
      <c r="AG245" s="1">
        <v>0</v>
      </c>
      <c r="AH245" s="1">
        <v>0</v>
      </c>
      <c r="AI245" s="1">
        <v>0</v>
      </c>
      <c r="AJ245" s="1">
        <v>0</v>
      </c>
      <c r="AK245" s="1">
        <v>0</v>
      </c>
      <c r="AL245" s="1">
        <v>0</v>
      </c>
      <c r="AM245" s="1">
        <v>0</v>
      </c>
      <c r="AN245" s="1">
        <v>0</v>
      </c>
      <c r="AO245" s="24">
        <f t="shared" si="11"/>
        <v>0</v>
      </c>
    </row>
    <row r="246" spans="1:41" ht="17.25" customHeight="1" x14ac:dyDescent="0.45">
      <c r="A246" s="12" t="s">
        <v>40</v>
      </c>
      <c r="B246" s="12" t="s">
        <v>12</v>
      </c>
      <c r="C246" s="25">
        <v>162</v>
      </c>
      <c r="D246" s="10">
        <v>155</v>
      </c>
      <c r="E246" s="10">
        <v>162</v>
      </c>
      <c r="F246" s="10">
        <v>166</v>
      </c>
      <c r="G246" s="10">
        <v>171</v>
      </c>
      <c r="H246" s="10">
        <v>171</v>
      </c>
      <c r="I246" s="10">
        <v>180</v>
      </c>
      <c r="J246" s="10">
        <v>176</v>
      </c>
      <c r="K246" s="10">
        <v>170</v>
      </c>
      <c r="L246" s="10">
        <v>174</v>
      </c>
      <c r="M246" s="10">
        <v>151</v>
      </c>
      <c r="N246" s="10">
        <v>140</v>
      </c>
      <c r="O246" s="26">
        <f t="shared" si="9"/>
        <v>1978</v>
      </c>
      <c r="P246" s="25">
        <v>24639</v>
      </c>
      <c r="Q246" s="10">
        <v>23254</v>
      </c>
      <c r="R246" s="10">
        <v>23778</v>
      </c>
      <c r="S246" s="10">
        <v>25311</v>
      </c>
      <c r="T246" s="10">
        <v>26716</v>
      </c>
      <c r="U246" s="10">
        <v>26478</v>
      </c>
      <c r="V246" s="10">
        <v>29373</v>
      </c>
      <c r="W246" s="10">
        <v>27158</v>
      </c>
      <c r="X246" s="10">
        <v>25052</v>
      </c>
      <c r="Y246" s="10">
        <v>23517</v>
      </c>
      <c r="Z246" s="10">
        <v>21442</v>
      </c>
      <c r="AA246" s="10">
        <v>21805</v>
      </c>
      <c r="AB246" s="26">
        <f t="shared" si="10"/>
        <v>298523</v>
      </c>
      <c r="AC246" s="25">
        <v>56875</v>
      </c>
      <c r="AD246" s="10">
        <v>71041</v>
      </c>
      <c r="AE246" s="10">
        <v>76875</v>
      </c>
      <c r="AF246" s="10">
        <v>60318</v>
      </c>
      <c r="AG246" s="10">
        <v>71598</v>
      </c>
      <c r="AH246" s="10">
        <v>64085</v>
      </c>
      <c r="AI246" s="10">
        <v>70715</v>
      </c>
      <c r="AJ246" s="10">
        <v>61392</v>
      </c>
      <c r="AK246" s="10">
        <v>72702</v>
      </c>
      <c r="AL246" s="10">
        <v>64062</v>
      </c>
      <c r="AM246" s="10">
        <v>52287</v>
      </c>
      <c r="AN246" s="10">
        <v>59460</v>
      </c>
      <c r="AO246" s="26">
        <f t="shared" si="11"/>
        <v>781410</v>
      </c>
    </row>
    <row r="247" spans="1:41" ht="17.25" customHeight="1" x14ac:dyDescent="0.45">
      <c r="A247" s="2" t="s">
        <v>40</v>
      </c>
      <c r="B247" s="2" t="s">
        <v>13</v>
      </c>
      <c r="C247" s="23">
        <v>39</v>
      </c>
      <c r="D247" s="1">
        <v>36</v>
      </c>
      <c r="E247" s="1">
        <v>56</v>
      </c>
      <c r="F247" s="1">
        <v>49</v>
      </c>
      <c r="G247" s="1">
        <v>52</v>
      </c>
      <c r="H247" s="1">
        <v>50</v>
      </c>
      <c r="I247" s="1">
        <v>59</v>
      </c>
      <c r="J247" s="1">
        <v>54</v>
      </c>
      <c r="K247" s="1">
        <v>44</v>
      </c>
      <c r="L247" s="1">
        <v>43</v>
      </c>
      <c r="M247" s="1">
        <v>48</v>
      </c>
      <c r="N247" s="1">
        <v>47</v>
      </c>
      <c r="O247" s="24">
        <f t="shared" si="9"/>
        <v>577</v>
      </c>
      <c r="P247" s="23">
        <v>5838</v>
      </c>
      <c r="Q247" s="1">
        <v>5320</v>
      </c>
      <c r="R247" s="1">
        <v>7516</v>
      </c>
      <c r="S247" s="1">
        <v>7381</v>
      </c>
      <c r="T247" s="1">
        <v>8033</v>
      </c>
      <c r="U247" s="1">
        <v>8262</v>
      </c>
      <c r="V247" s="1">
        <v>10327</v>
      </c>
      <c r="W247" s="1">
        <v>9234</v>
      </c>
      <c r="X247" s="1">
        <v>7101</v>
      </c>
      <c r="Y247" s="1">
        <v>6370</v>
      </c>
      <c r="Z247" s="1">
        <v>6766</v>
      </c>
      <c r="AA247" s="1">
        <v>6137</v>
      </c>
      <c r="AB247" s="24">
        <f t="shared" si="10"/>
        <v>88285</v>
      </c>
      <c r="AC247" s="23">
        <v>0</v>
      </c>
      <c r="AD247" s="1">
        <v>0</v>
      </c>
      <c r="AE247" s="1">
        <v>0</v>
      </c>
      <c r="AF247" s="1">
        <v>0</v>
      </c>
      <c r="AG247" s="1">
        <v>0</v>
      </c>
      <c r="AH247" s="1">
        <v>0</v>
      </c>
      <c r="AI247" s="1">
        <v>0</v>
      </c>
      <c r="AJ247" s="1">
        <v>0</v>
      </c>
      <c r="AK247" s="1">
        <v>0</v>
      </c>
      <c r="AL247" s="1">
        <v>0</v>
      </c>
      <c r="AM247" s="1">
        <v>0</v>
      </c>
      <c r="AN247" s="1">
        <v>0</v>
      </c>
      <c r="AO247" s="24">
        <f t="shared" si="11"/>
        <v>0</v>
      </c>
    </row>
    <row r="248" spans="1:41" ht="17.25" customHeight="1" x14ac:dyDescent="0.45">
      <c r="A248" s="12" t="s">
        <v>40</v>
      </c>
      <c r="B248" s="12" t="s">
        <v>28</v>
      </c>
      <c r="C248" s="25">
        <v>10</v>
      </c>
      <c r="D248" s="10">
        <v>8</v>
      </c>
      <c r="E248" s="10">
        <v>12</v>
      </c>
      <c r="F248" s="10">
        <v>13</v>
      </c>
      <c r="G248" s="10">
        <v>11</v>
      </c>
      <c r="H248" s="10">
        <v>12</v>
      </c>
      <c r="I248" s="10">
        <v>12</v>
      </c>
      <c r="J248" s="10">
        <v>11</v>
      </c>
      <c r="K248" s="10">
        <v>11</v>
      </c>
      <c r="L248" s="10">
        <v>12</v>
      </c>
      <c r="M248" s="10">
        <v>17</v>
      </c>
      <c r="N248" s="10">
        <v>18</v>
      </c>
      <c r="O248" s="26">
        <f t="shared" si="9"/>
        <v>147</v>
      </c>
      <c r="P248" s="25">
        <v>300</v>
      </c>
      <c r="Q248" s="10">
        <v>205</v>
      </c>
      <c r="R248" s="10">
        <v>288</v>
      </c>
      <c r="S248" s="10">
        <v>409</v>
      </c>
      <c r="T248" s="10">
        <v>258</v>
      </c>
      <c r="U248" s="10">
        <v>329</v>
      </c>
      <c r="V248" s="10">
        <v>351</v>
      </c>
      <c r="W248" s="10">
        <v>320</v>
      </c>
      <c r="X248" s="10">
        <v>289</v>
      </c>
      <c r="Y248" s="10">
        <v>277</v>
      </c>
      <c r="Z248" s="10">
        <v>353</v>
      </c>
      <c r="AA248" s="10">
        <v>523</v>
      </c>
      <c r="AB248" s="26">
        <f t="shared" si="10"/>
        <v>3902</v>
      </c>
      <c r="AC248" s="25">
        <v>0</v>
      </c>
      <c r="AD248" s="10">
        <v>0</v>
      </c>
      <c r="AE248" s="10">
        <v>0</v>
      </c>
      <c r="AF248" s="10">
        <v>0</v>
      </c>
      <c r="AG248" s="10">
        <v>0</v>
      </c>
      <c r="AH248" s="10">
        <v>0</v>
      </c>
      <c r="AI248" s="10">
        <v>0</v>
      </c>
      <c r="AJ248" s="10">
        <v>0</v>
      </c>
      <c r="AK248" s="10">
        <v>0</v>
      </c>
      <c r="AL248" s="10">
        <v>0</v>
      </c>
      <c r="AM248" s="10">
        <v>0</v>
      </c>
      <c r="AN248" s="10">
        <v>0</v>
      </c>
      <c r="AO248" s="26">
        <f t="shared" si="11"/>
        <v>0</v>
      </c>
    </row>
    <row r="249" spans="1:41" ht="17.25" customHeight="1" x14ac:dyDescent="0.45">
      <c r="A249" s="2" t="s">
        <v>40</v>
      </c>
      <c r="B249" s="2" t="s">
        <v>14</v>
      </c>
      <c r="C249" s="23">
        <v>26</v>
      </c>
      <c r="D249" s="1">
        <v>25</v>
      </c>
      <c r="E249" s="1">
        <v>35</v>
      </c>
      <c r="F249" s="1">
        <v>42</v>
      </c>
      <c r="G249" s="1">
        <v>45</v>
      </c>
      <c r="H249" s="1">
        <v>43</v>
      </c>
      <c r="I249" s="1">
        <v>42</v>
      </c>
      <c r="J249" s="1">
        <v>44</v>
      </c>
      <c r="K249" s="1">
        <v>43</v>
      </c>
      <c r="L249" s="1">
        <v>44</v>
      </c>
      <c r="M249" s="1">
        <v>37</v>
      </c>
      <c r="N249" s="1">
        <v>35</v>
      </c>
      <c r="O249" s="24">
        <f t="shared" si="9"/>
        <v>461</v>
      </c>
      <c r="P249" s="23">
        <v>2891</v>
      </c>
      <c r="Q249" s="1">
        <v>2853</v>
      </c>
      <c r="R249" s="1">
        <v>4174</v>
      </c>
      <c r="S249" s="1">
        <v>6466</v>
      </c>
      <c r="T249" s="1">
        <v>5680</v>
      </c>
      <c r="U249" s="1">
        <v>5551</v>
      </c>
      <c r="V249" s="1">
        <v>5966</v>
      </c>
      <c r="W249" s="1">
        <v>5750</v>
      </c>
      <c r="X249" s="1">
        <v>5336</v>
      </c>
      <c r="Y249" s="1">
        <v>5115</v>
      </c>
      <c r="Z249" s="1">
        <v>3554</v>
      </c>
      <c r="AA249" s="1">
        <v>3833</v>
      </c>
      <c r="AB249" s="24">
        <f t="shared" si="10"/>
        <v>57169</v>
      </c>
      <c r="AC249" s="23">
        <v>0</v>
      </c>
      <c r="AD249" s="1">
        <v>0</v>
      </c>
      <c r="AE249" s="1">
        <v>0</v>
      </c>
      <c r="AF249" s="1">
        <v>0</v>
      </c>
      <c r="AG249" s="1">
        <v>0</v>
      </c>
      <c r="AH249" s="1">
        <v>0</v>
      </c>
      <c r="AI249" s="1">
        <v>0</v>
      </c>
      <c r="AJ249" s="1">
        <v>0</v>
      </c>
      <c r="AK249" s="1">
        <v>0</v>
      </c>
      <c r="AL249" s="1">
        <v>0</v>
      </c>
      <c r="AM249" s="1">
        <v>0</v>
      </c>
      <c r="AN249" s="1">
        <v>0</v>
      </c>
      <c r="AO249" s="24">
        <f t="shared" si="11"/>
        <v>0</v>
      </c>
    </row>
    <row r="250" spans="1:41" ht="17.25" customHeight="1" x14ac:dyDescent="0.45">
      <c r="A250" s="12" t="s">
        <v>40</v>
      </c>
      <c r="B250" s="12" t="s">
        <v>15</v>
      </c>
      <c r="C250" s="25">
        <v>94</v>
      </c>
      <c r="D250" s="10">
        <v>79</v>
      </c>
      <c r="E250" s="10">
        <v>88</v>
      </c>
      <c r="F250" s="10">
        <v>103</v>
      </c>
      <c r="G250" s="10">
        <v>101</v>
      </c>
      <c r="H250" s="10">
        <v>97</v>
      </c>
      <c r="I250" s="10">
        <v>118</v>
      </c>
      <c r="J250" s="10">
        <v>115</v>
      </c>
      <c r="K250" s="10">
        <v>90</v>
      </c>
      <c r="L250" s="10">
        <v>100</v>
      </c>
      <c r="M250" s="10">
        <v>90</v>
      </c>
      <c r="N250" s="10">
        <v>95</v>
      </c>
      <c r="O250" s="26">
        <f t="shared" si="9"/>
        <v>1170</v>
      </c>
      <c r="P250" s="25">
        <v>20500</v>
      </c>
      <c r="Q250" s="10">
        <v>16731</v>
      </c>
      <c r="R250" s="10">
        <v>17998</v>
      </c>
      <c r="S250" s="10">
        <v>19342</v>
      </c>
      <c r="T250" s="10">
        <v>18888</v>
      </c>
      <c r="U250" s="10">
        <v>17915</v>
      </c>
      <c r="V250" s="10">
        <v>22416</v>
      </c>
      <c r="W250" s="10">
        <v>21118</v>
      </c>
      <c r="X250" s="10">
        <v>16364</v>
      </c>
      <c r="Y250" s="10">
        <v>17451</v>
      </c>
      <c r="Z250" s="10">
        <v>17538</v>
      </c>
      <c r="AA250" s="10">
        <v>17688</v>
      </c>
      <c r="AB250" s="26">
        <f t="shared" si="10"/>
        <v>223949</v>
      </c>
      <c r="AC250" s="25">
        <v>8489.9</v>
      </c>
      <c r="AD250" s="10">
        <v>0</v>
      </c>
      <c r="AE250" s="10">
        <v>0</v>
      </c>
      <c r="AF250" s="10">
        <v>0</v>
      </c>
      <c r="AG250" s="10">
        <v>0</v>
      </c>
      <c r="AH250" s="10">
        <v>0</v>
      </c>
      <c r="AI250" s="10">
        <v>0</v>
      </c>
      <c r="AJ250" s="10">
        <v>0</v>
      </c>
      <c r="AK250" s="10">
        <v>0</v>
      </c>
      <c r="AL250" s="10">
        <v>0</v>
      </c>
      <c r="AM250" s="10">
        <v>0</v>
      </c>
      <c r="AN250" s="10">
        <v>0</v>
      </c>
      <c r="AO250" s="26">
        <f t="shared" si="11"/>
        <v>8489.9</v>
      </c>
    </row>
    <row r="251" spans="1:41" ht="17.25" customHeight="1" x14ac:dyDescent="0.45">
      <c r="A251" s="2" t="s">
        <v>23</v>
      </c>
      <c r="B251" s="2" t="s">
        <v>10</v>
      </c>
      <c r="C251" s="23">
        <v>16</v>
      </c>
      <c r="D251" s="1">
        <v>16</v>
      </c>
      <c r="E251" s="1">
        <v>13</v>
      </c>
      <c r="F251" s="1">
        <v>17</v>
      </c>
      <c r="G251" s="1">
        <v>33</v>
      </c>
      <c r="H251" s="1">
        <v>38</v>
      </c>
      <c r="I251" s="1">
        <v>43</v>
      </c>
      <c r="J251" s="1">
        <v>43</v>
      </c>
      <c r="K251" s="1">
        <v>40</v>
      </c>
      <c r="L251" s="1">
        <v>46</v>
      </c>
      <c r="M251" s="1">
        <v>37</v>
      </c>
      <c r="N251" s="1">
        <v>26</v>
      </c>
      <c r="O251" s="24">
        <f t="shared" si="9"/>
        <v>368</v>
      </c>
      <c r="P251" s="23">
        <v>0</v>
      </c>
      <c r="Q251" s="1">
        <v>0</v>
      </c>
      <c r="R251" s="1">
        <v>0</v>
      </c>
      <c r="S251" s="1">
        <v>0</v>
      </c>
      <c r="T251" s="1">
        <v>36</v>
      </c>
      <c r="U251" s="1">
        <v>39</v>
      </c>
      <c r="V251" s="1">
        <v>60</v>
      </c>
      <c r="W251" s="1">
        <v>81</v>
      </c>
      <c r="X251" s="1">
        <v>77</v>
      </c>
      <c r="Y251" s="1">
        <v>102</v>
      </c>
      <c r="Z251" s="1">
        <v>60</v>
      </c>
      <c r="AA251" s="1">
        <v>32</v>
      </c>
      <c r="AB251" s="24">
        <f t="shared" si="10"/>
        <v>487</v>
      </c>
      <c r="AC251" s="23">
        <v>149578</v>
      </c>
      <c r="AD251" s="1">
        <v>133593</v>
      </c>
      <c r="AE251" s="1">
        <v>116710</v>
      </c>
      <c r="AF251" s="1">
        <v>161880</v>
      </c>
      <c r="AG251" s="1">
        <v>153758</v>
      </c>
      <c r="AH251" s="1">
        <v>136834</v>
      </c>
      <c r="AI251" s="1">
        <v>140629</v>
      </c>
      <c r="AJ251" s="1">
        <v>150972</v>
      </c>
      <c r="AK251" s="1">
        <v>126501</v>
      </c>
      <c r="AL251" s="1">
        <v>76712</v>
      </c>
      <c r="AM251" s="1">
        <v>143285</v>
      </c>
      <c r="AN251" s="1">
        <v>131485</v>
      </c>
      <c r="AO251" s="24">
        <f t="shared" si="11"/>
        <v>1621937</v>
      </c>
    </row>
    <row r="252" spans="1:41" ht="17.25" customHeight="1" x14ac:dyDescent="0.45">
      <c r="A252" s="12" t="s">
        <v>23</v>
      </c>
      <c r="B252" s="12" t="s">
        <v>46</v>
      </c>
      <c r="C252" s="25">
        <v>0</v>
      </c>
      <c r="D252" s="10">
        <v>0</v>
      </c>
      <c r="E252" s="10">
        <v>0</v>
      </c>
      <c r="F252" s="10">
        <v>0</v>
      </c>
      <c r="G252" s="10">
        <v>0</v>
      </c>
      <c r="H252" s="10">
        <v>0</v>
      </c>
      <c r="I252" s="10">
        <v>0</v>
      </c>
      <c r="J252" s="10">
        <v>0</v>
      </c>
      <c r="K252" s="10">
        <v>0</v>
      </c>
      <c r="L252" s="10">
        <v>0</v>
      </c>
      <c r="M252" s="10">
        <v>4</v>
      </c>
      <c r="N252" s="10">
        <v>3</v>
      </c>
      <c r="O252" s="26">
        <f t="shared" si="9"/>
        <v>7</v>
      </c>
      <c r="P252" s="25">
        <v>0</v>
      </c>
      <c r="Q252" s="10">
        <v>0</v>
      </c>
      <c r="R252" s="10">
        <v>0</v>
      </c>
      <c r="S252" s="10">
        <v>0</v>
      </c>
      <c r="T252" s="10">
        <v>0</v>
      </c>
      <c r="U252" s="10">
        <v>0</v>
      </c>
      <c r="V252" s="10">
        <v>0</v>
      </c>
      <c r="W252" s="10">
        <v>0</v>
      </c>
      <c r="X252" s="10">
        <v>0</v>
      </c>
      <c r="Y252" s="10">
        <v>0</v>
      </c>
      <c r="Z252" s="10">
        <v>3</v>
      </c>
      <c r="AA252" s="10">
        <v>12</v>
      </c>
      <c r="AB252" s="26">
        <f t="shared" si="10"/>
        <v>15</v>
      </c>
      <c r="AC252" s="25">
        <v>0</v>
      </c>
      <c r="AD252" s="10">
        <v>0</v>
      </c>
      <c r="AE252" s="10">
        <v>0</v>
      </c>
      <c r="AF252" s="10">
        <v>0</v>
      </c>
      <c r="AG252" s="10">
        <v>0</v>
      </c>
      <c r="AH252" s="10">
        <v>0</v>
      </c>
      <c r="AI252" s="10">
        <v>0</v>
      </c>
      <c r="AJ252" s="10">
        <v>0</v>
      </c>
      <c r="AK252" s="10">
        <v>0</v>
      </c>
      <c r="AL252" s="10">
        <v>0</v>
      </c>
      <c r="AM252" s="10">
        <v>0</v>
      </c>
      <c r="AN252" s="10">
        <v>0</v>
      </c>
      <c r="AO252" s="26">
        <f t="shared" si="11"/>
        <v>0</v>
      </c>
    </row>
    <row r="253" spans="1:41" ht="17.25" customHeight="1" x14ac:dyDescent="0.45">
      <c r="A253" s="2" t="s">
        <v>23</v>
      </c>
      <c r="B253" s="2" t="s">
        <v>22</v>
      </c>
      <c r="C253" s="23">
        <v>18</v>
      </c>
      <c r="D253" s="1">
        <v>17</v>
      </c>
      <c r="E253" s="1">
        <v>18</v>
      </c>
      <c r="F253" s="1">
        <v>17</v>
      </c>
      <c r="G253" s="1">
        <v>17</v>
      </c>
      <c r="H253" s="1">
        <v>18</v>
      </c>
      <c r="I253" s="1">
        <v>17</v>
      </c>
      <c r="J253" s="1">
        <v>18</v>
      </c>
      <c r="K253" s="1">
        <v>17</v>
      </c>
      <c r="L253" s="1">
        <v>22</v>
      </c>
      <c r="M253" s="1">
        <v>21</v>
      </c>
      <c r="N253" s="1">
        <v>23</v>
      </c>
      <c r="O253" s="24">
        <f t="shared" si="9"/>
        <v>223</v>
      </c>
      <c r="P253" s="23">
        <v>2743</v>
      </c>
      <c r="Q253" s="1">
        <v>2440</v>
      </c>
      <c r="R253" s="1">
        <v>2635</v>
      </c>
      <c r="S253" s="1">
        <v>2482</v>
      </c>
      <c r="T253" s="1">
        <v>2167</v>
      </c>
      <c r="U253" s="1">
        <v>2422</v>
      </c>
      <c r="V253" s="1">
        <v>2563</v>
      </c>
      <c r="W253" s="1">
        <v>2743</v>
      </c>
      <c r="X253" s="1">
        <v>2442</v>
      </c>
      <c r="Y253" s="1">
        <v>3018</v>
      </c>
      <c r="Z253" s="1">
        <v>2924</v>
      </c>
      <c r="AA253" s="1">
        <v>3201</v>
      </c>
      <c r="AB253" s="24">
        <f t="shared" si="10"/>
        <v>31780</v>
      </c>
      <c r="AC253" s="23">
        <v>80.599999999999994</v>
      </c>
      <c r="AD253" s="1">
        <v>15.6</v>
      </c>
      <c r="AE253" s="1">
        <v>77.400000000000006</v>
      </c>
      <c r="AF253" s="1">
        <v>215.79999999999998</v>
      </c>
      <c r="AG253" s="1">
        <v>88</v>
      </c>
      <c r="AH253" s="1">
        <v>144.6</v>
      </c>
      <c r="AI253" s="1">
        <v>3365</v>
      </c>
      <c r="AJ253" s="1">
        <v>354.99999999999994</v>
      </c>
      <c r="AK253" s="1">
        <v>85.8</v>
      </c>
      <c r="AL253" s="1">
        <v>22</v>
      </c>
      <c r="AM253" s="1">
        <v>228.39999999999998</v>
      </c>
      <c r="AN253" s="1">
        <v>372.8</v>
      </c>
      <c r="AO253" s="24">
        <f t="shared" si="11"/>
        <v>5051</v>
      </c>
    </row>
    <row r="254" spans="1:41" ht="17.25" customHeight="1" x14ac:dyDescent="0.45">
      <c r="A254" s="12" t="s">
        <v>23</v>
      </c>
      <c r="B254" s="12" t="s">
        <v>11</v>
      </c>
      <c r="C254" s="25">
        <v>58</v>
      </c>
      <c r="D254" s="10">
        <v>54</v>
      </c>
      <c r="E254" s="10">
        <v>69</v>
      </c>
      <c r="F254" s="10">
        <v>66</v>
      </c>
      <c r="G254" s="10">
        <v>65</v>
      </c>
      <c r="H254" s="10">
        <v>78</v>
      </c>
      <c r="I254" s="10">
        <v>78</v>
      </c>
      <c r="J254" s="10">
        <v>83</v>
      </c>
      <c r="K254" s="10">
        <v>74</v>
      </c>
      <c r="L254" s="10">
        <v>77</v>
      </c>
      <c r="M254" s="10">
        <v>73</v>
      </c>
      <c r="N254" s="10">
        <v>80</v>
      </c>
      <c r="O254" s="26">
        <f t="shared" si="9"/>
        <v>855</v>
      </c>
      <c r="P254" s="25">
        <v>12183</v>
      </c>
      <c r="Q254" s="10">
        <v>10899</v>
      </c>
      <c r="R254" s="10">
        <v>13687</v>
      </c>
      <c r="S254" s="10">
        <v>11449</v>
      </c>
      <c r="T254" s="10">
        <v>11230</v>
      </c>
      <c r="U254" s="10">
        <v>12479</v>
      </c>
      <c r="V254" s="10">
        <v>12673</v>
      </c>
      <c r="W254" s="10">
        <v>14176</v>
      </c>
      <c r="X254" s="10">
        <v>12343</v>
      </c>
      <c r="Y254" s="10">
        <v>13388</v>
      </c>
      <c r="Z254" s="10">
        <v>12608</v>
      </c>
      <c r="AA254" s="10">
        <v>13412</v>
      </c>
      <c r="AB254" s="26">
        <f t="shared" si="10"/>
        <v>150527</v>
      </c>
      <c r="AC254" s="25">
        <v>11600.099999999999</v>
      </c>
      <c r="AD254" s="10">
        <v>1527.2</v>
      </c>
      <c r="AE254" s="10">
        <v>3169.6</v>
      </c>
      <c r="AF254" s="10">
        <v>3006.4000000000005</v>
      </c>
      <c r="AG254" s="10">
        <v>2277.1</v>
      </c>
      <c r="AH254" s="10">
        <v>4809.8999999999996</v>
      </c>
      <c r="AI254" s="10">
        <v>5570.9</v>
      </c>
      <c r="AJ254" s="10">
        <v>33454.600000000006</v>
      </c>
      <c r="AK254" s="10">
        <v>11762.399999999998</v>
      </c>
      <c r="AL254" s="10">
        <v>18618.3</v>
      </c>
      <c r="AM254" s="10">
        <v>32420.299999999996</v>
      </c>
      <c r="AN254" s="10">
        <v>38668.299999999996</v>
      </c>
      <c r="AO254" s="26">
        <f t="shared" si="11"/>
        <v>166885.09999999998</v>
      </c>
    </row>
    <row r="255" spans="1:41" ht="17.25" customHeight="1" x14ac:dyDescent="0.45">
      <c r="A255" s="2" t="s">
        <v>23</v>
      </c>
      <c r="B255" s="2" t="s">
        <v>12</v>
      </c>
      <c r="C255" s="23">
        <v>429</v>
      </c>
      <c r="D255" s="1">
        <v>411</v>
      </c>
      <c r="E255" s="1">
        <v>427</v>
      </c>
      <c r="F255" s="1">
        <v>457</v>
      </c>
      <c r="G255" s="1">
        <v>477</v>
      </c>
      <c r="H255" s="1">
        <v>452</v>
      </c>
      <c r="I255" s="1">
        <v>431</v>
      </c>
      <c r="J255" s="1">
        <v>448</v>
      </c>
      <c r="K255" s="1">
        <v>418</v>
      </c>
      <c r="L255" s="1">
        <v>408</v>
      </c>
      <c r="M255" s="1">
        <v>389</v>
      </c>
      <c r="N255" s="1">
        <v>406</v>
      </c>
      <c r="O255" s="24">
        <f t="shared" si="9"/>
        <v>5153</v>
      </c>
      <c r="P255" s="23">
        <v>74791</v>
      </c>
      <c r="Q255" s="1">
        <v>68819</v>
      </c>
      <c r="R255" s="1">
        <v>71110</v>
      </c>
      <c r="S255" s="1">
        <v>74305</v>
      </c>
      <c r="T255" s="1">
        <v>74943</v>
      </c>
      <c r="U255" s="1">
        <v>68202</v>
      </c>
      <c r="V255" s="1">
        <v>68996</v>
      </c>
      <c r="W255" s="1">
        <v>73460</v>
      </c>
      <c r="X255" s="1">
        <v>66646</v>
      </c>
      <c r="Y255" s="1">
        <v>66091</v>
      </c>
      <c r="Z255" s="1">
        <v>65915</v>
      </c>
      <c r="AA255" s="1">
        <v>70558</v>
      </c>
      <c r="AB255" s="24">
        <f t="shared" si="10"/>
        <v>843836</v>
      </c>
      <c r="AC255" s="23">
        <v>185455.57</v>
      </c>
      <c r="AD255" s="1">
        <v>136817.20000000001</v>
      </c>
      <c r="AE255" s="1">
        <v>151366.5</v>
      </c>
      <c r="AF255" s="1">
        <v>155912.70000000001</v>
      </c>
      <c r="AG255" s="1">
        <v>146260.70000000001</v>
      </c>
      <c r="AH255" s="1">
        <v>117852.6</v>
      </c>
      <c r="AI255" s="1">
        <v>151611.29999999999</v>
      </c>
      <c r="AJ255" s="1">
        <v>291898.60000000003</v>
      </c>
      <c r="AK255" s="1">
        <v>225888.00000000003</v>
      </c>
      <c r="AL255" s="1">
        <v>228805.2</v>
      </c>
      <c r="AM255" s="1">
        <v>195391.80000000005</v>
      </c>
      <c r="AN255" s="1">
        <v>189680.49999999997</v>
      </c>
      <c r="AO255" s="24">
        <f t="shared" si="11"/>
        <v>2176940.67</v>
      </c>
    </row>
    <row r="256" spans="1:41" ht="17.25" customHeight="1" x14ac:dyDescent="0.45">
      <c r="A256" s="12" t="s">
        <v>23</v>
      </c>
      <c r="B256" s="12" t="s">
        <v>13</v>
      </c>
      <c r="C256" s="25">
        <v>72</v>
      </c>
      <c r="D256" s="10">
        <v>58</v>
      </c>
      <c r="E256" s="10">
        <v>66</v>
      </c>
      <c r="F256" s="10">
        <v>69</v>
      </c>
      <c r="G256" s="10">
        <v>78</v>
      </c>
      <c r="H256" s="10">
        <v>65</v>
      </c>
      <c r="I256" s="10">
        <v>92</v>
      </c>
      <c r="J256" s="10">
        <v>93</v>
      </c>
      <c r="K256" s="10">
        <v>69</v>
      </c>
      <c r="L256" s="10">
        <v>68</v>
      </c>
      <c r="M256" s="10">
        <v>81</v>
      </c>
      <c r="N256" s="10">
        <v>87</v>
      </c>
      <c r="O256" s="26">
        <f t="shared" si="9"/>
        <v>898</v>
      </c>
      <c r="P256" s="25">
        <v>14874</v>
      </c>
      <c r="Q256" s="10">
        <v>11533</v>
      </c>
      <c r="R256" s="10">
        <v>13094</v>
      </c>
      <c r="S256" s="10">
        <v>12095</v>
      </c>
      <c r="T256" s="10">
        <v>13155</v>
      </c>
      <c r="U256" s="10">
        <v>11260</v>
      </c>
      <c r="V256" s="10">
        <v>16642</v>
      </c>
      <c r="W256" s="10">
        <v>17432</v>
      </c>
      <c r="X256" s="10">
        <v>12485</v>
      </c>
      <c r="Y256" s="10">
        <v>12363</v>
      </c>
      <c r="Z256" s="10">
        <v>14424</v>
      </c>
      <c r="AA256" s="10">
        <v>13892</v>
      </c>
      <c r="AB256" s="26">
        <f t="shared" si="10"/>
        <v>163249</v>
      </c>
      <c r="AC256" s="25">
        <v>11343.7</v>
      </c>
      <c r="AD256" s="10">
        <v>9833.7999999999993</v>
      </c>
      <c r="AE256" s="10">
        <v>3232.1</v>
      </c>
      <c r="AF256" s="10">
        <v>2240.8000000000002</v>
      </c>
      <c r="AG256" s="10">
        <v>3359.8</v>
      </c>
      <c r="AH256" s="10">
        <v>3593.7</v>
      </c>
      <c r="AI256" s="10">
        <v>4654.8</v>
      </c>
      <c r="AJ256" s="10">
        <v>37391.69999999999</v>
      </c>
      <c r="AK256" s="10">
        <v>15124.1</v>
      </c>
      <c r="AL256" s="10">
        <v>9043.5</v>
      </c>
      <c r="AM256" s="10">
        <v>5121.2</v>
      </c>
      <c r="AN256" s="10">
        <v>7318.8999999999987</v>
      </c>
      <c r="AO256" s="26">
        <f t="shared" si="11"/>
        <v>112258.09999999999</v>
      </c>
    </row>
    <row r="257" spans="1:41" ht="17.25" customHeight="1" x14ac:dyDescent="0.45">
      <c r="A257" s="2" t="s">
        <v>23</v>
      </c>
      <c r="B257" s="2" t="s">
        <v>26</v>
      </c>
      <c r="C257" s="23">
        <v>10</v>
      </c>
      <c r="D257" s="1">
        <v>8</v>
      </c>
      <c r="E257" s="1">
        <v>9</v>
      </c>
      <c r="F257" s="1">
        <v>9</v>
      </c>
      <c r="G257" s="1">
        <v>8</v>
      </c>
      <c r="H257" s="1">
        <v>8</v>
      </c>
      <c r="I257" s="1">
        <v>9</v>
      </c>
      <c r="J257" s="1">
        <v>9</v>
      </c>
      <c r="K257" s="1">
        <v>8</v>
      </c>
      <c r="L257" s="1">
        <v>8</v>
      </c>
      <c r="M257" s="1">
        <v>10</v>
      </c>
      <c r="N257" s="1">
        <v>11</v>
      </c>
      <c r="O257" s="24">
        <f t="shared" si="9"/>
        <v>107</v>
      </c>
      <c r="P257" s="23">
        <v>1363</v>
      </c>
      <c r="Q257" s="1">
        <v>1143</v>
      </c>
      <c r="R257" s="1">
        <v>1377</v>
      </c>
      <c r="S257" s="1">
        <v>1308</v>
      </c>
      <c r="T257" s="1">
        <v>1043</v>
      </c>
      <c r="U257" s="1">
        <v>1016</v>
      </c>
      <c r="V257" s="1">
        <v>1273</v>
      </c>
      <c r="W257" s="1">
        <v>1337</v>
      </c>
      <c r="X257" s="1">
        <v>943</v>
      </c>
      <c r="Y257" s="1">
        <v>1192</v>
      </c>
      <c r="Z257" s="1">
        <v>1350</v>
      </c>
      <c r="AA257" s="1">
        <v>1807</v>
      </c>
      <c r="AB257" s="24">
        <f t="shared" si="10"/>
        <v>15152</v>
      </c>
      <c r="AC257" s="23">
        <v>49</v>
      </c>
      <c r="AD257" s="1">
        <v>12.6</v>
      </c>
      <c r="AE257" s="1">
        <v>85</v>
      </c>
      <c r="AF257" s="1">
        <v>79</v>
      </c>
      <c r="AG257" s="1">
        <v>0</v>
      </c>
      <c r="AH257" s="1">
        <v>32.6</v>
      </c>
      <c r="AI257" s="1">
        <v>2.6</v>
      </c>
      <c r="AJ257" s="1">
        <v>0.5</v>
      </c>
      <c r="AK257" s="1">
        <v>80.2</v>
      </c>
      <c r="AL257" s="1">
        <v>83</v>
      </c>
      <c r="AM257" s="1">
        <v>9</v>
      </c>
      <c r="AN257" s="1">
        <v>73.400000000000006</v>
      </c>
      <c r="AO257" s="24">
        <f t="shared" si="11"/>
        <v>506.9</v>
      </c>
    </row>
    <row r="258" spans="1:41" ht="17.25" customHeight="1" x14ac:dyDescent="0.45">
      <c r="A258" s="12" t="s">
        <v>23</v>
      </c>
      <c r="B258" s="12" t="s">
        <v>27</v>
      </c>
      <c r="C258" s="25">
        <v>12</v>
      </c>
      <c r="D258" s="10">
        <v>13</v>
      </c>
      <c r="E258" s="10">
        <v>12</v>
      </c>
      <c r="F258" s="10">
        <v>13</v>
      </c>
      <c r="G258" s="10">
        <v>13</v>
      </c>
      <c r="H258" s="10">
        <v>13</v>
      </c>
      <c r="I258" s="10">
        <v>12</v>
      </c>
      <c r="J258" s="10">
        <v>14</v>
      </c>
      <c r="K258" s="10">
        <v>12</v>
      </c>
      <c r="L258" s="10">
        <v>18</v>
      </c>
      <c r="M258" s="10">
        <v>13</v>
      </c>
      <c r="N258" s="10">
        <v>13</v>
      </c>
      <c r="O258" s="26">
        <f t="shared" si="9"/>
        <v>158</v>
      </c>
      <c r="P258" s="25">
        <v>2231</v>
      </c>
      <c r="Q258" s="10">
        <v>2306</v>
      </c>
      <c r="R258" s="10">
        <v>2212</v>
      </c>
      <c r="S258" s="10">
        <v>1863</v>
      </c>
      <c r="T258" s="10">
        <v>2007</v>
      </c>
      <c r="U258" s="10">
        <v>2108</v>
      </c>
      <c r="V258" s="10">
        <v>2066</v>
      </c>
      <c r="W258" s="10">
        <v>2381</v>
      </c>
      <c r="X258" s="10">
        <v>1902</v>
      </c>
      <c r="Y258" s="10">
        <v>2751</v>
      </c>
      <c r="Z258" s="10">
        <v>2130</v>
      </c>
      <c r="AA258" s="10">
        <v>2216</v>
      </c>
      <c r="AB258" s="26">
        <f t="shared" si="10"/>
        <v>26173</v>
      </c>
      <c r="AC258" s="25">
        <v>0</v>
      </c>
      <c r="AD258" s="10">
        <v>0</v>
      </c>
      <c r="AE258" s="10">
        <v>0</v>
      </c>
      <c r="AF258" s="10">
        <v>0</v>
      </c>
      <c r="AG258" s="10">
        <v>0</v>
      </c>
      <c r="AH258" s="10">
        <v>0</v>
      </c>
      <c r="AI258" s="10">
        <v>0</v>
      </c>
      <c r="AJ258" s="10">
        <v>0</v>
      </c>
      <c r="AK258" s="10">
        <v>0</v>
      </c>
      <c r="AL258" s="10">
        <v>0</v>
      </c>
      <c r="AM258" s="10">
        <v>0</v>
      </c>
      <c r="AN258" s="10">
        <v>0</v>
      </c>
      <c r="AO258" s="26">
        <f t="shared" si="11"/>
        <v>0</v>
      </c>
    </row>
    <row r="259" spans="1:41" ht="17.25" customHeight="1" x14ac:dyDescent="0.45">
      <c r="A259" s="2" t="s">
        <v>23</v>
      </c>
      <c r="B259" s="2" t="s">
        <v>49</v>
      </c>
      <c r="C259" s="23">
        <v>0</v>
      </c>
      <c r="D259" s="1">
        <v>0</v>
      </c>
      <c r="E259" s="1">
        <v>0</v>
      </c>
      <c r="F259" s="1">
        <v>0</v>
      </c>
      <c r="G259" s="1">
        <v>0</v>
      </c>
      <c r="H259" s="1">
        <v>0</v>
      </c>
      <c r="I259" s="1">
        <v>0</v>
      </c>
      <c r="J259" s="1">
        <v>0</v>
      </c>
      <c r="K259" s="1">
        <v>25</v>
      </c>
      <c r="L259" s="1">
        <v>28</v>
      </c>
      <c r="M259" s="1">
        <v>29</v>
      </c>
      <c r="N259" s="1">
        <v>28</v>
      </c>
      <c r="O259" s="24">
        <f t="shared" si="9"/>
        <v>110</v>
      </c>
      <c r="P259" s="23">
        <v>0</v>
      </c>
      <c r="Q259" s="1">
        <v>0</v>
      </c>
      <c r="R259" s="1">
        <v>0</v>
      </c>
      <c r="S259" s="1">
        <v>0</v>
      </c>
      <c r="T259" s="1">
        <v>0</v>
      </c>
      <c r="U259" s="1">
        <v>0</v>
      </c>
      <c r="V259" s="1">
        <v>0</v>
      </c>
      <c r="W259" s="1">
        <v>0</v>
      </c>
      <c r="X259" s="1">
        <v>81</v>
      </c>
      <c r="Y259" s="1">
        <v>141</v>
      </c>
      <c r="Z259" s="1">
        <v>118</v>
      </c>
      <c r="AA259" s="1">
        <v>76</v>
      </c>
      <c r="AB259" s="24">
        <f t="shared" si="10"/>
        <v>416</v>
      </c>
      <c r="AC259" s="23">
        <v>0</v>
      </c>
      <c r="AD259" s="1">
        <v>0</v>
      </c>
      <c r="AE259" s="1">
        <v>0</v>
      </c>
      <c r="AF259" s="1">
        <v>0</v>
      </c>
      <c r="AG259" s="1">
        <v>0</v>
      </c>
      <c r="AH259" s="1">
        <v>0</v>
      </c>
      <c r="AI259" s="1">
        <v>0</v>
      </c>
      <c r="AJ259" s="1">
        <v>0</v>
      </c>
      <c r="AK259" s="1">
        <v>0</v>
      </c>
      <c r="AL259" s="1">
        <v>0</v>
      </c>
      <c r="AM259" s="1">
        <v>0</v>
      </c>
      <c r="AN259" s="1">
        <v>0</v>
      </c>
      <c r="AO259" s="24">
        <f t="shared" si="11"/>
        <v>0</v>
      </c>
    </row>
    <row r="260" spans="1:41" ht="17.25" customHeight="1" x14ac:dyDescent="0.45">
      <c r="A260" s="12" t="s">
        <v>23</v>
      </c>
      <c r="B260" s="12" t="s">
        <v>17</v>
      </c>
      <c r="C260" s="25">
        <v>0</v>
      </c>
      <c r="D260" s="10">
        <v>0</v>
      </c>
      <c r="E260" s="10">
        <v>0</v>
      </c>
      <c r="F260" s="10">
        <v>0</v>
      </c>
      <c r="G260" s="10">
        <v>0</v>
      </c>
      <c r="H260" s="10">
        <v>0</v>
      </c>
      <c r="I260" s="10">
        <v>0</v>
      </c>
      <c r="J260" s="10">
        <v>0</v>
      </c>
      <c r="K260" s="10">
        <v>29</v>
      </c>
      <c r="L260" s="10">
        <v>27</v>
      </c>
      <c r="M260" s="10">
        <v>30</v>
      </c>
      <c r="N260" s="10">
        <v>31</v>
      </c>
      <c r="O260" s="26">
        <f t="shared" si="9"/>
        <v>117</v>
      </c>
      <c r="P260" s="25">
        <v>0</v>
      </c>
      <c r="Q260" s="10">
        <v>0</v>
      </c>
      <c r="R260" s="10">
        <v>0</v>
      </c>
      <c r="S260" s="10">
        <v>0</v>
      </c>
      <c r="T260" s="10">
        <v>0</v>
      </c>
      <c r="U260" s="10">
        <v>0</v>
      </c>
      <c r="V260" s="10">
        <v>0</v>
      </c>
      <c r="W260" s="10">
        <v>0</v>
      </c>
      <c r="X260" s="10">
        <v>207</v>
      </c>
      <c r="Y260" s="10">
        <v>209</v>
      </c>
      <c r="Z260" s="10">
        <v>251</v>
      </c>
      <c r="AA260" s="10">
        <v>140</v>
      </c>
      <c r="AB260" s="26">
        <f t="shared" si="10"/>
        <v>807</v>
      </c>
      <c r="AC260" s="25">
        <v>0</v>
      </c>
      <c r="AD260" s="10">
        <v>0</v>
      </c>
      <c r="AE260" s="10">
        <v>0</v>
      </c>
      <c r="AF260" s="10">
        <v>0</v>
      </c>
      <c r="AG260" s="10">
        <v>0</v>
      </c>
      <c r="AH260" s="10">
        <v>0</v>
      </c>
      <c r="AI260" s="10">
        <v>0</v>
      </c>
      <c r="AJ260" s="10">
        <v>0</v>
      </c>
      <c r="AK260" s="10">
        <v>0</v>
      </c>
      <c r="AL260" s="10">
        <v>0</v>
      </c>
      <c r="AM260" s="10">
        <v>0</v>
      </c>
      <c r="AN260" s="10">
        <v>0</v>
      </c>
      <c r="AO260" s="26">
        <f t="shared" si="11"/>
        <v>0</v>
      </c>
    </row>
    <row r="261" spans="1:41" ht="17.25" customHeight="1" x14ac:dyDescent="0.45">
      <c r="A261" s="2" t="s">
        <v>23</v>
      </c>
      <c r="B261" s="2" t="s">
        <v>28</v>
      </c>
      <c r="C261" s="23">
        <v>17</v>
      </c>
      <c r="D261" s="1">
        <v>12</v>
      </c>
      <c r="E261" s="1">
        <v>14</v>
      </c>
      <c r="F261" s="1">
        <v>13</v>
      </c>
      <c r="G261" s="1">
        <v>13</v>
      </c>
      <c r="H261" s="1">
        <v>21</v>
      </c>
      <c r="I261" s="1">
        <v>17</v>
      </c>
      <c r="J261" s="1">
        <v>17</v>
      </c>
      <c r="K261" s="1">
        <v>18</v>
      </c>
      <c r="L261" s="1">
        <v>16</v>
      </c>
      <c r="M261" s="1">
        <v>19</v>
      </c>
      <c r="N261" s="1">
        <v>19</v>
      </c>
      <c r="O261" s="24">
        <f t="shared" si="9"/>
        <v>196</v>
      </c>
      <c r="P261" s="23">
        <v>3637</v>
      </c>
      <c r="Q261" s="1">
        <v>2435</v>
      </c>
      <c r="R261" s="1">
        <v>2927</v>
      </c>
      <c r="S261" s="1">
        <v>2228</v>
      </c>
      <c r="T261" s="1">
        <v>2212</v>
      </c>
      <c r="U261" s="1">
        <v>3193</v>
      </c>
      <c r="V261" s="1">
        <v>2747</v>
      </c>
      <c r="W261" s="1">
        <v>2791</v>
      </c>
      <c r="X261" s="1">
        <v>2895</v>
      </c>
      <c r="Y261" s="1">
        <v>2650</v>
      </c>
      <c r="Z261" s="1">
        <v>3132</v>
      </c>
      <c r="AA261" s="1">
        <v>3179</v>
      </c>
      <c r="AB261" s="24">
        <f t="shared" si="10"/>
        <v>34026</v>
      </c>
      <c r="AC261" s="23">
        <v>0</v>
      </c>
      <c r="AD261" s="1">
        <v>0</v>
      </c>
      <c r="AE261" s="1">
        <v>0</v>
      </c>
      <c r="AF261" s="1">
        <v>0</v>
      </c>
      <c r="AG261" s="1">
        <v>0</v>
      </c>
      <c r="AH261" s="1">
        <v>0</v>
      </c>
      <c r="AI261" s="1">
        <v>0</v>
      </c>
      <c r="AJ261" s="1">
        <v>0</v>
      </c>
      <c r="AK261" s="1">
        <v>0</v>
      </c>
      <c r="AL261" s="1">
        <v>0</v>
      </c>
      <c r="AM261" s="1">
        <v>0</v>
      </c>
      <c r="AN261" s="1">
        <v>0</v>
      </c>
      <c r="AO261" s="24">
        <f t="shared" si="11"/>
        <v>0</v>
      </c>
    </row>
    <row r="262" spans="1:41" ht="17.25" customHeight="1" x14ac:dyDescent="0.45">
      <c r="A262" s="12" t="s">
        <v>23</v>
      </c>
      <c r="B262" s="12" t="s">
        <v>30</v>
      </c>
      <c r="C262" s="25">
        <v>0</v>
      </c>
      <c r="D262" s="10">
        <v>0</v>
      </c>
      <c r="E262" s="10">
        <v>0</v>
      </c>
      <c r="F262" s="10">
        <v>0</v>
      </c>
      <c r="G262" s="10">
        <v>0</v>
      </c>
      <c r="H262" s="10">
        <v>0</v>
      </c>
      <c r="I262" s="10">
        <v>0</v>
      </c>
      <c r="J262" s="10">
        <v>0</v>
      </c>
      <c r="K262" s="10">
        <v>0</v>
      </c>
      <c r="L262" s="10">
        <v>0</v>
      </c>
      <c r="M262" s="10">
        <v>1</v>
      </c>
      <c r="N262" s="10">
        <v>1</v>
      </c>
      <c r="O262" s="26">
        <f t="shared" si="9"/>
        <v>2</v>
      </c>
      <c r="P262" s="25">
        <v>0</v>
      </c>
      <c r="Q262" s="10">
        <v>0</v>
      </c>
      <c r="R262" s="10">
        <v>0</v>
      </c>
      <c r="S262" s="10">
        <v>0</v>
      </c>
      <c r="T262" s="10">
        <v>0</v>
      </c>
      <c r="U262" s="10">
        <v>0</v>
      </c>
      <c r="V262" s="10">
        <v>0</v>
      </c>
      <c r="W262" s="10">
        <v>0</v>
      </c>
      <c r="X262" s="10">
        <v>0</v>
      </c>
      <c r="Y262" s="10">
        <v>0</v>
      </c>
      <c r="Z262" s="10">
        <v>0</v>
      </c>
      <c r="AA262" s="10">
        <v>0</v>
      </c>
      <c r="AB262" s="26">
        <f t="shared" si="10"/>
        <v>0</v>
      </c>
      <c r="AC262" s="25">
        <v>0</v>
      </c>
      <c r="AD262" s="10">
        <v>0</v>
      </c>
      <c r="AE262" s="10">
        <v>0</v>
      </c>
      <c r="AF262" s="10">
        <v>0</v>
      </c>
      <c r="AG262" s="10">
        <v>0</v>
      </c>
      <c r="AH262" s="10">
        <v>0</v>
      </c>
      <c r="AI262" s="10">
        <v>0</v>
      </c>
      <c r="AJ262" s="10">
        <v>0</v>
      </c>
      <c r="AK262" s="10">
        <v>0</v>
      </c>
      <c r="AL262" s="10">
        <v>0</v>
      </c>
      <c r="AM262" s="10">
        <v>7417</v>
      </c>
      <c r="AN262" s="10">
        <v>101</v>
      </c>
      <c r="AO262" s="26">
        <f t="shared" si="11"/>
        <v>7518</v>
      </c>
    </row>
    <row r="263" spans="1:41" ht="17.25" customHeight="1" x14ac:dyDescent="0.45">
      <c r="A263" s="2" t="s">
        <v>23</v>
      </c>
      <c r="B263" s="2" t="s">
        <v>14</v>
      </c>
      <c r="C263" s="23">
        <v>102</v>
      </c>
      <c r="D263" s="1">
        <v>105</v>
      </c>
      <c r="E263" s="1">
        <v>123</v>
      </c>
      <c r="F263" s="1">
        <v>137</v>
      </c>
      <c r="G263" s="1">
        <v>128</v>
      </c>
      <c r="H263" s="1">
        <v>182</v>
      </c>
      <c r="I263" s="1">
        <v>172</v>
      </c>
      <c r="J263" s="1">
        <v>189</v>
      </c>
      <c r="K263" s="1">
        <v>176</v>
      </c>
      <c r="L263" s="1">
        <v>179</v>
      </c>
      <c r="M263" s="1">
        <v>182</v>
      </c>
      <c r="N263" s="1">
        <v>191</v>
      </c>
      <c r="O263" s="24">
        <f t="shared" si="9"/>
        <v>1866</v>
      </c>
      <c r="P263" s="23">
        <v>14774</v>
      </c>
      <c r="Q263" s="1">
        <v>14111</v>
      </c>
      <c r="R263" s="1">
        <v>15492</v>
      </c>
      <c r="S263" s="1">
        <v>14297</v>
      </c>
      <c r="T263" s="1">
        <v>12128</v>
      </c>
      <c r="U263" s="1">
        <v>17892</v>
      </c>
      <c r="V263" s="1">
        <v>20541</v>
      </c>
      <c r="W263" s="1">
        <v>23886</v>
      </c>
      <c r="X263" s="1">
        <v>19127</v>
      </c>
      <c r="Y263" s="1">
        <v>22137</v>
      </c>
      <c r="Z263" s="1">
        <v>23122</v>
      </c>
      <c r="AA263" s="1">
        <v>24236</v>
      </c>
      <c r="AB263" s="24">
        <f t="shared" si="10"/>
        <v>221743</v>
      </c>
      <c r="AC263" s="23">
        <v>20950.2</v>
      </c>
      <c r="AD263" s="1">
        <v>18013</v>
      </c>
      <c r="AE263" s="1">
        <v>78287</v>
      </c>
      <c r="AF263" s="1">
        <v>101068</v>
      </c>
      <c r="AG263" s="1">
        <v>101592</v>
      </c>
      <c r="AH263" s="1">
        <v>108367.8</v>
      </c>
      <c r="AI263" s="1">
        <v>101873.9</v>
      </c>
      <c r="AJ263" s="1">
        <v>99925.700000000012</v>
      </c>
      <c r="AK263" s="1">
        <v>64190.6</v>
      </c>
      <c r="AL263" s="1">
        <v>88762</v>
      </c>
      <c r="AM263" s="1">
        <v>116918.39999999999</v>
      </c>
      <c r="AN263" s="1">
        <v>79882.599999999991</v>
      </c>
      <c r="AO263" s="24">
        <f t="shared" si="11"/>
        <v>979831.20000000007</v>
      </c>
    </row>
    <row r="264" spans="1:41" ht="17.25" customHeight="1" x14ac:dyDescent="0.45">
      <c r="A264" s="12" t="s">
        <v>23</v>
      </c>
      <c r="B264" s="12" t="s">
        <v>15</v>
      </c>
      <c r="C264" s="25">
        <v>4</v>
      </c>
      <c r="D264" s="10">
        <v>0</v>
      </c>
      <c r="E264" s="10">
        <v>0</v>
      </c>
      <c r="F264" s="10">
        <v>0</v>
      </c>
      <c r="G264" s="10">
        <v>0</v>
      </c>
      <c r="H264" s="10">
        <v>0</v>
      </c>
      <c r="I264" s="10">
        <v>0</v>
      </c>
      <c r="J264" s="10">
        <v>0</v>
      </c>
      <c r="K264" s="10">
        <v>0</v>
      </c>
      <c r="L264" s="10">
        <v>0</v>
      </c>
      <c r="M264" s="10">
        <v>12</v>
      </c>
      <c r="N264" s="10">
        <v>12</v>
      </c>
      <c r="O264" s="26">
        <f t="shared" ref="O264:O327" si="12">SUM(C264:N264)</f>
        <v>28</v>
      </c>
      <c r="P264" s="25">
        <v>711</v>
      </c>
      <c r="Q264" s="10">
        <v>0</v>
      </c>
      <c r="R264" s="10">
        <v>0</v>
      </c>
      <c r="S264" s="10">
        <v>0</v>
      </c>
      <c r="T264" s="10">
        <v>0</v>
      </c>
      <c r="U264" s="10">
        <v>0</v>
      </c>
      <c r="V264" s="10">
        <v>0</v>
      </c>
      <c r="W264" s="10">
        <v>0</v>
      </c>
      <c r="X264" s="10">
        <v>0</v>
      </c>
      <c r="Y264" s="10">
        <v>0</v>
      </c>
      <c r="Z264" s="10">
        <v>398</v>
      </c>
      <c r="AA264" s="10">
        <v>394</v>
      </c>
      <c r="AB264" s="26">
        <f t="shared" ref="AB264:AB327" si="13">SUM(P264:AA264)</f>
        <v>1503</v>
      </c>
      <c r="AC264" s="25">
        <v>1225.0999999999999</v>
      </c>
      <c r="AD264" s="10">
        <v>0</v>
      </c>
      <c r="AE264" s="10">
        <v>0</v>
      </c>
      <c r="AF264" s="10">
        <v>0</v>
      </c>
      <c r="AG264" s="10">
        <v>0</v>
      </c>
      <c r="AH264" s="10">
        <v>0</v>
      </c>
      <c r="AI264" s="10">
        <v>0</v>
      </c>
      <c r="AJ264" s="10">
        <v>0</v>
      </c>
      <c r="AK264" s="10">
        <v>0</v>
      </c>
      <c r="AL264" s="10">
        <v>0</v>
      </c>
      <c r="AM264" s="10">
        <v>0</v>
      </c>
      <c r="AN264" s="10">
        <v>0</v>
      </c>
      <c r="AO264" s="26">
        <f t="shared" ref="AO264:AO327" si="14">SUM(AC264:AN264)</f>
        <v>1225.0999999999999</v>
      </c>
    </row>
    <row r="265" spans="1:41" ht="17.25" customHeight="1" x14ac:dyDescent="0.45">
      <c r="A265" s="2" t="s">
        <v>23</v>
      </c>
      <c r="B265" s="2" t="s">
        <v>32</v>
      </c>
      <c r="C265" s="23">
        <v>31</v>
      </c>
      <c r="D265" s="1">
        <v>29</v>
      </c>
      <c r="E265" s="1">
        <v>31</v>
      </c>
      <c r="F265" s="1">
        <v>30</v>
      </c>
      <c r="G265" s="1">
        <v>31</v>
      </c>
      <c r="H265" s="1">
        <v>57</v>
      </c>
      <c r="I265" s="1">
        <v>27</v>
      </c>
      <c r="J265" s="1">
        <v>31</v>
      </c>
      <c r="K265" s="1">
        <v>52</v>
      </c>
      <c r="L265" s="1">
        <v>30</v>
      </c>
      <c r="M265" s="1">
        <v>30</v>
      </c>
      <c r="N265" s="1">
        <v>31</v>
      </c>
      <c r="O265" s="24">
        <f t="shared" si="12"/>
        <v>410</v>
      </c>
      <c r="P265" s="23">
        <v>5511</v>
      </c>
      <c r="Q265" s="1">
        <v>4769</v>
      </c>
      <c r="R265" s="1">
        <v>5008</v>
      </c>
      <c r="S265" s="1">
        <v>5552</v>
      </c>
      <c r="T265" s="1">
        <v>5612</v>
      </c>
      <c r="U265" s="1">
        <v>6537</v>
      </c>
      <c r="V265" s="1">
        <v>4940</v>
      </c>
      <c r="W265" s="1">
        <v>5722</v>
      </c>
      <c r="X265" s="1">
        <v>8034</v>
      </c>
      <c r="Y265" s="1">
        <v>5690</v>
      </c>
      <c r="Z265" s="1">
        <v>6155</v>
      </c>
      <c r="AA265" s="1">
        <v>6395</v>
      </c>
      <c r="AB265" s="24">
        <f t="shared" si="13"/>
        <v>69925</v>
      </c>
      <c r="AC265" s="23">
        <v>0</v>
      </c>
      <c r="AD265" s="1">
        <v>0</v>
      </c>
      <c r="AE265" s="1">
        <v>0</v>
      </c>
      <c r="AF265" s="1">
        <v>0</v>
      </c>
      <c r="AG265" s="1">
        <v>0</v>
      </c>
      <c r="AH265" s="1">
        <v>0</v>
      </c>
      <c r="AI265" s="1">
        <v>0</v>
      </c>
      <c r="AJ265" s="1">
        <v>0</v>
      </c>
      <c r="AK265" s="1">
        <v>0</v>
      </c>
      <c r="AL265" s="1">
        <v>0</v>
      </c>
      <c r="AM265" s="1">
        <v>0</v>
      </c>
      <c r="AN265" s="1">
        <v>0</v>
      </c>
      <c r="AO265" s="24">
        <f t="shared" si="14"/>
        <v>0</v>
      </c>
    </row>
    <row r="266" spans="1:41" ht="17.25" customHeight="1" x14ac:dyDescent="0.45">
      <c r="A266" s="12" t="s">
        <v>23</v>
      </c>
      <c r="B266" s="12" t="s">
        <v>34</v>
      </c>
      <c r="C266" s="25">
        <v>13</v>
      </c>
      <c r="D266" s="10">
        <v>8</v>
      </c>
      <c r="E266" s="10">
        <v>17</v>
      </c>
      <c r="F266" s="10">
        <v>17</v>
      </c>
      <c r="G266" s="10">
        <v>17</v>
      </c>
      <c r="H266" s="10">
        <v>21</v>
      </c>
      <c r="I266" s="10">
        <v>23</v>
      </c>
      <c r="J266" s="10">
        <v>22</v>
      </c>
      <c r="K266" s="10">
        <v>17</v>
      </c>
      <c r="L266" s="10">
        <v>18</v>
      </c>
      <c r="M266" s="10">
        <v>17</v>
      </c>
      <c r="N266" s="10">
        <v>19</v>
      </c>
      <c r="O266" s="26">
        <f t="shared" si="12"/>
        <v>209</v>
      </c>
      <c r="P266" s="25">
        <v>2121</v>
      </c>
      <c r="Q266" s="10">
        <v>1540</v>
      </c>
      <c r="R266" s="10">
        <v>3009</v>
      </c>
      <c r="S266" s="10">
        <v>2583</v>
      </c>
      <c r="T266" s="10">
        <v>2642</v>
      </c>
      <c r="U266" s="10">
        <v>3022</v>
      </c>
      <c r="V266" s="10">
        <v>3534</v>
      </c>
      <c r="W266" s="10">
        <v>3392</v>
      </c>
      <c r="X266" s="10">
        <v>2595</v>
      </c>
      <c r="Y266" s="10">
        <v>2842</v>
      </c>
      <c r="Z266" s="10">
        <v>2514</v>
      </c>
      <c r="AA266" s="10">
        <v>2978</v>
      </c>
      <c r="AB266" s="26">
        <f t="shared" si="13"/>
        <v>32772</v>
      </c>
      <c r="AC266" s="25">
        <v>0</v>
      </c>
      <c r="AD266" s="10">
        <v>0</v>
      </c>
      <c r="AE266" s="10">
        <v>0</v>
      </c>
      <c r="AF266" s="10">
        <v>0</v>
      </c>
      <c r="AG266" s="10">
        <v>0</v>
      </c>
      <c r="AH266" s="10">
        <v>0</v>
      </c>
      <c r="AI266" s="10">
        <v>0</v>
      </c>
      <c r="AJ266" s="10">
        <v>0</v>
      </c>
      <c r="AK266" s="10">
        <v>0</v>
      </c>
      <c r="AL266" s="10">
        <v>0</v>
      </c>
      <c r="AM266" s="10">
        <v>0</v>
      </c>
      <c r="AN266" s="10">
        <v>0</v>
      </c>
      <c r="AO266" s="26">
        <f t="shared" si="14"/>
        <v>0</v>
      </c>
    </row>
    <row r="267" spans="1:41" ht="17.25" customHeight="1" x14ac:dyDescent="0.45">
      <c r="A267" s="2" t="s">
        <v>23</v>
      </c>
      <c r="B267" s="2" t="s">
        <v>35</v>
      </c>
      <c r="C267" s="23">
        <v>21</v>
      </c>
      <c r="D267" s="1">
        <v>16</v>
      </c>
      <c r="E267" s="1">
        <v>19</v>
      </c>
      <c r="F267" s="1">
        <v>21</v>
      </c>
      <c r="G267" s="1">
        <v>27</v>
      </c>
      <c r="H267" s="1">
        <v>29</v>
      </c>
      <c r="I267" s="1">
        <v>24</v>
      </c>
      <c r="J267" s="1">
        <v>27</v>
      </c>
      <c r="K267" s="1">
        <v>26</v>
      </c>
      <c r="L267" s="1">
        <v>26</v>
      </c>
      <c r="M267" s="1">
        <v>25</v>
      </c>
      <c r="N267" s="1">
        <v>27</v>
      </c>
      <c r="O267" s="24">
        <f t="shared" si="12"/>
        <v>288</v>
      </c>
      <c r="P267" s="23">
        <v>3821</v>
      </c>
      <c r="Q267" s="1">
        <v>3216</v>
      </c>
      <c r="R267" s="1">
        <v>3708</v>
      </c>
      <c r="S267" s="1">
        <v>3538</v>
      </c>
      <c r="T267" s="1">
        <v>4276</v>
      </c>
      <c r="U267" s="1">
        <v>4316</v>
      </c>
      <c r="V267" s="1">
        <v>3916</v>
      </c>
      <c r="W267" s="1">
        <v>4342</v>
      </c>
      <c r="X267" s="1">
        <v>3966</v>
      </c>
      <c r="Y267" s="1">
        <v>4272</v>
      </c>
      <c r="Z267" s="1">
        <v>4130</v>
      </c>
      <c r="AA267" s="1">
        <v>4530</v>
      </c>
      <c r="AB267" s="24">
        <f t="shared" si="13"/>
        <v>48031</v>
      </c>
      <c r="AC267" s="23">
        <v>0</v>
      </c>
      <c r="AD267" s="1">
        <v>0</v>
      </c>
      <c r="AE267" s="1">
        <v>0</v>
      </c>
      <c r="AF267" s="1">
        <v>0</v>
      </c>
      <c r="AG267" s="1">
        <v>0</v>
      </c>
      <c r="AH267" s="1">
        <v>0</v>
      </c>
      <c r="AI267" s="1">
        <v>0</v>
      </c>
      <c r="AJ267" s="1">
        <v>0</v>
      </c>
      <c r="AK267" s="1">
        <v>0</v>
      </c>
      <c r="AL267" s="1">
        <v>0</v>
      </c>
      <c r="AM267" s="1">
        <v>0</v>
      </c>
      <c r="AN267" s="1">
        <v>0</v>
      </c>
      <c r="AO267" s="24">
        <f t="shared" si="14"/>
        <v>0</v>
      </c>
    </row>
    <row r="268" spans="1:41" ht="17.25" customHeight="1" x14ac:dyDescent="0.45">
      <c r="A268" s="12" t="s">
        <v>23</v>
      </c>
      <c r="B268" s="12" t="s">
        <v>36</v>
      </c>
      <c r="C268" s="25">
        <v>34</v>
      </c>
      <c r="D268" s="10">
        <v>28</v>
      </c>
      <c r="E268" s="10">
        <v>17</v>
      </c>
      <c r="F268" s="10">
        <v>13</v>
      </c>
      <c r="G268" s="10">
        <v>31</v>
      </c>
      <c r="H268" s="10">
        <v>41</v>
      </c>
      <c r="I268" s="10">
        <v>47</v>
      </c>
      <c r="J268" s="10">
        <v>49</v>
      </c>
      <c r="K268" s="10">
        <v>45</v>
      </c>
      <c r="L268" s="10">
        <v>46</v>
      </c>
      <c r="M268" s="10">
        <v>23</v>
      </c>
      <c r="N268" s="10">
        <v>20</v>
      </c>
      <c r="O268" s="26">
        <f t="shared" si="12"/>
        <v>394</v>
      </c>
      <c r="P268" s="25">
        <v>2446</v>
      </c>
      <c r="Q268" s="10">
        <v>2106</v>
      </c>
      <c r="R268" s="10">
        <v>2407</v>
      </c>
      <c r="S268" s="10">
        <v>2033</v>
      </c>
      <c r="T268" s="10">
        <v>2357</v>
      </c>
      <c r="U268" s="10">
        <v>2037</v>
      </c>
      <c r="V268" s="10">
        <v>2435</v>
      </c>
      <c r="W268" s="10">
        <v>2681</v>
      </c>
      <c r="X268" s="10">
        <v>2310</v>
      </c>
      <c r="Y268" s="10">
        <v>2068</v>
      </c>
      <c r="Z268" s="10">
        <v>2239</v>
      </c>
      <c r="AA268" s="10">
        <v>2302</v>
      </c>
      <c r="AB268" s="26">
        <f t="shared" si="13"/>
        <v>27421</v>
      </c>
      <c r="AC268" s="25">
        <v>105065.2</v>
      </c>
      <c r="AD268" s="10">
        <v>84694.8</v>
      </c>
      <c r="AE268" s="10">
        <v>13014</v>
      </c>
      <c r="AF268" s="10">
        <v>0</v>
      </c>
      <c r="AG268" s="10">
        <v>16.399999999999999</v>
      </c>
      <c r="AH268" s="10">
        <v>3.2</v>
      </c>
      <c r="AI268" s="10">
        <v>9602</v>
      </c>
      <c r="AJ268" s="10">
        <v>6198.6</v>
      </c>
      <c r="AK268" s="10">
        <v>10752</v>
      </c>
      <c r="AL268" s="10">
        <v>13677.2</v>
      </c>
      <c r="AM268" s="10">
        <v>11090</v>
      </c>
      <c r="AN268" s="10">
        <v>7264.8</v>
      </c>
      <c r="AO268" s="26">
        <f t="shared" si="14"/>
        <v>261378.2</v>
      </c>
    </row>
    <row r="269" spans="1:41" ht="17.25" customHeight="1" x14ac:dyDescent="0.45">
      <c r="A269" s="2" t="s">
        <v>24</v>
      </c>
      <c r="B269" s="2" t="s">
        <v>10</v>
      </c>
      <c r="C269" s="23">
        <v>20</v>
      </c>
      <c r="D269" s="1">
        <v>16</v>
      </c>
      <c r="E269" s="1">
        <v>18</v>
      </c>
      <c r="F269" s="1">
        <v>0</v>
      </c>
      <c r="G269" s="1">
        <v>0</v>
      </c>
      <c r="H269" s="1">
        <v>0</v>
      </c>
      <c r="I269" s="1">
        <v>0</v>
      </c>
      <c r="J269" s="1">
        <v>0</v>
      </c>
      <c r="K269" s="1">
        <v>0</v>
      </c>
      <c r="L269" s="1">
        <v>0</v>
      </c>
      <c r="M269" s="1">
        <v>0</v>
      </c>
      <c r="N269" s="1">
        <v>0</v>
      </c>
      <c r="O269" s="24">
        <f t="shared" si="12"/>
        <v>54</v>
      </c>
      <c r="P269" s="23">
        <v>2345</v>
      </c>
      <c r="Q269" s="1">
        <v>1888</v>
      </c>
      <c r="R269" s="1">
        <v>2435</v>
      </c>
      <c r="S269" s="1">
        <v>0</v>
      </c>
      <c r="T269" s="1">
        <v>0</v>
      </c>
      <c r="U269" s="1">
        <v>0</v>
      </c>
      <c r="V269" s="1">
        <v>0</v>
      </c>
      <c r="W269" s="1">
        <v>0</v>
      </c>
      <c r="X269" s="1">
        <v>0</v>
      </c>
      <c r="Y269" s="1">
        <v>0</v>
      </c>
      <c r="Z269" s="1">
        <v>0</v>
      </c>
      <c r="AA269" s="1">
        <v>0</v>
      </c>
      <c r="AB269" s="24">
        <f t="shared" si="13"/>
        <v>6668</v>
      </c>
      <c r="AC269" s="23">
        <v>0</v>
      </c>
      <c r="AD269" s="1">
        <v>976</v>
      </c>
      <c r="AE269" s="1">
        <v>0.01</v>
      </c>
      <c r="AF269" s="1">
        <v>0</v>
      </c>
      <c r="AG269" s="1">
        <v>0</v>
      </c>
      <c r="AH269" s="1">
        <v>0</v>
      </c>
      <c r="AI269" s="1">
        <v>0</v>
      </c>
      <c r="AJ269" s="1">
        <v>0</v>
      </c>
      <c r="AK269" s="1">
        <v>0</v>
      </c>
      <c r="AL269" s="1">
        <v>0</v>
      </c>
      <c r="AM269" s="1">
        <v>0</v>
      </c>
      <c r="AN269" s="1">
        <v>0</v>
      </c>
      <c r="AO269" s="24">
        <f t="shared" si="14"/>
        <v>976.01</v>
      </c>
    </row>
    <row r="270" spans="1:41" ht="17.25" customHeight="1" x14ac:dyDescent="0.45">
      <c r="A270" s="12" t="s">
        <v>24</v>
      </c>
      <c r="B270" s="12" t="s">
        <v>19</v>
      </c>
      <c r="C270" s="25">
        <v>14</v>
      </c>
      <c r="D270" s="10">
        <v>12</v>
      </c>
      <c r="E270" s="10">
        <v>13</v>
      </c>
      <c r="F270" s="10">
        <v>0</v>
      </c>
      <c r="G270" s="10">
        <v>0</v>
      </c>
      <c r="H270" s="10">
        <v>0</v>
      </c>
      <c r="I270" s="10">
        <v>0</v>
      </c>
      <c r="J270" s="10">
        <v>0</v>
      </c>
      <c r="K270" s="10">
        <v>0</v>
      </c>
      <c r="L270" s="10">
        <v>0</v>
      </c>
      <c r="M270" s="10">
        <v>0</v>
      </c>
      <c r="N270" s="10">
        <v>0</v>
      </c>
      <c r="O270" s="26">
        <f t="shared" si="12"/>
        <v>39</v>
      </c>
      <c r="P270" s="25">
        <v>627</v>
      </c>
      <c r="Q270" s="10">
        <v>496</v>
      </c>
      <c r="R270" s="10">
        <v>891</v>
      </c>
      <c r="S270" s="10">
        <v>0</v>
      </c>
      <c r="T270" s="10">
        <v>0</v>
      </c>
      <c r="U270" s="10">
        <v>0</v>
      </c>
      <c r="V270" s="10">
        <v>0</v>
      </c>
      <c r="W270" s="10">
        <v>0</v>
      </c>
      <c r="X270" s="10">
        <v>0</v>
      </c>
      <c r="Y270" s="10">
        <v>0</v>
      </c>
      <c r="Z270" s="10">
        <v>0</v>
      </c>
      <c r="AA270" s="10">
        <v>0</v>
      </c>
      <c r="AB270" s="26">
        <f t="shared" si="13"/>
        <v>2014</v>
      </c>
      <c r="AC270" s="25">
        <v>9</v>
      </c>
      <c r="AD270" s="10">
        <v>0</v>
      </c>
      <c r="AE270" s="10">
        <v>0</v>
      </c>
      <c r="AF270" s="10">
        <v>0</v>
      </c>
      <c r="AG270" s="10">
        <v>0</v>
      </c>
      <c r="AH270" s="10">
        <v>0</v>
      </c>
      <c r="AI270" s="10">
        <v>0</v>
      </c>
      <c r="AJ270" s="10">
        <v>0</v>
      </c>
      <c r="AK270" s="10">
        <v>0</v>
      </c>
      <c r="AL270" s="10">
        <v>0</v>
      </c>
      <c r="AM270" s="10">
        <v>0</v>
      </c>
      <c r="AN270" s="10">
        <v>0</v>
      </c>
      <c r="AO270" s="26">
        <f t="shared" si="14"/>
        <v>9</v>
      </c>
    </row>
    <row r="271" spans="1:41" ht="17.25" customHeight="1" x14ac:dyDescent="0.45">
      <c r="A271" s="2" t="s">
        <v>24</v>
      </c>
      <c r="B271" s="2" t="s">
        <v>20</v>
      </c>
      <c r="C271" s="23">
        <v>9</v>
      </c>
      <c r="D271" s="1">
        <v>8</v>
      </c>
      <c r="E271" s="1">
        <v>9</v>
      </c>
      <c r="F271" s="1">
        <v>0</v>
      </c>
      <c r="G271" s="1">
        <v>0</v>
      </c>
      <c r="H271" s="1">
        <v>0</v>
      </c>
      <c r="I271" s="1">
        <v>0</v>
      </c>
      <c r="J271" s="1">
        <v>0</v>
      </c>
      <c r="K271" s="1">
        <v>0</v>
      </c>
      <c r="L271" s="1">
        <v>0</v>
      </c>
      <c r="M271" s="1">
        <v>0</v>
      </c>
      <c r="N271" s="1">
        <v>0</v>
      </c>
      <c r="O271" s="24">
        <f t="shared" si="12"/>
        <v>26</v>
      </c>
      <c r="P271" s="23">
        <v>850</v>
      </c>
      <c r="Q271" s="1">
        <v>811</v>
      </c>
      <c r="R271" s="1">
        <v>920</v>
      </c>
      <c r="S271" s="1">
        <v>0</v>
      </c>
      <c r="T271" s="1">
        <v>0</v>
      </c>
      <c r="U271" s="1">
        <v>0</v>
      </c>
      <c r="V271" s="1">
        <v>0</v>
      </c>
      <c r="W271" s="1">
        <v>0</v>
      </c>
      <c r="X271" s="1">
        <v>0</v>
      </c>
      <c r="Y271" s="1">
        <v>0</v>
      </c>
      <c r="Z271" s="1">
        <v>0</v>
      </c>
      <c r="AA271" s="1">
        <v>0</v>
      </c>
      <c r="AB271" s="24">
        <f t="shared" si="13"/>
        <v>2581</v>
      </c>
      <c r="AC271" s="23">
        <v>0</v>
      </c>
      <c r="AD271" s="1">
        <v>0</v>
      </c>
      <c r="AE271" s="1">
        <v>6</v>
      </c>
      <c r="AF271" s="1">
        <v>0</v>
      </c>
      <c r="AG271" s="1">
        <v>0</v>
      </c>
      <c r="AH271" s="1">
        <v>0</v>
      </c>
      <c r="AI271" s="1">
        <v>0</v>
      </c>
      <c r="AJ271" s="1">
        <v>0</v>
      </c>
      <c r="AK271" s="1">
        <v>0</v>
      </c>
      <c r="AL271" s="1">
        <v>0</v>
      </c>
      <c r="AM271" s="1">
        <v>0</v>
      </c>
      <c r="AN271" s="1">
        <v>0</v>
      </c>
      <c r="AO271" s="24">
        <f t="shared" si="14"/>
        <v>6</v>
      </c>
    </row>
    <row r="272" spans="1:41" ht="17.25" customHeight="1" x14ac:dyDescent="0.45">
      <c r="A272" s="12" t="s">
        <v>24</v>
      </c>
      <c r="B272" s="12" t="s">
        <v>21</v>
      </c>
      <c r="C272" s="25">
        <v>24</v>
      </c>
      <c r="D272" s="10">
        <v>0</v>
      </c>
      <c r="E272" s="10">
        <v>0</v>
      </c>
      <c r="F272" s="10">
        <v>0</v>
      </c>
      <c r="G272" s="10">
        <v>0</v>
      </c>
      <c r="H272" s="10">
        <v>0</v>
      </c>
      <c r="I272" s="10">
        <v>0</v>
      </c>
      <c r="J272" s="10">
        <v>0</v>
      </c>
      <c r="K272" s="10">
        <v>0</v>
      </c>
      <c r="L272" s="10">
        <v>0</v>
      </c>
      <c r="M272" s="10">
        <v>0</v>
      </c>
      <c r="N272" s="10">
        <v>0</v>
      </c>
      <c r="O272" s="26">
        <f t="shared" si="12"/>
        <v>24</v>
      </c>
      <c r="P272" s="25">
        <v>3578</v>
      </c>
      <c r="Q272" s="10">
        <v>0</v>
      </c>
      <c r="R272" s="10">
        <v>0</v>
      </c>
      <c r="S272" s="10">
        <v>0</v>
      </c>
      <c r="T272" s="10">
        <v>0</v>
      </c>
      <c r="U272" s="10">
        <v>0</v>
      </c>
      <c r="V272" s="10">
        <v>0</v>
      </c>
      <c r="W272" s="10">
        <v>0</v>
      </c>
      <c r="X272" s="10">
        <v>0</v>
      </c>
      <c r="Y272" s="10">
        <v>0</v>
      </c>
      <c r="Z272" s="10">
        <v>0</v>
      </c>
      <c r="AA272" s="10">
        <v>0</v>
      </c>
      <c r="AB272" s="26">
        <f t="shared" si="13"/>
        <v>3578</v>
      </c>
      <c r="AC272" s="25">
        <v>0</v>
      </c>
      <c r="AD272" s="10">
        <v>0</v>
      </c>
      <c r="AE272" s="10">
        <v>0</v>
      </c>
      <c r="AF272" s="10">
        <v>0</v>
      </c>
      <c r="AG272" s="10">
        <v>0</v>
      </c>
      <c r="AH272" s="10">
        <v>0</v>
      </c>
      <c r="AI272" s="10">
        <v>0</v>
      </c>
      <c r="AJ272" s="10">
        <v>0</v>
      </c>
      <c r="AK272" s="10">
        <v>0</v>
      </c>
      <c r="AL272" s="10">
        <v>0</v>
      </c>
      <c r="AM272" s="10">
        <v>0</v>
      </c>
      <c r="AN272" s="10">
        <v>0</v>
      </c>
      <c r="AO272" s="26">
        <f t="shared" si="14"/>
        <v>0</v>
      </c>
    </row>
    <row r="273" spans="1:41" ht="17.25" customHeight="1" x14ac:dyDescent="0.45">
      <c r="A273" s="2" t="s">
        <v>24</v>
      </c>
      <c r="B273" s="2" t="s">
        <v>22</v>
      </c>
      <c r="C273" s="23">
        <v>18</v>
      </c>
      <c r="D273" s="1">
        <v>16</v>
      </c>
      <c r="E273" s="1">
        <v>18</v>
      </c>
      <c r="F273" s="1">
        <v>9</v>
      </c>
      <c r="G273" s="1">
        <v>9</v>
      </c>
      <c r="H273" s="1">
        <v>8</v>
      </c>
      <c r="I273" s="1">
        <v>9</v>
      </c>
      <c r="J273" s="1">
        <v>9</v>
      </c>
      <c r="K273" s="1">
        <v>9</v>
      </c>
      <c r="L273" s="1">
        <v>9</v>
      </c>
      <c r="M273" s="1">
        <v>8</v>
      </c>
      <c r="N273" s="1">
        <v>12</v>
      </c>
      <c r="O273" s="24">
        <f t="shared" si="12"/>
        <v>134</v>
      </c>
      <c r="P273" s="23">
        <v>2380</v>
      </c>
      <c r="Q273" s="1">
        <v>2008</v>
      </c>
      <c r="R273" s="1">
        <v>2551</v>
      </c>
      <c r="S273" s="1">
        <v>1247</v>
      </c>
      <c r="T273" s="1">
        <v>1259</v>
      </c>
      <c r="U273" s="1">
        <v>1139</v>
      </c>
      <c r="V273" s="1">
        <v>1451</v>
      </c>
      <c r="W273" s="1">
        <v>1272</v>
      </c>
      <c r="X273" s="1">
        <v>1208</v>
      </c>
      <c r="Y273" s="1">
        <v>1372</v>
      </c>
      <c r="Z273" s="1">
        <v>1318</v>
      </c>
      <c r="AA273" s="1">
        <v>2023</v>
      </c>
      <c r="AB273" s="24">
        <f t="shared" si="13"/>
        <v>19228</v>
      </c>
      <c r="AC273" s="23">
        <v>84.45</v>
      </c>
      <c r="AD273" s="1">
        <v>0</v>
      </c>
      <c r="AE273" s="1">
        <v>232</v>
      </c>
      <c r="AF273" s="1">
        <v>0</v>
      </c>
      <c r="AG273" s="1">
        <v>0</v>
      </c>
      <c r="AH273" s="1">
        <v>0</v>
      </c>
      <c r="AI273" s="1">
        <v>0</v>
      </c>
      <c r="AJ273" s="1">
        <v>0</v>
      </c>
      <c r="AK273" s="1">
        <v>0</v>
      </c>
      <c r="AL273" s="1">
        <v>107</v>
      </c>
      <c r="AM273" s="1">
        <v>216.1</v>
      </c>
      <c r="AN273" s="1">
        <v>100.2</v>
      </c>
      <c r="AO273" s="24">
        <f t="shared" si="14"/>
        <v>739.75</v>
      </c>
    </row>
    <row r="274" spans="1:41" ht="17.25" customHeight="1" x14ac:dyDescent="0.45">
      <c r="A274" s="12" t="s">
        <v>24</v>
      </c>
      <c r="B274" s="12" t="s">
        <v>11</v>
      </c>
      <c r="C274" s="25">
        <v>71</v>
      </c>
      <c r="D274" s="10">
        <v>61</v>
      </c>
      <c r="E274" s="10">
        <v>65</v>
      </c>
      <c r="F274" s="10">
        <v>60</v>
      </c>
      <c r="G274" s="10">
        <v>62</v>
      </c>
      <c r="H274" s="10">
        <v>84</v>
      </c>
      <c r="I274" s="10">
        <v>92</v>
      </c>
      <c r="J274" s="10">
        <v>76</v>
      </c>
      <c r="K274" s="10">
        <v>60</v>
      </c>
      <c r="L274" s="10">
        <v>62</v>
      </c>
      <c r="M274" s="10">
        <v>60</v>
      </c>
      <c r="N274" s="10">
        <v>112</v>
      </c>
      <c r="O274" s="26">
        <f t="shared" si="12"/>
        <v>865</v>
      </c>
      <c r="P274" s="25">
        <v>11992</v>
      </c>
      <c r="Q274" s="10">
        <v>10351</v>
      </c>
      <c r="R274" s="10">
        <v>10562</v>
      </c>
      <c r="S274" s="10">
        <v>10029</v>
      </c>
      <c r="T274" s="10">
        <v>9848</v>
      </c>
      <c r="U274" s="10">
        <v>13882</v>
      </c>
      <c r="V274" s="10">
        <v>15087</v>
      </c>
      <c r="W274" s="10">
        <v>11440</v>
      </c>
      <c r="X274" s="10">
        <v>9227</v>
      </c>
      <c r="Y274" s="10">
        <v>10120</v>
      </c>
      <c r="Z274" s="10">
        <v>10194</v>
      </c>
      <c r="AA274" s="10">
        <v>18935</v>
      </c>
      <c r="AB274" s="26">
        <f t="shared" si="13"/>
        <v>141667</v>
      </c>
      <c r="AC274" s="25">
        <v>3315.05</v>
      </c>
      <c r="AD274" s="10">
        <v>1683.9500000000003</v>
      </c>
      <c r="AE274" s="10">
        <v>2330.5499999999997</v>
      </c>
      <c r="AF274" s="10">
        <v>3156.7499999999995</v>
      </c>
      <c r="AG274" s="10">
        <v>4035</v>
      </c>
      <c r="AH274" s="10">
        <v>4074.75</v>
      </c>
      <c r="AI274" s="10">
        <v>6270.1500000000005</v>
      </c>
      <c r="AJ274" s="10">
        <v>5213.6999999999989</v>
      </c>
      <c r="AK274" s="10">
        <v>4909.9000000000005</v>
      </c>
      <c r="AL274" s="10">
        <v>4539</v>
      </c>
      <c r="AM274" s="10">
        <v>3551.85</v>
      </c>
      <c r="AN274" s="10">
        <v>5225.55</v>
      </c>
      <c r="AO274" s="26">
        <f t="shared" si="14"/>
        <v>48306.200000000004</v>
      </c>
    </row>
    <row r="275" spans="1:41" ht="17.25" customHeight="1" x14ac:dyDescent="0.45">
      <c r="A275" s="2" t="s">
        <v>24</v>
      </c>
      <c r="B275" s="2" t="s">
        <v>38</v>
      </c>
      <c r="C275" s="23">
        <v>9</v>
      </c>
      <c r="D275" s="1">
        <v>8</v>
      </c>
      <c r="E275" s="1">
        <v>9</v>
      </c>
      <c r="F275" s="1">
        <v>13</v>
      </c>
      <c r="G275" s="1">
        <v>14</v>
      </c>
      <c r="H275" s="1">
        <v>12</v>
      </c>
      <c r="I275" s="1">
        <v>14</v>
      </c>
      <c r="J275" s="1">
        <v>13</v>
      </c>
      <c r="K275" s="1">
        <v>13</v>
      </c>
      <c r="L275" s="1">
        <v>13</v>
      </c>
      <c r="M275" s="1">
        <v>13</v>
      </c>
      <c r="N275" s="1">
        <v>14</v>
      </c>
      <c r="O275" s="24">
        <f t="shared" si="12"/>
        <v>145</v>
      </c>
      <c r="P275" s="23">
        <v>1232</v>
      </c>
      <c r="Q275" s="1">
        <v>1271</v>
      </c>
      <c r="R275" s="1">
        <v>1484</v>
      </c>
      <c r="S275" s="1">
        <v>1564</v>
      </c>
      <c r="T275" s="1">
        <v>1650</v>
      </c>
      <c r="U275" s="1">
        <v>1401</v>
      </c>
      <c r="V275" s="1">
        <v>1634</v>
      </c>
      <c r="W275" s="1">
        <v>1553</v>
      </c>
      <c r="X275" s="1">
        <v>1693</v>
      </c>
      <c r="Y275" s="1">
        <v>1995</v>
      </c>
      <c r="Z275" s="1">
        <v>2087</v>
      </c>
      <c r="AA275" s="1">
        <v>1989</v>
      </c>
      <c r="AB275" s="24">
        <f t="shared" si="13"/>
        <v>19553</v>
      </c>
      <c r="AC275" s="23">
        <v>0</v>
      </c>
      <c r="AD275" s="1">
        <v>0</v>
      </c>
      <c r="AE275" s="1">
        <v>0</v>
      </c>
      <c r="AF275" s="1">
        <v>518.5</v>
      </c>
      <c r="AG275" s="1">
        <v>0</v>
      </c>
      <c r="AH275" s="1">
        <v>0</v>
      </c>
      <c r="AI275" s="1">
        <v>0</v>
      </c>
      <c r="AJ275" s="1">
        <v>0</v>
      </c>
      <c r="AK275" s="1">
        <v>0</v>
      </c>
      <c r="AL275" s="1">
        <v>0</v>
      </c>
      <c r="AM275" s="1">
        <v>0</v>
      </c>
      <c r="AN275" s="1">
        <v>0</v>
      </c>
      <c r="AO275" s="24">
        <f t="shared" si="14"/>
        <v>518.5</v>
      </c>
    </row>
    <row r="276" spans="1:41" ht="17.25" customHeight="1" x14ac:dyDescent="0.45">
      <c r="A276" s="12" t="s">
        <v>24</v>
      </c>
      <c r="B276" s="12" t="s">
        <v>39</v>
      </c>
      <c r="C276" s="25">
        <v>9</v>
      </c>
      <c r="D276" s="10">
        <v>8</v>
      </c>
      <c r="E276" s="10">
        <v>8</v>
      </c>
      <c r="F276" s="10">
        <v>9</v>
      </c>
      <c r="G276" s="10">
        <v>8</v>
      </c>
      <c r="H276" s="10">
        <v>9</v>
      </c>
      <c r="I276" s="10">
        <v>9</v>
      </c>
      <c r="J276" s="10">
        <v>9</v>
      </c>
      <c r="K276" s="10">
        <v>8</v>
      </c>
      <c r="L276" s="10">
        <v>9</v>
      </c>
      <c r="M276" s="10">
        <v>9</v>
      </c>
      <c r="N276" s="10">
        <v>9</v>
      </c>
      <c r="O276" s="26">
        <f t="shared" si="12"/>
        <v>104</v>
      </c>
      <c r="P276" s="25">
        <v>1190</v>
      </c>
      <c r="Q276" s="10">
        <v>1099</v>
      </c>
      <c r="R276" s="10">
        <v>1152</v>
      </c>
      <c r="S276" s="10">
        <v>1295</v>
      </c>
      <c r="T276" s="10">
        <v>1162</v>
      </c>
      <c r="U276" s="10">
        <v>1346</v>
      </c>
      <c r="V276" s="10">
        <v>1350</v>
      </c>
      <c r="W276" s="10">
        <v>1348</v>
      </c>
      <c r="X276" s="10">
        <v>954</v>
      </c>
      <c r="Y276" s="10">
        <v>1287</v>
      </c>
      <c r="Z276" s="10">
        <v>1320</v>
      </c>
      <c r="AA276" s="10">
        <v>1404</v>
      </c>
      <c r="AB276" s="26">
        <f t="shared" si="13"/>
        <v>14907</v>
      </c>
      <c r="AC276" s="25">
        <v>0</v>
      </c>
      <c r="AD276" s="10">
        <v>0</v>
      </c>
      <c r="AE276" s="10">
        <v>0</v>
      </c>
      <c r="AF276" s="10">
        <v>0</v>
      </c>
      <c r="AG276" s="10">
        <v>0</v>
      </c>
      <c r="AH276" s="10">
        <v>0</v>
      </c>
      <c r="AI276" s="10">
        <v>0</v>
      </c>
      <c r="AJ276" s="10">
        <v>0</v>
      </c>
      <c r="AK276" s="10">
        <v>0</v>
      </c>
      <c r="AL276" s="10">
        <v>0</v>
      </c>
      <c r="AM276" s="10">
        <v>0</v>
      </c>
      <c r="AN276" s="10">
        <v>0</v>
      </c>
      <c r="AO276" s="26">
        <f t="shared" si="14"/>
        <v>0</v>
      </c>
    </row>
    <row r="277" spans="1:41" ht="17.25" customHeight="1" x14ac:dyDescent="0.45">
      <c r="A277" s="2" t="s">
        <v>24</v>
      </c>
      <c r="B277" s="2" t="s">
        <v>12</v>
      </c>
      <c r="C277" s="23">
        <v>114</v>
      </c>
      <c r="D277" s="1">
        <v>90</v>
      </c>
      <c r="E277" s="1">
        <v>94</v>
      </c>
      <c r="F277" s="1">
        <v>90</v>
      </c>
      <c r="G277" s="1">
        <v>93</v>
      </c>
      <c r="H277" s="1">
        <v>100</v>
      </c>
      <c r="I277" s="1">
        <v>123</v>
      </c>
      <c r="J277" s="1">
        <v>124</v>
      </c>
      <c r="K277" s="1">
        <v>90</v>
      </c>
      <c r="L277" s="1">
        <v>93</v>
      </c>
      <c r="M277" s="1">
        <v>90</v>
      </c>
      <c r="N277" s="1">
        <v>102</v>
      </c>
      <c r="O277" s="24">
        <f t="shared" si="12"/>
        <v>1203</v>
      </c>
      <c r="P277" s="23">
        <v>16715</v>
      </c>
      <c r="Q277" s="1">
        <v>13752</v>
      </c>
      <c r="R277" s="1">
        <v>15134</v>
      </c>
      <c r="S277" s="1">
        <v>14047</v>
      </c>
      <c r="T277" s="1">
        <v>14179</v>
      </c>
      <c r="U277" s="1">
        <v>14934</v>
      </c>
      <c r="V277" s="1">
        <v>18741</v>
      </c>
      <c r="W277" s="1">
        <v>16799</v>
      </c>
      <c r="X277" s="1">
        <v>14030</v>
      </c>
      <c r="Y277" s="1">
        <v>15274</v>
      </c>
      <c r="Z277" s="1">
        <v>15544</v>
      </c>
      <c r="AA277" s="1">
        <v>17555</v>
      </c>
      <c r="AB277" s="24">
        <f t="shared" si="13"/>
        <v>186704</v>
      </c>
      <c r="AC277" s="23">
        <v>77653</v>
      </c>
      <c r="AD277" s="1">
        <v>76218.7</v>
      </c>
      <c r="AE277" s="1">
        <v>82294</v>
      </c>
      <c r="AF277" s="1">
        <v>65800.95</v>
      </c>
      <c r="AG277" s="1">
        <v>81993</v>
      </c>
      <c r="AH277" s="1">
        <v>79280.2</v>
      </c>
      <c r="AI277" s="1">
        <v>95546.07</v>
      </c>
      <c r="AJ277" s="1">
        <v>95980.090000000026</v>
      </c>
      <c r="AK277" s="1">
        <v>103751.08999999998</v>
      </c>
      <c r="AL277" s="1">
        <v>80809</v>
      </c>
      <c r="AM277" s="1">
        <v>74657.449999999983</v>
      </c>
      <c r="AN277" s="1">
        <v>68813.55</v>
      </c>
      <c r="AO277" s="24">
        <f t="shared" si="14"/>
        <v>982797.1</v>
      </c>
    </row>
    <row r="278" spans="1:41" ht="17.25" customHeight="1" x14ac:dyDescent="0.45">
      <c r="A278" s="12" t="s">
        <v>24</v>
      </c>
      <c r="B278" s="12" t="s">
        <v>13</v>
      </c>
      <c r="C278" s="25">
        <v>15</v>
      </c>
      <c r="D278" s="10">
        <v>13</v>
      </c>
      <c r="E278" s="10">
        <v>12</v>
      </c>
      <c r="F278" s="10">
        <v>15</v>
      </c>
      <c r="G278" s="10">
        <v>18</v>
      </c>
      <c r="H278" s="10">
        <v>13</v>
      </c>
      <c r="I278" s="10">
        <v>22</v>
      </c>
      <c r="J278" s="10">
        <v>21</v>
      </c>
      <c r="K278" s="10">
        <v>17</v>
      </c>
      <c r="L278" s="10">
        <v>17</v>
      </c>
      <c r="M278" s="10">
        <v>46</v>
      </c>
      <c r="N278" s="10">
        <v>49</v>
      </c>
      <c r="O278" s="26">
        <f t="shared" si="12"/>
        <v>258</v>
      </c>
      <c r="P278" s="25">
        <v>2384</v>
      </c>
      <c r="Q278" s="10">
        <v>1922</v>
      </c>
      <c r="R278" s="10">
        <v>1833</v>
      </c>
      <c r="S278" s="10">
        <v>2519</v>
      </c>
      <c r="T278" s="10">
        <v>2847</v>
      </c>
      <c r="U278" s="10">
        <v>2265</v>
      </c>
      <c r="V278" s="10">
        <v>3288</v>
      </c>
      <c r="W278" s="10">
        <v>2856</v>
      </c>
      <c r="X278" s="10">
        <v>2514</v>
      </c>
      <c r="Y278" s="10">
        <v>2494</v>
      </c>
      <c r="Z278" s="10">
        <v>7375</v>
      </c>
      <c r="AA278" s="10">
        <v>7831</v>
      </c>
      <c r="AB278" s="26">
        <f t="shared" si="13"/>
        <v>40128</v>
      </c>
      <c r="AC278" s="25">
        <v>0</v>
      </c>
      <c r="AD278" s="10">
        <v>0</v>
      </c>
      <c r="AE278" s="10">
        <v>0</v>
      </c>
      <c r="AF278" s="10">
        <v>0</v>
      </c>
      <c r="AG278" s="10">
        <v>0</v>
      </c>
      <c r="AH278" s="10">
        <v>0</v>
      </c>
      <c r="AI278" s="10">
        <v>0</v>
      </c>
      <c r="AJ278" s="10">
        <v>0</v>
      </c>
      <c r="AK278" s="10">
        <v>0</v>
      </c>
      <c r="AL278" s="10">
        <v>0</v>
      </c>
      <c r="AM278" s="10">
        <v>71.099999999999994</v>
      </c>
      <c r="AN278" s="10">
        <v>0</v>
      </c>
      <c r="AO278" s="26">
        <f t="shared" si="14"/>
        <v>71.099999999999994</v>
      </c>
    </row>
    <row r="279" spans="1:41" ht="17.25" customHeight="1" x14ac:dyDescent="0.45">
      <c r="A279" s="2" t="s">
        <v>24</v>
      </c>
      <c r="B279" s="2" t="s">
        <v>25</v>
      </c>
      <c r="C279" s="23">
        <v>9</v>
      </c>
      <c r="D279" s="1">
        <v>8</v>
      </c>
      <c r="E279" s="1">
        <v>9</v>
      </c>
      <c r="F279" s="1">
        <v>0</v>
      </c>
      <c r="G279" s="1">
        <v>0</v>
      </c>
      <c r="H279" s="1">
        <v>0</v>
      </c>
      <c r="I279" s="1">
        <v>0</v>
      </c>
      <c r="J279" s="1">
        <v>0</v>
      </c>
      <c r="K279" s="1">
        <v>0</v>
      </c>
      <c r="L279" s="1">
        <v>0</v>
      </c>
      <c r="M279" s="1">
        <v>0</v>
      </c>
      <c r="N279" s="1">
        <v>0</v>
      </c>
      <c r="O279" s="24">
        <f t="shared" si="12"/>
        <v>26</v>
      </c>
      <c r="P279" s="23">
        <v>1370</v>
      </c>
      <c r="Q279" s="1">
        <v>1172</v>
      </c>
      <c r="R279" s="1">
        <v>1332</v>
      </c>
      <c r="S279" s="1">
        <v>0</v>
      </c>
      <c r="T279" s="1">
        <v>0</v>
      </c>
      <c r="U279" s="1">
        <v>0</v>
      </c>
      <c r="V279" s="1">
        <v>0</v>
      </c>
      <c r="W279" s="1">
        <v>0</v>
      </c>
      <c r="X279" s="1">
        <v>0</v>
      </c>
      <c r="Y279" s="1">
        <v>0</v>
      </c>
      <c r="Z279" s="1">
        <v>0</v>
      </c>
      <c r="AA279" s="1">
        <v>0</v>
      </c>
      <c r="AB279" s="24">
        <f t="shared" si="13"/>
        <v>3874</v>
      </c>
      <c r="AC279" s="23">
        <v>0</v>
      </c>
      <c r="AD279" s="1">
        <v>0</v>
      </c>
      <c r="AE279" s="1">
        <v>0</v>
      </c>
      <c r="AF279" s="1">
        <v>0</v>
      </c>
      <c r="AG279" s="1">
        <v>0</v>
      </c>
      <c r="AH279" s="1">
        <v>0</v>
      </c>
      <c r="AI279" s="1">
        <v>0</v>
      </c>
      <c r="AJ279" s="1">
        <v>0</v>
      </c>
      <c r="AK279" s="1">
        <v>0</v>
      </c>
      <c r="AL279" s="1">
        <v>0</v>
      </c>
      <c r="AM279" s="1">
        <v>0</v>
      </c>
      <c r="AN279" s="1">
        <v>0</v>
      </c>
      <c r="AO279" s="24">
        <f t="shared" si="14"/>
        <v>0</v>
      </c>
    </row>
    <row r="280" spans="1:41" ht="17.25" customHeight="1" x14ac:dyDescent="0.45">
      <c r="A280" s="12" t="s">
        <v>24</v>
      </c>
      <c r="B280" s="12" t="s">
        <v>26</v>
      </c>
      <c r="C280" s="25">
        <v>9</v>
      </c>
      <c r="D280" s="10">
        <v>8</v>
      </c>
      <c r="E280" s="10">
        <v>9</v>
      </c>
      <c r="F280" s="10">
        <v>0</v>
      </c>
      <c r="G280" s="10">
        <v>0</v>
      </c>
      <c r="H280" s="10">
        <v>0</v>
      </c>
      <c r="I280" s="10">
        <v>0</v>
      </c>
      <c r="J280" s="10">
        <v>0</v>
      </c>
      <c r="K280" s="10">
        <v>0</v>
      </c>
      <c r="L280" s="10">
        <v>0</v>
      </c>
      <c r="M280" s="10">
        <v>0</v>
      </c>
      <c r="N280" s="10">
        <v>0</v>
      </c>
      <c r="O280" s="26">
        <f t="shared" si="12"/>
        <v>26</v>
      </c>
      <c r="P280" s="25">
        <v>786</v>
      </c>
      <c r="Q280" s="10">
        <v>753</v>
      </c>
      <c r="R280" s="10">
        <v>1044</v>
      </c>
      <c r="S280" s="10">
        <v>0</v>
      </c>
      <c r="T280" s="10">
        <v>0</v>
      </c>
      <c r="U280" s="10">
        <v>0</v>
      </c>
      <c r="V280" s="10">
        <v>0</v>
      </c>
      <c r="W280" s="10">
        <v>0</v>
      </c>
      <c r="X280" s="10">
        <v>0</v>
      </c>
      <c r="Y280" s="10">
        <v>0</v>
      </c>
      <c r="Z280" s="10">
        <v>0</v>
      </c>
      <c r="AA280" s="10">
        <v>0</v>
      </c>
      <c r="AB280" s="26">
        <f t="shared" si="13"/>
        <v>2583</v>
      </c>
      <c r="AC280" s="25">
        <v>148</v>
      </c>
      <c r="AD280" s="10">
        <v>0</v>
      </c>
      <c r="AE280" s="10">
        <v>0</v>
      </c>
      <c r="AF280" s="10">
        <v>0</v>
      </c>
      <c r="AG280" s="10">
        <v>0</v>
      </c>
      <c r="AH280" s="10">
        <v>0</v>
      </c>
      <c r="AI280" s="10">
        <v>0</v>
      </c>
      <c r="AJ280" s="10">
        <v>0</v>
      </c>
      <c r="AK280" s="10">
        <v>0</v>
      </c>
      <c r="AL280" s="10">
        <v>0</v>
      </c>
      <c r="AM280" s="10">
        <v>0</v>
      </c>
      <c r="AN280" s="10">
        <v>0</v>
      </c>
      <c r="AO280" s="26">
        <f t="shared" si="14"/>
        <v>148</v>
      </c>
    </row>
    <row r="281" spans="1:41" ht="17.25" customHeight="1" x14ac:dyDescent="0.45">
      <c r="A281" s="2" t="s">
        <v>24</v>
      </c>
      <c r="B281" s="2" t="s">
        <v>17</v>
      </c>
      <c r="C281" s="23">
        <v>3</v>
      </c>
      <c r="D281" s="1">
        <v>0</v>
      </c>
      <c r="E281" s="1">
        <v>0</v>
      </c>
      <c r="F281" s="1">
        <v>8</v>
      </c>
      <c r="G281" s="1">
        <v>9</v>
      </c>
      <c r="H281" s="1">
        <v>12</v>
      </c>
      <c r="I281" s="1">
        <v>13</v>
      </c>
      <c r="J281" s="1">
        <v>10</v>
      </c>
      <c r="K281" s="1">
        <v>9</v>
      </c>
      <c r="L281" s="1">
        <v>9</v>
      </c>
      <c r="M281" s="1">
        <v>8</v>
      </c>
      <c r="N281" s="1">
        <v>10</v>
      </c>
      <c r="O281" s="24">
        <f t="shared" si="12"/>
        <v>91</v>
      </c>
      <c r="P281" s="23">
        <v>304</v>
      </c>
      <c r="Q281" s="1">
        <v>0</v>
      </c>
      <c r="R281" s="1">
        <v>0</v>
      </c>
      <c r="S281" s="1">
        <v>1227</v>
      </c>
      <c r="T281" s="1">
        <v>1316</v>
      </c>
      <c r="U281" s="1">
        <v>1932</v>
      </c>
      <c r="V281" s="1">
        <v>2042</v>
      </c>
      <c r="W281" s="1">
        <v>1444</v>
      </c>
      <c r="X281" s="1">
        <v>1239</v>
      </c>
      <c r="Y281" s="1">
        <v>1422</v>
      </c>
      <c r="Z281" s="1">
        <v>1214</v>
      </c>
      <c r="AA281" s="1">
        <v>1419</v>
      </c>
      <c r="AB281" s="24">
        <f t="shared" si="13"/>
        <v>13559</v>
      </c>
      <c r="AC281" s="23">
        <v>0</v>
      </c>
      <c r="AD281" s="1">
        <v>0</v>
      </c>
      <c r="AE281" s="1">
        <v>0</v>
      </c>
      <c r="AF281" s="1">
        <v>0</v>
      </c>
      <c r="AG281" s="1">
        <v>0</v>
      </c>
      <c r="AH281" s="1">
        <v>0</v>
      </c>
      <c r="AI281" s="1">
        <v>0</v>
      </c>
      <c r="AJ281" s="1">
        <v>0</v>
      </c>
      <c r="AK281" s="1">
        <v>0</v>
      </c>
      <c r="AL281" s="1">
        <v>0</v>
      </c>
      <c r="AM281" s="1">
        <v>0</v>
      </c>
      <c r="AN281" s="1">
        <v>0</v>
      </c>
      <c r="AO281" s="24">
        <f t="shared" si="14"/>
        <v>0</v>
      </c>
    </row>
    <row r="282" spans="1:41" ht="17.25" customHeight="1" x14ac:dyDescent="0.45">
      <c r="A282" s="12" t="s">
        <v>24</v>
      </c>
      <c r="B282" s="12" t="s">
        <v>28</v>
      </c>
      <c r="C282" s="25">
        <v>6</v>
      </c>
      <c r="D282" s="10">
        <v>4</v>
      </c>
      <c r="E282" s="10">
        <v>4</v>
      </c>
      <c r="F282" s="10">
        <v>0</v>
      </c>
      <c r="G282" s="10">
        <v>0</v>
      </c>
      <c r="H282" s="10">
        <v>0</v>
      </c>
      <c r="I282" s="10">
        <v>0</v>
      </c>
      <c r="J282" s="10">
        <v>0</v>
      </c>
      <c r="K282" s="10">
        <v>0</v>
      </c>
      <c r="L282" s="10">
        <v>0</v>
      </c>
      <c r="M282" s="10">
        <v>0</v>
      </c>
      <c r="N282" s="10">
        <v>0</v>
      </c>
      <c r="O282" s="26">
        <f t="shared" si="12"/>
        <v>14</v>
      </c>
      <c r="P282" s="25">
        <v>526</v>
      </c>
      <c r="Q282" s="10">
        <v>444</v>
      </c>
      <c r="R282" s="10">
        <v>403</v>
      </c>
      <c r="S282" s="10">
        <v>0</v>
      </c>
      <c r="T282" s="10">
        <v>0</v>
      </c>
      <c r="U282" s="10">
        <v>0</v>
      </c>
      <c r="V282" s="10">
        <v>0</v>
      </c>
      <c r="W282" s="10">
        <v>0</v>
      </c>
      <c r="X282" s="10">
        <v>0</v>
      </c>
      <c r="Y282" s="10">
        <v>0</v>
      </c>
      <c r="Z282" s="10">
        <v>0</v>
      </c>
      <c r="AA282" s="10">
        <v>0</v>
      </c>
      <c r="AB282" s="26">
        <f t="shared" si="13"/>
        <v>1373</v>
      </c>
      <c r="AC282" s="25">
        <v>0</v>
      </c>
      <c r="AD282" s="10">
        <v>55.3</v>
      </c>
      <c r="AE282" s="10">
        <v>0</v>
      </c>
      <c r="AF282" s="10">
        <v>0</v>
      </c>
      <c r="AG282" s="10">
        <v>0</v>
      </c>
      <c r="AH282" s="10">
        <v>0</v>
      </c>
      <c r="AI282" s="10">
        <v>0</v>
      </c>
      <c r="AJ282" s="10">
        <v>0</v>
      </c>
      <c r="AK282" s="10">
        <v>0</v>
      </c>
      <c r="AL282" s="10">
        <v>0</v>
      </c>
      <c r="AM282" s="10">
        <v>0</v>
      </c>
      <c r="AN282" s="10">
        <v>0</v>
      </c>
      <c r="AO282" s="26">
        <f t="shared" si="14"/>
        <v>55.3</v>
      </c>
    </row>
    <row r="283" spans="1:41" ht="17.25" customHeight="1" x14ac:dyDescent="0.45">
      <c r="A283" s="2" t="s">
        <v>24</v>
      </c>
      <c r="B283" s="2" t="s">
        <v>48</v>
      </c>
      <c r="C283" s="23">
        <v>8</v>
      </c>
      <c r="D283" s="1">
        <v>9</v>
      </c>
      <c r="E283" s="1">
        <v>8</v>
      </c>
      <c r="F283" s="1">
        <v>8</v>
      </c>
      <c r="G283" s="1">
        <v>9</v>
      </c>
      <c r="H283" s="1">
        <v>12</v>
      </c>
      <c r="I283" s="1">
        <v>13</v>
      </c>
      <c r="J283" s="1">
        <v>11</v>
      </c>
      <c r="K283" s="1">
        <v>9</v>
      </c>
      <c r="L283" s="1">
        <v>9</v>
      </c>
      <c r="M283" s="1">
        <v>8</v>
      </c>
      <c r="N283" s="1">
        <v>10</v>
      </c>
      <c r="O283" s="24">
        <f t="shared" si="12"/>
        <v>114</v>
      </c>
      <c r="P283" s="23">
        <v>908</v>
      </c>
      <c r="Q283" s="1">
        <v>1205</v>
      </c>
      <c r="R283" s="1">
        <v>1259</v>
      </c>
      <c r="S283" s="1">
        <v>1154</v>
      </c>
      <c r="T283" s="1">
        <v>1292</v>
      </c>
      <c r="U283" s="1">
        <v>1825</v>
      </c>
      <c r="V283" s="1">
        <v>2053</v>
      </c>
      <c r="W283" s="1">
        <v>1440</v>
      </c>
      <c r="X283" s="1">
        <v>1210</v>
      </c>
      <c r="Y283" s="1">
        <v>1334</v>
      </c>
      <c r="Z283" s="1">
        <v>1193</v>
      </c>
      <c r="AA283" s="1">
        <v>1353</v>
      </c>
      <c r="AB283" s="24">
        <f t="shared" si="13"/>
        <v>16226</v>
      </c>
      <c r="AC283" s="23">
        <v>0</v>
      </c>
      <c r="AD283" s="1">
        <v>0</v>
      </c>
      <c r="AE283" s="1">
        <v>0</v>
      </c>
      <c r="AF283" s="1">
        <v>0</v>
      </c>
      <c r="AG283" s="1">
        <v>0</v>
      </c>
      <c r="AH283" s="1">
        <v>0</v>
      </c>
      <c r="AI283" s="1">
        <v>0</v>
      </c>
      <c r="AJ283" s="1">
        <v>0</v>
      </c>
      <c r="AK283" s="1">
        <v>0</v>
      </c>
      <c r="AL283" s="1">
        <v>385</v>
      </c>
      <c r="AM283" s="1">
        <v>0</v>
      </c>
      <c r="AN283" s="1">
        <v>0</v>
      </c>
      <c r="AO283" s="24">
        <f t="shared" si="14"/>
        <v>385</v>
      </c>
    </row>
    <row r="284" spans="1:41" ht="17.25" customHeight="1" x14ac:dyDescent="0.45">
      <c r="A284" s="12" t="s">
        <v>24</v>
      </c>
      <c r="B284" s="12" t="s">
        <v>34</v>
      </c>
      <c r="C284" s="25">
        <v>9</v>
      </c>
      <c r="D284" s="10">
        <v>8</v>
      </c>
      <c r="E284" s="10">
        <v>9</v>
      </c>
      <c r="F284" s="10">
        <v>0</v>
      </c>
      <c r="G284" s="10">
        <v>0</v>
      </c>
      <c r="H284" s="10">
        <v>0</v>
      </c>
      <c r="I284" s="10">
        <v>0</v>
      </c>
      <c r="J284" s="10">
        <v>0</v>
      </c>
      <c r="K284" s="10">
        <v>0</v>
      </c>
      <c r="L284" s="10">
        <v>0</v>
      </c>
      <c r="M284" s="10">
        <v>0</v>
      </c>
      <c r="N284" s="10">
        <v>0</v>
      </c>
      <c r="O284" s="26">
        <f t="shared" si="12"/>
        <v>26</v>
      </c>
      <c r="P284" s="25">
        <v>724</v>
      </c>
      <c r="Q284" s="10">
        <v>812</v>
      </c>
      <c r="R284" s="10">
        <v>1004</v>
      </c>
      <c r="S284" s="10">
        <v>0</v>
      </c>
      <c r="T284" s="10">
        <v>0</v>
      </c>
      <c r="U284" s="10">
        <v>0</v>
      </c>
      <c r="V284" s="10">
        <v>0</v>
      </c>
      <c r="W284" s="10">
        <v>0</v>
      </c>
      <c r="X284" s="10">
        <v>0</v>
      </c>
      <c r="Y284" s="10">
        <v>0</v>
      </c>
      <c r="Z284" s="10">
        <v>0</v>
      </c>
      <c r="AA284" s="10">
        <v>0</v>
      </c>
      <c r="AB284" s="26">
        <f t="shared" si="13"/>
        <v>2540</v>
      </c>
      <c r="AC284" s="25">
        <v>110</v>
      </c>
      <c r="AD284" s="10">
        <v>0</v>
      </c>
      <c r="AE284" s="10">
        <v>0</v>
      </c>
      <c r="AF284" s="10">
        <v>0</v>
      </c>
      <c r="AG284" s="10">
        <v>0</v>
      </c>
      <c r="AH284" s="10">
        <v>0</v>
      </c>
      <c r="AI284" s="10">
        <v>0</v>
      </c>
      <c r="AJ284" s="10">
        <v>0</v>
      </c>
      <c r="AK284" s="10">
        <v>0</v>
      </c>
      <c r="AL284" s="10">
        <v>0</v>
      </c>
      <c r="AM284" s="10">
        <v>0</v>
      </c>
      <c r="AN284" s="10">
        <v>0</v>
      </c>
      <c r="AO284" s="26">
        <f t="shared" si="14"/>
        <v>110</v>
      </c>
    </row>
    <row r="285" spans="1:41" ht="17.25" customHeight="1" x14ac:dyDescent="0.45">
      <c r="A285" s="2" t="s">
        <v>12</v>
      </c>
      <c r="B285" s="2" t="s">
        <v>9</v>
      </c>
      <c r="C285" s="23">
        <v>95</v>
      </c>
      <c r="D285" s="1">
        <v>88</v>
      </c>
      <c r="E285" s="1">
        <v>84</v>
      </c>
      <c r="F285" s="1">
        <v>105</v>
      </c>
      <c r="G285" s="1">
        <v>141</v>
      </c>
      <c r="H285" s="1">
        <v>128</v>
      </c>
      <c r="I285" s="1">
        <v>131</v>
      </c>
      <c r="J285" s="1">
        <v>132</v>
      </c>
      <c r="K285" s="1">
        <v>74</v>
      </c>
      <c r="L285" s="1">
        <v>66</v>
      </c>
      <c r="M285" s="1">
        <v>72</v>
      </c>
      <c r="N285" s="1">
        <v>84</v>
      </c>
      <c r="O285" s="24">
        <f t="shared" si="12"/>
        <v>1200</v>
      </c>
      <c r="P285" s="23">
        <v>8134</v>
      </c>
      <c r="Q285" s="1">
        <v>9400</v>
      </c>
      <c r="R285" s="1">
        <v>8845</v>
      </c>
      <c r="S285" s="1">
        <v>11762</v>
      </c>
      <c r="T285" s="1">
        <v>13191</v>
      </c>
      <c r="U285" s="1">
        <v>12873</v>
      </c>
      <c r="V285" s="1">
        <v>14756</v>
      </c>
      <c r="W285" s="1">
        <v>13065</v>
      </c>
      <c r="X285" s="1">
        <v>8128</v>
      </c>
      <c r="Y285" s="1">
        <v>6137</v>
      </c>
      <c r="Z285" s="1">
        <v>10441</v>
      </c>
      <c r="AA285" s="1">
        <v>10590</v>
      </c>
      <c r="AB285" s="24">
        <f t="shared" si="13"/>
        <v>127322</v>
      </c>
      <c r="AC285" s="23">
        <v>144</v>
      </c>
      <c r="AD285" s="1">
        <v>102</v>
      </c>
      <c r="AE285" s="1">
        <v>125</v>
      </c>
      <c r="AF285" s="1">
        <v>36</v>
      </c>
      <c r="AG285" s="1">
        <v>160</v>
      </c>
      <c r="AH285" s="1">
        <v>107</v>
      </c>
      <c r="AI285" s="1">
        <v>458</v>
      </c>
      <c r="AJ285" s="1">
        <v>281</v>
      </c>
      <c r="AK285" s="1">
        <v>44</v>
      </c>
      <c r="AL285" s="1">
        <v>813</v>
      </c>
      <c r="AM285" s="1">
        <v>196</v>
      </c>
      <c r="AN285" s="1">
        <v>128</v>
      </c>
      <c r="AO285" s="24">
        <f t="shared" si="14"/>
        <v>2594</v>
      </c>
    </row>
    <row r="286" spans="1:41" ht="17.25" customHeight="1" x14ac:dyDescent="0.45">
      <c r="A286" s="12" t="s">
        <v>12</v>
      </c>
      <c r="B286" s="12" t="s">
        <v>16</v>
      </c>
      <c r="C286" s="25">
        <v>118</v>
      </c>
      <c r="D286" s="10">
        <v>135</v>
      </c>
      <c r="E286" s="10">
        <v>126</v>
      </c>
      <c r="F286" s="10">
        <v>171</v>
      </c>
      <c r="G286" s="10">
        <v>174</v>
      </c>
      <c r="H286" s="10">
        <v>149</v>
      </c>
      <c r="I286" s="10">
        <v>119</v>
      </c>
      <c r="J286" s="10">
        <v>119</v>
      </c>
      <c r="K286" s="10">
        <v>115</v>
      </c>
      <c r="L286" s="10">
        <v>122</v>
      </c>
      <c r="M286" s="10">
        <v>140</v>
      </c>
      <c r="N286" s="10">
        <v>125</v>
      </c>
      <c r="O286" s="26">
        <f t="shared" si="12"/>
        <v>1613</v>
      </c>
      <c r="P286" s="25">
        <v>10476</v>
      </c>
      <c r="Q286" s="10">
        <v>11186</v>
      </c>
      <c r="R286" s="10">
        <v>12992</v>
      </c>
      <c r="S286" s="10">
        <v>14857</v>
      </c>
      <c r="T286" s="10">
        <v>15438</v>
      </c>
      <c r="U286" s="10">
        <v>13967</v>
      </c>
      <c r="V286" s="10">
        <v>12132</v>
      </c>
      <c r="W286" s="10">
        <v>12371</v>
      </c>
      <c r="X286" s="10">
        <v>13560</v>
      </c>
      <c r="Y286" s="10">
        <v>13950</v>
      </c>
      <c r="Z286" s="10">
        <v>13349</v>
      </c>
      <c r="AA286" s="10">
        <v>12250</v>
      </c>
      <c r="AB286" s="26">
        <f t="shared" si="13"/>
        <v>156528</v>
      </c>
      <c r="AC286" s="25">
        <v>18354</v>
      </c>
      <c r="AD286" s="10">
        <v>16442</v>
      </c>
      <c r="AE286" s="10">
        <v>19586</v>
      </c>
      <c r="AF286" s="10">
        <v>16788</v>
      </c>
      <c r="AG286" s="10">
        <v>20991</v>
      </c>
      <c r="AH286" s="10">
        <v>20718</v>
      </c>
      <c r="AI286" s="10">
        <v>16532</v>
      </c>
      <c r="AJ286" s="10">
        <v>16690</v>
      </c>
      <c r="AK286" s="10">
        <v>13948</v>
      </c>
      <c r="AL286" s="10">
        <v>19841</v>
      </c>
      <c r="AM286" s="10">
        <v>23241</v>
      </c>
      <c r="AN286" s="10">
        <v>15958</v>
      </c>
      <c r="AO286" s="26">
        <f t="shared" si="14"/>
        <v>219089</v>
      </c>
    </row>
    <row r="287" spans="1:41" ht="17.25" customHeight="1" x14ac:dyDescent="0.45">
      <c r="A287" s="2" t="s">
        <v>12</v>
      </c>
      <c r="B287" s="2" t="s">
        <v>18</v>
      </c>
      <c r="C287" s="23">
        <v>58</v>
      </c>
      <c r="D287" s="1">
        <v>53</v>
      </c>
      <c r="E287" s="1">
        <v>57</v>
      </c>
      <c r="F287" s="1">
        <v>57</v>
      </c>
      <c r="G287" s="1">
        <v>58</v>
      </c>
      <c r="H287" s="1">
        <v>53</v>
      </c>
      <c r="I287" s="1">
        <v>53</v>
      </c>
      <c r="J287" s="1">
        <v>56</v>
      </c>
      <c r="K287" s="1">
        <v>54</v>
      </c>
      <c r="L287" s="1">
        <v>57</v>
      </c>
      <c r="M287" s="1">
        <v>60</v>
      </c>
      <c r="N287" s="1">
        <v>56</v>
      </c>
      <c r="O287" s="24">
        <f t="shared" si="12"/>
        <v>672</v>
      </c>
      <c r="P287" s="23">
        <v>4750</v>
      </c>
      <c r="Q287" s="1">
        <v>4335</v>
      </c>
      <c r="R287" s="1">
        <v>5065</v>
      </c>
      <c r="S287" s="1">
        <v>4699</v>
      </c>
      <c r="T287" s="1">
        <v>4787</v>
      </c>
      <c r="U287" s="1">
        <v>4631</v>
      </c>
      <c r="V287" s="1">
        <v>4288</v>
      </c>
      <c r="W287" s="1">
        <v>4357</v>
      </c>
      <c r="X287" s="1">
        <v>4072</v>
      </c>
      <c r="Y287" s="1">
        <v>4361</v>
      </c>
      <c r="Z287" s="1">
        <v>5090</v>
      </c>
      <c r="AA287" s="1">
        <v>5088</v>
      </c>
      <c r="AB287" s="24">
        <f t="shared" si="13"/>
        <v>55523</v>
      </c>
      <c r="AC287" s="23">
        <v>15937</v>
      </c>
      <c r="AD287" s="1">
        <v>20029</v>
      </c>
      <c r="AE287" s="1">
        <v>16717</v>
      </c>
      <c r="AF287" s="1">
        <v>17963</v>
      </c>
      <c r="AG287" s="1">
        <v>14760</v>
      </c>
      <c r="AH287" s="1">
        <v>11758</v>
      </c>
      <c r="AI287" s="1">
        <v>13293</v>
      </c>
      <c r="AJ287" s="1">
        <v>9992</v>
      </c>
      <c r="AK287" s="1">
        <v>6984</v>
      </c>
      <c r="AL287" s="1">
        <v>7407</v>
      </c>
      <c r="AM287" s="1">
        <v>6316</v>
      </c>
      <c r="AN287" s="1">
        <v>7228</v>
      </c>
      <c r="AO287" s="24">
        <f t="shared" si="14"/>
        <v>148384</v>
      </c>
    </row>
    <row r="288" spans="1:41" ht="17.25" customHeight="1" x14ac:dyDescent="0.45">
      <c r="A288" s="12" t="s">
        <v>12</v>
      </c>
      <c r="B288" s="12" t="s">
        <v>10</v>
      </c>
      <c r="C288" s="25">
        <v>846</v>
      </c>
      <c r="D288" s="10">
        <v>788</v>
      </c>
      <c r="E288" s="10">
        <v>855</v>
      </c>
      <c r="F288" s="10">
        <v>836</v>
      </c>
      <c r="G288" s="10">
        <v>864</v>
      </c>
      <c r="H288" s="10">
        <v>852</v>
      </c>
      <c r="I288" s="10">
        <v>889</v>
      </c>
      <c r="J288" s="10">
        <v>894</v>
      </c>
      <c r="K288" s="10">
        <v>849</v>
      </c>
      <c r="L288" s="10">
        <v>872</v>
      </c>
      <c r="M288" s="10">
        <v>846</v>
      </c>
      <c r="N288" s="10">
        <v>878</v>
      </c>
      <c r="O288" s="26">
        <f t="shared" si="12"/>
        <v>10269</v>
      </c>
      <c r="P288" s="25">
        <v>144808</v>
      </c>
      <c r="Q288" s="10">
        <v>127518</v>
      </c>
      <c r="R288" s="10">
        <v>139623</v>
      </c>
      <c r="S288" s="10">
        <v>130925</v>
      </c>
      <c r="T288" s="10">
        <v>142828</v>
      </c>
      <c r="U288" s="10">
        <v>136696</v>
      </c>
      <c r="V288" s="10">
        <v>147173</v>
      </c>
      <c r="W288" s="10">
        <v>143259</v>
      </c>
      <c r="X288" s="10">
        <v>136321</v>
      </c>
      <c r="Y288" s="10">
        <v>134987</v>
      </c>
      <c r="Z288" s="10">
        <v>136600</v>
      </c>
      <c r="AA288" s="10">
        <v>144840</v>
      </c>
      <c r="AB288" s="26">
        <f t="shared" si="13"/>
        <v>1665578</v>
      </c>
      <c r="AC288" s="25">
        <v>393234.18</v>
      </c>
      <c r="AD288" s="10">
        <v>365294.6</v>
      </c>
      <c r="AE288" s="10">
        <v>367264.42999999993</v>
      </c>
      <c r="AF288" s="10">
        <v>373985</v>
      </c>
      <c r="AG288" s="10">
        <v>390077.5</v>
      </c>
      <c r="AH288" s="10">
        <v>323271.90000000002</v>
      </c>
      <c r="AI288" s="10">
        <v>310118.09999999998</v>
      </c>
      <c r="AJ288" s="10">
        <v>350166.24999999994</v>
      </c>
      <c r="AK288" s="10">
        <v>311022.34000000008</v>
      </c>
      <c r="AL288" s="10">
        <v>386350.1</v>
      </c>
      <c r="AM288" s="10">
        <v>434673.59999999992</v>
      </c>
      <c r="AN288" s="10">
        <v>460880.19999999995</v>
      </c>
      <c r="AO288" s="26">
        <f t="shared" si="14"/>
        <v>4466338.2</v>
      </c>
    </row>
    <row r="289" spans="1:41" ht="17.25" customHeight="1" x14ac:dyDescent="0.45">
      <c r="A289" s="2" t="s">
        <v>12</v>
      </c>
      <c r="B289" s="2" t="s">
        <v>37</v>
      </c>
      <c r="C289" s="23">
        <v>94</v>
      </c>
      <c r="D289" s="1">
        <v>87</v>
      </c>
      <c r="E289" s="1">
        <v>92</v>
      </c>
      <c r="F289" s="1">
        <v>83</v>
      </c>
      <c r="G289" s="1">
        <v>89</v>
      </c>
      <c r="H289" s="1">
        <v>88</v>
      </c>
      <c r="I289" s="1">
        <v>89</v>
      </c>
      <c r="J289" s="1">
        <v>89</v>
      </c>
      <c r="K289" s="1">
        <v>90</v>
      </c>
      <c r="L289" s="1">
        <v>88</v>
      </c>
      <c r="M289" s="1">
        <v>85</v>
      </c>
      <c r="N289" s="1">
        <v>87</v>
      </c>
      <c r="O289" s="24">
        <f t="shared" si="12"/>
        <v>1061</v>
      </c>
      <c r="P289" s="23">
        <v>15022</v>
      </c>
      <c r="Q289" s="1">
        <v>13876</v>
      </c>
      <c r="R289" s="1">
        <v>14691</v>
      </c>
      <c r="S289" s="1">
        <v>13391</v>
      </c>
      <c r="T289" s="1">
        <v>14744</v>
      </c>
      <c r="U289" s="1">
        <v>13996</v>
      </c>
      <c r="V289" s="1">
        <v>13779</v>
      </c>
      <c r="W289" s="1">
        <v>14408</v>
      </c>
      <c r="X289" s="1">
        <v>13234</v>
      </c>
      <c r="Y289" s="1">
        <v>13056</v>
      </c>
      <c r="Z289" s="1">
        <v>13147</v>
      </c>
      <c r="AA289" s="1">
        <v>13793</v>
      </c>
      <c r="AB289" s="24">
        <f t="shared" si="13"/>
        <v>167137</v>
      </c>
      <c r="AC289" s="23">
        <v>12829.440000000002</v>
      </c>
      <c r="AD289" s="1">
        <v>12234.900000000001</v>
      </c>
      <c r="AE289" s="1">
        <v>262</v>
      </c>
      <c r="AF289" s="1">
        <v>3</v>
      </c>
      <c r="AG289" s="1">
        <v>71</v>
      </c>
      <c r="AH289" s="1">
        <v>27</v>
      </c>
      <c r="AI289" s="1">
        <v>125</v>
      </c>
      <c r="AJ289" s="1">
        <v>87</v>
      </c>
      <c r="AK289" s="1">
        <v>124</v>
      </c>
      <c r="AL289" s="1">
        <v>40</v>
      </c>
      <c r="AM289" s="1">
        <v>128</v>
      </c>
      <c r="AN289" s="1">
        <v>576</v>
      </c>
      <c r="AO289" s="24">
        <f t="shared" si="14"/>
        <v>26507.340000000004</v>
      </c>
    </row>
    <row r="290" spans="1:41" ht="17.25" customHeight="1" x14ac:dyDescent="0.45">
      <c r="A290" s="12" t="s">
        <v>12</v>
      </c>
      <c r="B290" s="12" t="s">
        <v>19</v>
      </c>
      <c r="C290" s="25">
        <v>193</v>
      </c>
      <c r="D290" s="10">
        <v>195</v>
      </c>
      <c r="E290" s="10">
        <v>206</v>
      </c>
      <c r="F290" s="10">
        <v>216</v>
      </c>
      <c r="G290" s="10">
        <v>235</v>
      </c>
      <c r="H290" s="10">
        <v>209</v>
      </c>
      <c r="I290" s="10">
        <v>211</v>
      </c>
      <c r="J290" s="10">
        <v>206</v>
      </c>
      <c r="K290" s="10">
        <v>198</v>
      </c>
      <c r="L290" s="10">
        <v>206</v>
      </c>
      <c r="M290" s="10">
        <v>195</v>
      </c>
      <c r="N290" s="10">
        <v>190</v>
      </c>
      <c r="O290" s="26">
        <f t="shared" si="12"/>
        <v>2460</v>
      </c>
      <c r="P290" s="25">
        <v>30693</v>
      </c>
      <c r="Q290" s="10">
        <v>29202</v>
      </c>
      <c r="R290" s="10">
        <v>33416</v>
      </c>
      <c r="S290" s="10">
        <v>33156</v>
      </c>
      <c r="T290" s="10">
        <v>36201</v>
      </c>
      <c r="U290" s="10">
        <v>31215</v>
      </c>
      <c r="V290" s="10">
        <v>34563</v>
      </c>
      <c r="W290" s="10">
        <v>33759</v>
      </c>
      <c r="X290" s="10">
        <v>32003</v>
      </c>
      <c r="Y290" s="10">
        <v>33161</v>
      </c>
      <c r="Z290" s="10">
        <v>31479</v>
      </c>
      <c r="AA290" s="10">
        <v>31470</v>
      </c>
      <c r="AB290" s="26">
        <f t="shared" si="13"/>
        <v>390318</v>
      </c>
      <c r="AC290" s="25">
        <v>106103.2</v>
      </c>
      <c r="AD290" s="10">
        <v>110301.54</v>
      </c>
      <c r="AE290" s="10">
        <v>104735.3</v>
      </c>
      <c r="AF290" s="10">
        <v>100406.7</v>
      </c>
      <c r="AG290" s="10">
        <v>129650.6</v>
      </c>
      <c r="AH290" s="10">
        <v>107632.6</v>
      </c>
      <c r="AI290" s="10">
        <v>105881.05</v>
      </c>
      <c r="AJ290" s="10">
        <v>107445.55</v>
      </c>
      <c r="AK290" s="10">
        <v>102540.45</v>
      </c>
      <c r="AL290" s="10">
        <v>119824.50000000001</v>
      </c>
      <c r="AM290" s="10">
        <v>141951.19999999995</v>
      </c>
      <c r="AN290" s="10">
        <v>119025.70000000001</v>
      </c>
      <c r="AO290" s="26">
        <f t="shared" si="14"/>
        <v>1355498.39</v>
      </c>
    </row>
    <row r="291" spans="1:41" ht="17.25" customHeight="1" x14ac:dyDescent="0.45">
      <c r="A291" s="2" t="s">
        <v>12</v>
      </c>
      <c r="B291" s="2" t="s">
        <v>41</v>
      </c>
      <c r="C291" s="23">
        <v>52</v>
      </c>
      <c r="D291" s="1">
        <v>58</v>
      </c>
      <c r="E291" s="1">
        <v>60</v>
      </c>
      <c r="F291" s="1">
        <v>60</v>
      </c>
      <c r="G291" s="1">
        <v>62</v>
      </c>
      <c r="H291" s="1">
        <v>60</v>
      </c>
      <c r="I291" s="1">
        <v>61</v>
      </c>
      <c r="J291" s="1">
        <v>62</v>
      </c>
      <c r="K291" s="1">
        <v>55</v>
      </c>
      <c r="L291" s="1">
        <v>57</v>
      </c>
      <c r="M291" s="1">
        <v>55</v>
      </c>
      <c r="N291" s="1">
        <v>55</v>
      </c>
      <c r="O291" s="24">
        <f t="shared" si="12"/>
        <v>697</v>
      </c>
      <c r="P291" s="23">
        <v>6757</v>
      </c>
      <c r="Q291" s="1">
        <v>7164</v>
      </c>
      <c r="R291" s="1">
        <v>7567</v>
      </c>
      <c r="S291" s="1">
        <v>6871</v>
      </c>
      <c r="T291" s="1">
        <v>7612</v>
      </c>
      <c r="U291" s="1">
        <v>7240</v>
      </c>
      <c r="V291" s="1">
        <v>7199</v>
      </c>
      <c r="W291" s="1">
        <v>7244</v>
      </c>
      <c r="X291" s="1">
        <v>6581</v>
      </c>
      <c r="Y291" s="1">
        <v>6877</v>
      </c>
      <c r="Z291" s="1">
        <v>7525</v>
      </c>
      <c r="AA291" s="1">
        <v>8196</v>
      </c>
      <c r="AB291" s="24">
        <f t="shared" si="13"/>
        <v>86833</v>
      </c>
      <c r="AC291" s="23">
        <v>18264</v>
      </c>
      <c r="AD291" s="1">
        <v>15376</v>
      </c>
      <c r="AE291" s="1">
        <v>13341</v>
      </c>
      <c r="AF291" s="1">
        <v>15917</v>
      </c>
      <c r="AG291" s="1">
        <v>16217</v>
      </c>
      <c r="AH291" s="1">
        <v>14240</v>
      </c>
      <c r="AI291" s="1">
        <v>18929</v>
      </c>
      <c r="AJ291" s="1">
        <v>15041</v>
      </c>
      <c r="AK291" s="1">
        <v>12255</v>
      </c>
      <c r="AL291" s="1">
        <v>14361</v>
      </c>
      <c r="AM291" s="1">
        <v>16448</v>
      </c>
      <c r="AN291" s="1">
        <v>13999</v>
      </c>
      <c r="AO291" s="24">
        <f t="shared" si="14"/>
        <v>184388</v>
      </c>
    </row>
    <row r="292" spans="1:41" ht="17.25" customHeight="1" x14ac:dyDescent="0.45">
      <c r="A292" s="12" t="s">
        <v>12</v>
      </c>
      <c r="B292" s="12" t="s">
        <v>20</v>
      </c>
      <c r="C292" s="25">
        <v>173</v>
      </c>
      <c r="D292" s="10">
        <v>170</v>
      </c>
      <c r="E292" s="10">
        <v>175</v>
      </c>
      <c r="F292" s="10">
        <v>200</v>
      </c>
      <c r="G292" s="10">
        <v>203</v>
      </c>
      <c r="H292" s="10">
        <v>205</v>
      </c>
      <c r="I292" s="10">
        <v>214</v>
      </c>
      <c r="J292" s="10">
        <v>214</v>
      </c>
      <c r="K292" s="10">
        <v>172</v>
      </c>
      <c r="L292" s="10">
        <v>183</v>
      </c>
      <c r="M292" s="10">
        <v>174</v>
      </c>
      <c r="N292" s="10">
        <v>177</v>
      </c>
      <c r="O292" s="26">
        <f t="shared" si="12"/>
        <v>2260</v>
      </c>
      <c r="P292" s="25">
        <v>30181</v>
      </c>
      <c r="Q292" s="10">
        <v>29688</v>
      </c>
      <c r="R292" s="10">
        <v>31261</v>
      </c>
      <c r="S292" s="10">
        <v>31938</v>
      </c>
      <c r="T292" s="10">
        <v>32954</v>
      </c>
      <c r="U292" s="10">
        <v>32407</v>
      </c>
      <c r="V292" s="10">
        <v>36521</v>
      </c>
      <c r="W292" s="10">
        <v>35621</v>
      </c>
      <c r="X292" s="10">
        <v>29825</v>
      </c>
      <c r="Y292" s="10">
        <v>30561</v>
      </c>
      <c r="Z292" s="10">
        <v>28218</v>
      </c>
      <c r="AA292" s="10">
        <v>28510</v>
      </c>
      <c r="AB292" s="26">
        <f t="shared" si="13"/>
        <v>377685</v>
      </c>
      <c r="AC292" s="25">
        <v>59675.1</v>
      </c>
      <c r="AD292" s="10">
        <v>64542.6</v>
      </c>
      <c r="AE292" s="10">
        <v>66852</v>
      </c>
      <c r="AF292" s="10">
        <v>68008.649999999994</v>
      </c>
      <c r="AG292" s="10">
        <v>71639.5</v>
      </c>
      <c r="AH292" s="10">
        <v>68653</v>
      </c>
      <c r="AI292" s="10">
        <v>65396.75</v>
      </c>
      <c r="AJ292" s="10">
        <v>68984.2</v>
      </c>
      <c r="AK292" s="10">
        <v>73064.7</v>
      </c>
      <c r="AL292" s="10">
        <v>78655.400000000009</v>
      </c>
      <c r="AM292" s="10">
        <v>106450.62999999998</v>
      </c>
      <c r="AN292" s="10">
        <v>91945.099999999991</v>
      </c>
      <c r="AO292" s="26">
        <f t="shared" si="14"/>
        <v>883867.62999999989</v>
      </c>
    </row>
    <row r="293" spans="1:41" ht="17.25" customHeight="1" x14ac:dyDescent="0.45">
      <c r="A293" s="2" t="s">
        <v>12</v>
      </c>
      <c r="B293" s="2" t="s">
        <v>43</v>
      </c>
      <c r="C293" s="23">
        <v>53</v>
      </c>
      <c r="D293" s="1">
        <v>54</v>
      </c>
      <c r="E293" s="1">
        <v>53</v>
      </c>
      <c r="F293" s="1">
        <v>60</v>
      </c>
      <c r="G293" s="1">
        <v>60</v>
      </c>
      <c r="H293" s="1">
        <v>53</v>
      </c>
      <c r="I293" s="1">
        <v>53</v>
      </c>
      <c r="J293" s="1">
        <v>56</v>
      </c>
      <c r="K293" s="1">
        <v>54</v>
      </c>
      <c r="L293" s="1">
        <v>57</v>
      </c>
      <c r="M293" s="1">
        <v>50</v>
      </c>
      <c r="N293" s="1">
        <v>52</v>
      </c>
      <c r="O293" s="24">
        <f t="shared" si="12"/>
        <v>655</v>
      </c>
      <c r="P293" s="23">
        <v>4707</v>
      </c>
      <c r="Q293" s="1">
        <v>4502</v>
      </c>
      <c r="R293" s="1">
        <v>4707</v>
      </c>
      <c r="S293" s="1">
        <v>4610</v>
      </c>
      <c r="T293" s="1">
        <v>4462</v>
      </c>
      <c r="U293" s="1">
        <v>3772</v>
      </c>
      <c r="V293" s="1">
        <v>4411</v>
      </c>
      <c r="W293" s="1">
        <v>4244</v>
      </c>
      <c r="X293" s="1">
        <v>4175</v>
      </c>
      <c r="Y293" s="1">
        <v>4838</v>
      </c>
      <c r="Z293" s="1">
        <v>4155</v>
      </c>
      <c r="AA293" s="1">
        <v>4275</v>
      </c>
      <c r="AB293" s="24">
        <f t="shared" si="13"/>
        <v>52858</v>
      </c>
      <c r="AC293" s="23">
        <v>17611</v>
      </c>
      <c r="AD293" s="1">
        <v>21274</v>
      </c>
      <c r="AE293" s="1">
        <v>22268</v>
      </c>
      <c r="AF293" s="1">
        <v>24272</v>
      </c>
      <c r="AG293" s="1">
        <v>23498</v>
      </c>
      <c r="AH293" s="1">
        <v>25641</v>
      </c>
      <c r="AI293" s="1">
        <v>21688</v>
      </c>
      <c r="AJ293" s="1">
        <v>21989</v>
      </c>
      <c r="AK293" s="1">
        <v>21090</v>
      </c>
      <c r="AL293" s="1">
        <v>22977</v>
      </c>
      <c r="AM293" s="1">
        <v>20149</v>
      </c>
      <c r="AN293" s="1">
        <v>16735</v>
      </c>
      <c r="AO293" s="24">
        <f t="shared" si="14"/>
        <v>259192</v>
      </c>
    </row>
    <row r="294" spans="1:41" ht="17.25" customHeight="1" x14ac:dyDescent="0.45">
      <c r="A294" s="12" t="s">
        <v>12</v>
      </c>
      <c r="B294" s="12" t="s">
        <v>44</v>
      </c>
      <c r="C294" s="25">
        <v>5</v>
      </c>
      <c r="D294" s="10">
        <v>0</v>
      </c>
      <c r="E294" s="10">
        <v>0</v>
      </c>
      <c r="F294" s="10">
        <v>0</v>
      </c>
      <c r="G294" s="10">
        <v>0</v>
      </c>
      <c r="H294" s="10">
        <v>0</v>
      </c>
      <c r="I294" s="10">
        <v>0</v>
      </c>
      <c r="J294" s="10">
        <v>0</v>
      </c>
      <c r="K294" s="10">
        <v>0</v>
      </c>
      <c r="L294" s="10">
        <v>0</v>
      </c>
      <c r="M294" s="10">
        <v>0</v>
      </c>
      <c r="N294" s="10">
        <v>0</v>
      </c>
      <c r="O294" s="26">
        <f t="shared" si="12"/>
        <v>5</v>
      </c>
      <c r="P294" s="25">
        <v>201</v>
      </c>
      <c r="Q294" s="10">
        <v>0</v>
      </c>
      <c r="R294" s="10">
        <v>0</v>
      </c>
      <c r="S294" s="10">
        <v>0</v>
      </c>
      <c r="T294" s="10">
        <v>0</v>
      </c>
      <c r="U294" s="10">
        <v>0</v>
      </c>
      <c r="V294" s="10">
        <v>0</v>
      </c>
      <c r="W294" s="10">
        <v>0</v>
      </c>
      <c r="X294" s="10">
        <v>0</v>
      </c>
      <c r="Y294" s="10">
        <v>0</v>
      </c>
      <c r="Z294" s="10">
        <v>0</v>
      </c>
      <c r="AA294" s="10">
        <v>0</v>
      </c>
      <c r="AB294" s="26">
        <f t="shared" si="13"/>
        <v>201</v>
      </c>
      <c r="AC294" s="25">
        <v>0</v>
      </c>
      <c r="AD294" s="10">
        <v>0</v>
      </c>
      <c r="AE294" s="10">
        <v>0</v>
      </c>
      <c r="AF294" s="10">
        <v>0</v>
      </c>
      <c r="AG294" s="10">
        <v>0</v>
      </c>
      <c r="AH294" s="10">
        <v>0</v>
      </c>
      <c r="AI294" s="10">
        <v>0</v>
      </c>
      <c r="AJ294" s="10">
        <v>0</v>
      </c>
      <c r="AK294" s="10">
        <v>0</v>
      </c>
      <c r="AL294" s="10">
        <v>0</v>
      </c>
      <c r="AM294" s="10">
        <v>0</v>
      </c>
      <c r="AN294" s="10">
        <v>0</v>
      </c>
      <c r="AO294" s="26">
        <f t="shared" si="14"/>
        <v>0</v>
      </c>
    </row>
    <row r="295" spans="1:41" ht="17.25" customHeight="1" x14ac:dyDescent="0.45">
      <c r="A295" s="2" t="s">
        <v>12</v>
      </c>
      <c r="B295" s="2" t="s">
        <v>46</v>
      </c>
      <c r="C295" s="23">
        <v>57</v>
      </c>
      <c r="D295" s="1">
        <v>54</v>
      </c>
      <c r="E295" s="1">
        <v>58</v>
      </c>
      <c r="F295" s="1">
        <v>56</v>
      </c>
      <c r="G295" s="1">
        <v>62</v>
      </c>
      <c r="H295" s="1">
        <v>59</v>
      </c>
      <c r="I295" s="1">
        <v>57</v>
      </c>
      <c r="J295" s="1">
        <v>62</v>
      </c>
      <c r="K295" s="1">
        <v>60</v>
      </c>
      <c r="L295" s="1">
        <v>60</v>
      </c>
      <c r="M295" s="1">
        <v>59</v>
      </c>
      <c r="N295" s="1">
        <v>60</v>
      </c>
      <c r="O295" s="24">
        <f t="shared" si="12"/>
        <v>704</v>
      </c>
      <c r="P295" s="23">
        <v>8126</v>
      </c>
      <c r="Q295" s="1">
        <v>6926</v>
      </c>
      <c r="R295" s="1">
        <v>7683</v>
      </c>
      <c r="S295" s="1">
        <v>7837</v>
      </c>
      <c r="T295" s="1">
        <v>8838</v>
      </c>
      <c r="U295" s="1">
        <v>8189</v>
      </c>
      <c r="V295" s="1">
        <v>7577</v>
      </c>
      <c r="W295" s="1">
        <v>8863</v>
      </c>
      <c r="X295" s="1">
        <v>8100</v>
      </c>
      <c r="Y295" s="1">
        <v>8088</v>
      </c>
      <c r="Z295" s="1">
        <v>9868</v>
      </c>
      <c r="AA295" s="1">
        <v>10488</v>
      </c>
      <c r="AB295" s="24">
        <f t="shared" si="13"/>
        <v>100583</v>
      </c>
      <c r="AC295" s="23">
        <v>13283.9</v>
      </c>
      <c r="AD295" s="1">
        <v>10707.400000000001</v>
      </c>
      <c r="AE295" s="1">
        <v>13117.650000000001</v>
      </c>
      <c r="AF295" s="1">
        <v>14258.4</v>
      </c>
      <c r="AG295" s="1">
        <v>17645</v>
      </c>
      <c r="AH295" s="1">
        <v>14195.25</v>
      </c>
      <c r="AI295" s="1">
        <v>14588.4</v>
      </c>
      <c r="AJ295" s="1">
        <v>13475.4</v>
      </c>
      <c r="AK295" s="1">
        <v>15603.78</v>
      </c>
      <c r="AL295" s="1">
        <v>17250</v>
      </c>
      <c r="AM295" s="1">
        <v>17664.93</v>
      </c>
      <c r="AN295" s="1">
        <v>21675.899999999998</v>
      </c>
      <c r="AO295" s="24">
        <f t="shared" si="14"/>
        <v>183466.00999999998</v>
      </c>
    </row>
    <row r="296" spans="1:41" ht="17.25" customHeight="1" x14ac:dyDescent="0.45">
      <c r="A296" s="12" t="s">
        <v>12</v>
      </c>
      <c r="B296" s="12" t="s">
        <v>21</v>
      </c>
      <c r="C296" s="25">
        <v>143</v>
      </c>
      <c r="D296" s="10">
        <v>138</v>
      </c>
      <c r="E296" s="10">
        <v>142</v>
      </c>
      <c r="F296" s="10">
        <v>124</v>
      </c>
      <c r="G296" s="10">
        <v>125</v>
      </c>
      <c r="H296" s="10">
        <v>125</v>
      </c>
      <c r="I296" s="10">
        <v>123</v>
      </c>
      <c r="J296" s="10">
        <v>141</v>
      </c>
      <c r="K296" s="10">
        <v>109</v>
      </c>
      <c r="L296" s="10">
        <v>116</v>
      </c>
      <c r="M296" s="10">
        <v>105</v>
      </c>
      <c r="N296" s="10">
        <v>100</v>
      </c>
      <c r="O296" s="26">
        <f t="shared" si="12"/>
        <v>1491</v>
      </c>
      <c r="P296" s="25">
        <v>19507</v>
      </c>
      <c r="Q296" s="10">
        <v>22504</v>
      </c>
      <c r="R296" s="10">
        <v>23278</v>
      </c>
      <c r="S296" s="10">
        <v>18682</v>
      </c>
      <c r="T296" s="10">
        <v>18641</v>
      </c>
      <c r="U296" s="10">
        <v>17075</v>
      </c>
      <c r="V296" s="10">
        <v>18328</v>
      </c>
      <c r="W296" s="10">
        <v>21449</v>
      </c>
      <c r="X296" s="10">
        <v>14124</v>
      </c>
      <c r="Y296" s="10">
        <v>15638</v>
      </c>
      <c r="Z296" s="10">
        <v>15465</v>
      </c>
      <c r="AA296" s="10">
        <v>14330</v>
      </c>
      <c r="AB296" s="26">
        <f t="shared" si="13"/>
        <v>219021</v>
      </c>
      <c r="AC296" s="25">
        <v>97154.200000000012</v>
      </c>
      <c r="AD296" s="10">
        <v>76612</v>
      </c>
      <c r="AE296" s="10">
        <v>72489.3</v>
      </c>
      <c r="AF296" s="10">
        <v>64723</v>
      </c>
      <c r="AG296" s="10">
        <v>66075</v>
      </c>
      <c r="AH296" s="10">
        <v>65936</v>
      </c>
      <c r="AI296" s="10">
        <v>83486</v>
      </c>
      <c r="AJ296" s="10">
        <v>83966</v>
      </c>
      <c r="AK296" s="10">
        <v>64559</v>
      </c>
      <c r="AL296" s="10">
        <v>73583</v>
      </c>
      <c r="AM296" s="10">
        <v>92479</v>
      </c>
      <c r="AN296" s="10">
        <v>76294</v>
      </c>
      <c r="AO296" s="26">
        <f t="shared" si="14"/>
        <v>917356.5</v>
      </c>
    </row>
    <row r="297" spans="1:41" ht="17.25" customHeight="1" x14ac:dyDescent="0.45">
      <c r="A297" s="2" t="s">
        <v>12</v>
      </c>
      <c r="B297" s="2" t="s">
        <v>22</v>
      </c>
      <c r="C297" s="23">
        <v>155</v>
      </c>
      <c r="D297" s="1">
        <v>162</v>
      </c>
      <c r="E297" s="1">
        <v>156</v>
      </c>
      <c r="F297" s="1">
        <v>203</v>
      </c>
      <c r="G297" s="1">
        <v>204</v>
      </c>
      <c r="H297" s="1">
        <v>175</v>
      </c>
      <c r="I297" s="1">
        <v>154</v>
      </c>
      <c r="J297" s="1">
        <v>164</v>
      </c>
      <c r="K297" s="1">
        <v>160</v>
      </c>
      <c r="L297" s="1">
        <v>165</v>
      </c>
      <c r="M297" s="1">
        <v>145</v>
      </c>
      <c r="N297" s="1">
        <v>138</v>
      </c>
      <c r="O297" s="24">
        <f t="shared" si="12"/>
        <v>1981</v>
      </c>
      <c r="P297" s="23">
        <v>12741</v>
      </c>
      <c r="Q297" s="1">
        <v>13670</v>
      </c>
      <c r="R297" s="1">
        <v>15287</v>
      </c>
      <c r="S297" s="1">
        <v>16328</v>
      </c>
      <c r="T297" s="1">
        <v>17277</v>
      </c>
      <c r="U297" s="1">
        <v>15969</v>
      </c>
      <c r="V297" s="1">
        <v>14821</v>
      </c>
      <c r="W297" s="1">
        <v>14918</v>
      </c>
      <c r="X297" s="1">
        <v>15993</v>
      </c>
      <c r="Y297" s="1">
        <v>16376</v>
      </c>
      <c r="Z297" s="1">
        <v>14910</v>
      </c>
      <c r="AA297" s="1">
        <v>13961</v>
      </c>
      <c r="AB297" s="24">
        <f t="shared" si="13"/>
        <v>182251</v>
      </c>
      <c r="AC297" s="23">
        <v>28719</v>
      </c>
      <c r="AD297" s="1">
        <v>27707</v>
      </c>
      <c r="AE297" s="1">
        <v>23225</v>
      </c>
      <c r="AF297" s="1">
        <v>23557</v>
      </c>
      <c r="AG297" s="1">
        <v>27053</v>
      </c>
      <c r="AH297" s="1">
        <v>24806</v>
      </c>
      <c r="AI297" s="1">
        <v>25318</v>
      </c>
      <c r="AJ297" s="1">
        <v>30117</v>
      </c>
      <c r="AK297" s="1">
        <v>29013</v>
      </c>
      <c r="AL297" s="1">
        <v>32543</v>
      </c>
      <c r="AM297" s="1">
        <v>29947</v>
      </c>
      <c r="AN297" s="1">
        <v>34012</v>
      </c>
      <c r="AO297" s="24">
        <f t="shared" si="14"/>
        <v>336017</v>
      </c>
    </row>
    <row r="298" spans="1:41" ht="17.25" customHeight="1" x14ac:dyDescent="0.45">
      <c r="A298" s="12" t="s">
        <v>12</v>
      </c>
      <c r="B298" s="12" t="s">
        <v>42</v>
      </c>
      <c r="C298" s="25">
        <v>88</v>
      </c>
      <c r="D298" s="10">
        <v>82</v>
      </c>
      <c r="E298" s="10">
        <v>80</v>
      </c>
      <c r="F298" s="10">
        <v>90</v>
      </c>
      <c r="G298" s="10">
        <v>93</v>
      </c>
      <c r="H298" s="10">
        <v>90</v>
      </c>
      <c r="I298" s="10">
        <v>89</v>
      </c>
      <c r="J298" s="10">
        <v>98</v>
      </c>
      <c r="K298" s="10">
        <v>79</v>
      </c>
      <c r="L298" s="10">
        <v>84</v>
      </c>
      <c r="M298" s="10">
        <v>75</v>
      </c>
      <c r="N298" s="10">
        <v>71</v>
      </c>
      <c r="O298" s="26">
        <f t="shared" si="12"/>
        <v>1019</v>
      </c>
      <c r="P298" s="25">
        <v>6097</v>
      </c>
      <c r="Q298" s="10">
        <v>6127</v>
      </c>
      <c r="R298" s="10">
        <v>6471</v>
      </c>
      <c r="S298" s="10">
        <v>7091</v>
      </c>
      <c r="T298" s="10">
        <v>7699</v>
      </c>
      <c r="U298" s="10">
        <v>7182</v>
      </c>
      <c r="V298" s="10">
        <v>8166</v>
      </c>
      <c r="W298" s="10">
        <v>7422</v>
      </c>
      <c r="X298" s="10">
        <v>6906</v>
      </c>
      <c r="Y298" s="10">
        <v>7464</v>
      </c>
      <c r="Z298" s="10">
        <v>6876</v>
      </c>
      <c r="AA298" s="10">
        <v>6299</v>
      </c>
      <c r="AB298" s="26">
        <f t="shared" si="13"/>
        <v>83800</v>
      </c>
      <c r="AC298" s="25">
        <v>17107</v>
      </c>
      <c r="AD298" s="10">
        <v>13012</v>
      </c>
      <c r="AE298" s="10">
        <v>15469</v>
      </c>
      <c r="AF298" s="10">
        <v>14767</v>
      </c>
      <c r="AG298" s="10">
        <v>12400</v>
      </c>
      <c r="AH298" s="10">
        <v>11905</v>
      </c>
      <c r="AI298" s="10">
        <v>14543</v>
      </c>
      <c r="AJ298" s="10">
        <v>18965</v>
      </c>
      <c r="AK298" s="10">
        <v>14057</v>
      </c>
      <c r="AL298" s="10">
        <v>14813</v>
      </c>
      <c r="AM298" s="10">
        <v>18373</v>
      </c>
      <c r="AN298" s="10">
        <v>13647</v>
      </c>
      <c r="AO298" s="26">
        <f t="shared" si="14"/>
        <v>179058</v>
      </c>
    </row>
    <row r="299" spans="1:41" ht="17.25" customHeight="1" x14ac:dyDescent="0.45">
      <c r="A299" s="2" t="s">
        <v>12</v>
      </c>
      <c r="B299" s="2" t="s">
        <v>11</v>
      </c>
      <c r="C299" s="23">
        <v>693</v>
      </c>
      <c r="D299" s="1">
        <v>665</v>
      </c>
      <c r="E299" s="1">
        <v>683</v>
      </c>
      <c r="F299" s="1">
        <v>788</v>
      </c>
      <c r="G299" s="1">
        <v>819</v>
      </c>
      <c r="H299" s="1">
        <v>768</v>
      </c>
      <c r="I299" s="1">
        <v>804</v>
      </c>
      <c r="J299" s="1">
        <v>783</v>
      </c>
      <c r="K299" s="1">
        <v>750</v>
      </c>
      <c r="L299" s="1">
        <v>760</v>
      </c>
      <c r="M299" s="1">
        <v>675</v>
      </c>
      <c r="N299" s="1">
        <v>679</v>
      </c>
      <c r="O299" s="24">
        <f t="shared" si="12"/>
        <v>8867</v>
      </c>
      <c r="P299" s="23">
        <v>107589</v>
      </c>
      <c r="Q299" s="1">
        <v>111430</v>
      </c>
      <c r="R299" s="1">
        <v>109083</v>
      </c>
      <c r="S299" s="1">
        <v>124508</v>
      </c>
      <c r="T299" s="1">
        <v>128795</v>
      </c>
      <c r="U299" s="1">
        <v>120331</v>
      </c>
      <c r="V299" s="1">
        <v>125886</v>
      </c>
      <c r="W299" s="1">
        <v>123132</v>
      </c>
      <c r="X299" s="1">
        <v>118817</v>
      </c>
      <c r="Y299" s="1">
        <v>122394</v>
      </c>
      <c r="Z299" s="1">
        <v>111886</v>
      </c>
      <c r="AA299" s="1">
        <v>110397</v>
      </c>
      <c r="AB299" s="24">
        <f t="shared" si="13"/>
        <v>1414248</v>
      </c>
      <c r="AC299" s="23">
        <v>203725.87</v>
      </c>
      <c r="AD299" s="1">
        <v>197560</v>
      </c>
      <c r="AE299" s="1">
        <v>228810.7</v>
      </c>
      <c r="AF299" s="1">
        <v>273034.84999999998</v>
      </c>
      <c r="AG299" s="1">
        <v>309989.59999999998</v>
      </c>
      <c r="AH299" s="1">
        <v>201820.79999999999</v>
      </c>
      <c r="AI299" s="1">
        <v>221758.35000000003</v>
      </c>
      <c r="AJ299" s="1">
        <v>234865.69999999995</v>
      </c>
      <c r="AK299" s="1">
        <v>222225.6</v>
      </c>
      <c r="AL299" s="1">
        <v>300390.40000000002</v>
      </c>
      <c r="AM299" s="1">
        <v>287689.00000000012</v>
      </c>
      <c r="AN299" s="1">
        <v>258605.42999999996</v>
      </c>
      <c r="AO299" s="24">
        <f t="shared" si="14"/>
        <v>2940476.3000000003</v>
      </c>
    </row>
    <row r="300" spans="1:41" ht="17.25" customHeight="1" x14ac:dyDescent="0.45">
      <c r="A300" s="12" t="s">
        <v>12</v>
      </c>
      <c r="B300" s="12" t="s">
        <v>38</v>
      </c>
      <c r="C300" s="25">
        <v>210</v>
      </c>
      <c r="D300" s="10">
        <v>217</v>
      </c>
      <c r="E300" s="10">
        <v>220</v>
      </c>
      <c r="F300" s="10">
        <v>262</v>
      </c>
      <c r="G300" s="10">
        <v>273</v>
      </c>
      <c r="H300" s="10">
        <v>248</v>
      </c>
      <c r="I300" s="10">
        <v>234</v>
      </c>
      <c r="J300" s="10">
        <v>241</v>
      </c>
      <c r="K300" s="10">
        <v>232</v>
      </c>
      <c r="L300" s="10">
        <v>236</v>
      </c>
      <c r="M300" s="10">
        <v>201</v>
      </c>
      <c r="N300" s="10">
        <v>208</v>
      </c>
      <c r="O300" s="26">
        <f t="shared" si="12"/>
        <v>2782</v>
      </c>
      <c r="P300" s="25">
        <v>37000</v>
      </c>
      <c r="Q300" s="10">
        <v>37462</v>
      </c>
      <c r="R300" s="10">
        <v>37881</v>
      </c>
      <c r="S300" s="10">
        <v>41670</v>
      </c>
      <c r="T300" s="10">
        <v>40780</v>
      </c>
      <c r="U300" s="10">
        <v>34991</v>
      </c>
      <c r="V300" s="10">
        <v>38203</v>
      </c>
      <c r="W300" s="10">
        <v>37967</v>
      </c>
      <c r="X300" s="10">
        <v>34968</v>
      </c>
      <c r="Y300" s="10">
        <v>37636</v>
      </c>
      <c r="Z300" s="10">
        <v>31554</v>
      </c>
      <c r="AA300" s="10">
        <v>31607</v>
      </c>
      <c r="AB300" s="26">
        <f t="shared" si="13"/>
        <v>441719</v>
      </c>
      <c r="AC300" s="25">
        <v>101176.5</v>
      </c>
      <c r="AD300" s="10">
        <v>102709.7</v>
      </c>
      <c r="AE300" s="10">
        <v>121560.9</v>
      </c>
      <c r="AF300" s="10">
        <v>133710.20000000001</v>
      </c>
      <c r="AG300" s="10">
        <v>145899.19999999998</v>
      </c>
      <c r="AH300" s="10">
        <v>115172.9</v>
      </c>
      <c r="AI300" s="10">
        <v>119694.05</v>
      </c>
      <c r="AJ300" s="10">
        <v>125505.84999999998</v>
      </c>
      <c r="AK300" s="10">
        <v>128526.45000000001</v>
      </c>
      <c r="AL300" s="10">
        <v>147276.09999999998</v>
      </c>
      <c r="AM300" s="10">
        <v>153238.29999999999</v>
      </c>
      <c r="AN300" s="10">
        <v>122922.79</v>
      </c>
      <c r="AO300" s="26">
        <f t="shared" si="14"/>
        <v>1517392.9400000002</v>
      </c>
    </row>
    <row r="301" spans="1:41" ht="17.25" customHeight="1" x14ac:dyDescent="0.45">
      <c r="A301" s="2" t="s">
        <v>12</v>
      </c>
      <c r="B301" s="2" t="s">
        <v>51</v>
      </c>
      <c r="C301" s="23">
        <v>179</v>
      </c>
      <c r="D301" s="1">
        <v>169</v>
      </c>
      <c r="E301" s="1">
        <v>180</v>
      </c>
      <c r="F301" s="1">
        <v>157</v>
      </c>
      <c r="G301" s="1">
        <v>163</v>
      </c>
      <c r="H301" s="1">
        <v>160</v>
      </c>
      <c r="I301" s="1">
        <v>171</v>
      </c>
      <c r="J301" s="1">
        <v>158</v>
      </c>
      <c r="K301" s="1">
        <v>124</v>
      </c>
      <c r="L301" s="1">
        <v>131</v>
      </c>
      <c r="M301" s="1">
        <v>128</v>
      </c>
      <c r="N301" s="1">
        <v>142</v>
      </c>
      <c r="O301" s="24">
        <f t="shared" si="12"/>
        <v>1862</v>
      </c>
      <c r="P301" s="23">
        <v>25508</v>
      </c>
      <c r="Q301" s="1">
        <v>22118</v>
      </c>
      <c r="R301" s="1">
        <v>24389</v>
      </c>
      <c r="S301" s="1">
        <v>20751</v>
      </c>
      <c r="T301" s="1">
        <v>22206</v>
      </c>
      <c r="U301" s="1">
        <v>22309</v>
      </c>
      <c r="V301" s="1">
        <v>25617</v>
      </c>
      <c r="W301" s="1">
        <v>21961</v>
      </c>
      <c r="X301" s="1">
        <v>17141</v>
      </c>
      <c r="Y301" s="1">
        <v>18245</v>
      </c>
      <c r="Z301" s="1">
        <v>18285</v>
      </c>
      <c r="AA301" s="1">
        <v>21832</v>
      </c>
      <c r="AB301" s="24">
        <f t="shared" si="13"/>
        <v>260362</v>
      </c>
      <c r="AC301" s="23">
        <v>8524.2000000000007</v>
      </c>
      <c r="AD301" s="1">
        <v>10048.199999999999</v>
      </c>
      <c r="AE301" s="1">
        <v>7765.65</v>
      </c>
      <c r="AF301" s="1">
        <v>6986.17</v>
      </c>
      <c r="AG301" s="1">
        <v>7265</v>
      </c>
      <c r="AH301" s="1">
        <v>4016.94</v>
      </c>
      <c r="AI301" s="1">
        <v>5217.2699999999995</v>
      </c>
      <c r="AJ301" s="1">
        <v>5425.82</v>
      </c>
      <c r="AK301" s="1">
        <v>3780.2999999999997</v>
      </c>
      <c r="AL301" s="1">
        <v>6046</v>
      </c>
      <c r="AM301" s="1">
        <v>6818.36</v>
      </c>
      <c r="AN301" s="1">
        <v>6865.05</v>
      </c>
      <c r="AO301" s="24">
        <f t="shared" si="14"/>
        <v>78758.960000000006</v>
      </c>
    </row>
    <row r="302" spans="1:41" ht="17.25" customHeight="1" x14ac:dyDescent="0.45">
      <c r="A302" s="12" t="s">
        <v>12</v>
      </c>
      <c r="B302" s="12" t="s">
        <v>52</v>
      </c>
      <c r="C302" s="25">
        <v>105</v>
      </c>
      <c r="D302" s="10">
        <v>91</v>
      </c>
      <c r="E302" s="10">
        <v>98</v>
      </c>
      <c r="F302" s="10">
        <v>80</v>
      </c>
      <c r="G302" s="10">
        <v>87</v>
      </c>
      <c r="H302" s="10">
        <v>98</v>
      </c>
      <c r="I302" s="10">
        <v>115</v>
      </c>
      <c r="J302" s="10">
        <v>107</v>
      </c>
      <c r="K302" s="10">
        <v>85</v>
      </c>
      <c r="L302" s="10">
        <v>89</v>
      </c>
      <c r="M302" s="10">
        <v>82</v>
      </c>
      <c r="N302" s="10">
        <v>96</v>
      </c>
      <c r="O302" s="26">
        <f t="shared" si="12"/>
        <v>1133</v>
      </c>
      <c r="P302" s="25">
        <v>12271</v>
      </c>
      <c r="Q302" s="10">
        <v>11942</v>
      </c>
      <c r="R302" s="10">
        <v>13207</v>
      </c>
      <c r="S302" s="10">
        <v>9067</v>
      </c>
      <c r="T302" s="10">
        <v>10214</v>
      </c>
      <c r="U302" s="10">
        <v>11128</v>
      </c>
      <c r="V302" s="10">
        <v>13998</v>
      </c>
      <c r="W302" s="10">
        <v>12107</v>
      </c>
      <c r="X302" s="10">
        <v>9093</v>
      </c>
      <c r="Y302" s="10">
        <v>10209</v>
      </c>
      <c r="Z302" s="10">
        <v>10339</v>
      </c>
      <c r="AA302" s="10">
        <v>13432</v>
      </c>
      <c r="AB302" s="26">
        <f t="shared" si="13"/>
        <v>137007</v>
      </c>
      <c r="AC302" s="25">
        <v>12453</v>
      </c>
      <c r="AD302" s="10">
        <v>10920</v>
      </c>
      <c r="AE302" s="10">
        <v>13187</v>
      </c>
      <c r="AF302" s="10">
        <v>8998</v>
      </c>
      <c r="AG302" s="10">
        <v>9632</v>
      </c>
      <c r="AH302" s="10">
        <v>8998</v>
      </c>
      <c r="AI302" s="10">
        <v>12740</v>
      </c>
      <c r="AJ302" s="10">
        <v>10760</v>
      </c>
      <c r="AK302" s="10">
        <v>14372</v>
      </c>
      <c r="AL302" s="10">
        <v>12322</v>
      </c>
      <c r="AM302" s="10">
        <v>12219</v>
      </c>
      <c r="AN302" s="10">
        <v>21279</v>
      </c>
      <c r="AO302" s="26">
        <f t="shared" si="14"/>
        <v>147880</v>
      </c>
    </row>
    <row r="303" spans="1:41" ht="17.25" customHeight="1" x14ac:dyDescent="0.45">
      <c r="A303" s="2" t="s">
        <v>12</v>
      </c>
      <c r="B303" s="2" t="s">
        <v>47</v>
      </c>
      <c r="C303" s="23">
        <v>92</v>
      </c>
      <c r="D303" s="1">
        <v>90</v>
      </c>
      <c r="E303" s="1">
        <v>100</v>
      </c>
      <c r="F303" s="1">
        <v>90</v>
      </c>
      <c r="G303" s="1">
        <v>94</v>
      </c>
      <c r="H303" s="1">
        <v>90</v>
      </c>
      <c r="I303" s="1">
        <v>96</v>
      </c>
      <c r="J303" s="1">
        <v>93</v>
      </c>
      <c r="K303" s="1">
        <v>90</v>
      </c>
      <c r="L303" s="1">
        <v>92</v>
      </c>
      <c r="M303" s="1">
        <v>88</v>
      </c>
      <c r="N303" s="1">
        <v>90</v>
      </c>
      <c r="O303" s="24">
        <f t="shared" si="12"/>
        <v>1105</v>
      </c>
      <c r="P303" s="23">
        <v>14114</v>
      </c>
      <c r="Q303" s="1">
        <v>15338</v>
      </c>
      <c r="R303" s="1">
        <v>15916</v>
      </c>
      <c r="S303" s="1">
        <v>13461</v>
      </c>
      <c r="T303" s="1">
        <v>15043</v>
      </c>
      <c r="U303" s="1">
        <v>14329</v>
      </c>
      <c r="V303" s="1">
        <v>15419</v>
      </c>
      <c r="W303" s="1">
        <v>15059</v>
      </c>
      <c r="X303" s="1">
        <v>12878</v>
      </c>
      <c r="Y303" s="1">
        <v>14216</v>
      </c>
      <c r="Z303" s="1">
        <v>14476</v>
      </c>
      <c r="AA303" s="1">
        <v>13854</v>
      </c>
      <c r="AB303" s="24">
        <f t="shared" si="13"/>
        <v>174103</v>
      </c>
      <c r="AC303" s="23">
        <v>88453.2</v>
      </c>
      <c r="AD303" s="1">
        <v>85133.040000000008</v>
      </c>
      <c r="AE303" s="1">
        <v>94833.8</v>
      </c>
      <c r="AF303" s="1">
        <v>112448.6</v>
      </c>
      <c r="AG303" s="1">
        <v>117630</v>
      </c>
      <c r="AH303" s="1">
        <v>94625.1</v>
      </c>
      <c r="AI303" s="1">
        <v>92365.9</v>
      </c>
      <c r="AJ303" s="1">
        <v>64384.3</v>
      </c>
      <c r="AK303" s="1">
        <v>57369.250000000007</v>
      </c>
      <c r="AL303" s="1">
        <v>93502</v>
      </c>
      <c r="AM303" s="1">
        <v>122404.4</v>
      </c>
      <c r="AN303" s="1">
        <v>107837.8</v>
      </c>
      <c r="AO303" s="24">
        <f t="shared" si="14"/>
        <v>1130987.3900000001</v>
      </c>
    </row>
    <row r="304" spans="1:41" ht="17.25" customHeight="1" x14ac:dyDescent="0.45">
      <c r="A304" s="12" t="s">
        <v>12</v>
      </c>
      <c r="B304" s="12" t="s">
        <v>39</v>
      </c>
      <c r="C304" s="25">
        <v>67</v>
      </c>
      <c r="D304" s="10">
        <v>61</v>
      </c>
      <c r="E304" s="10">
        <v>57</v>
      </c>
      <c r="F304" s="10">
        <v>71</v>
      </c>
      <c r="G304" s="10">
        <v>75</v>
      </c>
      <c r="H304" s="10">
        <v>72</v>
      </c>
      <c r="I304" s="10">
        <v>74</v>
      </c>
      <c r="J304" s="10">
        <v>76</v>
      </c>
      <c r="K304" s="10">
        <v>78</v>
      </c>
      <c r="L304" s="10">
        <v>79</v>
      </c>
      <c r="M304" s="10">
        <v>62</v>
      </c>
      <c r="N304" s="10">
        <v>63</v>
      </c>
      <c r="O304" s="26">
        <f t="shared" si="12"/>
        <v>835</v>
      </c>
      <c r="P304" s="25">
        <v>6287</v>
      </c>
      <c r="Q304" s="10">
        <v>6069</v>
      </c>
      <c r="R304" s="10">
        <v>5638</v>
      </c>
      <c r="S304" s="10">
        <v>7503</v>
      </c>
      <c r="T304" s="10">
        <v>7942</v>
      </c>
      <c r="U304" s="10">
        <v>7049</v>
      </c>
      <c r="V304" s="10">
        <v>7831</v>
      </c>
      <c r="W304" s="10">
        <v>8364</v>
      </c>
      <c r="X304" s="10">
        <v>8402</v>
      </c>
      <c r="Y304" s="10">
        <v>9131</v>
      </c>
      <c r="Z304" s="10">
        <v>6587</v>
      </c>
      <c r="AA304" s="10">
        <v>6814</v>
      </c>
      <c r="AB304" s="26">
        <f t="shared" si="13"/>
        <v>87617</v>
      </c>
      <c r="AC304" s="25">
        <v>51022</v>
      </c>
      <c r="AD304" s="10">
        <v>28344</v>
      </c>
      <c r="AE304" s="10">
        <v>26406</v>
      </c>
      <c r="AF304" s="10">
        <v>20804</v>
      </c>
      <c r="AG304" s="10">
        <v>23127</v>
      </c>
      <c r="AH304" s="10">
        <v>17452</v>
      </c>
      <c r="AI304" s="10">
        <v>19019</v>
      </c>
      <c r="AJ304" s="10">
        <v>46813</v>
      </c>
      <c r="AK304" s="10">
        <v>38943</v>
      </c>
      <c r="AL304" s="10">
        <v>33487</v>
      </c>
      <c r="AM304" s="10">
        <v>33834</v>
      </c>
      <c r="AN304" s="10">
        <v>31023</v>
      </c>
      <c r="AO304" s="26">
        <f t="shared" si="14"/>
        <v>370274</v>
      </c>
    </row>
    <row r="305" spans="1:41" ht="17.25" customHeight="1" x14ac:dyDescent="0.45">
      <c r="A305" s="2" t="s">
        <v>12</v>
      </c>
      <c r="B305" s="2" t="s">
        <v>56</v>
      </c>
      <c r="C305" s="23">
        <v>82</v>
      </c>
      <c r="D305" s="1">
        <v>83</v>
      </c>
      <c r="E305" s="1">
        <v>87</v>
      </c>
      <c r="F305" s="1">
        <v>60</v>
      </c>
      <c r="G305" s="1">
        <v>63</v>
      </c>
      <c r="H305" s="1">
        <v>60</v>
      </c>
      <c r="I305" s="1">
        <v>62</v>
      </c>
      <c r="J305" s="1">
        <v>62</v>
      </c>
      <c r="K305" s="1">
        <v>59</v>
      </c>
      <c r="L305" s="1">
        <v>60</v>
      </c>
      <c r="M305" s="1">
        <v>59</v>
      </c>
      <c r="N305" s="1">
        <v>60</v>
      </c>
      <c r="O305" s="24">
        <f t="shared" si="12"/>
        <v>797</v>
      </c>
      <c r="P305" s="23">
        <v>6269</v>
      </c>
      <c r="Q305" s="1">
        <v>6172</v>
      </c>
      <c r="R305" s="1">
        <v>6405</v>
      </c>
      <c r="S305" s="1">
        <v>4947</v>
      </c>
      <c r="T305" s="1">
        <v>5472</v>
      </c>
      <c r="U305" s="1">
        <v>5159</v>
      </c>
      <c r="V305" s="1">
        <v>5439</v>
      </c>
      <c r="W305" s="1">
        <v>4912</v>
      </c>
      <c r="X305" s="1">
        <v>4100</v>
      </c>
      <c r="Y305" s="1">
        <v>4743</v>
      </c>
      <c r="Z305" s="1">
        <v>6368</v>
      </c>
      <c r="AA305" s="1">
        <v>6700</v>
      </c>
      <c r="AB305" s="24">
        <f t="shared" si="13"/>
        <v>66686</v>
      </c>
      <c r="AC305" s="23">
        <v>102</v>
      </c>
      <c r="AD305" s="1">
        <v>135</v>
      </c>
      <c r="AE305" s="1">
        <v>57</v>
      </c>
      <c r="AF305" s="1">
        <v>366</v>
      </c>
      <c r="AG305" s="1">
        <v>64</v>
      </c>
      <c r="AH305" s="1">
        <v>134</v>
      </c>
      <c r="AI305" s="1">
        <v>123</v>
      </c>
      <c r="AJ305" s="1">
        <v>258</v>
      </c>
      <c r="AK305" s="1">
        <v>64</v>
      </c>
      <c r="AL305" s="1">
        <v>248</v>
      </c>
      <c r="AM305" s="1">
        <v>134</v>
      </c>
      <c r="AN305" s="1">
        <v>303</v>
      </c>
      <c r="AO305" s="24">
        <f t="shared" si="14"/>
        <v>1988</v>
      </c>
    </row>
    <row r="306" spans="1:41" ht="17.25" customHeight="1" x14ac:dyDescent="0.45">
      <c r="A306" s="12" t="s">
        <v>12</v>
      </c>
      <c r="B306" s="12" t="s">
        <v>57</v>
      </c>
      <c r="C306" s="25">
        <v>29</v>
      </c>
      <c r="D306" s="10">
        <v>29</v>
      </c>
      <c r="E306" s="10">
        <v>30</v>
      </c>
      <c r="F306" s="10">
        <v>30</v>
      </c>
      <c r="G306" s="10">
        <v>31</v>
      </c>
      <c r="H306" s="10">
        <v>30</v>
      </c>
      <c r="I306" s="10">
        <v>31</v>
      </c>
      <c r="J306" s="10">
        <v>31</v>
      </c>
      <c r="K306" s="10">
        <v>30</v>
      </c>
      <c r="L306" s="10">
        <v>31</v>
      </c>
      <c r="M306" s="10">
        <v>30</v>
      </c>
      <c r="N306" s="10">
        <v>30</v>
      </c>
      <c r="O306" s="26">
        <f t="shared" si="12"/>
        <v>362</v>
      </c>
      <c r="P306" s="25">
        <v>2746</v>
      </c>
      <c r="Q306" s="10">
        <v>2768</v>
      </c>
      <c r="R306" s="10">
        <v>2919</v>
      </c>
      <c r="S306" s="10">
        <v>2931</v>
      </c>
      <c r="T306" s="10">
        <v>2936</v>
      </c>
      <c r="U306" s="10">
        <v>2798</v>
      </c>
      <c r="V306" s="10">
        <v>3011</v>
      </c>
      <c r="W306" s="10">
        <v>2969</v>
      </c>
      <c r="X306" s="10">
        <v>2902</v>
      </c>
      <c r="Y306" s="10">
        <v>3002</v>
      </c>
      <c r="Z306" s="10">
        <v>2746</v>
      </c>
      <c r="AA306" s="10">
        <v>2854</v>
      </c>
      <c r="AB306" s="26">
        <f t="shared" si="13"/>
        <v>34582</v>
      </c>
      <c r="AC306" s="25">
        <v>0</v>
      </c>
      <c r="AD306" s="10">
        <v>88</v>
      </c>
      <c r="AE306" s="10">
        <v>26</v>
      </c>
      <c r="AF306" s="10">
        <v>16</v>
      </c>
      <c r="AG306" s="10">
        <v>86</v>
      </c>
      <c r="AH306" s="10">
        <v>26</v>
      </c>
      <c r="AI306" s="10">
        <v>30</v>
      </c>
      <c r="AJ306" s="10">
        <v>117</v>
      </c>
      <c r="AK306" s="10">
        <v>35</v>
      </c>
      <c r="AL306" s="10">
        <v>45</v>
      </c>
      <c r="AM306" s="10">
        <v>102</v>
      </c>
      <c r="AN306" s="10">
        <v>65</v>
      </c>
      <c r="AO306" s="26">
        <f t="shared" si="14"/>
        <v>636</v>
      </c>
    </row>
    <row r="307" spans="1:41" ht="17.25" customHeight="1" x14ac:dyDescent="0.45">
      <c r="A307" s="2" t="s">
        <v>12</v>
      </c>
      <c r="B307" s="2" t="s">
        <v>40</v>
      </c>
      <c r="C307" s="23">
        <v>163</v>
      </c>
      <c r="D307" s="1">
        <v>155</v>
      </c>
      <c r="E307" s="1">
        <v>162</v>
      </c>
      <c r="F307" s="1">
        <v>166</v>
      </c>
      <c r="G307" s="1">
        <v>171</v>
      </c>
      <c r="H307" s="1">
        <v>171</v>
      </c>
      <c r="I307" s="1">
        <v>181</v>
      </c>
      <c r="J307" s="1">
        <v>176</v>
      </c>
      <c r="K307" s="1">
        <v>170</v>
      </c>
      <c r="L307" s="1">
        <v>174</v>
      </c>
      <c r="M307" s="1">
        <v>150</v>
      </c>
      <c r="N307" s="1">
        <v>141</v>
      </c>
      <c r="O307" s="24">
        <f t="shared" si="12"/>
        <v>1980</v>
      </c>
      <c r="P307" s="23">
        <v>23433</v>
      </c>
      <c r="Q307" s="1">
        <v>24259</v>
      </c>
      <c r="R307" s="1">
        <v>25859</v>
      </c>
      <c r="S307" s="1">
        <v>25803</v>
      </c>
      <c r="T307" s="1">
        <v>27289</v>
      </c>
      <c r="U307" s="1">
        <v>27237</v>
      </c>
      <c r="V307" s="1">
        <v>29909</v>
      </c>
      <c r="W307" s="1">
        <v>27877</v>
      </c>
      <c r="X307" s="1">
        <v>26009</v>
      </c>
      <c r="Y307" s="1">
        <v>24840</v>
      </c>
      <c r="Z307" s="1">
        <v>22823</v>
      </c>
      <c r="AA307" s="1">
        <v>23261</v>
      </c>
      <c r="AB307" s="24">
        <f t="shared" si="13"/>
        <v>308599</v>
      </c>
      <c r="AC307" s="23">
        <v>29986.5</v>
      </c>
      <c r="AD307" s="1">
        <v>24199.8</v>
      </c>
      <c r="AE307" s="1">
        <v>26824</v>
      </c>
      <c r="AF307" s="1">
        <v>24985</v>
      </c>
      <c r="AG307" s="1">
        <v>24912</v>
      </c>
      <c r="AH307" s="1">
        <v>24047</v>
      </c>
      <c r="AI307" s="1">
        <v>23681.1</v>
      </c>
      <c r="AJ307" s="1">
        <v>31614</v>
      </c>
      <c r="AK307" s="1">
        <v>22503.5</v>
      </c>
      <c r="AL307" s="1">
        <v>24239</v>
      </c>
      <c r="AM307" s="1">
        <v>34448</v>
      </c>
      <c r="AN307" s="1">
        <v>45493</v>
      </c>
      <c r="AO307" s="24">
        <f t="shared" si="14"/>
        <v>336932.9</v>
      </c>
    </row>
    <row r="308" spans="1:41" ht="17.25" customHeight="1" x14ac:dyDescent="0.45">
      <c r="A308" s="12" t="s">
        <v>12</v>
      </c>
      <c r="B308" s="12" t="s">
        <v>23</v>
      </c>
      <c r="C308" s="25">
        <v>430</v>
      </c>
      <c r="D308" s="10">
        <v>411</v>
      </c>
      <c r="E308" s="10">
        <v>428</v>
      </c>
      <c r="F308" s="10">
        <v>458</v>
      </c>
      <c r="G308" s="10">
        <v>477</v>
      </c>
      <c r="H308" s="10">
        <v>451</v>
      </c>
      <c r="I308" s="10">
        <v>432</v>
      </c>
      <c r="J308" s="10">
        <v>452</v>
      </c>
      <c r="K308" s="10">
        <v>419</v>
      </c>
      <c r="L308" s="10">
        <v>408</v>
      </c>
      <c r="M308" s="10">
        <v>388</v>
      </c>
      <c r="N308" s="10">
        <v>406</v>
      </c>
      <c r="O308" s="26">
        <f t="shared" si="12"/>
        <v>5160</v>
      </c>
      <c r="P308" s="25">
        <v>71298</v>
      </c>
      <c r="Q308" s="10">
        <v>69622</v>
      </c>
      <c r="R308" s="10">
        <v>72382</v>
      </c>
      <c r="S308" s="10">
        <v>73095</v>
      </c>
      <c r="T308" s="10">
        <v>74076</v>
      </c>
      <c r="U308" s="10">
        <v>68476</v>
      </c>
      <c r="V308" s="10">
        <v>70674</v>
      </c>
      <c r="W308" s="10">
        <v>71899</v>
      </c>
      <c r="X308" s="10">
        <v>66403</v>
      </c>
      <c r="Y308" s="10">
        <v>66299</v>
      </c>
      <c r="Z308" s="10">
        <v>67154</v>
      </c>
      <c r="AA308" s="10">
        <v>71847</v>
      </c>
      <c r="AB308" s="26">
        <f t="shared" si="13"/>
        <v>843225</v>
      </c>
      <c r="AC308" s="25">
        <v>281811.71999999997</v>
      </c>
      <c r="AD308" s="10">
        <v>270658.40000000002</v>
      </c>
      <c r="AE308" s="10">
        <v>272007.57</v>
      </c>
      <c r="AF308" s="10">
        <v>270071.34999999998</v>
      </c>
      <c r="AG308" s="10">
        <v>308101.3</v>
      </c>
      <c r="AH308" s="10">
        <v>259344.11</v>
      </c>
      <c r="AI308" s="10">
        <v>246780.55000000002</v>
      </c>
      <c r="AJ308" s="10">
        <v>278077.17000000004</v>
      </c>
      <c r="AK308" s="10">
        <v>266230.10000000003</v>
      </c>
      <c r="AL308" s="10">
        <v>276544</v>
      </c>
      <c r="AM308" s="10">
        <v>319166.91000000009</v>
      </c>
      <c r="AN308" s="10">
        <v>316515.14999999997</v>
      </c>
      <c r="AO308" s="26">
        <f t="shared" si="14"/>
        <v>3365308.3300000005</v>
      </c>
    </row>
    <row r="309" spans="1:41" ht="17.25" customHeight="1" x14ac:dyDescent="0.45">
      <c r="A309" s="2" t="s">
        <v>12</v>
      </c>
      <c r="B309" s="2" t="s">
        <v>24</v>
      </c>
      <c r="C309" s="23">
        <v>113</v>
      </c>
      <c r="D309" s="1">
        <v>91</v>
      </c>
      <c r="E309" s="1">
        <v>94</v>
      </c>
      <c r="F309" s="1">
        <v>91</v>
      </c>
      <c r="G309" s="1">
        <v>93</v>
      </c>
      <c r="H309" s="1">
        <v>100</v>
      </c>
      <c r="I309" s="1">
        <v>123</v>
      </c>
      <c r="J309" s="1">
        <v>124</v>
      </c>
      <c r="K309" s="1">
        <v>90</v>
      </c>
      <c r="L309" s="1">
        <v>93</v>
      </c>
      <c r="M309" s="1">
        <v>89</v>
      </c>
      <c r="N309" s="1">
        <v>102</v>
      </c>
      <c r="O309" s="24">
        <f t="shared" si="12"/>
        <v>1203</v>
      </c>
      <c r="P309" s="23">
        <v>19389</v>
      </c>
      <c r="Q309" s="1">
        <v>15500</v>
      </c>
      <c r="R309" s="1">
        <v>16348</v>
      </c>
      <c r="S309" s="1">
        <v>15758</v>
      </c>
      <c r="T309" s="1">
        <v>15809</v>
      </c>
      <c r="U309" s="1">
        <v>15157</v>
      </c>
      <c r="V309" s="1">
        <v>20344</v>
      </c>
      <c r="W309" s="1">
        <v>21021</v>
      </c>
      <c r="X309" s="1">
        <v>15518</v>
      </c>
      <c r="Y309" s="1">
        <v>16183</v>
      </c>
      <c r="Z309" s="1">
        <v>15615</v>
      </c>
      <c r="AA309" s="1">
        <v>16087</v>
      </c>
      <c r="AB309" s="24">
        <f t="shared" si="13"/>
        <v>202729</v>
      </c>
      <c r="AC309" s="23">
        <v>81441.600000000006</v>
      </c>
      <c r="AD309" s="1">
        <v>88910.1</v>
      </c>
      <c r="AE309" s="1">
        <v>96664.3</v>
      </c>
      <c r="AF309" s="1">
        <v>103627.7</v>
      </c>
      <c r="AG309" s="1">
        <v>109040</v>
      </c>
      <c r="AH309" s="1">
        <v>100781.97</v>
      </c>
      <c r="AI309" s="1">
        <v>112637.29999999999</v>
      </c>
      <c r="AJ309" s="1">
        <v>91161.39999999998</v>
      </c>
      <c r="AK309" s="1">
        <v>71248.049999999974</v>
      </c>
      <c r="AL309" s="1">
        <v>89949</v>
      </c>
      <c r="AM309" s="1">
        <v>87927.400000000009</v>
      </c>
      <c r="AN309" s="1">
        <v>95475.92</v>
      </c>
      <c r="AO309" s="24">
        <f t="shared" si="14"/>
        <v>1128864.74</v>
      </c>
    </row>
    <row r="310" spans="1:41" ht="17.25" customHeight="1" x14ac:dyDescent="0.45">
      <c r="A310" s="12" t="s">
        <v>12</v>
      </c>
      <c r="B310" s="12" t="s">
        <v>58</v>
      </c>
      <c r="C310" s="25">
        <v>59</v>
      </c>
      <c r="D310" s="10">
        <v>50</v>
      </c>
      <c r="E310" s="10">
        <v>54</v>
      </c>
      <c r="F310" s="10">
        <v>83</v>
      </c>
      <c r="G310" s="10">
        <v>91</v>
      </c>
      <c r="H310" s="10">
        <v>87</v>
      </c>
      <c r="I310" s="10">
        <v>85</v>
      </c>
      <c r="J310" s="10">
        <v>84</v>
      </c>
      <c r="K310" s="10">
        <v>79</v>
      </c>
      <c r="L310" s="10">
        <v>84</v>
      </c>
      <c r="M310" s="10">
        <v>81</v>
      </c>
      <c r="N310" s="10">
        <v>73</v>
      </c>
      <c r="O310" s="26">
        <f t="shared" si="12"/>
        <v>910</v>
      </c>
      <c r="P310" s="25">
        <v>4733</v>
      </c>
      <c r="Q310" s="10">
        <v>4269</v>
      </c>
      <c r="R310" s="10">
        <v>4691</v>
      </c>
      <c r="S310" s="10">
        <v>5948</v>
      </c>
      <c r="T310" s="10">
        <v>6885</v>
      </c>
      <c r="U310" s="10">
        <v>6680</v>
      </c>
      <c r="V310" s="10">
        <v>7236</v>
      </c>
      <c r="W310" s="10">
        <v>6451</v>
      </c>
      <c r="X310" s="10">
        <v>5998</v>
      </c>
      <c r="Y310" s="10">
        <v>6369</v>
      </c>
      <c r="Z310" s="10">
        <v>6605</v>
      </c>
      <c r="AA310" s="10">
        <v>7103</v>
      </c>
      <c r="AB310" s="26">
        <f t="shared" si="13"/>
        <v>72968</v>
      </c>
      <c r="AC310" s="25">
        <v>20190</v>
      </c>
      <c r="AD310" s="10">
        <v>18321</v>
      </c>
      <c r="AE310" s="10">
        <v>19025</v>
      </c>
      <c r="AF310" s="10">
        <v>16839</v>
      </c>
      <c r="AG310" s="10">
        <v>18528</v>
      </c>
      <c r="AH310" s="10">
        <v>13927</v>
      </c>
      <c r="AI310" s="10">
        <v>16533</v>
      </c>
      <c r="AJ310" s="10">
        <v>18766</v>
      </c>
      <c r="AK310" s="10">
        <v>19277</v>
      </c>
      <c r="AL310" s="10">
        <v>19604</v>
      </c>
      <c r="AM310" s="10">
        <v>20656</v>
      </c>
      <c r="AN310" s="10">
        <v>21298</v>
      </c>
      <c r="AO310" s="26">
        <f t="shared" si="14"/>
        <v>222964</v>
      </c>
    </row>
    <row r="311" spans="1:41" ht="17.25" customHeight="1" x14ac:dyDescent="0.45">
      <c r="A311" s="2" t="s">
        <v>12</v>
      </c>
      <c r="B311" s="2" t="s">
        <v>13</v>
      </c>
      <c r="C311" s="23">
        <v>749</v>
      </c>
      <c r="D311" s="1">
        <v>731</v>
      </c>
      <c r="E311" s="1">
        <v>776</v>
      </c>
      <c r="F311" s="1">
        <v>779</v>
      </c>
      <c r="G311" s="1">
        <v>805</v>
      </c>
      <c r="H311" s="1">
        <v>760</v>
      </c>
      <c r="I311" s="1">
        <v>785</v>
      </c>
      <c r="J311" s="1">
        <v>833</v>
      </c>
      <c r="K311" s="1">
        <v>788</v>
      </c>
      <c r="L311" s="1">
        <v>826</v>
      </c>
      <c r="M311" s="1">
        <v>798</v>
      </c>
      <c r="N311" s="1">
        <v>764</v>
      </c>
      <c r="O311" s="24">
        <f t="shared" si="12"/>
        <v>9394</v>
      </c>
      <c r="P311" s="23">
        <v>132020</v>
      </c>
      <c r="Q311" s="1">
        <v>130013</v>
      </c>
      <c r="R311" s="1">
        <v>132297</v>
      </c>
      <c r="S311" s="1">
        <v>131215</v>
      </c>
      <c r="T311" s="1">
        <v>133399</v>
      </c>
      <c r="U311" s="1">
        <v>121812</v>
      </c>
      <c r="V311" s="1">
        <v>135289</v>
      </c>
      <c r="W311" s="1">
        <v>141739</v>
      </c>
      <c r="X311" s="1">
        <v>128444</v>
      </c>
      <c r="Y311" s="1">
        <v>137315</v>
      </c>
      <c r="Z311" s="1">
        <v>133876</v>
      </c>
      <c r="AA311" s="1">
        <v>120947</v>
      </c>
      <c r="AB311" s="24">
        <f t="shared" si="13"/>
        <v>1578366</v>
      </c>
      <c r="AC311" s="23">
        <v>340383.85</v>
      </c>
      <c r="AD311" s="1">
        <v>307808.55000000005</v>
      </c>
      <c r="AE311" s="1">
        <v>307828.69999999995</v>
      </c>
      <c r="AF311" s="1">
        <v>415188.15</v>
      </c>
      <c r="AG311" s="1">
        <v>525526.4</v>
      </c>
      <c r="AH311" s="1">
        <v>456236.55000000005</v>
      </c>
      <c r="AI311" s="1">
        <v>401459.95</v>
      </c>
      <c r="AJ311" s="1">
        <v>549660.95000000007</v>
      </c>
      <c r="AK311" s="1">
        <v>569503.46999999986</v>
      </c>
      <c r="AL311" s="1">
        <v>627102.89999999991</v>
      </c>
      <c r="AM311" s="1">
        <v>570230.16000000015</v>
      </c>
      <c r="AN311" s="1">
        <v>494477.36999999994</v>
      </c>
      <c r="AO311" s="24">
        <f t="shared" si="14"/>
        <v>5565407.0000000009</v>
      </c>
    </row>
    <row r="312" spans="1:41" ht="17.25" customHeight="1" x14ac:dyDescent="0.45">
      <c r="A312" s="12" t="s">
        <v>12</v>
      </c>
      <c r="B312" s="12" t="s">
        <v>25</v>
      </c>
      <c r="C312" s="25">
        <v>12</v>
      </c>
      <c r="D312" s="10">
        <v>0</v>
      </c>
      <c r="E312" s="10">
        <v>0</v>
      </c>
      <c r="F312" s="10">
        <v>0</v>
      </c>
      <c r="G312" s="10">
        <v>0</v>
      </c>
      <c r="H312" s="10">
        <v>11</v>
      </c>
      <c r="I312" s="10">
        <v>31</v>
      </c>
      <c r="J312" s="10">
        <v>31</v>
      </c>
      <c r="K312" s="10">
        <v>30</v>
      </c>
      <c r="L312" s="10">
        <v>31</v>
      </c>
      <c r="M312" s="10">
        <v>30</v>
      </c>
      <c r="N312" s="10">
        <v>31</v>
      </c>
      <c r="O312" s="26">
        <f t="shared" si="12"/>
        <v>207</v>
      </c>
      <c r="P312" s="25">
        <v>556</v>
      </c>
      <c r="Q312" s="10">
        <v>0</v>
      </c>
      <c r="R312" s="10">
        <v>0</v>
      </c>
      <c r="S312" s="10">
        <v>0</v>
      </c>
      <c r="T312" s="10">
        <v>0</v>
      </c>
      <c r="U312" s="10">
        <v>934</v>
      </c>
      <c r="V312" s="10">
        <v>2551</v>
      </c>
      <c r="W312" s="10">
        <v>2387</v>
      </c>
      <c r="X312" s="10">
        <v>2237</v>
      </c>
      <c r="Y312" s="10">
        <v>2515</v>
      </c>
      <c r="Z312" s="10">
        <v>2339</v>
      </c>
      <c r="AA312" s="10">
        <v>2601</v>
      </c>
      <c r="AB312" s="26">
        <f t="shared" si="13"/>
        <v>16120</v>
      </c>
      <c r="AC312" s="25">
        <v>0</v>
      </c>
      <c r="AD312" s="10">
        <v>0</v>
      </c>
      <c r="AE312" s="10">
        <v>0</v>
      </c>
      <c r="AF312" s="10">
        <v>0</v>
      </c>
      <c r="AG312" s="10">
        <v>0</v>
      </c>
      <c r="AH312" s="10">
        <v>15</v>
      </c>
      <c r="AI312" s="10">
        <v>59</v>
      </c>
      <c r="AJ312" s="10">
        <v>85</v>
      </c>
      <c r="AK312" s="10">
        <v>70</v>
      </c>
      <c r="AL312" s="10">
        <v>118</v>
      </c>
      <c r="AM312" s="10">
        <v>25</v>
      </c>
      <c r="AN312" s="10">
        <v>70</v>
      </c>
      <c r="AO312" s="26">
        <f t="shared" si="14"/>
        <v>442</v>
      </c>
    </row>
    <row r="313" spans="1:41" ht="17.25" customHeight="1" x14ac:dyDescent="0.45">
      <c r="A313" s="2" t="s">
        <v>12</v>
      </c>
      <c r="B313" s="2" t="s">
        <v>59</v>
      </c>
      <c r="C313" s="23">
        <v>38</v>
      </c>
      <c r="D313" s="1">
        <v>29</v>
      </c>
      <c r="E313" s="1">
        <v>30</v>
      </c>
      <c r="F313" s="1">
        <v>30</v>
      </c>
      <c r="G313" s="1">
        <v>31</v>
      </c>
      <c r="H313" s="1">
        <v>30</v>
      </c>
      <c r="I313" s="1">
        <v>31</v>
      </c>
      <c r="J313" s="1">
        <v>31</v>
      </c>
      <c r="K313" s="1">
        <v>30</v>
      </c>
      <c r="L313" s="1">
        <v>31</v>
      </c>
      <c r="M313" s="1">
        <v>30</v>
      </c>
      <c r="N313" s="1">
        <v>29</v>
      </c>
      <c r="O313" s="24">
        <f t="shared" si="12"/>
        <v>370</v>
      </c>
      <c r="P313" s="23">
        <v>4260</v>
      </c>
      <c r="Q313" s="1">
        <v>2618</v>
      </c>
      <c r="R313" s="1">
        <v>2698</v>
      </c>
      <c r="S313" s="1">
        <v>2640</v>
      </c>
      <c r="T313" s="1">
        <v>2562</v>
      </c>
      <c r="U313" s="1">
        <v>2564</v>
      </c>
      <c r="V313" s="1">
        <v>2750</v>
      </c>
      <c r="W313" s="1">
        <v>2767</v>
      </c>
      <c r="X313" s="1">
        <v>2541</v>
      </c>
      <c r="Y313" s="1">
        <v>2681</v>
      </c>
      <c r="Z313" s="1">
        <v>2704</v>
      </c>
      <c r="AA313" s="1">
        <v>2611</v>
      </c>
      <c r="AB313" s="24">
        <f t="shared" si="13"/>
        <v>33396</v>
      </c>
      <c r="AC313" s="23">
        <v>0</v>
      </c>
      <c r="AD313" s="1">
        <v>0</v>
      </c>
      <c r="AE313" s="1">
        <v>26</v>
      </c>
      <c r="AF313" s="1">
        <v>35</v>
      </c>
      <c r="AG313" s="1">
        <v>56</v>
      </c>
      <c r="AH313" s="1">
        <v>1</v>
      </c>
      <c r="AI313" s="1">
        <v>50</v>
      </c>
      <c r="AJ313" s="1">
        <v>172</v>
      </c>
      <c r="AK313" s="1">
        <v>11</v>
      </c>
      <c r="AL313" s="1">
        <v>67</v>
      </c>
      <c r="AM313" s="1">
        <v>21</v>
      </c>
      <c r="AN313" s="1">
        <v>49</v>
      </c>
      <c r="AO313" s="24">
        <f t="shared" si="14"/>
        <v>488</v>
      </c>
    </row>
    <row r="314" spans="1:41" ht="17.25" customHeight="1" x14ac:dyDescent="0.45">
      <c r="A314" s="12" t="s">
        <v>12</v>
      </c>
      <c r="B314" s="12" t="s">
        <v>26</v>
      </c>
      <c r="C314" s="25">
        <v>237</v>
      </c>
      <c r="D314" s="10">
        <v>215</v>
      </c>
      <c r="E314" s="10">
        <v>215</v>
      </c>
      <c r="F314" s="10">
        <v>246</v>
      </c>
      <c r="G314" s="10">
        <v>261</v>
      </c>
      <c r="H314" s="10">
        <v>244</v>
      </c>
      <c r="I314" s="10">
        <v>225</v>
      </c>
      <c r="J314" s="10">
        <v>248</v>
      </c>
      <c r="K314" s="10">
        <v>216</v>
      </c>
      <c r="L314" s="10">
        <v>220</v>
      </c>
      <c r="M314" s="10">
        <v>206</v>
      </c>
      <c r="N314" s="10">
        <v>205</v>
      </c>
      <c r="O314" s="26">
        <f t="shared" si="12"/>
        <v>2738</v>
      </c>
      <c r="P314" s="25">
        <v>25301</v>
      </c>
      <c r="Q314" s="10">
        <v>25581</v>
      </c>
      <c r="R314" s="10">
        <v>26783</v>
      </c>
      <c r="S314" s="10">
        <v>28103</v>
      </c>
      <c r="T314" s="10">
        <v>29490</v>
      </c>
      <c r="U314" s="10">
        <v>29486</v>
      </c>
      <c r="V314" s="10">
        <v>29325</v>
      </c>
      <c r="W314" s="10">
        <v>29570</v>
      </c>
      <c r="X314" s="10">
        <v>26071</v>
      </c>
      <c r="Y314" s="10">
        <v>30481</v>
      </c>
      <c r="Z314" s="10">
        <v>27262</v>
      </c>
      <c r="AA314" s="10">
        <v>27637</v>
      </c>
      <c r="AB314" s="26">
        <f t="shared" si="13"/>
        <v>335090</v>
      </c>
      <c r="AC314" s="25">
        <v>57721.95</v>
      </c>
      <c r="AD314" s="10">
        <v>54297.3</v>
      </c>
      <c r="AE314" s="10">
        <v>48282.3</v>
      </c>
      <c r="AF314" s="10">
        <v>50863.8</v>
      </c>
      <c r="AG314" s="10">
        <v>59227.4</v>
      </c>
      <c r="AH314" s="10">
        <v>60164.3</v>
      </c>
      <c r="AI314" s="10">
        <v>55664.95</v>
      </c>
      <c r="AJ314" s="10">
        <v>62629.9</v>
      </c>
      <c r="AK314" s="10">
        <v>52599.9</v>
      </c>
      <c r="AL314" s="10">
        <v>55222.5</v>
      </c>
      <c r="AM314" s="10">
        <v>45363.500000000007</v>
      </c>
      <c r="AN314" s="10">
        <v>66330.399999999994</v>
      </c>
      <c r="AO314" s="26">
        <f t="shared" si="14"/>
        <v>668368.20000000007</v>
      </c>
    </row>
    <row r="315" spans="1:41" ht="17.25" customHeight="1" x14ac:dyDescent="0.45">
      <c r="A315" s="2" t="s">
        <v>12</v>
      </c>
      <c r="B315" s="2" t="s">
        <v>49</v>
      </c>
      <c r="C315" s="23">
        <v>164</v>
      </c>
      <c r="D315" s="1">
        <v>135</v>
      </c>
      <c r="E315" s="1">
        <v>147</v>
      </c>
      <c r="F315" s="1">
        <v>152</v>
      </c>
      <c r="G315" s="1">
        <v>162</v>
      </c>
      <c r="H315" s="1">
        <v>157</v>
      </c>
      <c r="I315" s="1">
        <v>167</v>
      </c>
      <c r="J315" s="1">
        <v>166</v>
      </c>
      <c r="K315" s="1">
        <v>147</v>
      </c>
      <c r="L315" s="1">
        <v>149</v>
      </c>
      <c r="M315" s="1">
        <v>112</v>
      </c>
      <c r="N315" s="1">
        <v>122</v>
      </c>
      <c r="O315" s="24">
        <f t="shared" si="12"/>
        <v>1780</v>
      </c>
      <c r="P315" s="23">
        <v>24177</v>
      </c>
      <c r="Q315" s="1">
        <v>19759</v>
      </c>
      <c r="R315" s="1">
        <v>21445</v>
      </c>
      <c r="S315" s="1">
        <v>21368</v>
      </c>
      <c r="T315" s="1">
        <v>23552</v>
      </c>
      <c r="U315" s="1">
        <v>22598</v>
      </c>
      <c r="V315" s="1">
        <v>23843</v>
      </c>
      <c r="W315" s="1">
        <v>22337</v>
      </c>
      <c r="X315" s="1">
        <v>18298</v>
      </c>
      <c r="Y315" s="1">
        <v>19625</v>
      </c>
      <c r="Z315" s="1">
        <v>19660</v>
      </c>
      <c r="AA315" s="1">
        <v>22736</v>
      </c>
      <c r="AB315" s="24">
        <f t="shared" si="13"/>
        <v>259398</v>
      </c>
      <c r="AC315" s="23">
        <v>66</v>
      </c>
      <c r="AD315" s="1">
        <v>95</v>
      </c>
      <c r="AE315" s="1">
        <v>74</v>
      </c>
      <c r="AF315" s="1">
        <v>123</v>
      </c>
      <c r="AG315" s="1">
        <v>66</v>
      </c>
      <c r="AH315" s="1">
        <v>298</v>
      </c>
      <c r="AI315" s="1">
        <v>47</v>
      </c>
      <c r="AJ315" s="1">
        <v>130</v>
      </c>
      <c r="AK315" s="1">
        <v>284</v>
      </c>
      <c r="AL315" s="1">
        <v>79</v>
      </c>
      <c r="AM315" s="1">
        <v>61</v>
      </c>
      <c r="AN315" s="1">
        <v>230.5</v>
      </c>
      <c r="AO315" s="24">
        <f t="shared" si="14"/>
        <v>1553.5</v>
      </c>
    </row>
    <row r="316" spans="1:41" ht="17.25" customHeight="1" x14ac:dyDescent="0.45">
      <c r="A316" s="12" t="s">
        <v>12</v>
      </c>
      <c r="B316" s="12" t="s">
        <v>17</v>
      </c>
      <c r="C316" s="25">
        <v>264</v>
      </c>
      <c r="D316" s="10">
        <v>238</v>
      </c>
      <c r="E316" s="10">
        <v>263</v>
      </c>
      <c r="F316" s="10">
        <v>264</v>
      </c>
      <c r="G316" s="10">
        <v>278</v>
      </c>
      <c r="H316" s="10">
        <v>277</v>
      </c>
      <c r="I316" s="10">
        <v>306</v>
      </c>
      <c r="J316" s="10">
        <v>304</v>
      </c>
      <c r="K316" s="10">
        <v>255</v>
      </c>
      <c r="L316" s="10">
        <v>257</v>
      </c>
      <c r="M316" s="10">
        <v>244</v>
      </c>
      <c r="N316" s="10">
        <v>257</v>
      </c>
      <c r="O316" s="26">
        <f t="shared" si="12"/>
        <v>3207</v>
      </c>
      <c r="P316" s="25">
        <v>41530</v>
      </c>
      <c r="Q316" s="10">
        <v>38183</v>
      </c>
      <c r="R316" s="10">
        <v>43484</v>
      </c>
      <c r="S316" s="10">
        <v>43050</v>
      </c>
      <c r="T316" s="10">
        <v>46030</v>
      </c>
      <c r="U316" s="10">
        <v>44266</v>
      </c>
      <c r="V316" s="10">
        <v>50426</v>
      </c>
      <c r="W316" s="10">
        <v>44904</v>
      </c>
      <c r="X316" s="10">
        <v>37407</v>
      </c>
      <c r="Y316" s="10">
        <v>40686</v>
      </c>
      <c r="Z316" s="10">
        <v>41161</v>
      </c>
      <c r="AA316" s="10">
        <v>43464</v>
      </c>
      <c r="AB316" s="26">
        <f t="shared" si="13"/>
        <v>514591</v>
      </c>
      <c r="AC316" s="25">
        <v>42009.45</v>
      </c>
      <c r="AD316" s="10">
        <v>44956.9</v>
      </c>
      <c r="AE316" s="10">
        <v>48030.7</v>
      </c>
      <c r="AF316" s="10">
        <v>47822.8</v>
      </c>
      <c r="AG316" s="10">
        <v>51424</v>
      </c>
      <c r="AH316" s="10">
        <v>40628.5</v>
      </c>
      <c r="AI316" s="10">
        <v>41099.699999999997</v>
      </c>
      <c r="AJ316" s="10">
        <v>33498.199999999997</v>
      </c>
      <c r="AK316" s="10">
        <v>30290.9</v>
      </c>
      <c r="AL316" s="10">
        <v>47735</v>
      </c>
      <c r="AM316" s="10">
        <v>39221.049999999996</v>
      </c>
      <c r="AN316" s="10">
        <v>47771.249999999993</v>
      </c>
      <c r="AO316" s="26">
        <f t="shared" si="14"/>
        <v>514488.45</v>
      </c>
    </row>
    <row r="317" spans="1:41" ht="17.25" customHeight="1" x14ac:dyDescent="0.45">
      <c r="A317" s="2" t="s">
        <v>12</v>
      </c>
      <c r="B317" s="2" t="s">
        <v>28</v>
      </c>
      <c r="C317" s="23">
        <v>90</v>
      </c>
      <c r="D317" s="1">
        <v>86</v>
      </c>
      <c r="E317" s="1">
        <v>81</v>
      </c>
      <c r="F317" s="1">
        <v>90</v>
      </c>
      <c r="G317" s="1">
        <v>92</v>
      </c>
      <c r="H317" s="1">
        <v>88</v>
      </c>
      <c r="I317" s="1">
        <v>89</v>
      </c>
      <c r="J317" s="1">
        <v>90</v>
      </c>
      <c r="K317" s="1">
        <v>83</v>
      </c>
      <c r="L317" s="1">
        <v>84</v>
      </c>
      <c r="M317" s="1">
        <v>84</v>
      </c>
      <c r="N317" s="1">
        <v>81</v>
      </c>
      <c r="O317" s="24">
        <f t="shared" si="12"/>
        <v>1038</v>
      </c>
      <c r="P317" s="23">
        <v>6536</v>
      </c>
      <c r="Q317" s="1">
        <v>6346</v>
      </c>
      <c r="R317" s="1">
        <v>6714</v>
      </c>
      <c r="S317" s="1">
        <v>7542</v>
      </c>
      <c r="T317" s="1">
        <v>7171</v>
      </c>
      <c r="U317" s="1">
        <v>6916</v>
      </c>
      <c r="V317" s="1">
        <v>7261</v>
      </c>
      <c r="W317" s="1">
        <v>7320</v>
      </c>
      <c r="X317" s="1">
        <v>6609</v>
      </c>
      <c r="Y317" s="1">
        <v>6930</v>
      </c>
      <c r="Z317" s="1">
        <v>7118</v>
      </c>
      <c r="AA317" s="1">
        <v>6895</v>
      </c>
      <c r="AB317" s="24">
        <f t="shared" si="13"/>
        <v>83358</v>
      </c>
      <c r="AC317" s="23">
        <v>11658</v>
      </c>
      <c r="AD317" s="1">
        <v>12419</v>
      </c>
      <c r="AE317" s="1">
        <v>13232</v>
      </c>
      <c r="AF317" s="1">
        <v>16730</v>
      </c>
      <c r="AG317" s="1">
        <v>15414</v>
      </c>
      <c r="AH317" s="1">
        <v>13366</v>
      </c>
      <c r="AI317" s="1">
        <v>14986</v>
      </c>
      <c r="AJ317" s="1">
        <v>13259</v>
      </c>
      <c r="AK317" s="1">
        <v>12877</v>
      </c>
      <c r="AL317" s="1">
        <v>15940</v>
      </c>
      <c r="AM317" s="1">
        <v>12334</v>
      </c>
      <c r="AN317" s="1">
        <v>12483</v>
      </c>
      <c r="AO317" s="24">
        <f t="shared" si="14"/>
        <v>164698</v>
      </c>
    </row>
    <row r="318" spans="1:41" ht="17.25" customHeight="1" x14ac:dyDescent="0.45">
      <c r="A318" s="12" t="s">
        <v>12</v>
      </c>
      <c r="B318" s="12" t="s">
        <v>29</v>
      </c>
      <c r="C318" s="25">
        <v>96</v>
      </c>
      <c r="D318" s="10">
        <v>86</v>
      </c>
      <c r="E318" s="10">
        <v>91</v>
      </c>
      <c r="F318" s="10">
        <v>90</v>
      </c>
      <c r="G318" s="10">
        <v>93</v>
      </c>
      <c r="H318" s="10">
        <v>90</v>
      </c>
      <c r="I318" s="10">
        <v>93</v>
      </c>
      <c r="J318" s="10">
        <v>93</v>
      </c>
      <c r="K318" s="10">
        <v>89</v>
      </c>
      <c r="L318" s="10">
        <v>93</v>
      </c>
      <c r="M318" s="10">
        <v>90</v>
      </c>
      <c r="N318" s="10">
        <v>91</v>
      </c>
      <c r="O318" s="26">
        <f t="shared" si="12"/>
        <v>1095</v>
      </c>
      <c r="P318" s="25">
        <v>11655</v>
      </c>
      <c r="Q318" s="10">
        <v>10380</v>
      </c>
      <c r="R318" s="10">
        <v>10871</v>
      </c>
      <c r="S318" s="10">
        <v>10933</v>
      </c>
      <c r="T318" s="10">
        <v>10873</v>
      </c>
      <c r="U318" s="10">
        <v>10298</v>
      </c>
      <c r="V318" s="10">
        <v>11237</v>
      </c>
      <c r="W318" s="10">
        <v>10834</v>
      </c>
      <c r="X318" s="10">
        <v>10464</v>
      </c>
      <c r="Y318" s="10">
        <v>10698</v>
      </c>
      <c r="Z318" s="10">
        <v>10634</v>
      </c>
      <c r="AA318" s="10">
        <v>10607</v>
      </c>
      <c r="AB318" s="26">
        <f t="shared" si="13"/>
        <v>129484</v>
      </c>
      <c r="AC318" s="25">
        <v>29892</v>
      </c>
      <c r="AD318" s="10">
        <v>31738</v>
      </c>
      <c r="AE318" s="10">
        <v>31924</v>
      </c>
      <c r="AF318" s="10">
        <v>37234</v>
      </c>
      <c r="AG318" s="10">
        <v>38972</v>
      </c>
      <c r="AH318" s="10">
        <v>28968</v>
      </c>
      <c r="AI318" s="10">
        <v>59519</v>
      </c>
      <c r="AJ318" s="10">
        <v>62508</v>
      </c>
      <c r="AK318" s="10">
        <v>47349</v>
      </c>
      <c r="AL318" s="10">
        <v>55826</v>
      </c>
      <c r="AM318" s="10">
        <v>43833</v>
      </c>
      <c r="AN318" s="10">
        <v>39310</v>
      </c>
      <c r="AO318" s="26">
        <f t="shared" si="14"/>
        <v>507073</v>
      </c>
    </row>
    <row r="319" spans="1:41" ht="17.25" customHeight="1" x14ac:dyDescent="0.45">
      <c r="A319" s="2" t="s">
        <v>12</v>
      </c>
      <c r="B319" s="2" t="s">
        <v>48</v>
      </c>
      <c r="C319" s="23">
        <v>219</v>
      </c>
      <c r="D319" s="1">
        <v>186</v>
      </c>
      <c r="E319" s="1">
        <v>199</v>
      </c>
      <c r="F319" s="1">
        <v>191</v>
      </c>
      <c r="G319" s="1">
        <v>211</v>
      </c>
      <c r="H319" s="1">
        <v>213</v>
      </c>
      <c r="I319" s="1">
        <v>239</v>
      </c>
      <c r="J319" s="1">
        <v>242</v>
      </c>
      <c r="K319" s="1">
        <v>200</v>
      </c>
      <c r="L319" s="1">
        <v>203</v>
      </c>
      <c r="M319" s="1">
        <v>176</v>
      </c>
      <c r="N319" s="1">
        <v>225</v>
      </c>
      <c r="O319" s="24">
        <f t="shared" si="12"/>
        <v>2504</v>
      </c>
      <c r="P319" s="23">
        <v>37615</v>
      </c>
      <c r="Q319" s="1">
        <v>33035</v>
      </c>
      <c r="R319" s="1">
        <v>34283</v>
      </c>
      <c r="S319" s="1">
        <v>30995</v>
      </c>
      <c r="T319" s="1">
        <v>36453</v>
      </c>
      <c r="U319" s="1">
        <v>34847</v>
      </c>
      <c r="V319" s="1">
        <v>40744</v>
      </c>
      <c r="W319" s="1">
        <v>39015</v>
      </c>
      <c r="X319" s="1">
        <v>31733</v>
      </c>
      <c r="Y319" s="1">
        <v>32571</v>
      </c>
      <c r="Z319" s="1">
        <v>28821</v>
      </c>
      <c r="AA319" s="1">
        <v>33461</v>
      </c>
      <c r="AB319" s="24">
        <f t="shared" si="13"/>
        <v>413573</v>
      </c>
      <c r="AC319" s="23">
        <v>220186.37</v>
      </c>
      <c r="AD319" s="1">
        <v>216413.28</v>
      </c>
      <c r="AE319" s="1">
        <v>230575.80000000002</v>
      </c>
      <c r="AF319" s="1">
        <v>215930.34999999998</v>
      </c>
      <c r="AG319" s="1">
        <v>213634.2</v>
      </c>
      <c r="AH319" s="1">
        <v>144853.44999999998</v>
      </c>
      <c r="AI319" s="1">
        <v>142040.15000000002</v>
      </c>
      <c r="AJ319" s="1">
        <v>135843.61999999997</v>
      </c>
      <c r="AK319" s="1">
        <v>123779.6</v>
      </c>
      <c r="AL319" s="1">
        <v>199777.2</v>
      </c>
      <c r="AM319" s="1">
        <v>179753.05</v>
      </c>
      <c r="AN319" s="1">
        <v>190468.95000000004</v>
      </c>
      <c r="AO319" s="24">
        <f t="shared" si="14"/>
        <v>2213256.02</v>
      </c>
    </row>
    <row r="320" spans="1:41" ht="17.25" customHeight="1" x14ac:dyDescent="0.45">
      <c r="A320" s="12" t="s">
        <v>12</v>
      </c>
      <c r="B320" s="12" t="s">
        <v>30</v>
      </c>
      <c r="C320" s="25">
        <v>133</v>
      </c>
      <c r="D320" s="10">
        <v>140</v>
      </c>
      <c r="E320" s="10">
        <v>131</v>
      </c>
      <c r="F320" s="10">
        <v>149</v>
      </c>
      <c r="G320" s="10">
        <v>147</v>
      </c>
      <c r="H320" s="10">
        <v>139</v>
      </c>
      <c r="I320" s="10">
        <v>118</v>
      </c>
      <c r="J320" s="10">
        <v>120</v>
      </c>
      <c r="K320" s="10">
        <v>119</v>
      </c>
      <c r="L320" s="10">
        <v>127</v>
      </c>
      <c r="M320" s="10">
        <v>139</v>
      </c>
      <c r="N320" s="10">
        <v>126</v>
      </c>
      <c r="O320" s="26">
        <f t="shared" si="12"/>
        <v>1588</v>
      </c>
      <c r="P320" s="25">
        <v>10418</v>
      </c>
      <c r="Q320" s="10">
        <v>11069</v>
      </c>
      <c r="R320" s="10">
        <v>12592</v>
      </c>
      <c r="S320" s="10">
        <v>12815</v>
      </c>
      <c r="T320" s="10">
        <v>13415</v>
      </c>
      <c r="U320" s="10">
        <v>12819</v>
      </c>
      <c r="V320" s="10">
        <v>11078</v>
      </c>
      <c r="W320" s="10">
        <v>11427</v>
      </c>
      <c r="X320" s="10">
        <v>11594</v>
      </c>
      <c r="Y320" s="10">
        <v>12937</v>
      </c>
      <c r="Z320" s="10">
        <v>12486</v>
      </c>
      <c r="AA320" s="10">
        <v>11669</v>
      </c>
      <c r="AB320" s="26">
        <f t="shared" si="13"/>
        <v>144319</v>
      </c>
      <c r="AC320" s="25">
        <v>17003</v>
      </c>
      <c r="AD320" s="10">
        <v>15576</v>
      </c>
      <c r="AE320" s="10">
        <v>16448</v>
      </c>
      <c r="AF320" s="10">
        <v>18374</v>
      </c>
      <c r="AG320" s="10">
        <v>18485</v>
      </c>
      <c r="AH320" s="10">
        <v>14903</v>
      </c>
      <c r="AI320" s="10">
        <v>16888</v>
      </c>
      <c r="AJ320" s="10">
        <v>17291</v>
      </c>
      <c r="AK320" s="10">
        <v>15301</v>
      </c>
      <c r="AL320" s="10">
        <v>18414</v>
      </c>
      <c r="AM320" s="10">
        <v>18992</v>
      </c>
      <c r="AN320" s="10">
        <v>18307</v>
      </c>
      <c r="AO320" s="26">
        <f t="shared" si="14"/>
        <v>205982</v>
      </c>
    </row>
    <row r="321" spans="1:41" ht="17.25" customHeight="1" x14ac:dyDescent="0.45">
      <c r="A321" s="2" t="s">
        <v>12</v>
      </c>
      <c r="B321" s="2" t="s">
        <v>31</v>
      </c>
      <c r="C321" s="23">
        <v>119</v>
      </c>
      <c r="D321" s="1">
        <v>111</v>
      </c>
      <c r="E321" s="1">
        <v>112</v>
      </c>
      <c r="F321" s="1">
        <v>143</v>
      </c>
      <c r="G321" s="1">
        <v>123</v>
      </c>
      <c r="H321" s="1">
        <v>129</v>
      </c>
      <c r="I321" s="1">
        <v>128</v>
      </c>
      <c r="J321" s="1">
        <v>127</v>
      </c>
      <c r="K321" s="1">
        <v>113</v>
      </c>
      <c r="L321" s="1">
        <v>119</v>
      </c>
      <c r="M321" s="1">
        <v>113</v>
      </c>
      <c r="N321" s="1">
        <v>100</v>
      </c>
      <c r="O321" s="24">
        <f t="shared" si="12"/>
        <v>1437</v>
      </c>
      <c r="P321" s="23">
        <v>10349</v>
      </c>
      <c r="Q321" s="1">
        <v>10226</v>
      </c>
      <c r="R321" s="1">
        <v>10138</v>
      </c>
      <c r="S321" s="1">
        <v>13369</v>
      </c>
      <c r="T321" s="1">
        <v>12728</v>
      </c>
      <c r="U321" s="1">
        <v>12485</v>
      </c>
      <c r="V321" s="1">
        <v>12507</v>
      </c>
      <c r="W321" s="1">
        <v>13423</v>
      </c>
      <c r="X321" s="1">
        <v>12322</v>
      </c>
      <c r="Y321" s="1">
        <v>13287</v>
      </c>
      <c r="Z321" s="1">
        <v>13232</v>
      </c>
      <c r="AA321" s="1">
        <v>12805</v>
      </c>
      <c r="AB321" s="24">
        <f t="shared" si="13"/>
        <v>146871</v>
      </c>
      <c r="AC321" s="23">
        <v>18199</v>
      </c>
      <c r="AD321" s="1">
        <v>19256</v>
      </c>
      <c r="AE321" s="1">
        <v>19098</v>
      </c>
      <c r="AF321" s="1">
        <v>20271</v>
      </c>
      <c r="AG321" s="1">
        <v>24401</v>
      </c>
      <c r="AH321" s="1">
        <v>20083</v>
      </c>
      <c r="AI321" s="1">
        <v>20987</v>
      </c>
      <c r="AJ321" s="1">
        <v>20149</v>
      </c>
      <c r="AK321" s="1">
        <v>20764</v>
      </c>
      <c r="AL321" s="1">
        <v>22065</v>
      </c>
      <c r="AM321" s="1">
        <v>25414</v>
      </c>
      <c r="AN321" s="1">
        <v>22731</v>
      </c>
      <c r="AO321" s="24">
        <f t="shared" si="14"/>
        <v>253418</v>
      </c>
    </row>
    <row r="322" spans="1:41" ht="17.25" customHeight="1" x14ac:dyDescent="0.45">
      <c r="A322" s="12" t="s">
        <v>12</v>
      </c>
      <c r="B322" s="12" t="s">
        <v>50</v>
      </c>
      <c r="C322" s="25">
        <v>118</v>
      </c>
      <c r="D322" s="10">
        <v>117</v>
      </c>
      <c r="E322" s="10">
        <v>115</v>
      </c>
      <c r="F322" s="10">
        <v>110</v>
      </c>
      <c r="G322" s="10">
        <v>116</v>
      </c>
      <c r="H322" s="10">
        <v>113</v>
      </c>
      <c r="I322" s="10">
        <v>122</v>
      </c>
      <c r="J322" s="10">
        <v>123</v>
      </c>
      <c r="K322" s="10">
        <v>113</v>
      </c>
      <c r="L322" s="10">
        <v>117</v>
      </c>
      <c r="M322" s="10">
        <v>112</v>
      </c>
      <c r="N322" s="10">
        <v>113</v>
      </c>
      <c r="O322" s="26">
        <f t="shared" si="12"/>
        <v>1389</v>
      </c>
      <c r="P322" s="25">
        <v>13232</v>
      </c>
      <c r="Q322" s="10">
        <v>12284</v>
      </c>
      <c r="R322" s="10">
        <v>13423</v>
      </c>
      <c r="S322" s="10">
        <v>12874</v>
      </c>
      <c r="T322" s="10">
        <v>14599</v>
      </c>
      <c r="U322" s="10">
        <v>13928</v>
      </c>
      <c r="V322" s="10">
        <v>14608</v>
      </c>
      <c r="W322" s="10">
        <v>13984</v>
      </c>
      <c r="X322" s="10">
        <v>13416</v>
      </c>
      <c r="Y322" s="10">
        <v>13562</v>
      </c>
      <c r="Z322" s="10">
        <v>12638</v>
      </c>
      <c r="AA322" s="10">
        <v>14369</v>
      </c>
      <c r="AB322" s="26">
        <f t="shared" si="13"/>
        <v>162917</v>
      </c>
      <c r="AC322" s="25">
        <v>25227.8</v>
      </c>
      <c r="AD322" s="10">
        <v>22670.5</v>
      </c>
      <c r="AE322" s="10">
        <v>31999.3</v>
      </c>
      <c r="AF322" s="10">
        <v>48709.35</v>
      </c>
      <c r="AG322" s="10">
        <v>32692</v>
      </c>
      <c r="AH322" s="10">
        <v>28063.8</v>
      </c>
      <c r="AI322" s="10">
        <v>30281.42</v>
      </c>
      <c r="AJ322" s="10">
        <v>30237.200000000001</v>
      </c>
      <c r="AK322" s="10">
        <v>26810.35</v>
      </c>
      <c r="AL322" s="10">
        <v>30874</v>
      </c>
      <c r="AM322" s="10">
        <v>34246.5</v>
      </c>
      <c r="AN322" s="10">
        <v>37870.900000000009</v>
      </c>
      <c r="AO322" s="26">
        <f t="shared" si="14"/>
        <v>379683.12</v>
      </c>
    </row>
    <row r="323" spans="1:41" ht="17.25" customHeight="1" x14ac:dyDescent="0.45">
      <c r="A323" s="2" t="s">
        <v>12</v>
      </c>
      <c r="B323" s="2" t="s">
        <v>61</v>
      </c>
      <c r="C323" s="23">
        <v>29</v>
      </c>
      <c r="D323" s="1">
        <v>29</v>
      </c>
      <c r="E323" s="1">
        <v>29</v>
      </c>
      <c r="F323" s="1">
        <v>30</v>
      </c>
      <c r="G323" s="1">
        <v>31</v>
      </c>
      <c r="H323" s="1">
        <v>29</v>
      </c>
      <c r="I323" s="1">
        <v>30</v>
      </c>
      <c r="J323" s="1">
        <v>31</v>
      </c>
      <c r="K323" s="1">
        <v>30</v>
      </c>
      <c r="L323" s="1">
        <v>31</v>
      </c>
      <c r="M323" s="1">
        <v>30</v>
      </c>
      <c r="N323" s="1">
        <v>31</v>
      </c>
      <c r="O323" s="24">
        <f t="shared" si="12"/>
        <v>360</v>
      </c>
      <c r="P323" s="23">
        <v>2003</v>
      </c>
      <c r="Q323" s="1">
        <v>2227</v>
      </c>
      <c r="R323" s="1">
        <v>2279</v>
      </c>
      <c r="S323" s="1">
        <v>2447</v>
      </c>
      <c r="T323" s="1">
        <v>2561</v>
      </c>
      <c r="U323" s="1">
        <v>2269</v>
      </c>
      <c r="V323" s="1">
        <v>2287</v>
      </c>
      <c r="W323" s="1">
        <v>2380</v>
      </c>
      <c r="X323" s="1">
        <v>2321</v>
      </c>
      <c r="Y323" s="1">
        <v>2347</v>
      </c>
      <c r="Z323" s="1">
        <v>2552</v>
      </c>
      <c r="AA323" s="1">
        <v>2699</v>
      </c>
      <c r="AB323" s="24">
        <f t="shared" si="13"/>
        <v>28372</v>
      </c>
      <c r="AC323" s="23">
        <v>52</v>
      </c>
      <c r="AD323" s="1">
        <v>58</v>
      </c>
      <c r="AE323" s="1">
        <v>26</v>
      </c>
      <c r="AF323" s="1">
        <v>240</v>
      </c>
      <c r="AG323" s="1">
        <v>71</v>
      </c>
      <c r="AH323" s="1">
        <v>33</v>
      </c>
      <c r="AI323" s="1">
        <v>73</v>
      </c>
      <c r="AJ323" s="1">
        <v>173</v>
      </c>
      <c r="AK323" s="1">
        <v>67</v>
      </c>
      <c r="AL323" s="1">
        <v>21</v>
      </c>
      <c r="AM323" s="1">
        <v>52</v>
      </c>
      <c r="AN323" s="1">
        <v>32</v>
      </c>
      <c r="AO323" s="24">
        <f t="shared" si="14"/>
        <v>898</v>
      </c>
    </row>
    <row r="324" spans="1:41" ht="17.25" customHeight="1" x14ac:dyDescent="0.45">
      <c r="A324" s="12" t="s">
        <v>12</v>
      </c>
      <c r="B324" s="12" t="s">
        <v>15</v>
      </c>
      <c r="C324" s="25">
        <v>515</v>
      </c>
      <c r="D324" s="10">
        <v>480</v>
      </c>
      <c r="E324" s="10">
        <v>500</v>
      </c>
      <c r="F324" s="10">
        <v>496</v>
      </c>
      <c r="G324" s="10">
        <v>522</v>
      </c>
      <c r="H324" s="10">
        <v>527</v>
      </c>
      <c r="I324" s="10">
        <v>544</v>
      </c>
      <c r="J324" s="10">
        <v>534</v>
      </c>
      <c r="K324" s="10">
        <v>484</v>
      </c>
      <c r="L324" s="10">
        <v>489</v>
      </c>
      <c r="M324" s="10">
        <v>497</v>
      </c>
      <c r="N324" s="10">
        <v>550</v>
      </c>
      <c r="O324" s="26">
        <f t="shared" si="12"/>
        <v>6138</v>
      </c>
      <c r="P324" s="25">
        <v>98943</v>
      </c>
      <c r="Q324" s="10">
        <v>90346</v>
      </c>
      <c r="R324" s="10">
        <v>93662</v>
      </c>
      <c r="S324" s="10">
        <v>90781</v>
      </c>
      <c r="T324" s="10">
        <v>92549</v>
      </c>
      <c r="U324" s="10">
        <v>91484</v>
      </c>
      <c r="V324" s="10">
        <v>99501</v>
      </c>
      <c r="W324" s="10">
        <v>94626</v>
      </c>
      <c r="X324" s="10">
        <v>84967</v>
      </c>
      <c r="Y324" s="10">
        <v>83470</v>
      </c>
      <c r="Z324" s="10">
        <v>85848</v>
      </c>
      <c r="AA324" s="10">
        <v>92979</v>
      </c>
      <c r="AB324" s="26">
        <f t="shared" si="13"/>
        <v>1099156</v>
      </c>
      <c r="AC324" s="25">
        <v>478651.83000000007</v>
      </c>
      <c r="AD324" s="10">
        <v>435564.12</v>
      </c>
      <c r="AE324" s="10">
        <v>530390.29</v>
      </c>
      <c r="AF324" s="10">
        <v>505347.2</v>
      </c>
      <c r="AG324" s="10">
        <v>613318.6</v>
      </c>
      <c r="AH324" s="10">
        <v>584058.69999999995</v>
      </c>
      <c r="AI324" s="10">
        <v>572920.9</v>
      </c>
      <c r="AJ324" s="10">
        <v>606491.63000000047</v>
      </c>
      <c r="AK324" s="10">
        <v>606922.84999999974</v>
      </c>
      <c r="AL324" s="10">
        <v>662173.4</v>
      </c>
      <c r="AM324" s="10">
        <v>636041.75</v>
      </c>
      <c r="AN324" s="10">
        <v>513493.16999999981</v>
      </c>
      <c r="AO324" s="26">
        <f t="shared" si="14"/>
        <v>6745374.4400000004</v>
      </c>
    </row>
    <row r="325" spans="1:41" ht="17.25" customHeight="1" x14ac:dyDescent="0.45">
      <c r="A325" s="2" t="s">
        <v>12</v>
      </c>
      <c r="B325" s="2" t="s">
        <v>33</v>
      </c>
      <c r="C325" s="23">
        <v>138</v>
      </c>
      <c r="D325" s="1">
        <v>139</v>
      </c>
      <c r="E325" s="1">
        <v>148</v>
      </c>
      <c r="F325" s="1">
        <v>174</v>
      </c>
      <c r="G325" s="1">
        <v>181</v>
      </c>
      <c r="H325" s="1">
        <v>165</v>
      </c>
      <c r="I325" s="1">
        <v>155</v>
      </c>
      <c r="J325" s="1">
        <v>155</v>
      </c>
      <c r="K325" s="1">
        <v>138</v>
      </c>
      <c r="L325" s="1">
        <v>142</v>
      </c>
      <c r="M325" s="1">
        <v>134</v>
      </c>
      <c r="N325" s="1">
        <v>138</v>
      </c>
      <c r="O325" s="24">
        <f t="shared" si="12"/>
        <v>1807</v>
      </c>
      <c r="P325" s="23">
        <v>17303</v>
      </c>
      <c r="Q325" s="1">
        <v>17333</v>
      </c>
      <c r="R325" s="1">
        <v>20404</v>
      </c>
      <c r="S325" s="1">
        <v>23292</v>
      </c>
      <c r="T325" s="1">
        <v>23657</v>
      </c>
      <c r="U325" s="1">
        <v>22740</v>
      </c>
      <c r="V325" s="1">
        <v>24795</v>
      </c>
      <c r="W325" s="1">
        <v>24535</v>
      </c>
      <c r="X325" s="1">
        <v>21878</v>
      </c>
      <c r="Y325" s="1">
        <v>22467</v>
      </c>
      <c r="Z325" s="1">
        <v>19736</v>
      </c>
      <c r="AA325" s="1">
        <v>19175</v>
      </c>
      <c r="AB325" s="24">
        <f t="shared" si="13"/>
        <v>257315</v>
      </c>
      <c r="AC325" s="23">
        <v>24619</v>
      </c>
      <c r="AD325" s="1">
        <v>25487</v>
      </c>
      <c r="AE325" s="1">
        <v>27817</v>
      </c>
      <c r="AF325" s="1">
        <v>30814</v>
      </c>
      <c r="AG325" s="1">
        <v>36682</v>
      </c>
      <c r="AH325" s="1">
        <v>32445</v>
      </c>
      <c r="AI325" s="1">
        <v>37993</v>
      </c>
      <c r="AJ325" s="1">
        <v>34744</v>
      </c>
      <c r="AK325" s="1">
        <v>37418</v>
      </c>
      <c r="AL325" s="1">
        <v>38246</v>
      </c>
      <c r="AM325" s="1">
        <v>41412</v>
      </c>
      <c r="AN325" s="1">
        <v>44656</v>
      </c>
      <c r="AO325" s="24">
        <f t="shared" si="14"/>
        <v>412333</v>
      </c>
    </row>
    <row r="326" spans="1:41" ht="17.25" customHeight="1" x14ac:dyDescent="0.45">
      <c r="A326" s="12" t="s">
        <v>12</v>
      </c>
      <c r="B326" s="12" t="s">
        <v>247</v>
      </c>
      <c r="C326" s="25">
        <v>93</v>
      </c>
      <c r="D326" s="10">
        <v>74</v>
      </c>
      <c r="E326" s="10">
        <v>62</v>
      </c>
      <c r="F326" s="10">
        <v>14</v>
      </c>
      <c r="G326" s="10">
        <v>0</v>
      </c>
      <c r="H326" s="10">
        <v>0</v>
      </c>
      <c r="I326" s="10">
        <v>0</v>
      </c>
      <c r="J326" s="10">
        <v>0</v>
      </c>
      <c r="K326" s="10">
        <v>0</v>
      </c>
      <c r="L326" s="10">
        <v>0</v>
      </c>
      <c r="M326" s="10">
        <v>0</v>
      </c>
      <c r="N326" s="10">
        <v>0</v>
      </c>
      <c r="O326" s="26">
        <f t="shared" si="12"/>
        <v>243</v>
      </c>
      <c r="P326" s="25">
        <v>11873</v>
      </c>
      <c r="Q326" s="10">
        <v>8120</v>
      </c>
      <c r="R326" s="10">
        <v>5621</v>
      </c>
      <c r="S326" s="10">
        <v>1007</v>
      </c>
      <c r="T326" s="10">
        <v>0</v>
      </c>
      <c r="U326" s="10">
        <v>0</v>
      </c>
      <c r="V326" s="10">
        <v>0</v>
      </c>
      <c r="W326" s="10">
        <v>0</v>
      </c>
      <c r="X326" s="10">
        <v>0</v>
      </c>
      <c r="Y326" s="10">
        <v>0</v>
      </c>
      <c r="Z326" s="10">
        <v>0</v>
      </c>
      <c r="AA326" s="10">
        <v>0</v>
      </c>
      <c r="AB326" s="26">
        <f t="shared" si="13"/>
        <v>26621</v>
      </c>
      <c r="AC326" s="25">
        <v>0</v>
      </c>
      <c r="AD326" s="10">
        <v>0</v>
      </c>
      <c r="AE326" s="10">
        <v>0</v>
      </c>
      <c r="AF326" s="10">
        <v>0</v>
      </c>
      <c r="AG326" s="10">
        <v>0</v>
      </c>
      <c r="AH326" s="10">
        <v>0</v>
      </c>
      <c r="AI326" s="10">
        <v>0</v>
      </c>
      <c r="AJ326" s="10">
        <v>0</v>
      </c>
      <c r="AK326" s="10">
        <v>0</v>
      </c>
      <c r="AL326" s="10">
        <v>0</v>
      </c>
      <c r="AM326" s="10">
        <v>0</v>
      </c>
      <c r="AN326" s="10">
        <v>0</v>
      </c>
      <c r="AO326" s="26">
        <f t="shared" si="14"/>
        <v>0</v>
      </c>
    </row>
    <row r="327" spans="1:41" ht="17.25" customHeight="1" x14ac:dyDescent="0.45">
      <c r="A327" s="2" t="s">
        <v>12</v>
      </c>
      <c r="B327" s="2" t="s">
        <v>34</v>
      </c>
      <c r="C327" s="23">
        <v>211</v>
      </c>
      <c r="D327" s="1">
        <v>194</v>
      </c>
      <c r="E327" s="1">
        <v>207</v>
      </c>
      <c r="F327" s="1">
        <v>215</v>
      </c>
      <c r="G327" s="1">
        <v>220</v>
      </c>
      <c r="H327" s="1">
        <v>215</v>
      </c>
      <c r="I327" s="1">
        <v>209</v>
      </c>
      <c r="J327" s="1">
        <v>213</v>
      </c>
      <c r="K327" s="1">
        <v>223</v>
      </c>
      <c r="L327" s="1">
        <v>229</v>
      </c>
      <c r="M327" s="1">
        <v>209</v>
      </c>
      <c r="N327" s="1">
        <v>200</v>
      </c>
      <c r="O327" s="24">
        <f t="shared" si="12"/>
        <v>2545</v>
      </c>
      <c r="P327" s="23">
        <v>29529</v>
      </c>
      <c r="Q327" s="1">
        <v>30122</v>
      </c>
      <c r="R327" s="1">
        <v>32500</v>
      </c>
      <c r="S327" s="1">
        <v>32049</v>
      </c>
      <c r="T327" s="1">
        <v>31890</v>
      </c>
      <c r="U327" s="1">
        <v>29941</v>
      </c>
      <c r="V327" s="1">
        <v>33799</v>
      </c>
      <c r="W327" s="1">
        <v>34366</v>
      </c>
      <c r="X327" s="1">
        <v>32896</v>
      </c>
      <c r="Y327" s="1">
        <v>33518</v>
      </c>
      <c r="Z327" s="1">
        <v>34122</v>
      </c>
      <c r="AA327" s="1">
        <v>33322</v>
      </c>
      <c r="AB327" s="24">
        <f t="shared" si="13"/>
        <v>388054</v>
      </c>
      <c r="AC327" s="23">
        <v>69228.3</v>
      </c>
      <c r="AD327" s="1">
        <v>77222</v>
      </c>
      <c r="AE327" s="1">
        <v>57417.2</v>
      </c>
      <c r="AF327" s="1">
        <v>52995.55</v>
      </c>
      <c r="AG327" s="1">
        <v>59212</v>
      </c>
      <c r="AH327" s="1">
        <v>49489.55</v>
      </c>
      <c r="AI327" s="1">
        <v>52161.55</v>
      </c>
      <c r="AJ327" s="1">
        <v>56563.6</v>
      </c>
      <c r="AK327" s="1">
        <v>47423.3</v>
      </c>
      <c r="AL327" s="1">
        <v>59453</v>
      </c>
      <c r="AM327" s="1">
        <v>64630.8</v>
      </c>
      <c r="AN327" s="1">
        <v>61848.9</v>
      </c>
      <c r="AO327" s="24">
        <f t="shared" si="14"/>
        <v>707645.75</v>
      </c>
    </row>
    <row r="328" spans="1:41" ht="17.25" customHeight="1" x14ac:dyDescent="0.45">
      <c r="A328" s="12" t="s">
        <v>12</v>
      </c>
      <c r="B328" s="12" t="s">
        <v>35</v>
      </c>
      <c r="C328" s="25">
        <v>199</v>
      </c>
      <c r="D328" s="10">
        <v>192</v>
      </c>
      <c r="E328" s="10">
        <v>199</v>
      </c>
      <c r="F328" s="10">
        <v>231</v>
      </c>
      <c r="G328" s="10">
        <v>237</v>
      </c>
      <c r="H328" s="10">
        <v>222</v>
      </c>
      <c r="I328" s="10">
        <v>198</v>
      </c>
      <c r="J328" s="10">
        <v>204</v>
      </c>
      <c r="K328" s="10">
        <v>196</v>
      </c>
      <c r="L328" s="10">
        <v>208</v>
      </c>
      <c r="M328" s="10">
        <v>205</v>
      </c>
      <c r="N328" s="10">
        <v>198</v>
      </c>
      <c r="O328" s="26">
        <f t="shared" ref="O328:O391" si="15">SUM(C328:N328)</f>
        <v>2489</v>
      </c>
      <c r="P328" s="25">
        <v>18539</v>
      </c>
      <c r="Q328" s="10">
        <v>20579</v>
      </c>
      <c r="R328" s="10">
        <v>23084</v>
      </c>
      <c r="S328" s="10">
        <v>25735</v>
      </c>
      <c r="T328" s="10">
        <v>26992</v>
      </c>
      <c r="U328" s="10">
        <v>24732</v>
      </c>
      <c r="V328" s="10">
        <v>22151</v>
      </c>
      <c r="W328" s="10">
        <v>24183</v>
      </c>
      <c r="X328" s="10">
        <v>24563</v>
      </c>
      <c r="Y328" s="10">
        <v>25075</v>
      </c>
      <c r="Z328" s="10">
        <v>25299</v>
      </c>
      <c r="AA328" s="10">
        <v>24977</v>
      </c>
      <c r="AB328" s="26">
        <f t="shared" ref="AB328:AB391" si="16">SUM(P328:AA328)</f>
        <v>285909</v>
      </c>
      <c r="AC328" s="25">
        <v>28583</v>
      </c>
      <c r="AD328" s="10">
        <v>34409</v>
      </c>
      <c r="AE328" s="10">
        <v>43600</v>
      </c>
      <c r="AF328" s="10">
        <v>42250</v>
      </c>
      <c r="AG328" s="10">
        <v>51059</v>
      </c>
      <c r="AH328" s="10">
        <v>39003</v>
      </c>
      <c r="AI328" s="10">
        <v>45687</v>
      </c>
      <c r="AJ328" s="10">
        <v>64153</v>
      </c>
      <c r="AK328" s="10">
        <v>46269</v>
      </c>
      <c r="AL328" s="10">
        <v>51049</v>
      </c>
      <c r="AM328" s="10">
        <v>48245</v>
      </c>
      <c r="AN328" s="10">
        <v>49597</v>
      </c>
      <c r="AO328" s="26">
        <f t="shared" ref="AO328:AO391" si="17">SUM(AC328:AN328)</f>
        <v>543904</v>
      </c>
    </row>
    <row r="329" spans="1:41" ht="17.25" customHeight="1" x14ac:dyDescent="0.45">
      <c r="A329" s="2" t="s">
        <v>12</v>
      </c>
      <c r="B329" s="2" t="s">
        <v>36</v>
      </c>
      <c r="C329" s="23">
        <v>231</v>
      </c>
      <c r="D329" s="1">
        <v>243</v>
      </c>
      <c r="E329" s="1">
        <v>246</v>
      </c>
      <c r="F329" s="1">
        <v>264</v>
      </c>
      <c r="G329" s="1">
        <v>272</v>
      </c>
      <c r="H329" s="1">
        <v>253</v>
      </c>
      <c r="I329" s="1">
        <v>242</v>
      </c>
      <c r="J329" s="1">
        <v>252</v>
      </c>
      <c r="K329" s="1">
        <v>253</v>
      </c>
      <c r="L329" s="1">
        <v>269</v>
      </c>
      <c r="M329" s="1">
        <v>249</v>
      </c>
      <c r="N329" s="1">
        <v>253</v>
      </c>
      <c r="O329" s="24">
        <f t="shared" si="15"/>
        <v>3027</v>
      </c>
      <c r="P329" s="23">
        <v>33907</v>
      </c>
      <c r="Q329" s="1">
        <v>34249</v>
      </c>
      <c r="R329" s="1">
        <v>36318</v>
      </c>
      <c r="S329" s="1">
        <v>37229</v>
      </c>
      <c r="T329" s="1">
        <v>38715</v>
      </c>
      <c r="U329" s="1">
        <v>34484</v>
      </c>
      <c r="V329" s="1">
        <v>38977</v>
      </c>
      <c r="W329" s="1">
        <v>37999</v>
      </c>
      <c r="X329" s="1">
        <v>36460</v>
      </c>
      <c r="Y329" s="1">
        <v>36112</v>
      </c>
      <c r="Z329" s="1">
        <v>34831</v>
      </c>
      <c r="AA329" s="1">
        <v>38660</v>
      </c>
      <c r="AB329" s="24">
        <f t="shared" si="16"/>
        <v>437941</v>
      </c>
      <c r="AC329" s="23">
        <v>75464.5</v>
      </c>
      <c r="AD329" s="1">
        <v>67914.899999999994</v>
      </c>
      <c r="AE329" s="1">
        <v>76923.5</v>
      </c>
      <c r="AF329" s="1">
        <v>86340.35</v>
      </c>
      <c r="AG329" s="1">
        <v>95745.2</v>
      </c>
      <c r="AH329" s="1">
        <v>103856.75</v>
      </c>
      <c r="AI329" s="1">
        <v>104209.4</v>
      </c>
      <c r="AJ329" s="1">
        <v>117984.40000000001</v>
      </c>
      <c r="AK329" s="1">
        <v>120802.79999999999</v>
      </c>
      <c r="AL329" s="1">
        <v>125165.2</v>
      </c>
      <c r="AM329" s="1">
        <v>111836.7</v>
      </c>
      <c r="AN329" s="1">
        <v>104939.99999999999</v>
      </c>
      <c r="AO329" s="24">
        <f t="shared" si="17"/>
        <v>1191183.7</v>
      </c>
    </row>
    <row r="330" spans="1:41" ht="17.25" customHeight="1" x14ac:dyDescent="0.45">
      <c r="A330" s="12" t="s">
        <v>12</v>
      </c>
      <c r="B330" s="12" t="s">
        <v>62</v>
      </c>
      <c r="C330" s="25">
        <v>49</v>
      </c>
      <c r="D330" s="10">
        <v>49</v>
      </c>
      <c r="E330" s="10">
        <v>52</v>
      </c>
      <c r="F330" s="10">
        <v>56</v>
      </c>
      <c r="G330" s="10">
        <v>59</v>
      </c>
      <c r="H330" s="10">
        <v>53</v>
      </c>
      <c r="I330" s="10">
        <v>54</v>
      </c>
      <c r="J330" s="10">
        <v>54</v>
      </c>
      <c r="K330" s="10">
        <v>49</v>
      </c>
      <c r="L330" s="10">
        <v>54</v>
      </c>
      <c r="M330" s="10">
        <v>50</v>
      </c>
      <c r="N330" s="10">
        <v>47</v>
      </c>
      <c r="O330" s="26">
        <f t="shared" si="15"/>
        <v>626</v>
      </c>
      <c r="P330" s="25">
        <v>3417</v>
      </c>
      <c r="Q330" s="10">
        <v>3520</v>
      </c>
      <c r="R330" s="10">
        <v>4116</v>
      </c>
      <c r="S330" s="10">
        <v>4577</v>
      </c>
      <c r="T330" s="10">
        <v>4664</v>
      </c>
      <c r="U330" s="10">
        <v>4697</v>
      </c>
      <c r="V330" s="10">
        <v>4832</v>
      </c>
      <c r="W330" s="10">
        <v>4476</v>
      </c>
      <c r="X330" s="10">
        <v>4272</v>
      </c>
      <c r="Y330" s="10">
        <v>4373</v>
      </c>
      <c r="Z330" s="10">
        <v>4329</v>
      </c>
      <c r="AA330" s="10">
        <v>4229</v>
      </c>
      <c r="AB330" s="26">
        <f t="shared" si="16"/>
        <v>51502</v>
      </c>
      <c r="AC330" s="25">
        <v>74</v>
      </c>
      <c r="AD330" s="10">
        <v>82</v>
      </c>
      <c r="AE330" s="10">
        <v>99</v>
      </c>
      <c r="AF330" s="10">
        <v>190</v>
      </c>
      <c r="AG330" s="10">
        <v>97</v>
      </c>
      <c r="AH330" s="10">
        <v>137</v>
      </c>
      <c r="AI330" s="10">
        <v>127</v>
      </c>
      <c r="AJ330" s="10">
        <v>78</v>
      </c>
      <c r="AK330" s="10">
        <v>56</v>
      </c>
      <c r="AL330" s="10">
        <v>258</v>
      </c>
      <c r="AM330" s="10">
        <v>349</v>
      </c>
      <c r="AN330" s="10">
        <v>288</v>
      </c>
      <c r="AO330" s="26">
        <f t="shared" si="17"/>
        <v>1835</v>
      </c>
    </row>
    <row r="331" spans="1:41" ht="17.25" customHeight="1" x14ac:dyDescent="0.45">
      <c r="A331" s="2" t="s">
        <v>58</v>
      </c>
      <c r="B331" s="2" t="s">
        <v>12</v>
      </c>
      <c r="C331" s="23">
        <v>59</v>
      </c>
      <c r="D331" s="1">
        <v>50</v>
      </c>
      <c r="E331" s="1">
        <v>54</v>
      </c>
      <c r="F331" s="1">
        <v>83</v>
      </c>
      <c r="G331" s="1">
        <v>91</v>
      </c>
      <c r="H331" s="1">
        <v>87</v>
      </c>
      <c r="I331" s="1">
        <v>85</v>
      </c>
      <c r="J331" s="1">
        <v>84</v>
      </c>
      <c r="K331" s="1">
        <v>79</v>
      </c>
      <c r="L331" s="1">
        <v>84</v>
      </c>
      <c r="M331" s="1">
        <v>81</v>
      </c>
      <c r="N331" s="1">
        <v>72</v>
      </c>
      <c r="O331" s="24">
        <f t="shared" si="15"/>
        <v>909</v>
      </c>
      <c r="P331" s="23">
        <v>5615</v>
      </c>
      <c r="Q331" s="1">
        <v>4698</v>
      </c>
      <c r="R331" s="1">
        <v>4842</v>
      </c>
      <c r="S331" s="1">
        <v>6383</v>
      </c>
      <c r="T331" s="1">
        <v>7164</v>
      </c>
      <c r="U331" s="1">
        <v>6602</v>
      </c>
      <c r="V331" s="1">
        <v>7557</v>
      </c>
      <c r="W331" s="1">
        <v>7217</v>
      </c>
      <c r="X331" s="1">
        <v>6359</v>
      </c>
      <c r="Y331" s="1">
        <v>6607</v>
      </c>
      <c r="Z331" s="1">
        <v>6667</v>
      </c>
      <c r="AA331" s="1">
        <v>6229</v>
      </c>
      <c r="AB331" s="24">
        <f t="shared" si="16"/>
        <v>75940</v>
      </c>
      <c r="AC331" s="23">
        <v>7610</v>
      </c>
      <c r="AD331" s="1">
        <v>6626</v>
      </c>
      <c r="AE331" s="1">
        <v>4912</v>
      </c>
      <c r="AF331" s="1">
        <v>5679</v>
      </c>
      <c r="AG331" s="1">
        <v>5920</v>
      </c>
      <c r="AH331" s="1">
        <v>4848</v>
      </c>
      <c r="AI331" s="1">
        <v>4129</v>
      </c>
      <c r="AJ331" s="1">
        <v>4708</v>
      </c>
      <c r="AK331" s="1">
        <v>4801</v>
      </c>
      <c r="AL331" s="1">
        <v>6814</v>
      </c>
      <c r="AM331" s="1">
        <v>6837</v>
      </c>
      <c r="AN331" s="1">
        <v>5741</v>
      </c>
      <c r="AO331" s="24">
        <f t="shared" si="17"/>
        <v>68625</v>
      </c>
    </row>
    <row r="332" spans="1:41" ht="17.25" customHeight="1" x14ac:dyDescent="0.45">
      <c r="A332" s="12" t="s">
        <v>58</v>
      </c>
      <c r="B332" s="12" t="s">
        <v>35</v>
      </c>
      <c r="C332" s="25">
        <v>0</v>
      </c>
      <c r="D332" s="10">
        <v>0</v>
      </c>
      <c r="E332" s="10">
        <v>0</v>
      </c>
      <c r="F332" s="10">
        <v>0</v>
      </c>
      <c r="G332" s="10">
        <v>0</v>
      </c>
      <c r="H332" s="10">
        <v>0</v>
      </c>
      <c r="I332" s="10">
        <v>0</v>
      </c>
      <c r="J332" s="10">
        <v>0</v>
      </c>
      <c r="K332" s="10">
        <v>0</v>
      </c>
      <c r="L332" s="10">
        <v>0</v>
      </c>
      <c r="M332" s="10">
        <v>23</v>
      </c>
      <c r="N332" s="10">
        <v>27</v>
      </c>
      <c r="O332" s="26">
        <f t="shared" si="15"/>
        <v>50</v>
      </c>
      <c r="P332" s="25">
        <v>0</v>
      </c>
      <c r="Q332" s="10">
        <v>0</v>
      </c>
      <c r="R332" s="10">
        <v>0</v>
      </c>
      <c r="S332" s="10">
        <v>0</v>
      </c>
      <c r="T332" s="10">
        <v>0</v>
      </c>
      <c r="U332" s="10">
        <v>0</v>
      </c>
      <c r="V332" s="10">
        <v>0</v>
      </c>
      <c r="W332" s="10">
        <v>0</v>
      </c>
      <c r="X332" s="10">
        <v>0</v>
      </c>
      <c r="Y332" s="10">
        <v>0</v>
      </c>
      <c r="Z332" s="10">
        <v>135</v>
      </c>
      <c r="AA332" s="10">
        <v>123</v>
      </c>
      <c r="AB332" s="26">
        <f t="shared" si="16"/>
        <v>258</v>
      </c>
      <c r="AC332" s="25">
        <v>0</v>
      </c>
      <c r="AD332" s="10">
        <v>0</v>
      </c>
      <c r="AE332" s="10">
        <v>0</v>
      </c>
      <c r="AF332" s="10">
        <v>0</v>
      </c>
      <c r="AG332" s="10">
        <v>0</v>
      </c>
      <c r="AH332" s="10">
        <v>0</v>
      </c>
      <c r="AI332" s="10">
        <v>0</v>
      </c>
      <c r="AJ332" s="10">
        <v>0</v>
      </c>
      <c r="AK332" s="10">
        <v>0</v>
      </c>
      <c r="AL332" s="10">
        <v>0</v>
      </c>
      <c r="AM332" s="10">
        <v>0</v>
      </c>
      <c r="AN332" s="10">
        <v>0</v>
      </c>
      <c r="AO332" s="26">
        <f t="shared" si="17"/>
        <v>0</v>
      </c>
    </row>
    <row r="333" spans="1:41" ht="17.25" customHeight="1" x14ac:dyDescent="0.45">
      <c r="A333" s="2" t="s">
        <v>58</v>
      </c>
      <c r="B333" s="2" t="s">
        <v>36</v>
      </c>
      <c r="C333" s="23">
        <v>0</v>
      </c>
      <c r="D333" s="1">
        <v>0</v>
      </c>
      <c r="E333" s="1">
        <v>0</v>
      </c>
      <c r="F333" s="1">
        <v>0</v>
      </c>
      <c r="G333" s="1">
        <v>0</v>
      </c>
      <c r="H333" s="1">
        <v>0</v>
      </c>
      <c r="I333" s="1">
        <v>0</v>
      </c>
      <c r="J333" s="1">
        <v>0</v>
      </c>
      <c r="K333" s="1">
        <v>0</v>
      </c>
      <c r="L333" s="1">
        <v>0</v>
      </c>
      <c r="M333" s="1">
        <v>4</v>
      </c>
      <c r="N333" s="1">
        <v>0</v>
      </c>
      <c r="O333" s="24">
        <f t="shared" si="15"/>
        <v>4</v>
      </c>
      <c r="P333" s="23">
        <v>0</v>
      </c>
      <c r="Q333" s="1">
        <v>0</v>
      </c>
      <c r="R333" s="1">
        <v>0</v>
      </c>
      <c r="S333" s="1">
        <v>0</v>
      </c>
      <c r="T333" s="1">
        <v>0</v>
      </c>
      <c r="U333" s="1">
        <v>0</v>
      </c>
      <c r="V333" s="1">
        <v>0</v>
      </c>
      <c r="W333" s="1">
        <v>0</v>
      </c>
      <c r="X333" s="1">
        <v>0</v>
      </c>
      <c r="Y333" s="1">
        <v>0</v>
      </c>
      <c r="Z333" s="1">
        <v>16</v>
      </c>
      <c r="AA333" s="1">
        <v>0</v>
      </c>
      <c r="AB333" s="24">
        <f t="shared" si="16"/>
        <v>16</v>
      </c>
      <c r="AC333" s="23">
        <v>0</v>
      </c>
      <c r="AD333" s="1">
        <v>0</v>
      </c>
      <c r="AE333" s="1">
        <v>0</v>
      </c>
      <c r="AF333" s="1">
        <v>0</v>
      </c>
      <c r="AG333" s="1">
        <v>0</v>
      </c>
      <c r="AH333" s="1">
        <v>0</v>
      </c>
      <c r="AI333" s="1">
        <v>0</v>
      </c>
      <c r="AJ333" s="1">
        <v>0</v>
      </c>
      <c r="AK333" s="1">
        <v>0</v>
      </c>
      <c r="AL333" s="1">
        <v>0</v>
      </c>
      <c r="AM333" s="1">
        <v>0</v>
      </c>
      <c r="AN333" s="1">
        <v>0</v>
      </c>
      <c r="AO333" s="24">
        <f t="shared" si="17"/>
        <v>0</v>
      </c>
    </row>
    <row r="334" spans="1:41" ht="17.25" customHeight="1" x14ac:dyDescent="0.45">
      <c r="A334" s="12" t="s">
        <v>13</v>
      </c>
      <c r="B334" s="12" t="s">
        <v>9</v>
      </c>
      <c r="C334" s="25">
        <v>0</v>
      </c>
      <c r="D334" s="10">
        <v>1</v>
      </c>
      <c r="E334" s="10">
        <v>1</v>
      </c>
      <c r="F334" s="10">
        <v>2</v>
      </c>
      <c r="G334" s="10">
        <v>0</v>
      </c>
      <c r="H334" s="10">
        <v>0</v>
      </c>
      <c r="I334" s="10">
        <v>9</v>
      </c>
      <c r="J334" s="10">
        <v>9</v>
      </c>
      <c r="K334" s="10">
        <v>15</v>
      </c>
      <c r="L334" s="10">
        <v>16</v>
      </c>
      <c r="M334" s="10">
        <v>17</v>
      </c>
      <c r="N334" s="10">
        <v>20</v>
      </c>
      <c r="O334" s="26">
        <f t="shared" si="15"/>
        <v>90</v>
      </c>
      <c r="P334" s="25">
        <v>0</v>
      </c>
      <c r="Q334" s="10">
        <v>87</v>
      </c>
      <c r="R334" s="10">
        <v>96</v>
      </c>
      <c r="S334" s="10">
        <v>233</v>
      </c>
      <c r="T334" s="10">
        <v>0</v>
      </c>
      <c r="U334" s="10">
        <v>0</v>
      </c>
      <c r="V334" s="10">
        <v>1618</v>
      </c>
      <c r="W334" s="10">
        <v>1212</v>
      </c>
      <c r="X334" s="10">
        <v>536</v>
      </c>
      <c r="Y334" s="10">
        <v>601</v>
      </c>
      <c r="Z334" s="10">
        <v>997</v>
      </c>
      <c r="AA334" s="10">
        <v>1520</v>
      </c>
      <c r="AB334" s="26">
        <f t="shared" si="16"/>
        <v>6900</v>
      </c>
      <c r="AC334" s="25">
        <v>0</v>
      </c>
      <c r="AD334" s="10">
        <v>0</v>
      </c>
      <c r="AE334" s="10">
        <v>0</v>
      </c>
      <c r="AF334" s="10">
        <v>0</v>
      </c>
      <c r="AG334" s="10">
        <v>0</v>
      </c>
      <c r="AH334" s="10">
        <v>0</v>
      </c>
      <c r="AI334" s="10">
        <v>0</v>
      </c>
      <c r="AJ334" s="10">
        <v>0</v>
      </c>
      <c r="AK334" s="10">
        <v>0</v>
      </c>
      <c r="AL334" s="10">
        <v>0</v>
      </c>
      <c r="AM334" s="10">
        <v>0</v>
      </c>
      <c r="AN334" s="10">
        <v>0</v>
      </c>
      <c r="AO334" s="26">
        <f t="shared" si="17"/>
        <v>0</v>
      </c>
    </row>
    <row r="335" spans="1:41" ht="17.25" customHeight="1" x14ac:dyDescent="0.45">
      <c r="A335" s="2" t="s">
        <v>13</v>
      </c>
      <c r="B335" s="2" t="s">
        <v>16</v>
      </c>
      <c r="C335" s="23">
        <v>12</v>
      </c>
      <c r="D335" s="1">
        <v>11</v>
      </c>
      <c r="E335" s="1">
        <v>17</v>
      </c>
      <c r="F335" s="1">
        <v>17</v>
      </c>
      <c r="G335" s="1">
        <v>11</v>
      </c>
      <c r="H335" s="1">
        <v>8</v>
      </c>
      <c r="I335" s="1">
        <v>13</v>
      </c>
      <c r="J335" s="1">
        <v>20</v>
      </c>
      <c r="K335" s="1">
        <v>14</v>
      </c>
      <c r="L335" s="1">
        <v>15</v>
      </c>
      <c r="M335" s="1">
        <v>24</v>
      </c>
      <c r="N335" s="1">
        <v>26</v>
      </c>
      <c r="O335" s="24">
        <f t="shared" si="15"/>
        <v>188</v>
      </c>
      <c r="P335" s="23">
        <v>270</v>
      </c>
      <c r="Q335" s="1">
        <v>298</v>
      </c>
      <c r="R335" s="1">
        <v>534</v>
      </c>
      <c r="S335" s="1">
        <v>586</v>
      </c>
      <c r="T335" s="1">
        <v>408</v>
      </c>
      <c r="U335" s="1">
        <v>269</v>
      </c>
      <c r="V335" s="1">
        <v>359</v>
      </c>
      <c r="W335" s="1">
        <v>579</v>
      </c>
      <c r="X335" s="1">
        <v>363</v>
      </c>
      <c r="Y335" s="1">
        <v>387</v>
      </c>
      <c r="Z335" s="1">
        <v>735</v>
      </c>
      <c r="AA335" s="1">
        <v>808</v>
      </c>
      <c r="AB335" s="24">
        <f t="shared" si="16"/>
        <v>5596</v>
      </c>
      <c r="AC335" s="23">
        <v>0</v>
      </c>
      <c r="AD335" s="1">
        <v>0</v>
      </c>
      <c r="AE335" s="1">
        <v>0</v>
      </c>
      <c r="AF335" s="1">
        <v>0</v>
      </c>
      <c r="AG335" s="1">
        <v>0</v>
      </c>
      <c r="AH335" s="1">
        <v>0</v>
      </c>
      <c r="AI335" s="1">
        <v>0</v>
      </c>
      <c r="AJ335" s="1">
        <v>0</v>
      </c>
      <c r="AK335" s="1">
        <v>0</v>
      </c>
      <c r="AL335" s="1">
        <v>0</v>
      </c>
      <c r="AM335" s="1">
        <v>0</v>
      </c>
      <c r="AN335" s="1">
        <v>0</v>
      </c>
      <c r="AO335" s="24">
        <f t="shared" si="17"/>
        <v>0</v>
      </c>
    </row>
    <row r="336" spans="1:41" ht="17.25" customHeight="1" x14ac:dyDescent="0.45">
      <c r="A336" s="12" t="s">
        <v>13</v>
      </c>
      <c r="B336" s="12" t="s">
        <v>10</v>
      </c>
      <c r="C336" s="25">
        <v>299</v>
      </c>
      <c r="D336" s="10">
        <v>235</v>
      </c>
      <c r="E336" s="10">
        <v>298</v>
      </c>
      <c r="F336" s="10">
        <v>310</v>
      </c>
      <c r="G336" s="10">
        <v>404</v>
      </c>
      <c r="H336" s="10">
        <v>425</v>
      </c>
      <c r="I336" s="10">
        <v>515</v>
      </c>
      <c r="J336" s="10">
        <v>528</v>
      </c>
      <c r="K336" s="10">
        <v>410</v>
      </c>
      <c r="L336" s="10">
        <v>443</v>
      </c>
      <c r="M336" s="10">
        <v>393</v>
      </c>
      <c r="N336" s="10">
        <v>382</v>
      </c>
      <c r="O336" s="26">
        <f t="shared" si="15"/>
        <v>4642</v>
      </c>
      <c r="P336" s="25">
        <v>40744</v>
      </c>
      <c r="Q336" s="10">
        <v>36434</v>
      </c>
      <c r="R336" s="10">
        <v>50047</v>
      </c>
      <c r="S336" s="10">
        <v>45632</v>
      </c>
      <c r="T336" s="10">
        <v>62855</v>
      </c>
      <c r="U336" s="10">
        <v>74050</v>
      </c>
      <c r="V336" s="10">
        <v>92382</v>
      </c>
      <c r="W336" s="10">
        <v>88612</v>
      </c>
      <c r="X336" s="10">
        <v>69865</v>
      </c>
      <c r="Y336" s="10">
        <v>71742</v>
      </c>
      <c r="Z336" s="10">
        <v>61103</v>
      </c>
      <c r="AA336" s="10">
        <v>58820</v>
      </c>
      <c r="AB336" s="26">
        <f t="shared" si="16"/>
        <v>752286</v>
      </c>
      <c r="AC336" s="25">
        <v>10062.6</v>
      </c>
      <c r="AD336" s="10">
        <v>10935.899999999998</v>
      </c>
      <c r="AE336" s="10">
        <v>18198.84</v>
      </c>
      <c r="AF336" s="10">
        <v>27163.100000000002</v>
      </c>
      <c r="AG336" s="10">
        <v>26492.2</v>
      </c>
      <c r="AH336" s="10">
        <v>29480.299999999996</v>
      </c>
      <c r="AI336" s="10">
        <v>22370.65</v>
      </c>
      <c r="AJ336" s="10">
        <v>14763.169999999998</v>
      </c>
      <c r="AK336" s="10">
        <v>13303.9</v>
      </c>
      <c r="AL336" s="10">
        <v>10742.6</v>
      </c>
      <c r="AM336" s="10">
        <v>31012.47</v>
      </c>
      <c r="AN336" s="10">
        <v>44821.539999999994</v>
      </c>
      <c r="AO336" s="26">
        <f t="shared" si="17"/>
        <v>259347.27000000002</v>
      </c>
    </row>
    <row r="337" spans="1:41" ht="17.25" customHeight="1" x14ac:dyDescent="0.45">
      <c r="A337" s="2" t="s">
        <v>13</v>
      </c>
      <c r="B337" s="2" t="s">
        <v>19</v>
      </c>
      <c r="C337" s="23">
        <v>54</v>
      </c>
      <c r="D337" s="1">
        <v>50</v>
      </c>
      <c r="E337" s="1">
        <v>62</v>
      </c>
      <c r="F337" s="1">
        <v>60</v>
      </c>
      <c r="G337" s="1">
        <v>62</v>
      </c>
      <c r="H337" s="1">
        <v>58</v>
      </c>
      <c r="I337" s="1">
        <v>63</v>
      </c>
      <c r="J337" s="1">
        <v>62</v>
      </c>
      <c r="K337" s="1">
        <v>60</v>
      </c>
      <c r="L337" s="1">
        <v>62</v>
      </c>
      <c r="M337" s="1">
        <v>60</v>
      </c>
      <c r="N337" s="1">
        <v>60</v>
      </c>
      <c r="O337" s="24">
        <f t="shared" si="15"/>
        <v>713</v>
      </c>
      <c r="P337" s="23">
        <v>8916</v>
      </c>
      <c r="Q337" s="1">
        <v>8846</v>
      </c>
      <c r="R337" s="1">
        <v>10448</v>
      </c>
      <c r="S337" s="1">
        <v>9317</v>
      </c>
      <c r="T337" s="1">
        <v>10360</v>
      </c>
      <c r="U337" s="1">
        <v>9747</v>
      </c>
      <c r="V337" s="1">
        <v>11557</v>
      </c>
      <c r="W337" s="1">
        <v>11715</v>
      </c>
      <c r="X337" s="1">
        <v>10794</v>
      </c>
      <c r="Y337" s="1">
        <v>12470</v>
      </c>
      <c r="Z337" s="1">
        <v>11275</v>
      </c>
      <c r="AA337" s="1">
        <v>10055</v>
      </c>
      <c r="AB337" s="24">
        <f t="shared" si="16"/>
        <v>125500</v>
      </c>
      <c r="AC337" s="23">
        <v>18874.5</v>
      </c>
      <c r="AD337" s="1">
        <v>18561.5</v>
      </c>
      <c r="AE337" s="1">
        <v>5748.0999999999995</v>
      </c>
      <c r="AF337" s="1">
        <v>1482</v>
      </c>
      <c r="AG337" s="1">
        <v>1745.5</v>
      </c>
      <c r="AH337" s="1">
        <v>1090.1000000000001</v>
      </c>
      <c r="AI337" s="1">
        <v>1363.5</v>
      </c>
      <c r="AJ337" s="1">
        <v>531.6</v>
      </c>
      <c r="AK337" s="1">
        <v>1413.7</v>
      </c>
      <c r="AL337" s="1">
        <v>4830.8</v>
      </c>
      <c r="AM337" s="1">
        <v>6725.4</v>
      </c>
      <c r="AN337" s="1">
        <v>16377.5</v>
      </c>
      <c r="AO337" s="24">
        <f t="shared" si="17"/>
        <v>78744.2</v>
      </c>
    </row>
    <row r="338" spans="1:41" ht="17.25" customHeight="1" x14ac:dyDescent="0.45">
      <c r="A338" s="12" t="s">
        <v>13</v>
      </c>
      <c r="B338" s="12" t="s">
        <v>20</v>
      </c>
      <c r="C338" s="25">
        <v>56</v>
      </c>
      <c r="D338" s="10">
        <v>50</v>
      </c>
      <c r="E338" s="10">
        <v>66</v>
      </c>
      <c r="F338" s="10">
        <v>60</v>
      </c>
      <c r="G338" s="10">
        <v>65</v>
      </c>
      <c r="H338" s="10">
        <v>58</v>
      </c>
      <c r="I338" s="10">
        <v>62</v>
      </c>
      <c r="J338" s="10">
        <v>62</v>
      </c>
      <c r="K338" s="10">
        <v>60</v>
      </c>
      <c r="L338" s="10">
        <v>62</v>
      </c>
      <c r="M338" s="10">
        <v>145</v>
      </c>
      <c r="N338" s="10">
        <v>150</v>
      </c>
      <c r="O338" s="26">
        <f t="shared" si="15"/>
        <v>896</v>
      </c>
      <c r="P338" s="25">
        <v>12036</v>
      </c>
      <c r="Q338" s="10">
        <v>10078</v>
      </c>
      <c r="R338" s="10">
        <v>12629</v>
      </c>
      <c r="S338" s="10">
        <v>10660</v>
      </c>
      <c r="T338" s="10">
        <v>11934</v>
      </c>
      <c r="U338" s="10">
        <v>11225</v>
      </c>
      <c r="V338" s="10">
        <v>13025</v>
      </c>
      <c r="W338" s="10">
        <v>12935</v>
      </c>
      <c r="X338" s="10">
        <v>12280</v>
      </c>
      <c r="Y338" s="10">
        <v>13500</v>
      </c>
      <c r="Z338" s="10">
        <v>21493</v>
      </c>
      <c r="AA338" s="10">
        <v>22073</v>
      </c>
      <c r="AB338" s="26">
        <f t="shared" si="16"/>
        <v>163868</v>
      </c>
      <c r="AC338" s="25">
        <v>32413.200000000001</v>
      </c>
      <c r="AD338" s="10">
        <v>20554.400000000001</v>
      </c>
      <c r="AE338" s="10">
        <v>7129.2999999999993</v>
      </c>
      <c r="AF338" s="10">
        <v>2953</v>
      </c>
      <c r="AG338" s="10">
        <v>4490.1000000000004</v>
      </c>
      <c r="AH338" s="10">
        <v>2573.9</v>
      </c>
      <c r="AI338" s="10">
        <v>4480.2</v>
      </c>
      <c r="AJ338" s="10">
        <v>3218.7999999999997</v>
      </c>
      <c r="AK338" s="10">
        <v>4917</v>
      </c>
      <c r="AL338" s="10">
        <v>3759.8999999999996</v>
      </c>
      <c r="AM338" s="10">
        <v>12716.1</v>
      </c>
      <c r="AN338" s="10">
        <v>8582</v>
      </c>
      <c r="AO338" s="26">
        <f t="shared" si="17"/>
        <v>107787.90000000001</v>
      </c>
    </row>
    <row r="339" spans="1:41" ht="17.25" customHeight="1" x14ac:dyDescent="0.45">
      <c r="A339" s="2" t="s">
        <v>13</v>
      </c>
      <c r="B339" s="2" t="s">
        <v>43</v>
      </c>
      <c r="C339" s="23">
        <v>10</v>
      </c>
      <c r="D339" s="1">
        <v>8</v>
      </c>
      <c r="E339" s="1">
        <v>9</v>
      </c>
      <c r="F339" s="1">
        <v>14</v>
      </c>
      <c r="G339" s="1">
        <v>13</v>
      </c>
      <c r="H339" s="1">
        <v>12</v>
      </c>
      <c r="I339" s="1">
        <v>13</v>
      </c>
      <c r="J339" s="1">
        <v>14</v>
      </c>
      <c r="K339" s="1">
        <v>14</v>
      </c>
      <c r="L339" s="1">
        <v>12</v>
      </c>
      <c r="M339" s="1">
        <v>37</v>
      </c>
      <c r="N339" s="1">
        <v>39</v>
      </c>
      <c r="O339" s="24">
        <f t="shared" si="15"/>
        <v>195</v>
      </c>
      <c r="P339" s="23">
        <v>1794</v>
      </c>
      <c r="Q339" s="1">
        <v>1345</v>
      </c>
      <c r="R339" s="1">
        <v>1483</v>
      </c>
      <c r="S339" s="1">
        <v>1967</v>
      </c>
      <c r="T339" s="1">
        <v>1984</v>
      </c>
      <c r="U339" s="1">
        <v>2231</v>
      </c>
      <c r="V339" s="1">
        <v>2347</v>
      </c>
      <c r="W339" s="1">
        <v>2444</v>
      </c>
      <c r="X339" s="1">
        <v>2369</v>
      </c>
      <c r="Y339" s="1">
        <v>2416</v>
      </c>
      <c r="Z339" s="1">
        <v>4396</v>
      </c>
      <c r="AA339" s="1">
        <v>5609</v>
      </c>
      <c r="AB339" s="24">
        <f t="shared" si="16"/>
        <v>30385</v>
      </c>
      <c r="AC339" s="23">
        <v>0</v>
      </c>
      <c r="AD339" s="1">
        <v>0</v>
      </c>
      <c r="AE339" s="1">
        <v>0</v>
      </c>
      <c r="AF339" s="1">
        <v>0</v>
      </c>
      <c r="AG339" s="1">
        <v>0</v>
      </c>
      <c r="AH339" s="1">
        <v>0</v>
      </c>
      <c r="AI339" s="1">
        <v>0</v>
      </c>
      <c r="AJ339" s="1">
        <v>0</v>
      </c>
      <c r="AK339" s="1">
        <v>0</v>
      </c>
      <c r="AL339" s="1">
        <v>0</v>
      </c>
      <c r="AM339" s="1">
        <v>0</v>
      </c>
      <c r="AN339" s="1">
        <v>0</v>
      </c>
      <c r="AO339" s="24">
        <f t="shared" si="17"/>
        <v>0</v>
      </c>
    </row>
    <row r="340" spans="1:41" ht="17.25" customHeight="1" x14ac:dyDescent="0.45">
      <c r="A340" s="12" t="s">
        <v>13</v>
      </c>
      <c r="B340" s="12" t="s">
        <v>44</v>
      </c>
      <c r="C340" s="25">
        <v>9</v>
      </c>
      <c r="D340" s="10">
        <v>6</v>
      </c>
      <c r="E340" s="10">
        <v>0</v>
      </c>
      <c r="F340" s="10">
        <v>0</v>
      </c>
      <c r="G340" s="10">
        <v>0</v>
      </c>
      <c r="H340" s="10">
        <v>0</v>
      </c>
      <c r="I340" s="10">
        <v>0</v>
      </c>
      <c r="J340" s="10">
        <v>0</v>
      </c>
      <c r="K340" s="10">
        <v>0</v>
      </c>
      <c r="L340" s="10">
        <v>0</v>
      </c>
      <c r="M340" s="10">
        <v>0</v>
      </c>
      <c r="N340" s="10">
        <v>0</v>
      </c>
      <c r="O340" s="26">
        <f t="shared" si="15"/>
        <v>15</v>
      </c>
      <c r="P340" s="25">
        <v>49</v>
      </c>
      <c r="Q340" s="10">
        <v>13</v>
      </c>
      <c r="R340" s="10">
        <v>0</v>
      </c>
      <c r="S340" s="10">
        <v>0</v>
      </c>
      <c r="T340" s="10">
        <v>0</v>
      </c>
      <c r="U340" s="10">
        <v>0</v>
      </c>
      <c r="V340" s="10">
        <v>0</v>
      </c>
      <c r="W340" s="10">
        <v>0</v>
      </c>
      <c r="X340" s="10">
        <v>0</v>
      </c>
      <c r="Y340" s="10">
        <v>0</v>
      </c>
      <c r="Z340" s="10">
        <v>0</v>
      </c>
      <c r="AA340" s="10">
        <v>0</v>
      </c>
      <c r="AB340" s="26">
        <f t="shared" si="16"/>
        <v>62</v>
      </c>
      <c r="AC340" s="25">
        <v>0</v>
      </c>
      <c r="AD340" s="10">
        <v>0</v>
      </c>
      <c r="AE340" s="10">
        <v>0</v>
      </c>
      <c r="AF340" s="10">
        <v>0</v>
      </c>
      <c r="AG340" s="10">
        <v>0</v>
      </c>
      <c r="AH340" s="10">
        <v>0</v>
      </c>
      <c r="AI340" s="10">
        <v>0</v>
      </c>
      <c r="AJ340" s="10">
        <v>0</v>
      </c>
      <c r="AK340" s="10">
        <v>0</v>
      </c>
      <c r="AL340" s="10">
        <v>0</v>
      </c>
      <c r="AM340" s="10">
        <v>0</v>
      </c>
      <c r="AN340" s="10">
        <v>0</v>
      </c>
      <c r="AO340" s="26">
        <f t="shared" si="17"/>
        <v>0</v>
      </c>
    </row>
    <row r="341" spans="1:41" ht="17.25" customHeight="1" x14ac:dyDescent="0.45">
      <c r="A341" s="2" t="s">
        <v>13</v>
      </c>
      <c r="B341" s="2" t="s">
        <v>46</v>
      </c>
      <c r="C341" s="23">
        <v>1</v>
      </c>
      <c r="D341" s="1">
        <v>0</v>
      </c>
      <c r="E341" s="1">
        <v>2</v>
      </c>
      <c r="F341" s="1">
        <v>8</v>
      </c>
      <c r="G341" s="1">
        <v>9</v>
      </c>
      <c r="H341" s="1">
        <v>9</v>
      </c>
      <c r="I341" s="1">
        <v>13</v>
      </c>
      <c r="J341" s="1">
        <v>13</v>
      </c>
      <c r="K341" s="1">
        <v>9</v>
      </c>
      <c r="L341" s="1">
        <v>9</v>
      </c>
      <c r="M341" s="1">
        <v>8</v>
      </c>
      <c r="N341" s="1">
        <v>12</v>
      </c>
      <c r="O341" s="24">
        <f t="shared" si="15"/>
        <v>93</v>
      </c>
      <c r="P341" s="23">
        <v>91</v>
      </c>
      <c r="Q341" s="1">
        <v>0</v>
      </c>
      <c r="R341" s="1">
        <v>312</v>
      </c>
      <c r="S341" s="1">
        <v>1027</v>
      </c>
      <c r="T341" s="1">
        <v>1375</v>
      </c>
      <c r="U341" s="1">
        <v>1532</v>
      </c>
      <c r="V341" s="1">
        <v>1986</v>
      </c>
      <c r="W341" s="1">
        <v>2089</v>
      </c>
      <c r="X341" s="1">
        <v>1567</v>
      </c>
      <c r="Y341" s="1">
        <v>1423</v>
      </c>
      <c r="Z341" s="1">
        <v>1159</v>
      </c>
      <c r="AA341" s="1">
        <v>1735</v>
      </c>
      <c r="AB341" s="24">
        <f t="shared" si="16"/>
        <v>14296</v>
      </c>
      <c r="AC341" s="23">
        <v>0</v>
      </c>
      <c r="AD341" s="1">
        <v>0</v>
      </c>
      <c r="AE341" s="1">
        <v>0</v>
      </c>
      <c r="AF341" s="1">
        <v>0</v>
      </c>
      <c r="AG341" s="1">
        <v>0</v>
      </c>
      <c r="AH341" s="1">
        <v>0</v>
      </c>
      <c r="AI341" s="1">
        <v>0</v>
      </c>
      <c r="AJ341" s="1">
        <v>0</v>
      </c>
      <c r="AK341" s="1">
        <v>0</v>
      </c>
      <c r="AL341" s="1">
        <v>0</v>
      </c>
      <c r="AM341" s="1">
        <v>0</v>
      </c>
      <c r="AN341" s="1">
        <v>0</v>
      </c>
      <c r="AO341" s="24">
        <f t="shared" si="17"/>
        <v>0</v>
      </c>
    </row>
    <row r="342" spans="1:41" ht="17.25" customHeight="1" x14ac:dyDescent="0.45">
      <c r="A342" s="12" t="s">
        <v>13</v>
      </c>
      <c r="B342" s="12" t="s">
        <v>21</v>
      </c>
      <c r="C342" s="25">
        <v>32</v>
      </c>
      <c r="D342" s="10">
        <v>29</v>
      </c>
      <c r="E342" s="10">
        <v>42</v>
      </c>
      <c r="F342" s="10">
        <v>30</v>
      </c>
      <c r="G342" s="10">
        <v>47</v>
      </c>
      <c r="H342" s="10">
        <v>41</v>
      </c>
      <c r="I342" s="10">
        <v>42</v>
      </c>
      <c r="J342" s="10">
        <v>31</v>
      </c>
      <c r="K342" s="10">
        <v>30</v>
      </c>
      <c r="L342" s="10">
        <v>31</v>
      </c>
      <c r="M342" s="10">
        <v>88</v>
      </c>
      <c r="N342" s="10">
        <v>90</v>
      </c>
      <c r="O342" s="26">
        <f t="shared" si="15"/>
        <v>533</v>
      </c>
      <c r="P342" s="25">
        <v>4741</v>
      </c>
      <c r="Q342" s="10">
        <v>4604</v>
      </c>
      <c r="R342" s="10">
        <v>6534</v>
      </c>
      <c r="S342" s="10">
        <v>5024</v>
      </c>
      <c r="T342" s="10">
        <v>6650</v>
      </c>
      <c r="U342" s="10">
        <v>6040</v>
      </c>
      <c r="V342" s="10">
        <v>6658</v>
      </c>
      <c r="W342" s="10">
        <v>5182</v>
      </c>
      <c r="X342" s="10">
        <v>3891</v>
      </c>
      <c r="Y342" s="10">
        <v>4023</v>
      </c>
      <c r="Z342" s="10">
        <v>9564</v>
      </c>
      <c r="AA342" s="10">
        <v>11826</v>
      </c>
      <c r="AB342" s="26">
        <f t="shared" si="16"/>
        <v>74737</v>
      </c>
      <c r="AC342" s="25">
        <v>2368</v>
      </c>
      <c r="AD342" s="10">
        <v>658.5</v>
      </c>
      <c r="AE342" s="10">
        <v>578.5</v>
      </c>
      <c r="AF342" s="10">
        <v>11156.1</v>
      </c>
      <c r="AG342" s="10">
        <v>16151.1</v>
      </c>
      <c r="AH342" s="10">
        <v>5618.0999999999995</v>
      </c>
      <c r="AI342" s="10">
        <v>6910.2</v>
      </c>
      <c r="AJ342" s="10">
        <v>23648</v>
      </c>
      <c r="AK342" s="10">
        <v>1851.2</v>
      </c>
      <c r="AL342" s="10">
        <v>3896</v>
      </c>
      <c r="AM342" s="10">
        <v>17071.400000000001</v>
      </c>
      <c r="AN342" s="10">
        <v>25220.2</v>
      </c>
      <c r="AO342" s="26">
        <f t="shared" si="17"/>
        <v>115127.3</v>
      </c>
    </row>
    <row r="343" spans="1:41" ht="17.25" customHeight="1" x14ac:dyDescent="0.45">
      <c r="A343" s="2" t="s">
        <v>13</v>
      </c>
      <c r="B343" s="2" t="s">
        <v>22</v>
      </c>
      <c r="C343" s="23">
        <v>79</v>
      </c>
      <c r="D343" s="1">
        <v>66</v>
      </c>
      <c r="E343" s="1">
        <v>71</v>
      </c>
      <c r="F343" s="1">
        <v>69</v>
      </c>
      <c r="G343" s="1">
        <v>74</v>
      </c>
      <c r="H343" s="1">
        <v>67</v>
      </c>
      <c r="I343" s="1">
        <v>68</v>
      </c>
      <c r="J343" s="1">
        <v>68</v>
      </c>
      <c r="K343" s="1">
        <v>68</v>
      </c>
      <c r="L343" s="1">
        <v>75</v>
      </c>
      <c r="M343" s="1">
        <v>90</v>
      </c>
      <c r="N343" s="1">
        <v>89</v>
      </c>
      <c r="O343" s="24">
        <f t="shared" si="15"/>
        <v>884</v>
      </c>
      <c r="P343" s="23">
        <v>9328</v>
      </c>
      <c r="Q343" s="1">
        <v>8979</v>
      </c>
      <c r="R343" s="1">
        <v>9659</v>
      </c>
      <c r="S343" s="1">
        <v>9168</v>
      </c>
      <c r="T343" s="1">
        <v>9835</v>
      </c>
      <c r="U343" s="1">
        <v>10297</v>
      </c>
      <c r="V343" s="1">
        <v>10527</v>
      </c>
      <c r="W343" s="1">
        <v>10424</v>
      </c>
      <c r="X343" s="1">
        <v>10314</v>
      </c>
      <c r="Y343" s="1">
        <v>11074</v>
      </c>
      <c r="Z343" s="1">
        <v>14204</v>
      </c>
      <c r="AA343" s="1">
        <v>15248</v>
      </c>
      <c r="AB343" s="24">
        <f t="shared" si="16"/>
        <v>129057</v>
      </c>
      <c r="AC343" s="23">
        <v>0</v>
      </c>
      <c r="AD343" s="1">
        <v>0</v>
      </c>
      <c r="AE343" s="1">
        <v>0</v>
      </c>
      <c r="AF343" s="1">
        <v>0</v>
      </c>
      <c r="AG343" s="1">
        <v>0</v>
      </c>
      <c r="AH343" s="1">
        <v>0</v>
      </c>
      <c r="AI343" s="1">
        <v>0</v>
      </c>
      <c r="AJ343" s="1">
        <v>0</v>
      </c>
      <c r="AK343" s="1">
        <v>0</v>
      </c>
      <c r="AL343" s="1">
        <v>0</v>
      </c>
      <c r="AM343" s="1">
        <v>0</v>
      </c>
      <c r="AN343" s="1">
        <v>0</v>
      </c>
      <c r="AO343" s="24">
        <f t="shared" si="17"/>
        <v>0</v>
      </c>
    </row>
    <row r="344" spans="1:41" ht="17.25" customHeight="1" x14ac:dyDescent="0.45">
      <c r="A344" s="12" t="s">
        <v>13</v>
      </c>
      <c r="B344" s="12" t="s">
        <v>42</v>
      </c>
      <c r="C344" s="25">
        <v>14</v>
      </c>
      <c r="D344" s="10">
        <v>12</v>
      </c>
      <c r="E344" s="10">
        <v>7</v>
      </c>
      <c r="F344" s="10">
        <v>8</v>
      </c>
      <c r="G344" s="10">
        <v>5</v>
      </c>
      <c r="H344" s="10">
        <v>3</v>
      </c>
      <c r="I344" s="10">
        <v>8</v>
      </c>
      <c r="J344" s="10">
        <v>15</v>
      </c>
      <c r="K344" s="10">
        <v>11</v>
      </c>
      <c r="L344" s="10">
        <v>15</v>
      </c>
      <c r="M344" s="10">
        <v>21</v>
      </c>
      <c r="N344" s="10">
        <v>21</v>
      </c>
      <c r="O344" s="26">
        <f t="shared" si="15"/>
        <v>140</v>
      </c>
      <c r="P344" s="25">
        <v>251</v>
      </c>
      <c r="Q344" s="10">
        <v>289</v>
      </c>
      <c r="R344" s="10">
        <v>149</v>
      </c>
      <c r="S344" s="10">
        <v>165</v>
      </c>
      <c r="T344" s="10">
        <v>104</v>
      </c>
      <c r="U344" s="10">
        <v>54</v>
      </c>
      <c r="V344" s="10">
        <v>104</v>
      </c>
      <c r="W344" s="10">
        <v>245</v>
      </c>
      <c r="X344" s="10">
        <v>204</v>
      </c>
      <c r="Y344" s="10">
        <v>285</v>
      </c>
      <c r="Z344" s="10">
        <v>352</v>
      </c>
      <c r="AA344" s="10">
        <v>492</v>
      </c>
      <c r="AB344" s="26">
        <f t="shared" si="16"/>
        <v>2694</v>
      </c>
      <c r="AC344" s="25">
        <v>0</v>
      </c>
      <c r="AD344" s="10">
        <v>0</v>
      </c>
      <c r="AE344" s="10">
        <v>0</v>
      </c>
      <c r="AF344" s="10">
        <v>0</v>
      </c>
      <c r="AG344" s="10">
        <v>0</v>
      </c>
      <c r="AH344" s="10">
        <v>0</v>
      </c>
      <c r="AI344" s="10">
        <v>0</v>
      </c>
      <c r="AJ344" s="10">
        <v>0</v>
      </c>
      <c r="AK344" s="10">
        <v>0</v>
      </c>
      <c r="AL344" s="10">
        <v>0</v>
      </c>
      <c r="AM344" s="10">
        <v>0</v>
      </c>
      <c r="AN344" s="10">
        <v>0</v>
      </c>
      <c r="AO344" s="26">
        <f t="shared" si="17"/>
        <v>0</v>
      </c>
    </row>
    <row r="345" spans="1:41" ht="17.25" customHeight="1" x14ac:dyDescent="0.45">
      <c r="A345" s="2" t="s">
        <v>13</v>
      </c>
      <c r="B345" s="2" t="s">
        <v>11</v>
      </c>
      <c r="C345" s="23">
        <v>225</v>
      </c>
      <c r="D345" s="1">
        <v>199</v>
      </c>
      <c r="E345" s="1">
        <v>210</v>
      </c>
      <c r="F345" s="1">
        <v>263</v>
      </c>
      <c r="G345" s="1">
        <v>267</v>
      </c>
      <c r="H345" s="1">
        <v>246</v>
      </c>
      <c r="I345" s="1">
        <v>263</v>
      </c>
      <c r="J345" s="1">
        <v>268</v>
      </c>
      <c r="K345" s="1">
        <v>258</v>
      </c>
      <c r="L345" s="1">
        <v>268</v>
      </c>
      <c r="M345" s="1">
        <v>264</v>
      </c>
      <c r="N345" s="1">
        <v>268</v>
      </c>
      <c r="O345" s="24">
        <f t="shared" si="15"/>
        <v>2999</v>
      </c>
      <c r="P345" s="23">
        <v>31875</v>
      </c>
      <c r="Q345" s="1">
        <v>33122</v>
      </c>
      <c r="R345" s="1">
        <v>36692</v>
      </c>
      <c r="S345" s="1">
        <v>39941</v>
      </c>
      <c r="T345" s="1">
        <v>41256</v>
      </c>
      <c r="U345" s="1">
        <v>39177</v>
      </c>
      <c r="V345" s="1">
        <v>43037</v>
      </c>
      <c r="W345" s="1">
        <v>41259</v>
      </c>
      <c r="X345" s="1">
        <v>41932</v>
      </c>
      <c r="Y345" s="1">
        <v>44885</v>
      </c>
      <c r="Z345" s="1">
        <v>44651</v>
      </c>
      <c r="AA345" s="1">
        <v>46201</v>
      </c>
      <c r="AB345" s="24">
        <f t="shared" si="16"/>
        <v>484028</v>
      </c>
      <c r="AC345" s="23">
        <v>12609.5</v>
      </c>
      <c r="AD345" s="1">
        <v>15294.699999999999</v>
      </c>
      <c r="AE345" s="1">
        <v>15140.900000000001</v>
      </c>
      <c r="AF345" s="1">
        <v>16352.400000000001</v>
      </c>
      <c r="AG345" s="1">
        <v>13058.800000000001</v>
      </c>
      <c r="AH345" s="1">
        <v>17733.399999999998</v>
      </c>
      <c r="AI345" s="1">
        <v>9137.2999999999993</v>
      </c>
      <c r="AJ345" s="1">
        <v>18755.400000000001</v>
      </c>
      <c r="AK345" s="1">
        <v>10401.4</v>
      </c>
      <c r="AL345" s="1">
        <v>20784</v>
      </c>
      <c r="AM345" s="1">
        <v>10523.499999999998</v>
      </c>
      <c r="AN345" s="1">
        <v>16133.189999999995</v>
      </c>
      <c r="AO345" s="24">
        <f t="shared" si="17"/>
        <v>175924.49</v>
      </c>
    </row>
    <row r="346" spans="1:41" ht="17.25" customHeight="1" x14ac:dyDescent="0.45">
      <c r="A346" s="12" t="s">
        <v>13</v>
      </c>
      <c r="B346" s="12" t="s">
        <v>38</v>
      </c>
      <c r="C346" s="25">
        <v>47</v>
      </c>
      <c r="D346" s="10">
        <v>41</v>
      </c>
      <c r="E346" s="10">
        <v>60</v>
      </c>
      <c r="F346" s="10">
        <v>56</v>
      </c>
      <c r="G346" s="10">
        <v>67</v>
      </c>
      <c r="H346" s="10">
        <v>50</v>
      </c>
      <c r="I346" s="10">
        <v>61</v>
      </c>
      <c r="J346" s="10">
        <v>62</v>
      </c>
      <c r="K346" s="10">
        <v>60</v>
      </c>
      <c r="L346" s="10">
        <v>62</v>
      </c>
      <c r="M346" s="10">
        <v>146</v>
      </c>
      <c r="N346" s="10">
        <v>150</v>
      </c>
      <c r="O346" s="26">
        <f t="shared" si="15"/>
        <v>862</v>
      </c>
      <c r="P346" s="25">
        <v>9214</v>
      </c>
      <c r="Q346" s="10">
        <v>7025</v>
      </c>
      <c r="R346" s="10">
        <v>10007</v>
      </c>
      <c r="S346" s="10">
        <v>8786</v>
      </c>
      <c r="T346" s="10">
        <v>10545</v>
      </c>
      <c r="U346" s="10">
        <v>8118</v>
      </c>
      <c r="V346" s="10">
        <v>11173</v>
      </c>
      <c r="W346" s="10">
        <v>11042</v>
      </c>
      <c r="X346" s="10">
        <v>9905</v>
      </c>
      <c r="Y346" s="10">
        <v>11550</v>
      </c>
      <c r="Z346" s="10">
        <v>20744</v>
      </c>
      <c r="AA346" s="10">
        <v>22007</v>
      </c>
      <c r="AB346" s="26">
        <f t="shared" si="16"/>
        <v>140116</v>
      </c>
      <c r="AC346" s="25">
        <v>4883</v>
      </c>
      <c r="AD346" s="10">
        <v>901.8</v>
      </c>
      <c r="AE346" s="10">
        <v>6780.1</v>
      </c>
      <c r="AF346" s="10">
        <v>4718.3</v>
      </c>
      <c r="AG346" s="10">
        <v>1303</v>
      </c>
      <c r="AH346" s="10">
        <v>466.6</v>
      </c>
      <c r="AI346" s="10">
        <v>645.1</v>
      </c>
      <c r="AJ346" s="10">
        <v>8749.2999999999993</v>
      </c>
      <c r="AK346" s="10">
        <v>39204.799999999996</v>
      </c>
      <c r="AL346" s="10">
        <v>63923.8</v>
      </c>
      <c r="AM346" s="10">
        <v>37900.400000000001</v>
      </c>
      <c r="AN346" s="10">
        <v>4853.5</v>
      </c>
      <c r="AO346" s="26">
        <f t="shared" si="17"/>
        <v>174329.69999999998</v>
      </c>
    </row>
    <row r="347" spans="1:41" ht="17.25" customHeight="1" x14ac:dyDescent="0.45">
      <c r="A347" s="2" t="s">
        <v>13</v>
      </c>
      <c r="B347" s="2" t="s">
        <v>51</v>
      </c>
      <c r="C347" s="23">
        <v>10</v>
      </c>
      <c r="D347" s="1">
        <v>9</v>
      </c>
      <c r="E347" s="1">
        <v>11</v>
      </c>
      <c r="F347" s="1">
        <v>8</v>
      </c>
      <c r="G347" s="1">
        <v>13</v>
      </c>
      <c r="H347" s="1">
        <v>12</v>
      </c>
      <c r="I347" s="1">
        <v>22</v>
      </c>
      <c r="J347" s="1">
        <v>21</v>
      </c>
      <c r="K347" s="1">
        <v>9</v>
      </c>
      <c r="L347" s="1">
        <v>9</v>
      </c>
      <c r="M347" s="1">
        <v>8</v>
      </c>
      <c r="N347" s="1">
        <v>9</v>
      </c>
      <c r="O347" s="24">
        <f t="shared" si="15"/>
        <v>141</v>
      </c>
      <c r="P347" s="23">
        <v>1088</v>
      </c>
      <c r="Q347" s="1">
        <v>1078</v>
      </c>
      <c r="R347" s="1">
        <v>1510</v>
      </c>
      <c r="S347" s="1">
        <v>1120</v>
      </c>
      <c r="T347" s="1">
        <v>1816</v>
      </c>
      <c r="U347" s="1">
        <v>2044</v>
      </c>
      <c r="V347" s="1">
        <v>3901</v>
      </c>
      <c r="W347" s="1">
        <v>3064</v>
      </c>
      <c r="X347" s="1">
        <v>1340</v>
      </c>
      <c r="Y347" s="1">
        <v>1405</v>
      </c>
      <c r="Z347" s="1">
        <v>1196</v>
      </c>
      <c r="AA347" s="1">
        <v>1378</v>
      </c>
      <c r="AB347" s="24">
        <f t="shared" si="16"/>
        <v>20940</v>
      </c>
      <c r="AC347" s="23">
        <v>0</v>
      </c>
      <c r="AD347" s="1">
        <v>0</v>
      </c>
      <c r="AE347" s="1">
        <v>0</v>
      </c>
      <c r="AF347" s="1">
        <v>0</v>
      </c>
      <c r="AG347" s="1">
        <v>0</v>
      </c>
      <c r="AH347" s="1">
        <v>0</v>
      </c>
      <c r="AI347" s="1">
        <v>0</v>
      </c>
      <c r="AJ347" s="1">
        <v>0</v>
      </c>
      <c r="AK347" s="1">
        <v>0</v>
      </c>
      <c r="AL347" s="1">
        <v>0</v>
      </c>
      <c r="AM347" s="1">
        <v>0</v>
      </c>
      <c r="AN347" s="1">
        <v>0</v>
      </c>
      <c r="AO347" s="24">
        <f t="shared" si="17"/>
        <v>0</v>
      </c>
    </row>
    <row r="348" spans="1:41" ht="17.25" customHeight="1" x14ac:dyDescent="0.45">
      <c r="A348" s="12" t="s">
        <v>13</v>
      </c>
      <c r="B348" s="12" t="s">
        <v>52</v>
      </c>
      <c r="C348" s="25">
        <v>0</v>
      </c>
      <c r="D348" s="10">
        <v>0</v>
      </c>
      <c r="E348" s="10">
        <v>0</v>
      </c>
      <c r="F348" s="10">
        <v>0</v>
      </c>
      <c r="G348" s="10">
        <v>0</v>
      </c>
      <c r="H348" s="10">
        <v>0</v>
      </c>
      <c r="I348" s="10">
        <v>0</v>
      </c>
      <c r="J348" s="10">
        <v>0</v>
      </c>
      <c r="K348" s="10">
        <v>0</v>
      </c>
      <c r="L348" s="10">
        <v>0</v>
      </c>
      <c r="M348" s="10">
        <v>20</v>
      </c>
      <c r="N348" s="10">
        <v>22</v>
      </c>
      <c r="O348" s="26">
        <f t="shared" si="15"/>
        <v>42</v>
      </c>
      <c r="P348" s="25">
        <v>0</v>
      </c>
      <c r="Q348" s="10">
        <v>0</v>
      </c>
      <c r="R348" s="10">
        <v>0</v>
      </c>
      <c r="S348" s="10">
        <v>0</v>
      </c>
      <c r="T348" s="10">
        <v>0</v>
      </c>
      <c r="U348" s="10">
        <v>0</v>
      </c>
      <c r="V348" s="10">
        <v>0</v>
      </c>
      <c r="W348" s="10">
        <v>0</v>
      </c>
      <c r="X348" s="10">
        <v>0</v>
      </c>
      <c r="Y348" s="10">
        <v>0</v>
      </c>
      <c r="Z348" s="10">
        <v>490</v>
      </c>
      <c r="AA348" s="10">
        <v>610</v>
      </c>
      <c r="AB348" s="26">
        <f t="shared" si="16"/>
        <v>1100</v>
      </c>
      <c r="AC348" s="25">
        <v>0</v>
      </c>
      <c r="AD348" s="10">
        <v>0</v>
      </c>
      <c r="AE348" s="10">
        <v>0</v>
      </c>
      <c r="AF348" s="10">
        <v>0</v>
      </c>
      <c r="AG348" s="10">
        <v>0</v>
      </c>
      <c r="AH348" s="10">
        <v>0</v>
      </c>
      <c r="AI348" s="10">
        <v>0</v>
      </c>
      <c r="AJ348" s="10">
        <v>0</v>
      </c>
      <c r="AK348" s="10">
        <v>0</v>
      </c>
      <c r="AL348" s="10">
        <v>0</v>
      </c>
      <c r="AM348" s="10">
        <v>0</v>
      </c>
      <c r="AN348" s="10">
        <v>0</v>
      </c>
      <c r="AO348" s="26">
        <f t="shared" si="17"/>
        <v>0</v>
      </c>
    </row>
    <row r="349" spans="1:41" ht="17.25" customHeight="1" x14ac:dyDescent="0.45">
      <c r="A349" s="2" t="s">
        <v>13</v>
      </c>
      <c r="B349" s="2" t="s">
        <v>47</v>
      </c>
      <c r="C349" s="23">
        <v>10</v>
      </c>
      <c r="D349" s="1">
        <v>8</v>
      </c>
      <c r="E349" s="1">
        <v>11</v>
      </c>
      <c r="F349" s="1">
        <v>8</v>
      </c>
      <c r="G349" s="1">
        <v>9</v>
      </c>
      <c r="H349" s="1">
        <v>9</v>
      </c>
      <c r="I349" s="1">
        <v>22</v>
      </c>
      <c r="J349" s="1">
        <v>21</v>
      </c>
      <c r="K349" s="1">
        <v>26</v>
      </c>
      <c r="L349" s="1">
        <v>27</v>
      </c>
      <c r="M349" s="1">
        <v>24</v>
      </c>
      <c r="N349" s="1">
        <v>33</v>
      </c>
      <c r="O349" s="24">
        <f t="shared" si="15"/>
        <v>208</v>
      </c>
      <c r="P349" s="23">
        <v>1144</v>
      </c>
      <c r="Q349" s="1">
        <v>900</v>
      </c>
      <c r="R349" s="1">
        <v>1669</v>
      </c>
      <c r="S349" s="1">
        <v>1115</v>
      </c>
      <c r="T349" s="1">
        <v>1323</v>
      </c>
      <c r="U349" s="1">
        <v>1371</v>
      </c>
      <c r="V349" s="1">
        <v>3912</v>
      </c>
      <c r="W349" s="1">
        <v>3137</v>
      </c>
      <c r="X349" s="1">
        <v>1842</v>
      </c>
      <c r="Y349" s="1">
        <v>1816</v>
      </c>
      <c r="Z349" s="1">
        <v>1823</v>
      </c>
      <c r="AA349" s="1">
        <v>2814</v>
      </c>
      <c r="AB349" s="24">
        <f t="shared" si="16"/>
        <v>22866</v>
      </c>
      <c r="AC349" s="23">
        <v>1870.6</v>
      </c>
      <c r="AD349" s="1">
        <v>73</v>
      </c>
      <c r="AE349" s="1">
        <v>1308.1999999999998</v>
      </c>
      <c r="AF349" s="1">
        <v>899</v>
      </c>
      <c r="AG349" s="1">
        <v>1943</v>
      </c>
      <c r="AH349" s="1">
        <v>139.6</v>
      </c>
      <c r="AI349" s="1">
        <v>2824.4</v>
      </c>
      <c r="AJ349" s="1">
        <v>12971.1</v>
      </c>
      <c r="AK349" s="1">
        <v>2490.4</v>
      </c>
      <c r="AL349" s="1">
        <v>24133.4</v>
      </c>
      <c r="AM349" s="1">
        <v>15444.599999999999</v>
      </c>
      <c r="AN349" s="1">
        <v>8461.2999999999993</v>
      </c>
      <c r="AO349" s="24">
        <f t="shared" si="17"/>
        <v>72558.600000000006</v>
      </c>
    </row>
    <row r="350" spans="1:41" ht="17.25" customHeight="1" x14ac:dyDescent="0.45">
      <c r="A350" s="12" t="s">
        <v>13</v>
      </c>
      <c r="B350" s="12" t="s">
        <v>39</v>
      </c>
      <c r="C350" s="25">
        <v>9</v>
      </c>
      <c r="D350" s="10">
        <v>8</v>
      </c>
      <c r="E350" s="10">
        <v>9</v>
      </c>
      <c r="F350" s="10">
        <v>13</v>
      </c>
      <c r="G350" s="10">
        <v>17</v>
      </c>
      <c r="H350" s="10">
        <v>12</v>
      </c>
      <c r="I350" s="10">
        <v>14</v>
      </c>
      <c r="J350" s="10">
        <v>12</v>
      </c>
      <c r="K350" s="10">
        <v>9</v>
      </c>
      <c r="L350" s="10">
        <v>8</v>
      </c>
      <c r="M350" s="10">
        <v>37</v>
      </c>
      <c r="N350" s="10">
        <v>40</v>
      </c>
      <c r="O350" s="26">
        <f t="shared" si="15"/>
        <v>188</v>
      </c>
      <c r="P350" s="25">
        <v>1244</v>
      </c>
      <c r="Q350" s="10">
        <v>1310</v>
      </c>
      <c r="R350" s="10">
        <v>1649</v>
      </c>
      <c r="S350" s="10">
        <v>2063</v>
      </c>
      <c r="T350" s="10">
        <v>2316</v>
      </c>
      <c r="U350" s="10">
        <v>1832</v>
      </c>
      <c r="V350" s="10">
        <v>2300</v>
      </c>
      <c r="W350" s="10">
        <v>2008</v>
      </c>
      <c r="X350" s="10">
        <v>1507</v>
      </c>
      <c r="Y350" s="10">
        <v>1413</v>
      </c>
      <c r="Z350" s="10">
        <v>4136</v>
      </c>
      <c r="AA350" s="10">
        <v>5616</v>
      </c>
      <c r="AB350" s="26">
        <f t="shared" si="16"/>
        <v>27394</v>
      </c>
      <c r="AC350" s="25">
        <v>0</v>
      </c>
      <c r="AD350" s="10">
        <v>0</v>
      </c>
      <c r="AE350" s="10">
        <v>0</v>
      </c>
      <c r="AF350" s="10">
        <v>0</v>
      </c>
      <c r="AG350" s="10">
        <v>0</v>
      </c>
      <c r="AH350" s="10">
        <v>0</v>
      </c>
      <c r="AI350" s="10">
        <v>0</v>
      </c>
      <c r="AJ350" s="10">
        <v>0</v>
      </c>
      <c r="AK350" s="10">
        <v>0</v>
      </c>
      <c r="AL350" s="10">
        <v>0</v>
      </c>
      <c r="AM350" s="10">
        <v>0</v>
      </c>
      <c r="AN350" s="10">
        <v>0</v>
      </c>
      <c r="AO350" s="26">
        <f t="shared" si="17"/>
        <v>0</v>
      </c>
    </row>
    <row r="351" spans="1:41" ht="17.25" customHeight="1" x14ac:dyDescent="0.45">
      <c r="A351" s="2" t="s">
        <v>13</v>
      </c>
      <c r="B351" s="2" t="s">
        <v>57</v>
      </c>
      <c r="C351" s="23">
        <v>23</v>
      </c>
      <c r="D351" s="1">
        <v>24</v>
      </c>
      <c r="E351" s="1">
        <v>26</v>
      </c>
      <c r="F351" s="1">
        <v>25</v>
      </c>
      <c r="G351" s="1">
        <v>24</v>
      </c>
      <c r="H351" s="1">
        <v>23</v>
      </c>
      <c r="I351" s="1">
        <v>27</v>
      </c>
      <c r="J351" s="1">
        <v>27</v>
      </c>
      <c r="K351" s="1">
        <v>62</v>
      </c>
      <c r="L351" s="1">
        <v>74</v>
      </c>
      <c r="M351" s="1">
        <v>66</v>
      </c>
      <c r="N351" s="1">
        <v>39</v>
      </c>
      <c r="O351" s="24">
        <f t="shared" si="15"/>
        <v>440</v>
      </c>
      <c r="P351" s="23">
        <v>137</v>
      </c>
      <c r="Q351" s="1">
        <v>160</v>
      </c>
      <c r="R351" s="1">
        <v>181</v>
      </c>
      <c r="S351" s="1">
        <v>173</v>
      </c>
      <c r="T351" s="1">
        <v>147</v>
      </c>
      <c r="U351" s="1">
        <v>125</v>
      </c>
      <c r="V351" s="1">
        <v>171</v>
      </c>
      <c r="W351" s="1">
        <v>194</v>
      </c>
      <c r="X351" s="1">
        <v>529</v>
      </c>
      <c r="Y351" s="1">
        <v>616</v>
      </c>
      <c r="Z351" s="1">
        <v>451</v>
      </c>
      <c r="AA351" s="1">
        <v>287</v>
      </c>
      <c r="AB351" s="24">
        <f t="shared" si="16"/>
        <v>3171</v>
      </c>
      <c r="AC351" s="23">
        <v>0</v>
      </c>
      <c r="AD351" s="1">
        <v>0</v>
      </c>
      <c r="AE351" s="1">
        <v>0</v>
      </c>
      <c r="AF351" s="1">
        <v>0</v>
      </c>
      <c r="AG351" s="1">
        <v>0</v>
      </c>
      <c r="AH351" s="1">
        <v>0</v>
      </c>
      <c r="AI351" s="1">
        <v>0</v>
      </c>
      <c r="AJ351" s="1">
        <v>0</v>
      </c>
      <c r="AK351" s="1">
        <v>0</v>
      </c>
      <c r="AL351" s="1">
        <v>0</v>
      </c>
      <c r="AM351" s="1">
        <v>0</v>
      </c>
      <c r="AN351" s="1">
        <v>0</v>
      </c>
      <c r="AO351" s="24">
        <f t="shared" si="17"/>
        <v>0</v>
      </c>
    </row>
    <row r="352" spans="1:41" ht="17.25" customHeight="1" x14ac:dyDescent="0.45">
      <c r="A352" s="12" t="s">
        <v>13</v>
      </c>
      <c r="B352" s="12" t="s">
        <v>40</v>
      </c>
      <c r="C352" s="25">
        <v>40</v>
      </c>
      <c r="D352" s="10">
        <v>36</v>
      </c>
      <c r="E352" s="10">
        <v>56</v>
      </c>
      <c r="F352" s="10">
        <v>49</v>
      </c>
      <c r="G352" s="10">
        <v>52</v>
      </c>
      <c r="H352" s="10">
        <v>50</v>
      </c>
      <c r="I352" s="10">
        <v>59</v>
      </c>
      <c r="J352" s="10">
        <v>54</v>
      </c>
      <c r="K352" s="10">
        <v>44</v>
      </c>
      <c r="L352" s="10">
        <v>43</v>
      </c>
      <c r="M352" s="10">
        <v>48</v>
      </c>
      <c r="N352" s="10">
        <v>47</v>
      </c>
      <c r="O352" s="26">
        <f t="shared" si="15"/>
        <v>578</v>
      </c>
      <c r="P352" s="25">
        <v>5013</v>
      </c>
      <c r="Q352" s="10">
        <v>5830</v>
      </c>
      <c r="R352" s="10">
        <v>8267</v>
      </c>
      <c r="S352" s="10">
        <v>6933</v>
      </c>
      <c r="T352" s="10">
        <v>7967</v>
      </c>
      <c r="U352" s="10">
        <v>8384</v>
      </c>
      <c r="V352" s="10">
        <v>10353</v>
      </c>
      <c r="W352" s="10">
        <v>8770</v>
      </c>
      <c r="X352" s="10">
        <v>6922</v>
      </c>
      <c r="Y352" s="10">
        <v>6329</v>
      </c>
      <c r="Z352" s="10">
        <v>6595</v>
      </c>
      <c r="AA352" s="10">
        <v>7224</v>
      </c>
      <c r="AB352" s="26">
        <f t="shared" si="16"/>
        <v>88587</v>
      </c>
      <c r="AC352" s="25">
        <v>0</v>
      </c>
      <c r="AD352" s="10">
        <v>0</v>
      </c>
      <c r="AE352" s="10">
        <v>0</v>
      </c>
      <c r="AF352" s="10">
        <v>0</v>
      </c>
      <c r="AG352" s="10">
        <v>0</v>
      </c>
      <c r="AH352" s="10">
        <v>0</v>
      </c>
      <c r="AI352" s="10">
        <v>0</v>
      </c>
      <c r="AJ352" s="10">
        <v>0</v>
      </c>
      <c r="AK352" s="10">
        <v>0</v>
      </c>
      <c r="AL352" s="10">
        <v>0</v>
      </c>
      <c r="AM352" s="10">
        <v>0</v>
      </c>
      <c r="AN352" s="10">
        <v>0</v>
      </c>
      <c r="AO352" s="26">
        <f t="shared" si="17"/>
        <v>0</v>
      </c>
    </row>
    <row r="353" spans="1:41" ht="17.25" customHeight="1" x14ac:dyDescent="0.45">
      <c r="A353" s="2" t="s">
        <v>13</v>
      </c>
      <c r="B353" s="2" t="s">
        <v>23</v>
      </c>
      <c r="C353" s="23">
        <v>72</v>
      </c>
      <c r="D353" s="1">
        <v>58</v>
      </c>
      <c r="E353" s="1">
        <v>66</v>
      </c>
      <c r="F353" s="1">
        <v>69</v>
      </c>
      <c r="G353" s="1">
        <v>78</v>
      </c>
      <c r="H353" s="1">
        <v>65</v>
      </c>
      <c r="I353" s="1">
        <v>91</v>
      </c>
      <c r="J353" s="1">
        <v>93</v>
      </c>
      <c r="K353" s="1">
        <v>69</v>
      </c>
      <c r="L353" s="1">
        <v>68</v>
      </c>
      <c r="M353" s="1">
        <v>81</v>
      </c>
      <c r="N353" s="1">
        <v>88</v>
      </c>
      <c r="O353" s="24">
        <f t="shared" si="15"/>
        <v>898</v>
      </c>
      <c r="P353" s="23">
        <v>13542</v>
      </c>
      <c r="Q353" s="1">
        <v>11995</v>
      </c>
      <c r="R353" s="1">
        <v>14017</v>
      </c>
      <c r="S353" s="1">
        <v>11948</v>
      </c>
      <c r="T353" s="1">
        <v>13468</v>
      </c>
      <c r="U353" s="1">
        <v>11647</v>
      </c>
      <c r="V353" s="1">
        <v>16921</v>
      </c>
      <c r="W353" s="1">
        <v>16148</v>
      </c>
      <c r="X353" s="1">
        <v>12082</v>
      </c>
      <c r="Y353" s="1">
        <v>12178</v>
      </c>
      <c r="Z353" s="1">
        <v>13808</v>
      </c>
      <c r="AA353" s="1">
        <v>14802</v>
      </c>
      <c r="AB353" s="24">
        <f t="shared" si="16"/>
        <v>162556</v>
      </c>
      <c r="AC353" s="23">
        <v>3458.6000000000004</v>
      </c>
      <c r="AD353" s="1">
        <v>2393.5</v>
      </c>
      <c r="AE353" s="1">
        <v>2576.1</v>
      </c>
      <c r="AF353" s="1">
        <v>5130.7000000000007</v>
      </c>
      <c r="AG353" s="1">
        <v>5292.4</v>
      </c>
      <c r="AH353" s="1">
        <v>4610.2</v>
      </c>
      <c r="AI353" s="1">
        <v>3265</v>
      </c>
      <c r="AJ353" s="1">
        <v>3722.8</v>
      </c>
      <c r="AK353" s="1">
        <v>4949.5999999999995</v>
      </c>
      <c r="AL353" s="1">
        <v>8239.7000000000007</v>
      </c>
      <c r="AM353" s="1">
        <v>5220</v>
      </c>
      <c r="AN353" s="1">
        <v>4891</v>
      </c>
      <c r="AO353" s="24">
        <f t="shared" si="17"/>
        <v>53749.600000000006</v>
      </c>
    </row>
    <row r="354" spans="1:41" ht="17.25" customHeight="1" x14ac:dyDescent="0.45">
      <c r="A354" s="12" t="s">
        <v>13</v>
      </c>
      <c r="B354" s="12" t="s">
        <v>24</v>
      </c>
      <c r="C354" s="25">
        <v>15</v>
      </c>
      <c r="D354" s="10">
        <v>13</v>
      </c>
      <c r="E354" s="10">
        <v>12</v>
      </c>
      <c r="F354" s="10">
        <v>15</v>
      </c>
      <c r="G354" s="10">
        <v>18</v>
      </c>
      <c r="H354" s="10">
        <v>13</v>
      </c>
      <c r="I354" s="10">
        <v>22</v>
      </c>
      <c r="J354" s="10">
        <v>21</v>
      </c>
      <c r="K354" s="10">
        <v>17</v>
      </c>
      <c r="L354" s="10">
        <v>17</v>
      </c>
      <c r="M354" s="10">
        <v>46</v>
      </c>
      <c r="N354" s="10">
        <v>49</v>
      </c>
      <c r="O354" s="26">
        <f t="shared" si="15"/>
        <v>258</v>
      </c>
      <c r="P354" s="25">
        <v>3249</v>
      </c>
      <c r="Q354" s="10">
        <v>2444</v>
      </c>
      <c r="R354" s="10">
        <v>2094</v>
      </c>
      <c r="S354" s="10">
        <v>3160</v>
      </c>
      <c r="T354" s="10">
        <v>3738</v>
      </c>
      <c r="U354" s="10">
        <v>2525</v>
      </c>
      <c r="V354" s="10">
        <v>3629</v>
      </c>
      <c r="W354" s="10">
        <v>3605</v>
      </c>
      <c r="X354" s="10">
        <v>2926</v>
      </c>
      <c r="Y354" s="10">
        <v>2833</v>
      </c>
      <c r="Z354" s="10">
        <v>8246</v>
      </c>
      <c r="AA354" s="10">
        <v>7931</v>
      </c>
      <c r="AB354" s="26">
        <f t="shared" si="16"/>
        <v>46380</v>
      </c>
      <c r="AC354" s="25">
        <v>0</v>
      </c>
      <c r="AD354" s="10">
        <v>0</v>
      </c>
      <c r="AE354" s="10">
        <v>0</v>
      </c>
      <c r="AF354" s="10">
        <v>0</v>
      </c>
      <c r="AG354" s="10">
        <v>0</v>
      </c>
      <c r="AH354" s="10">
        <v>0</v>
      </c>
      <c r="AI354" s="10">
        <v>0</v>
      </c>
      <c r="AJ354" s="10">
        <v>5487</v>
      </c>
      <c r="AK354" s="10">
        <v>16261.8</v>
      </c>
      <c r="AL354" s="10">
        <v>17475.2</v>
      </c>
      <c r="AM354" s="10">
        <v>11614.9</v>
      </c>
      <c r="AN354" s="10">
        <v>2526.3999999999996</v>
      </c>
      <c r="AO354" s="26">
        <f t="shared" si="17"/>
        <v>53365.3</v>
      </c>
    </row>
    <row r="355" spans="1:41" ht="17.25" customHeight="1" x14ac:dyDescent="0.45">
      <c r="A355" s="2" t="s">
        <v>13</v>
      </c>
      <c r="B355" s="2" t="s">
        <v>12</v>
      </c>
      <c r="C355" s="23">
        <v>748</v>
      </c>
      <c r="D355" s="1">
        <v>729</v>
      </c>
      <c r="E355" s="1">
        <v>776</v>
      </c>
      <c r="F355" s="1">
        <v>775</v>
      </c>
      <c r="G355" s="1">
        <v>802</v>
      </c>
      <c r="H355" s="1">
        <v>757</v>
      </c>
      <c r="I355" s="1">
        <v>774</v>
      </c>
      <c r="J355" s="1">
        <v>779</v>
      </c>
      <c r="K355" s="1">
        <v>737</v>
      </c>
      <c r="L355" s="1">
        <v>776</v>
      </c>
      <c r="M355" s="1">
        <v>746</v>
      </c>
      <c r="N355" s="1">
        <v>715</v>
      </c>
      <c r="O355" s="24">
        <f t="shared" si="15"/>
        <v>9114</v>
      </c>
      <c r="P355" s="23">
        <v>114215</v>
      </c>
      <c r="Q355" s="1">
        <v>122205</v>
      </c>
      <c r="R355" s="1">
        <v>127173</v>
      </c>
      <c r="S355" s="1">
        <v>125112</v>
      </c>
      <c r="T355" s="1">
        <v>127376</v>
      </c>
      <c r="U355" s="1">
        <v>121630</v>
      </c>
      <c r="V355" s="1">
        <v>128998</v>
      </c>
      <c r="W355" s="1">
        <v>128777</v>
      </c>
      <c r="X355" s="1">
        <v>120704</v>
      </c>
      <c r="Y355" s="1">
        <v>128514</v>
      </c>
      <c r="Z355" s="1">
        <v>123212</v>
      </c>
      <c r="AA355" s="1">
        <v>123951</v>
      </c>
      <c r="AB355" s="24">
        <f t="shared" si="16"/>
        <v>1491867</v>
      </c>
      <c r="AC355" s="23">
        <v>214137.5</v>
      </c>
      <c r="AD355" s="1">
        <v>208023.8</v>
      </c>
      <c r="AE355" s="1">
        <v>200662.09999999998</v>
      </c>
      <c r="AF355" s="1">
        <v>319222.5</v>
      </c>
      <c r="AG355" s="1">
        <v>416732.1</v>
      </c>
      <c r="AH355" s="1">
        <v>412978</v>
      </c>
      <c r="AI355" s="1">
        <v>440588.6</v>
      </c>
      <c r="AJ355" s="1">
        <v>476844.50999999995</v>
      </c>
      <c r="AK355" s="1">
        <v>432830.4</v>
      </c>
      <c r="AL355" s="1">
        <v>491729.19999999995</v>
      </c>
      <c r="AM355" s="1">
        <v>437313.8000000001</v>
      </c>
      <c r="AN355" s="1">
        <v>428819.09999999992</v>
      </c>
      <c r="AO355" s="24">
        <f t="shared" si="17"/>
        <v>4479881.6100000003</v>
      </c>
    </row>
    <row r="356" spans="1:41" ht="17.25" customHeight="1" x14ac:dyDescent="0.45">
      <c r="A356" s="12" t="s">
        <v>13</v>
      </c>
      <c r="B356" s="12" t="s">
        <v>25</v>
      </c>
      <c r="C356" s="25">
        <v>11</v>
      </c>
      <c r="D356" s="10">
        <v>8</v>
      </c>
      <c r="E356" s="10">
        <v>9</v>
      </c>
      <c r="F356" s="10">
        <v>13</v>
      </c>
      <c r="G356" s="10">
        <v>14</v>
      </c>
      <c r="H356" s="10">
        <v>13</v>
      </c>
      <c r="I356" s="10">
        <v>13</v>
      </c>
      <c r="J356" s="10">
        <v>13</v>
      </c>
      <c r="K356" s="10">
        <v>9</v>
      </c>
      <c r="L356" s="10">
        <v>8</v>
      </c>
      <c r="M356" s="10">
        <v>41</v>
      </c>
      <c r="N356" s="10">
        <v>45</v>
      </c>
      <c r="O356" s="26">
        <f t="shared" si="15"/>
        <v>197</v>
      </c>
      <c r="P356" s="25">
        <v>1261</v>
      </c>
      <c r="Q356" s="10">
        <v>1198</v>
      </c>
      <c r="R356" s="10">
        <v>1642</v>
      </c>
      <c r="S356" s="10">
        <v>1746</v>
      </c>
      <c r="T356" s="10">
        <v>1960</v>
      </c>
      <c r="U356" s="10">
        <v>1885</v>
      </c>
      <c r="V356" s="10">
        <v>2121</v>
      </c>
      <c r="W356" s="10">
        <v>2037</v>
      </c>
      <c r="X356" s="10">
        <v>1551</v>
      </c>
      <c r="Y356" s="10">
        <v>1274</v>
      </c>
      <c r="Z356" s="10">
        <v>5359</v>
      </c>
      <c r="AA356" s="10">
        <v>7054</v>
      </c>
      <c r="AB356" s="26">
        <f t="shared" si="16"/>
        <v>29088</v>
      </c>
      <c r="AC356" s="25">
        <v>0</v>
      </c>
      <c r="AD356" s="10">
        <v>0</v>
      </c>
      <c r="AE356" s="10">
        <v>0</v>
      </c>
      <c r="AF356" s="10">
        <v>0</v>
      </c>
      <c r="AG356" s="10">
        <v>0</v>
      </c>
      <c r="AH356" s="10">
        <v>0</v>
      </c>
      <c r="AI356" s="10">
        <v>0</v>
      </c>
      <c r="AJ356" s="10">
        <v>0</v>
      </c>
      <c r="AK356" s="10">
        <v>0</v>
      </c>
      <c r="AL356" s="10">
        <v>0</v>
      </c>
      <c r="AM356" s="10">
        <v>0</v>
      </c>
      <c r="AN356" s="10">
        <v>0</v>
      </c>
      <c r="AO356" s="26">
        <f t="shared" si="17"/>
        <v>0</v>
      </c>
    </row>
    <row r="357" spans="1:41" ht="17.25" customHeight="1" x14ac:dyDescent="0.45">
      <c r="A357" s="2" t="s">
        <v>13</v>
      </c>
      <c r="B357" s="2" t="s">
        <v>26</v>
      </c>
      <c r="C357" s="23">
        <v>16</v>
      </c>
      <c r="D357" s="1">
        <v>13</v>
      </c>
      <c r="E357" s="1">
        <v>22</v>
      </c>
      <c r="F357" s="1">
        <v>17</v>
      </c>
      <c r="G357" s="1">
        <v>16</v>
      </c>
      <c r="H357" s="1">
        <v>16</v>
      </c>
      <c r="I357" s="1">
        <v>22</v>
      </c>
      <c r="J357" s="1">
        <v>21</v>
      </c>
      <c r="K357" s="1">
        <v>37</v>
      </c>
      <c r="L357" s="1">
        <v>41</v>
      </c>
      <c r="M357" s="1">
        <v>48</v>
      </c>
      <c r="N357" s="1">
        <v>49</v>
      </c>
      <c r="O357" s="24">
        <f t="shared" si="15"/>
        <v>318</v>
      </c>
      <c r="P357" s="23">
        <v>2289</v>
      </c>
      <c r="Q357" s="1">
        <v>2097</v>
      </c>
      <c r="R357" s="1">
        <v>3468</v>
      </c>
      <c r="S357" s="1">
        <v>2484</v>
      </c>
      <c r="T357" s="1">
        <v>2208</v>
      </c>
      <c r="U357" s="1">
        <v>2522</v>
      </c>
      <c r="V357" s="1">
        <v>4168</v>
      </c>
      <c r="W357" s="1">
        <v>3329</v>
      </c>
      <c r="X357" s="1">
        <v>3562</v>
      </c>
      <c r="Y357" s="1">
        <v>4289</v>
      </c>
      <c r="Z357" s="1">
        <v>6818</v>
      </c>
      <c r="AA357" s="1">
        <v>8082</v>
      </c>
      <c r="AB357" s="24">
        <f t="shared" si="16"/>
        <v>45316</v>
      </c>
      <c r="AC357" s="23">
        <v>296.5</v>
      </c>
      <c r="AD357" s="1">
        <v>666</v>
      </c>
      <c r="AE357" s="1">
        <v>5</v>
      </c>
      <c r="AF357" s="1">
        <v>112</v>
      </c>
      <c r="AG357" s="1">
        <v>0</v>
      </c>
      <c r="AH357" s="1">
        <v>0</v>
      </c>
      <c r="AI357" s="1">
        <v>0</v>
      </c>
      <c r="AJ357" s="1">
        <v>115</v>
      </c>
      <c r="AK357" s="1">
        <v>0</v>
      </c>
      <c r="AL357" s="1">
        <v>0</v>
      </c>
      <c r="AM357" s="1">
        <v>36.9</v>
      </c>
      <c r="AN357" s="1">
        <v>565.4</v>
      </c>
      <c r="AO357" s="24">
        <f t="shared" si="17"/>
        <v>1796.8000000000002</v>
      </c>
    </row>
    <row r="358" spans="1:41" ht="17.25" customHeight="1" x14ac:dyDescent="0.45">
      <c r="A358" s="12" t="s">
        <v>13</v>
      </c>
      <c r="B358" s="12" t="s">
        <v>27</v>
      </c>
      <c r="C358" s="25">
        <v>48</v>
      </c>
      <c r="D358" s="10">
        <v>40</v>
      </c>
      <c r="E358" s="10">
        <v>51</v>
      </c>
      <c r="F358" s="10">
        <v>60</v>
      </c>
      <c r="G358" s="10">
        <v>61</v>
      </c>
      <c r="H358" s="10">
        <v>58</v>
      </c>
      <c r="I358" s="10">
        <v>62</v>
      </c>
      <c r="J358" s="10">
        <v>59</v>
      </c>
      <c r="K358" s="10">
        <v>52</v>
      </c>
      <c r="L358" s="10">
        <v>50</v>
      </c>
      <c r="M358" s="10">
        <v>51</v>
      </c>
      <c r="N358" s="10">
        <v>60</v>
      </c>
      <c r="O358" s="26">
        <f t="shared" si="15"/>
        <v>652</v>
      </c>
      <c r="P358" s="25">
        <v>7742</v>
      </c>
      <c r="Q358" s="10">
        <v>6871</v>
      </c>
      <c r="R358" s="10">
        <v>8066</v>
      </c>
      <c r="S358" s="10">
        <v>9025</v>
      </c>
      <c r="T358" s="10">
        <v>9434</v>
      </c>
      <c r="U358" s="10">
        <v>9323</v>
      </c>
      <c r="V358" s="10">
        <v>10190</v>
      </c>
      <c r="W358" s="10">
        <v>9774</v>
      </c>
      <c r="X358" s="10">
        <v>8796</v>
      </c>
      <c r="Y358" s="10">
        <v>8404</v>
      </c>
      <c r="Z358" s="10">
        <v>9520</v>
      </c>
      <c r="AA358" s="10">
        <v>11298</v>
      </c>
      <c r="AB358" s="26">
        <f t="shared" si="16"/>
        <v>108443</v>
      </c>
      <c r="AC358" s="25">
        <v>8.4</v>
      </c>
      <c r="AD358" s="10">
        <v>0</v>
      </c>
      <c r="AE358" s="10">
        <v>0</v>
      </c>
      <c r="AF358" s="10">
        <v>0</v>
      </c>
      <c r="AG358" s="10">
        <v>0</v>
      </c>
      <c r="AH358" s="10">
        <v>0</v>
      </c>
      <c r="AI358" s="10">
        <v>0</v>
      </c>
      <c r="AJ358" s="10">
        <v>0</v>
      </c>
      <c r="AK358" s="10">
        <v>0</v>
      </c>
      <c r="AL358" s="10">
        <v>0</v>
      </c>
      <c r="AM358" s="10">
        <v>0</v>
      </c>
      <c r="AN358" s="10">
        <v>0</v>
      </c>
      <c r="AO358" s="26">
        <f t="shared" si="17"/>
        <v>8.4</v>
      </c>
    </row>
    <row r="359" spans="1:41" ht="17.25" customHeight="1" x14ac:dyDescent="0.45">
      <c r="A359" s="2" t="s">
        <v>13</v>
      </c>
      <c r="B359" s="2" t="s">
        <v>49</v>
      </c>
      <c r="C359" s="23">
        <v>11</v>
      </c>
      <c r="D359" s="1">
        <v>8</v>
      </c>
      <c r="E359" s="1">
        <v>10</v>
      </c>
      <c r="F359" s="1">
        <v>9</v>
      </c>
      <c r="G359" s="1">
        <v>9</v>
      </c>
      <c r="H359" s="1">
        <v>8</v>
      </c>
      <c r="I359" s="1">
        <v>14</v>
      </c>
      <c r="J359" s="1">
        <v>13</v>
      </c>
      <c r="K359" s="1">
        <v>9</v>
      </c>
      <c r="L359" s="1">
        <v>8</v>
      </c>
      <c r="M359" s="1">
        <v>9</v>
      </c>
      <c r="N359" s="1">
        <v>9</v>
      </c>
      <c r="O359" s="24">
        <f t="shared" si="15"/>
        <v>117</v>
      </c>
      <c r="P359" s="23">
        <v>1548</v>
      </c>
      <c r="Q359" s="1">
        <v>1165</v>
      </c>
      <c r="R359" s="1">
        <v>1616</v>
      </c>
      <c r="S359" s="1">
        <v>1452</v>
      </c>
      <c r="T359" s="1">
        <v>1569</v>
      </c>
      <c r="U359" s="1">
        <v>1411</v>
      </c>
      <c r="V359" s="1">
        <v>2405</v>
      </c>
      <c r="W359" s="1">
        <v>2228</v>
      </c>
      <c r="X359" s="1">
        <v>1437</v>
      </c>
      <c r="Y359" s="1">
        <v>1369</v>
      </c>
      <c r="Z359" s="1">
        <v>1390</v>
      </c>
      <c r="AA359" s="1">
        <v>1626</v>
      </c>
      <c r="AB359" s="24">
        <f t="shared" si="16"/>
        <v>19216</v>
      </c>
      <c r="AC359" s="23">
        <v>0</v>
      </c>
      <c r="AD359" s="1">
        <v>0</v>
      </c>
      <c r="AE359" s="1">
        <v>0</v>
      </c>
      <c r="AF359" s="1">
        <v>0</v>
      </c>
      <c r="AG359" s="1">
        <v>0</v>
      </c>
      <c r="AH359" s="1">
        <v>0</v>
      </c>
      <c r="AI359" s="1">
        <v>0</v>
      </c>
      <c r="AJ359" s="1">
        <v>0</v>
      </c>
      <c r="AK359" s="1">
        <v>0</v>
      </c>
      <c r="AL359" s="1">
        <v>0</v>
      </c>
      <c r="AM359" s="1">
        <v>0</v>
      </c>
      <c r="AN359" s="1">
        <v>0</v>
      </c>
      <c r="AO359" s="24">
        <f t="shared" si="17"/>
        <v>0</v>
      </c>
    </row>
    <row r="360" spans="1:41" ht="17.25" customHeight="1" x14ac:dyDescent="0.45">
      <c r="A360" s="12" t="s">
        <v>13</v>
      </c>
      <c r="B360" s="12" t="s">
        <v>17</v>
      </c>
      <c r="C360" s="25">
        <v>57</v>
      </c>
      <c r="D360" s="10">
        <v>41</v>
      </c>
      <c r="E360" s="10">
        <v>64</v>
      </c>
      <c r="F360" s="10">
        <v>80</v>
      </c>
      <c r="G360" s="10">
        <v>94</v>
      </c>
      <c r="H360" s="10">
        <v>91</v>
      </c>
      <c r="I360" s="10">
        <v>137</v>
      </c>
      <c r="J360" s="10">
        <v>129</v>
      </c>
      <c r="K360" s="10">
        <v>73</v>
      </c>
      <c r="L360" s="10">
        <v>72</v>
      </c>
      <c r="M360" s="10">
        <v>75</v>
      </c>
      <c r="N360" s="10">
        <v>73</v>
      </c>
      <c r="O360" s="26">
        <f t="shared" si="15"/>
        <v>986</v>
      </c>
      <c r="P360" s="25">
        <v>6974</v>
      </c>
      <c r="Q360" s="10">
        <v>6068</v>
      </c>
      <c r="R360" s="10">
        <v>10034</v>
      </c>
      <c r="S360" s="10">
        <v>10880</v>
      </c>
      <c r="T360" s="10">
        <v>13476</v>
      </c>
      <c r="U360" s="10">
        <v>15406</v>
      </c>
      <c r="V360" s="10">
        <v>26311</v>
      </c>
      <c r="W360" s="10">
        <v>20600</v>
      </c>
      <c r="X360" s="10">
        <v>11503</v>
      </c>
      <c r="Y360" s="10">
        <v>11441</v>
      </c>
      <c r="Z360" s="10">
        <v>12102</v>
      </c>
      <c r="AA360" s="10">
        <v>11747</v>
      </c>
      <c r="AB360" s="26">
        <f t="shared" si="16"/>
        <v>156542</v>
      </c>
      <c r="AC360" s="25">
        <v>0</v>
      </c>
      <c r="AD360" s="10">
        <v>0</v>
      </c>
      <c r="AE360" s="10">
        <v>0</v>
      </c>
      <c r="AF360" s="10">
        <v>0</v>
      </c>
      <c r="AG360" s="10">
        <v>0</v>
      </c>
      <c r="AH360" s="10">
        <v>0</v>
      </c>
      <c r="AI360" s="10">
        <v>0</v>
      </c>
      <c r="AJ360" s="10">
        <v>0</v>
      </c>
      <c r="AK360" s="10">
        <v>0</v>
      </c>
      <c r="AL360" s="10">
        <v>0</v>
      </c>
      <c r="AM360" s="10">
        <v>0</v>
      </c>
      <c r="AN360" s="10">
        <v>0</v>
      </c>
      <c r="AO360" s="26">
        <f t="shared" si="17"/>
        <v>0</v>
      </c>
    </row>
    <row r="361" spans="1:41" ht="17.25" customHeight="1" x14ac:dyDescent="0.45">
      <c r="A361" s="2" t="s">
        <v>13</v>
      </c>
      <c r="B361" s="2" t="s">
        <v>28</v>
      </c>
      <c r="C361" s="23">
        <v>103</v>
      </c>
      <c r="D361" s="1">
        <v>95</v>
      </c>
      <c r="E361" s="1">
        <v>99</v>
      </c>
      <c r="F361" s="1">
        <v>130</v>
      </c>
      <c r="G361" s="1">
        <v>140</v>
      </c>
      <c r="H361" s="1">
        <v>131</v>
      </c>
      <c r="I361" s="1">
        <v>158</v>
      </c>
      <c r="J361" s="1">
        <v>157</v>
      </c>
      <c r="K361" s="1">
        <v>148</v>
      </c>
      <c r="L361" s="1">
        <v>151</v>
      </c>
      <c r="M361" s="1">
        <v>222</v>
      </c>
      <c r="N361" s="1">
        <v>225</v>
      </c>
      <c r="O361" s="24">
        <f t="shared" si="15"/>
        <v>1759</v>
      </c>
      <c r="P361" s="23">
        <v>12598</v>
      </c>
      <c r="Q361" s="1">
        <v>11928</v>
      </c>
      <c r="R361" s="1">
        <v>13392</v>
      </c>
      <c r="S361" s="1">
        <v>16130</v>
      </c>
      <c r="T361" s="1">
        <v>17624</v>
      </c>
      <c r="U361" s="1">
        <v>16469</v>
      </c>
      <c r="V361" s="1">
        <v>18277</v>
      </c>
      <c r="W361" s="1">
        <v>18077</v>
      </c>
      <c r="X361" s="1">
        <v>17722</v>
      </c>
      <c r="Y361" s="1">
        <v>18928</v>
      </c>
      <c r="Z361" s="1">
        <v>26407</v>
      </c>
      <c r="AA361" s="1">
        <v>29648</v>
      </c>
      <c r="AB361" s="24">
        <f t="shared" si="16"/>
        <v>217200</v>
      </c>
      <c r="AC361" s="23">
        <v>35</v>
      </c>
      <c r="AD361" s="1">
        <v>0</v>
      </c>
      <c r="AE361" s="1">
        <v>0</v>
      </c>
      <c r="AF361" s="1">
        <v>0</v>
      </c>
      <c r="AG361" s="1">
        <v>0</v>
      </c>
      <c r="AH361" s="1">
        <v>0</v>
      </c>
      <c r="AI361" s="1">
        <v>200</v>
      </c>
      <c r="AJ361" s="1">
        <v>621</v>
      </c>
      <c r="AK361" s="1">
        <v>209</v>
      </c>
      <c r="AL361" s="1">
        <v>323</v>
      </c>
      <c r="AM361" s="1">
        <v>313.8</v>
      </c>
      <c r="AN361" s="1">
        <v>855</v>
      </c>
      <c r="AO361" s="24">
        <f t="shared" si="17"/>
        <v>2556.8000000000002</v>
      </c>
    </row>
    <row r="362" spans="1:41" ht="17.25" customHeight="1" x14ac:dyDescent="0.45">
      <c r="A362" s="12" t="s">
        <v>13</v>
      </c>
      <c r="B362" s="12" t="s">
        <v>48</v>
      </c>
      <c r="C362" s="25">
        <v>37</v>
      </c>
      <c r="D362" s="10">
        <v>29</v>
      </c>
      <c r="E362" s="10">
        <v>35</v>
      </c>
      <c r="F362" s="10">
        <v>38</v>
      </c>
      <c r="G362" s="10">
        <v>49</v>
      </c>
      <c r="H362" s="10">
        <v>53</v>
      </c>
      <c r="I362" s="10">
        <v>77</v>
      </c>
      <c r="J362" s="10">
        <v>64</v>
      </c>
      <c r="K362" s="10">
        <v>43</v>
      </c>
      <c r="L362" s="10">
        <v>39</v>
      </c>
      <c r="M362" s="10">
        <v>44</v>
      </c>
      <c r="N362" s="10">
        <v>46</v>
      </c>
      <c r="O362" s="26">
        <f t="shared" si="15"/>
        <v>554</v>
      </c>
      <c r="P362" s="25">
        <v>6768</v>
      </c>
      <c r="Q362" s="10">
        <v>5319</v>
      </c>
      <c r="R362" s="10">
        <v>5951</v>
      </c>
      <c r="S362" s="10">
        <v>5655</v>
      </c>
      <c r="T362" s="10">
        <v>7662</v>
      </c>
      <c r="U362" s="10">
        <v>7993</v>
      </c>
      <c r="V362" s="10">
        <v>14266</v>
      </c>
      <c r="W362" s="10">
        <v>10809</v>
      </c>
      <c r="X362" s="10">
        <v>7448</v>
      </c>
      <c r="Y362" s="10">
        <v>7036</v>
      </c>
      <c r="Z362" s="10">
        <v>6758</v>
      </c>
      <c r="AA362" s="10">
        <v>6515</v>
      </c>
      <c r="AB362" s="26">
        <f t="shared" si="16"/>
        <v>92180</v>
      </c>
      <c r="AC362" s="25">
        <v>7376.5</v>
      </c>
      <c r="AD362" s="10">
        <v>10155.9</v>
      </c>
      <c r="AE362" s="10">
        <v>9647.9</v>
      </c>
      <c r="AF362" s="10">
        <v>5470.7000000000007</v>
      </c>
      <c r="AG362" s="10">
        <v>5165.6000000000004</v>
      </c>
      <c r="AH362" s="10">
        <v>681.5</v>
      </c>
      <c r="AI362" s="10">
        <v>8366.7999999999993</v>
      </c>
      <c r="AJ362" s="10">
        <v>3210.7</v>
      </c>
      <c r="AK362" s="10">
        <v>3753.3</v>
      </c>
      <c r="AL362" s="10">
        <v>14301.699999999999</v>
      </c>
      <c r="AM362" s="10">
        <v>6780.0999999999985</v>
      </c>
      <c r="AN362" s="10">
        <v>24244.800000000003</v>
      </c>
      <c r="AO362" s="26">
        <f t="shared" si="17"/>
        <v>99155.500000000015</v>
      </c>
    </row>
    <row r="363" spans="1:41" ht="17.25" customHeight="1" x14ac:dyDescent="0.45">
      <c r="A363" s="2" t="s">
        <v>13</v>
      </c>
      <c r="B363" s="2" t="s">
        <v>30</v>
      </c>
      <c r="C363" s="23">
        <v>39</v>
      </c>
      <c r="D363" s="1">
        <v>65</v>
      </c>
      <c r="E363" s="1">
        <v>69</v>
      </c>
      <c r="F363" s="1">
        <v>72</v>
      </c>
      <c r="G363" s="1">
        <v>62</v>
      </c>
      <c r="H363" s="1">
        <v>60</v>
      </c>
      <c r="I363" s="1">
        <v>72</v>
      </c>
      <c r="J363" s="1">
        <v>72</v>
      </c>
      <c r="K363" s="1">
        <v>67</v>
      </c>
      <c r="L363" s="1">
        <v>63</v>
      </c>
      <c r="M363" s="1">
        <v>65</v>
      </c>
      <c r="N363" s="1">
        <v>65</v>
      </c>
      <c r="O363" s="24">
        <f t="shared" si="15"/>
        <v>771</v>
      </c>
      <c r="P363" s="23">
        <v>81</v>
      </c>
      <c r="Q363" s="1">
        <v>225</v>
      </c>
      <c r="R363" s="1">
        <v>284</v>
      </c>
      <c r="S363" s="1">
        <v>305</v>
      </c>
      <c r="T363" s="1">
        <v>261</v>
      </c>
      <c r="U363" s="1">
        <v>221</v>
      </c>
      <c r="V363" s="1">
        <v>267</v>
      </c>
      <c r="W363" s="1">
        <v>303</v>
      </c>
      <c r="X363" s="1">
        <v>313</v>
      </c>
      <c r="Y363" s="1">
        <v>314</v>
      </c>
      <c r="Z363" s="1">
        <v>292</v>
      </c>
      <c r="AA363" s="1">
        <v>294</v>
      </c>
      <c r="AB363" s="24">
        <f t="shared" si="16"/>
        <v>3160</v>
      </c>
      <c r="AC363" s="23">
        <v>193474</v>
      </c>
      <c r="AD363" s="1">
        <v>188889</v>
      </c>
      <c r="AE363" s="1">
        <v>167650</v>
      </c>
      <c r="AF363" s="1">
        <v>182401</v>
      </c>
      <c r="AG363" s="1">
        <v>160383</v>
      </c>
      <c r="AH363" s="1">
        <v>171606</v>
      </c>
      <c r="AI363" s="1">
        <v>218388</v>
      </c>
      <c r="AJ363" s="1">
        <v>217763</v>
      </c>
      <c r="AK363" s="1">
        <v>192005</v>
      </c>
      <c r="AL363" s="1">
        <v>242248</v>
      </c>
      <c r="AM363" s="1">
        <v>218514</v>
      </c>
      <c r="AN363" s="1">
        <v>189660</v>
      </c>
      <c r="AO363" s="24">
        <f t="shared" si="17"/>
        <v>2342981</v>
      </c>
    </row>
    <row r="364" spans="1:41" ht="17.25" customHeight="1" x14ac:dyDescent="0.45">
      <c r="A364" s="12" t="s">
        <v>13</v>
      </c>
      <c r="B364" s="12" t="s">
        <v>14</v>
      </c>
      <c r="C364" s="25">
        <v>152</v>
      </c>
      <c r="D364" s="10">
        <v>149</v>
      </c>
      <c r="E364" s="10">
        <v>154</v>
      </c>
      <c r="F364" s="10">
        <v>192</v>
      </c>
      <c r="G364" s="10">
        <v>163</v>
      </c>
      <c r="H364" s="10">
        <v>167</v>
      </c>
      <c r="I364" s="10">
        <v>187</v>
      </c>
      <c r="J364" s="10">
        <v>181</v>
      </c>
      <c r="K364" s="10">
        <v>189</v>
      </c>
      <c r="L364" s="10">
        <v>192</v>
      </c>
      <c r="M364" s="10">
        <v>239</v>
      </c>
      <c r="N364" s="10">
        <v>238</v>
      </c>
      <c r="O364" s="26">
        <f t="shared" si="15"/>
        <v>2203</v>
      </c>
      <c r="P364" s="25">
        <v>13221</v>
      </c>
      <c r="Q364" s="10">
        <v>15928</v>
      </c>
      <c r="R364" s="10">
        <v>18171</v>
      </c>
      <c r="S364" s="10">
        <v>23090</v>
      </c>
      <c r="T364" s="10">
        <v>20661</v>
      </c>
      <c r="U364" s="10">
        <v>22195</v>
      </c>
      <c r="V364" s="10">
        <v>24856</v>
      </c>
      <c r="W364" s="10">
        <v>23322</v>
      </c>
      <c r="X364" s="10">
        <v>21166</v>
      </c>
      <c r="Y364" s="10">
        <v>22857</v>
      </c>
      <c r="Z364" s="10">
        <v>27971</v>
      </c>
      <c r="AA364" s="10">
        <v>30133</v>
      </c>
      <c r="AB364" s="26">
        <f t="shared" si="16"/>
        <v>263571</v>
      </c>
      <c r="AC364" s="25">
        <v>23</v>
      </c>
      <c r="AD364" s="10">
        <v>0</v>
      </c>
      <c r="AE364" s="10">
        <v>3907</v>
      </c>
      <c r="AF364" s="10">
        <v>4442</v>
      </c>
      <c r="AG364" s="10">
        <v>0</v>
      </c>
      <c r="AH364" s="10">
        <v>0</v>
      </c>
      <c r="AI364" s="10">
        <v>4634.5</v>
      </c>
      <c r="AJ364" s="10">
        <v>0</v>
      </c>
      <c r="AK364" s="10">
        <v>961.5</v>
      </c>
      <c r="AL364" s="10">
        <v>1710.7</v>
      </c>
      <c r="AM364" s="10">
        <v>3034</v>
      </c>
      <c r="AN364" s="10">
        <v>12348.6</v>
      </c>
      <c r="AO364" s="26">
        <f t="shared" si="17"/>
        <v>31061.300000000003</v>
      </c>
    </row>
    <row r="365" spans="1:41" ht="17.25" customHeight="1" x14ac:dyDescent="0.45">
      <c r="A365" s="2" t="s">
        <v>13</v>
      </c>
      <c r="B365" s="2" t="s">
        <v>31</v>
      </c>
      <c r="C365" s="23">
        <v>29</v>
      </c>
      <c r="D365" s="1">
        <v>25</v>
      </c>
      <c r="E365" s="1">
        <v>27</v>
      </c>
      <c r="F365" s="1">
        <v>30</v>
      </c>
      <c r="G365" s="1">
        <v>30</v>
      </c>
      <c r="H365" s="1">
        <v>27</v>
      </c>
      <c r="I365" s="1">
        <v>31</v>
      </c>
      <c r="J365" s="1">
        <v>31</v>
      </c>
      <c r="K365" s="1">
        <v>24</v>
      </c>
      <c r="L365" s="1">
        <v>26</v>
      </c>
      <c r="M365" s="1">
        <v>30</v>
      </c>
      <c r="N365" s="1">
        <v>30</v>
      </c>
      <c r="O365" s="24">
        <f t="shared" si="15"/>
        <v>340</v>
      </c>
      <c r="P365" s="23">
        <v>4091</v>
      </c>
      <c r="Q365" s="1">
        <v>4060</v>
      </c>
      <c r="R365" s="1">
        <v>4454</v>
      </c>
      <c r="S365" s="1">
        <v>4757</v>
      </c>
      <c r="T365" s="1">
        <v>4796</v>
      </c>
      <c r="U365" s="1">
        <v>4680</v>
      </c>
      <c r="V365" s="1">
        <v>5083</v>
      </c>
      <c r="W365" s="1">
        <v>5260</v>
      </c>
      <c r="X365" s="1">
        <v>3887</v>
      </c>
      <c r="Y365" s="1">
        <v>4051</v>
      </c>
      <c r="Z365" s="1">
        <v>5248</v>
      </c>
      <c r="AA365" s="1">
        <v>5566</v>
      </c>
      <c r="AB365" s="24">
        <f t="shared" si="16"/>
        <v>55933</v>
      </c>
      <c r="AC365" s="23">
        <v>0</v>
      </c>
      <c r="AD365" s="1">
        <v>0</v>
      </c>
      <c r="AE365" s="1">
        <v>0</v>
      </c>
      <c r="AF365" s="1">
        <v>0</v>
      </c>
      <c r="AG365" s="1">
        <v>0</v>
      </c>
      <c r="AH365" s="1">
        <v>0</v>
      </c>
      <c r="AI365" s="1">
        <v>0</v>
      </c>
      <c r="AJ365" s="1">
        <v>0</v>
      </c>
      <c r="AK365" s="1">
        <v>0</v>
      </c>
      <c r="AL365" s="1">
        <v>0</v>
      </c>
      <c r="AM365" s="1">
        <v>0</v>
      </c>
      <c r="AN365" s="1">
        <v>0</v>
      </c>
      <c r="AO365" s="24">
        <f t="shared" si="17"/>
        <v>0</v>
      </c>
    </row>
    <row r="366" spans="1:41" ht="17.25" customHeight="1" x14ac:dyDescent="0.45">
      <c r="A366" s="12" t="s">
        <v>13</v>
      </c>
      <c r="B366" s="12" t="s">
        <v>50</v>
      </c>
      <c r="C366" s="25">
        <v>24</v>
      </c>
      <c r="D366" s="10">
        <v>20</v>
      </c>
      <c r="E366" s="10">
        <v>21</v>
      </c>
      <c r="F366" s="10">
        <v>25</v>
      </c>
      <c r="G366" s="10">
        <v>28</v>
      </c>
      <c r="H366" s="10">
        <v>24</v>
      </c>
      <c r="I366" s="10">
        <v>28</v>
      </c>
      <c r="J366" s="10">
        <v>26</v>
      </c>
      <c r="K366" s="10">
        <v>26</v>
      </c>
      <c r="L366" s="10">
        <v>26</v>
      </c>
      <c r="M366" s="10">
        <v>26</v>
      </c>
      <c r="N366" s="10">
        <v>26</v>
      </c>
      <c r="O366" s="26">
        <f t="shared" si="15"/>
        <v>300</v>
      </c>
      <c r="P366" s="25">
        <v>2584</v>
      </c>
      <c r="Q366" s="10">
        <v>1997</v>
      </c>
      <c r="R366" s="10">
        <v>2597</v>
      </c>
      <c r="S366" s="10">
        <v>2490</v>
      </c>
      <c r="T366" s="10">
        <v>2591</v>
      </c>
      <c r="U366" s="10">
        <v>2598</v>
      </c>
      <c r="V366" s="10">
        <v>4071</v>
      </c>
      <c r="W366" s="10">
        <v>3058</v>
      </c>
      <c r="X366" s="10">
        <v>2480</v>
      </c>
      <c r="Y366" s="10">
        <v>2554</v>
      </c>
      <c r="Z366" s="10">
        <v>2838</v>
      </c>
      <c r="AA366" s="10">
        <v>4361</v>
      </c>
      <c r="AB366" s="26">
        <f t="shared" si="16"/>
        <v>34219</v>
      </c>
      <c r="AC366" s="25">
        <v>535.6</v>
      </c>
      <c r="AD366" s="10">
        <v>207.8</v>
      </c>
      <c r="AE366" s="10">
        <v>110.8</v>
      </c>
      <c r="AF366" s="10">
        <v>142.6</v>
      </c>
      <c r="AG366" s="10">
        <v>2</v>
      </c>
      <c r="AH366" s="10">
        <v>93.2</v>
      </c>
      <c r="AI366" s="10">
        <v>545.4</v>
      </c>
      <c r="AJ366" s="10">
        <v>187.3</v>
      </c>
      <c r="AK366" s="10">
        <v>322.5</v>
      </c>
      <c r="AL366" s="10">
        <v>663</v>
      </c>
      <c r="AM366" s="10">
        <v>1430.6999999999998</v>
      </c>
      <c r="AN366" s="10">
        <v>597.09999999999991</v>
      </c>
      <c r="AO366" s="26">
        <f t="shared" si="17"/>
        <v>4838</v>
      </c>
    </row>
    <row r="367" spans="1:41" ht="17.25" customHeight="1" x14ac:dyDescent="0.45">
      <c r="A367" s="2" t="s">
        <v>13</v>
      </c>
      <c r="B367" s="2" t="s">
        <v>15</v>
      </c>
      <c r="C367" s="23">
        <v>132</v>
      </c>
      <c r="D367" s="1">
        <v>107</v>
      </c>
      <c r="E367" s="1">
        <v>116</v>
      </c>
      <c r="F367" s="1">
        <v>123</v>
      </c>
      <c r="G367" s="1">
        <v>123</v>
      </c>
      <c r="H367" s="1">
        <v>114</v>
      </c>
      <c r="I367" s="1">
        <v>117</v>
      </c>
      <c r="J367" s="1">
        <v>122</v>
      </c>
      <c r="K367" s="1">
        <v>120</v>
      </c>
      <c r="L367" s="1">
        <v>123</v>
      </c>
      <c r="M367" s="1">
        <v>118</v>
      </c>
      <c r="N367" s="1">
        <v>118</v>
      </c>
      <c r="O367" s="24">
        <f t="shared" si="15"/>
        <v>1433</v>
      </c>
      <c r="P367" s="23">
        <v>23900</v>
      </c>
      <c r="Q367" s="1">
        <v>19178</v>
      </c>
      <c r="R367" s="1">
        <v>21289</v>
      </c>
      <c r="S367" s="1">
        <v>22030</v>
      </c>
      <c r="T367" s="1">
        <v>21971</v>
      </c>
      <c r="U367" s="1">
        <v>19578</v>
      </c>
      <c r="V367" s="1">
        <v>21287</v>
      </c>
      <c r="W367" s="1">
        <v>21525</v>
      </c>
      <c r="X367" s="1">
        <v>20536</v>
      </c>
      <c r="Y367" s="1">
        <v>20932</v>
      </c>
      <c r="Z367" s="1">
        <v>19806</v>
      </c>
      <c r="AA367" s="1">
        <v>20095</v>
      </c>
      <c r="AB367" s="24">
        <f t="shared" si="16"/>
        <v>252127</v>
      </c>
      <c r="AC367" s="23">
        <v>25323.609999999997</v>
      </c>
      <c r="AD367" s="1">
        <v>22688.9</v>
      </c>
      <c r="AE367" s="1">
        <v>23458.6</v>
      </c>
      <c r="AF367" s="1">
        <v>27923.4</v>
      </c>
      <c r="AG367" s="1">
        <v>28544.9</v>
      </c>
      <c r="AH367" s="1">
        <v>33567.199999999997</v>
      </c>
      <c r="AI367" s="1">
        <v>27843.879999999997</v>
      </c>
      <c r="AJ367" s="1">
        <v>52932.600000000006</v>
      </c>
      <c r="AK367" s="1">
        <v>20861.099999999995</v>
      </c>
      <c r="AL367" s="1">
        <v>21930.1</v>
      </c>
      <c r="AM367" s="1">
        <v>37013.78</v>
      </c>
      <c r="AN367" s="1">
        <v>18311</v>
      </c>
      <c r="AO367" s="24">
        <f t="shared" si="17"/>
        <v>340399.06999999995</v>
      </c>
    </row>
    <row r="368" spans="1:41" ht="17.25" customHeight="1" x14ac:dyDescent="0.45">
      <c r="A368" s="12" t="s">
        <v>13</v>
      </c>
      <c r="B368" s="12" t="s">
        <v>32</v>
      </c>
      <c r="C368" s="25">
        <v>62</v>
      </c>
      <c r="D368" s="10">
        <v>71</v>
      </c>
      <c r="E368" s="10">
        <v>94</v>
      </c>
      <c r="F368" s="10">
        <v>89</v>
      </c>
      <c r="G368" s="10">
        <v>92</v>
      </c>
      <c r="H368" s="10">
        <v>115</v>
      </c>
      <c r="I368" s="10">
        <v>59</v>
      </c>
      <c r="J368" s="10">
        <v>60</v>
      </c>
      <c r="K368" s="10">
        <v>112</v>
      </c>
      <c r="L368" s="10">
        <v>92</v>
      </c>
      <c r="M368" s="10">
        <v>90</v>
      </c>
      <c r="N368" s="10">
        <v>89</v>
      </c>
      <c r="O368" s="26">
        <f t="shared" si="15"/>
        <v>1025</v>
      </c>
      <c r="P368" s="25">
        <v>8411</v>
      </c>
      <c r="Q368" s="10">
        <v>10375</v>
      </c>
      <c r="R368" s="10">
        <v>14025</v>
      </c>
      <c r="S368" s="10">
        <v>15022</v>
      </c>
      <c r="T368" s="10">
        <v>14936</v>
      </c>
      <c r="U368" s="10">
        <v>18400</v>
      </c>
      <c r="V368" s="10">
        <v>11155</v>
      </c>
      <c r="W368" s="10">
        <v>10809</v>
      </c>
      <c r="X368" s="10">
        <v>18666</v>
      </c>
      <c r="Y368" s="10">
        <v>16745</v>
      </c>
      <c r="Z368" s="10">
        <v>16824</v>
      </c>
      <c r="AA368" s="10">
        <v>18140</v>
      </c>
      <c r="AB368" s="26">
        <f t="shared" si="16"/>
        <v>173508</v>
      </c>
      <c r="AC368" s="25">
        <v>0</v>
      </c>
      <c r="AD368" s="10">
        <v>0</v>
      </c>
      <c r="AE368" s="10">
        <v>0</v>
      </c>
      <c r="AF368" s="10">
        <v>0</v>
      </c>
      <c r="AG368" s="10">
        <v>0</v>
      </c>
      <c r="AH368" s="10">
        <v>0</v>
      </c>
      <c r="AI368" s="10">
        <v>0</v>
      </c>
      <c r="AJ368" s="10">
        <v>0</v>
      </c>
      <c r="AK368" s="10">
        <v>0</v>
      </c>
      <c r="AL368" s="10">
        <v>0</v>
      </c>
      <c r="AM368" s="10">
        <v>0</v>
      </c>
      <c r="AN368" s="10">
        <v>0</v>
      </c>
      <c r="AO368" s="26">
        <f t="shared" si="17"/>
        <v>0</v>
      </c>
    </row>
    <row r="369" spans="1:41" ht="17.25" customHeight="1" x14ac:dyDescent="0.45">
      <c r="A369" s="2" t="s">
        <v>13</v>
      </c>
      <c r="B369" s="2" t="s">
        <v>33</v>
      </c>
      <c r="C369" s="23">
        <v>6</v>
      </c>
      <c r="D369" s="1">
        <v>0</v>
      </c>
      <c r="E369" s="1">
        <v>0</v>
      </c>
      <c r="F369" s="1">
        <v>0</v>
      </c>
      <c r="G369" s="1">
        <v>0</v>
      </c>
      <c r="H369" s="1">
        <v>0</v>
      </c>
      <c r="I369" s="1">
        <v>0</v>
      </c>
      <c r="J369" s="1">
        <v>0</v>
      </c>
      <c r="K369" s="1">
        <v>0</v>
      </c>
      <c r="L369" s="1">
        <v>0</v>
      </c>
      <c r="M369" s="1">
        <v>0</v>
      </c>
      <c r="N369" s="1">
        <v>0</v>
      </c>
      <c r="O369" s="24">
        <f t="shared" si="15"/>
        <v>6</v>
      </c>
      <c r="P369" s="23">
        <v>9</v>
      </c>
      <c r="Q369" s="1">
        <v>0</v>
      </c>
      <c r="R369" s="1">
        <v>0</v>
      </c>
      <c r="S369" s="1">
        <v>0</v>
      </c>
      <c r="T369" s="1">
        <v>0</v>
      </c>
      <c r="U369" s="1">
        <v>0</v>
      </c>
      <c r="V369" s="1">
        <v>0</v>
      </c>
      <c r="W369" s="1">
        <v>0</v>
      </c>
      <c r="X369" s="1">
        <v>0</v>
      </c>
      <c r="Y369" s="1">
        <v>0</v>
      </c>
      <c r="Z369" s="1">
        <v>0</v>
      </c>
      <c r="AA369" s="1">
        <v>0</v>
      </c>
      <c r="AB369" s="24">
        <f t="shared" si="16"/>
        <v>9</v>
      </c>
      <c r="AC369" s="23">
        <v>0</v>
      </c>
      <c r="AD369" s="1">
        <v>0</v>
      </c>
      <c r="AE369" s="1">
        <v>0</v>
      </c>
      <c r="AF369" s="1">
        <v>0</v>
      </c>
      <c r="AG369" s="1">
        <v>0</v>
      </c>
      <c r="AH369" s="1">
        <v>0</v>
      </c>
      <c r="AI369" s="1">
        <v>0</v>
      </c>
      <c r="AJ369" s="1">
        <v>0</v>
      </c>
      <c r="AK369" s="1">
        <v>0</v>
      </c>
      <c r="AL369" s="1">
        <v>0</v>
      </c>
      <c r="AM369" s="1">
        <v>0</v>
      </c>
      <c r="AN369" s="1">
        <v>0</v>
      </c>
      <c r="AO369" s="24">
        <f t="shared" si="17"/>
        <v>0</v>
      </c>
    </row>
    <row r="370" spans="1:41" ht="17.25" customHeight="1" x14ac:dyDescent="0.45">
      <c r="A370" s="12" t="s">
        <v>13</v>
      </c>
      <c r="B370" s="12" t="s">
        <v>247</v>
      </c>
      <c r="C370" s="25">
        <v>30</v>
      </c>
      <c r="D370" s="10">
        <v>23</v>
      </c>
      <c r="E370" s="10">
        <v>27</v>
      </c>
      <c r="F370" s="10">
        <v>30</v>
      </c>
      <c r="G370" s="10">
        <v>31</v>
      </c>
      <c r="H370" s="10">
        <v>30</v>
      </c>
      <c r="I370" s="10">
        <v>29</v>
      </c>
      <c r="J370" s="10">
        <v>31</v>
      </c>
      <c r="K370" s="10">
        <v>30</v>
      </c>
      <c r="L370" s="10">
        <v>31</v>
      </c>
      <c r="M370" s="10">
        <v>30</v>
      </c>
      <c r="N370" s="10">
        <v>31</v>
      </c>
      <c r="O370" s="26">
        <f t="shared" si="15"/>
        <v>353</v>
      </c>
      <c r="P370" s="25">
        <v>4131</v>
      </c>
      <c r="Q370" s="10">
        <v>3131</v>
      </c>
      <c r="R370" s="10">
        <v>4599</v>
      </c>
      <c r="S370" s="10">
        <v>4535</v>
      </c>
      <c r="T370" s="10">
        <v>4727</v>
      </c>
      <c r="U370" s="10">
        <v>4862</v>
      </c>
      <c r="V370" s="10">
        <v>4873</v>
      </c>
      <c r="W370" s="10">
        <v>4865</v>
      </c>
      <c r="X370" s="10">
        <v>4336</v>
      </c>
      <c r="Y370" s="10">
        <v>4629</v>
      </c>
      <c r="Z370" s="10">
        <v>4624</v>
      </c>
      <c r="AA370" s="10">
        <v>4735</v>
      </c>
      <c r="AB370" s="26">
        <f t="shared" si="16"/>
        <v>54047</v>
      </c>
      <c r="AC370" s="25">
        <v>0</v>
      </c>
      <c r="AD370" s="10">
        <v>0</v>
      </c>
      <c r="AE370" s="10">
        <v>0</v>
      </c>
      <c r="AF370" s="10">
        <v>0</v>
      </c>
      <c r="AG370" s="10">
        <v>0</v>
      </c>
      <c r="AH370" s="10">
        <v>0</v>
      </c>
      <c r="AI370" s="10">
        <v>0</v>
      </c>
      <c r="AJ370" s="10">
        <v>0</v>
      </c>
      <c r="AK370" s="10">
        <v>0</v>
      </c>
      <c r="AL370" s="10">
        <v>0</v>
      </c>
      <c r="AM370" s="10">
        <v>0</v>
      </c>
      <c r="AN370" s="10">
        <v>0</v>
      </c>
      <c r="AO370" s="26">
        <f t="shared" si="17"/>
        <v>0</v>
      </c>
    </row>
    <row r="371" spans="1:41" ht="17.25" customHeight="1" x14ac:dyDescent="0.45">
      <c r="A371" s="2" t="s">
        <v>13</v>
      </c>
      <c r="B371" s="2" t="s">
        <v>34</v>
      </c>
      <c r="C371" s="23">
        <v>36</v>
      </c>
      <c r="D371" s="1">
        <v>29</v>
      </c>
      <c r="E371" s="1">
        <v>40</v>
      </c>
      <c r="F371" s="1">
        <v>37</v>
      </c>
      <c r="G371" s="1">
        <v>44</v>
      </c>
      <c r="H371" s="1">
        <v>38</v>
      </c>
      <c r="I371" s="1">
        <v>35</v>
      </c>
      <c r="J371" s="1">
        <v>36</v>
      </c>
      <c r="K371" s="1">
        <v>50</v>
      </c>
      <c r="L371" s="1">
        <v>56</v>
      </c>
      <c r="M371" s="1">
        <v>38</v>
      </c>
      <c r="N371" s="1">
        <v>42</v>
      </c>
      <c r="O371" s="24">
        <f t="shared" si="15"/>
        <v>481</v>
      </c>
      <c r="P371" s="23">
        <v>4933</v>
      </c>
      <c r="Q371" s="1">
        <v>4060</v>
      </c>
      <c r="R371" s="1">
        <v>5457</v>
      </c>
      <c r="S371" s="1">
        <v>4836</v>
      </c>
      <c r="T371" s="1">
        <v>5556</v>
      </c>
      <c r="U371" s="1">
        <v>5808</v>
      </c>
      <c r="V371" s="1">
        <v>6893</v>
      </c>
      <c r="W371" s="1">
        <v>6160</v>
      </c>
      <c r="X371" s="1">
        <v>5678</v>
      </c>
      <c r="Y371" s="1">
        <v>6402</v>
      </c>
      <c r="Z371" s="1">
        <v>6516</v>
      </c>
      <c r="AA371" s="1">
        <v>7705</v>
      </c>
      <c r="AB371" s="24">
        <f t="shared" si="16"/>
        <v>70004</v>
      </c>
      <c r="AC371" s="23">
        <v>0</v>
      </c>
      <c r="AD371" s="1">
        <v>0</v>
      </c>
      <c r="AE371" s="1">
        <v>0</v>
      </c>
      <c r="AF371" s="1">
        <v>0</v>
      </c>
      <c r="AG371" s="1">
        <v>0</v>
      </c>
      <c r="AH371" s="1">
        <v>0</v>
      </c>
      <c r="AI371" s="1">
        <v>0</v>
      </c>
      <c r="AJ371" s="1">
        <v>0</v>
      </c>
      <c r="AK371" s="1">
        <v>0</v>
      </c>
      <c r="AL371" s="1">
        <v>0</v>
      </c>
      <c r="AM371" s="1">
        <v>0</v>
      </c>
      <c r="AN371" s="1">
        <v>0</v>
      </c>
      <c r="AO371" s="24">
        <f t="shared" si="17"/>
        <v>0</v>
      </c>
    </row>
    <row r="372" spans="1:41" ht="17.25" customHeight="1" x14ac:dyDescent="0.45">
      <c r="A372" s="12" t="s">
        <v>13</v>
      </c>
      <c r="B372" s="12" t="s">
        <v>35</v>
      </c>
      <c r="C372" s="25">
        <v>64</v>
      </c>
      <c r="D372" s="10">
        <v>58</v>
      </c>
      <c r="E372" s="10">
        <v>63</v>
      </c>
      <c r="F372" s="10">
        <v>60</v>
      </c>
      <c r="G372" s="10">
        <v>66</v>
      </c>
      <c r="H372" s="10">
        <v>55</v>
      </c>
      <c r="I372" s="10">
        <v>78</v>
      </c>
      <c r="J372" s="10">
        <v>64</v>
      </c>
      <c r="K372" s="10">
        <v>60</v>
      </c>
      <c r="L372" s="10">
        <v>62</v>
      </c>
      <c r="M372" s="10">
        <v>60</v>
      </c>
      <c r="N372" s="10">
        <v>65</v>
      </c>
      <c r="O372" s="26">
        <f t="shared" si="15"/>
        <v>755</v>
      </c>
      <c r="P372" s="25">
        <v>9017</v>
      </c>
      <c r="Q372" s="10">
        <v>9318</v>
      </c>
      <c r="R372" s="10">
        <v>9936</v>
      </c>
      <c r="S372" s="10">
        <v>9155</v>
      </c>
      <c r="T372" s="10">
        <v>10457</v>
      </c>
      <c r="U372" s="10">
        <v>9088</v>
      </c>
      <c r="V372" s="10">
        <v>13587</v>
      </c>
      <c r="W372" s="10">
        <v>11403</v>
      </c>
      <c r="X372" s="10">
        <v>9995</v>
      </c>
      <c r="Y372" s="10">
        <v>10150</v>
      </c>
      <c r="Z372" s="10">
        <v>11137</v>
      </c>
      <c r="AA372" s="10">
        <v>12591</v>
      </c>
      <c r="AB372" s="26">
        <f t="shared" si="16"/>
        <v>125834</v>
      </c>
      <c r="AC372" s="25">
        <v>0</v>
      </c>
      <c r="AD372" s="10">
        <v>0</v>
      </c>
      <c r="AE372" s="10">
        <v>0</v>
      </c>
      <c r="AF372" s="10">
        <v>0</v>
      </c>
      <c r="AG372" s="10">
        <v>0</v>
      </c>
      <c r="AH372" s="10">
        <v>0</v>
      </c>
      <c r="AI372" s="10">
        <v>0</v>
      </c>
      <c r="AJ372" s="10">
        <v>0</v>
      </c>
      <c r="AK372" s="10">
        <v>0</v>
      </c>
      <c r="AL372" s="10">
        <v>0</v>
      </c>
      <c r="AM372" s="10">
        <v>0</v>
      </c>
      <c r="AN372" s="10">
        <v>0</v>
      </c>
      <c r="AO372" s="26">
        <f t="shared" si="17"/>
        <v>0</v>
      </c>
    </row>
    <row r="373" spans="1:41" ht="17.25" customHeight="1" x14ac:dyDescent="0.45">
      <c r="A373" s="2" t="s">
        <v>13</v>
      </c>
      <c r="B373" s="2" t="s">
        <v>36</v>
      </c>
      <c r="C373" s="23">
        <v>38</v>
      </c>
      <c r="D373" s="1">
        <v>29</v>
      </c>
      <c r="E373" s="1">
        <v>49</v>
      </c>
      <c r="F373" s="1">
        <v>37</v>
      </c>
      <c r="G373" s="1">
        <v>47</v>
      </c>
      <c r="H373" s="1">
        <v>41</v>
      </c>
      <c r="I373" s="1">
        <v>46</v>
      </c>
      <c r="J373" s="1">
        <v>33</v>
      </c>
      <c r="K373" s="1">
        <v>43</v>
      </c>
      <c r="L373" s="1">
        <v>42</v>
      </c>
      <c r="M373" s="1">
        <v>52</v>
      </c>
      <c r="N373" s="1">
        <v>68</v>
      </c>
      <c r="O373" s="24">
        <f t="shared" si="15"/>
        <v>525</v>
      </c>
      <c r="P373" s="23">
        <v>6315</v>
      </c>
      <c r="Q373" s="1">
        <v>4907</v>
      </c>
      <c r="R373" s="1">
        <v>7241</v>
      </c>
      <c r="S373" s="1">
        <v>5729</v>
      </c>
      <c r="T373" s="1">
        <v>7639</v>
      </c>
      <c r="U373" s="1">
        <v>6740</v>
      </c>
      <c r="V373" s="1">
        <v>8607</v>
      </c>
      <c r="W373" s="1">
        <v>6446</v>
      </c>
      <c r="X373" s="1">
        <v>6093</v>
      </c>
      <c r="Y373" s="1">
        <v>5758</v>
      </c>
      <c r="Z373" s="1">
        <v>6295</v>
      </c>
      <c r="AA373" s="1">
        <v>9953</v>
      </c>
      <c r="AB373" s="24">
        <f t="shared" si="16"/>
        <v>81723</v>
      </c>
      <c r="AC373" s="23">
        <v>409</v>
      </c>
      <c r="AD373" s="1">
        <v>599.5</v>
      </c>
      <c r="AE373" s="1">
        <v>1060</v>
      </c>
      <c r="AF373" s="1">
        <v>428</v>
      </c>
      <c r="AG373" s="1">
        <v>675.8</v>
      </c>
      <c r="AH373" s="1">
        <v>1117.0999999999999</v>
      </c>
      <c r="AI373" s="1">
        <v>818</v>
      </c>
      <c r="AJ373" s="1">
        <v>873.8</v>
      </c>
      <c r="AK373" s="1">
        <v>307.3</v>
      </c>
      <c r="AL373" s="1">
        <v>348.9</v>
      </c>
      <c r="AM373" s="1">
        <v>522</v>
      </c>
      <c r="AN373" s="1">
        <v>236.5</v>
      </c>
      <c r="AO373" s="24">
        <f t="shared" si="17"/>
        <v>7395.9</v>
      </c>
    </row>
    <row r="374" spans="1:41" ht="17.25" customHeight="1" x14ac:dyDescent="0.45">
      <c r="A374" s="12" t="s">
        <v>25</v>
      </c>
      <c r="B374" s="12" t="s">
        <v>10</v>
      </c>
      <c r="C374" s="25">
        <v>13</v>
      </c>
      <c r="D374" s="10">
        <v>13</v>
      </c>
      <c r="E374" s="10">
        <v>13</v>
      </c>
      <c r="F374" s="10">
        <v>15</v>
      </c>
      <c r="G374" s="10">
        <v>13</v>
      </c>
      <c r="H374" s="10">
        <v>13</v>
      </c>
      <c r="I374" s="10">
        <v>16</v>
      </c>
      <c r="J374" s="10">
        <v>13</v>
      </c>
      <c r="K374" s="10">
        <v>13</v>
      </c>
      <c r="L374" s="10">
        <v>15</v>
      </c>
      <c r="M374" s="10">
        <v>12</v>
      </c>
      <c r="N374" s="10">
        <v>17</v>
      </c>
      <c r="O374" s="26">
        <f t="shared" si="15"/>
        <v>166</v>
      </c>
      <c r="P374" s="25">
        <v>2151</v>
      </c>
      <c r="Q374" s="10">
        <v>2164</v>
      </c>
      <c r="R374" s="10">
        <v>2189</v>
      </c>
      <c r="S374" s="10">
        <v>2311</v>
      </c>
      <c r="T374" s="10">
        <v>2149</v>
      </c>
      <c r="U374" s="10">
        <v>1970</v>
      </c>
      <c r="V374" s="10">
        <v>2518</v>
      </c>
      <c r="W374" s="10">
        <v>2110</v>
      </c>
      <c r="X374" s="10">
        <v>2036</v>
      </c>
      <c r="Y374" s="10">
        <v>2256</v>
      </c>
      <c r="Z374" s="10">
        <v>1986</v>
      </c>
      <c r="AA374" s="10">
        <v>2450</v>
      </c>
      <c r="AB374" s="26">
        <f t="shared" si="16"/>
        <v>26290</v>
      </c>
      <c r="AC374" s="25">
        <v>0</v>
      </c>
      <c r="AD374" s="10">
        <v>0</v>
      </c>
      <c r="AE374" s="10">
        <v>0</v>
      </c>
      <c r="AF374" s="10">
        <v>0</v>
      </c>
      <c r="AG374" s="10">
        <v>0</v>
      </c>
      <c r="AH374" s="10">
        <v>0</v>
      </c>
      <c r="AI374" s="10">
        <v>0</v>
      </c>
      <c r="AJ374" s="10">
        <v>0</v>
      </c>
      <c r="AK374" s="10">
        <v>0</v>
      </c>
      <c r="AL374" s="10">
        <v>0</v>
      </c>
      <c r="AM374" s="10">
        <v>0</v>
      </c>
      <c r="AN374" s="10">
        <v>0</v>
      </c>
      <c r="AO374" s="26">
        <f t="shared" si="17"/>
        <v>0</v>
      </c>
    </row>
    <row r="375" spans="1:41" ht="17.25" customHeight="1" x14ac:dyDescent="0.45">
      <c r="A375" s="2" t="s">
        <v>25</v>
      </c>
      <c r="B375" s="2" t="s">
        <v>24</v>
      </c>
      <c r="C375" s="23">
        <v>9</v>
      </c>
      <c r="D375" s="1">
        <v>8</v>
      </c>
      <c r="E375" s="1">
        <v>9</v>
      </c>
      <c r="F375" s="1">
        <v>0</v>
      </c>
      <c r="G375" s="1">
        <v>0</v>
      </c>
      <c r="H375" s="1">
        <v>0</v>
      </c>
      <c r="I375" s="1">
        <v>0</v>
      </c>
      <c r="J375" s="1">
        <v>0</v>
      </c>
      <c r="K375" s="1">
        <v>0</v>
      </c>
      <c r="L375" s="1">
        <v>0</v>
      </c>
      <c r="M375" s="1">
        <v>0</v>
      </c>
      <c r="N375" s="1">
        <v>0</v>
      </c>
      <c r="O375" s="24">
        <f t="shared" si="15"/>
        <v>26</v>
      </c>
      <c r="P375" s="23">
        <v>1625</v>
      </c>
      <c r="Q375" s="1">
        <v>1444</v>
      </c>
      <c r="R375" s="1">
        <v>1571</v>
      </c>
      <c r="S375" s="1">
        <v>0</v>
      </c>
      <c r="T375" s="1">
        <v>0</v>
      </c>
      <c r="U375" s="1">
        <v>0</v>
      </c>
      <c r="V375" s="1">
        <v>0</v>
      </c>
      <c r="W375" s="1">
        <v>0</v>
      </c>
      <c r="X375" s="1">
        <v>0</v>
      </c>
      <c r="Y375" s="1">
        <v>0</v>
      </c>
      <c r="Z375" s="1">
        <v>0</v>
      </c>
      <c r="AA375" s="1">
        <v>0</v>
      </c>
      <c r="AB375" s="24">
        <f t="shared" si="16"/>
        <v>4640</v>
      </c>
      <c r="AC375" s="23">
        <v>0</v>
      </c>
      <c r="AD375" s="1">
        <v>0</v>
      </c>
      <c r="AE375" s="1">
        <v>0</v>
      </c>
      <c r="AF375" s="1">
        <v>0</v>
      </c>
      <c r="AG375" s="1">
        <v>0</v>
      </c>
      <c r="AH375" s="1">
        <v>0</v>
      </c>
      <c r="AI375" s="1">
        <v>0</v>
      </c>
      <c r="AJ375" s="1">
        <v>0</v>
      </c>
      <c r="AK375" s="1">
        <v>0</v>
      </c>
      <c r="AL375" s="1">
        <v>0</v>
      </c>
      <c r="AM375" s="1">
        <v>0</v>
      </c>
      <c r="AN375" s="1">
        <v>0</v>
      </c>
      <c r="AO375" s="24">
        <f t="shared" si="17"/>
        <v>0</v>
      </c>
    </row>
    <row r="376" spans="1:41" ht="17.25" customHeight="1" x14ac:dyDescent="0.45">
      <c r="A376" s="12" t="s">
        <v>25</v>
      </c>
      <c r="B376" s="12" t="s">
        <v>12</v>
      </c>
      <c r="C376" s="25">
        <v>12</v>
      </c>
      <c r="D376" s="10">
        <v>0</v>
      </c>
      <c r="E376" s="10">
        <v>0</v>
      </c>
      <c r="F376" s="10">
        <v>0</v>
      </c>
      <c r="G376" s="10">
        <v>0</v>
      </c>
      <c r="H376" s="10">
        <v>11</v>
      </c>
      <c r="I376" s="10">
        <v>31</v>
      </c>
      <c r="J376" s="10">
        <v>31</v>
      </c>
      <c r="K376" s="10">
        <v>30</v>
      </c>
      <c r="L376" s="10">
        <v>31</v>
      </c>
      <c r="M376" s="10">
        <v>30</v>
      </c>
      <c r="N376" s="10">
        <v>31</v>
      </c>
      <c r="O376" s="26">
        <f t="shared" si="15"/>
        <v>207</v>
      </c>
      <c r="P376" s="25">
        <v>1073</v>
      </c>
      <c r="Q376" s="10">
        <v>0</v>
      </c>
      <c r="R376" s="10">
        <v>0</v>
      </c>
      <c r="S376" s="10">
        <v>0</v>
      </c>
      <c r="T376" s="10">
        <v>0</v>
      </c>
      <c r="U376" s="10">
        <v>810</v>
      </c>
      <c r="V376" s="10">
        <v>2781</v>
      </c>
      <c r="W376" s="10">
        <v>2651</v>
      </c>
      <c r="X376" s="10">
        <v>2374</v>
      </c>
      <c r="Y376" s="10">
        <v>2387</v>
      </c>
      <c r="Z376" s="10">
        <v>2413</v>
      </c>
      <c r="AA376" s="10">
        <v>2337</v>
      </c>
      <c r="AB376" s="26">
        <f t="shared" si="16"/>
        <v>16826</v>
      </c>
      <c r="AC376" s="25">
        <v>0</v>
      </c>
      <c r="AD376" s="10">
        <v>0</v>
      </c>
      <c r="AE376" s="10">
        <v>0</v>
      </c>
      <c r="AF376" s="10">
        <v>0</v>
      </c>
      <c r="AG376" s="10">
        <v>0</v>
      </c>
      <c r="AH376" s="10">
        <v>0</v>
      </c>
      <c r="AI376" s="10">
        <v>0</v>
      </c>
      <c r="AJ376" s="10">
        <v>0</v>
      </c>
      <c r="AK376" s="10">
        <v>363</v>
      </c>
      <c r="AL376" s="10">
        <v>0</v>
      </c>
      <c r="AM376" s="10">
        <v>0</v>
      </c>
      <c r="AN376" s="10">
        <v>0</v>
      </c>
      <c r="AO376" s="26">
        <f t="shared" si="17"/>
        <v>363</v>
      </c>
    </row>
    <row r="377" spans="1:41" ht="17.25" customHeight="1" x14ac:dyDescent="0.45">
      <c r="A377" s="2" t="s">
        <v>25</v>
      </c>
      <c r="B377" s="2" t="s">
        <v>13</v>
      </c>
      <c r="C377" s="23">
        <v>11</v>
      </c>
      <c r="D377" s="1">
        <v>8</v>
      </c>
      <c r="E377" s="1">
        <v>9</v>
      </c>
      <c r="F377" s="1">
        <v>13</v>
      </c>
      <c r="G377" s="1">
        <v>13</v>
      </c>
      <c r="H377" s="1">
        <v>14</v>
      </c>
      <c r="I377" s="1">
        <v>13</v>
      </c>
      <c r="J377" s="1">
        <v>13</v>
      </c>
      <c r="K377" s="1">
        <v>9</v>
      </c>
      <c r="L377" s="1">
        <v>8</v>
      </c>
      <c r="M377" s="1">
        <v>41</v>
      </c>
      <c r="N377" s="1">
        <v>45</v>
      </c>
      <c r="O377" s="24">
        <f t="shared" si="15"/>
        <v>197</v>
      </c>
      <c r="P377" s="23">
        <v>2073</v>
      </c>
      <c r="Q377" s="1">
        <v>1463</v>
      </c>
      <c r="R377" s="1">
        <v>1675</v>
      </c>
      <c r="S377" s="1">
        <v>1807</v>
      </c>
      <c r="T377" s="1">
        <v>1713</v>
      </c>
      <c r="U377" s="1">
        <v>1895</v>
      </c>
      <c r="V377" s="1">
        <v>2197</v>
      </c>
      <c r="W377" s="1">
        <v>2194</v>
      </c>
      <c r="X377" s="1">
        <v>1503</v>
      </c>
      <c r="Y377" s="1">
        <v>1254</v>
      </c>
      <c r="Z377" s="1">
        <v>6150</v>
      </c>
      <c r="AA377" s="1">
        <v>6019</v>
      </c>
      <c r="AB377" s="24">
        <f t="shared" si="16"/>
        <v>29943</v>
      </c>
      <c r="AC377" s="23">
        <v>0</v>
      </c>
      <c r="AD377" s="1">
        <v>0</v>
      </c>
      <c r="AE377" s="1">
        <v>0</v>
      </c>
      <c r="AF377" s="1">
        <v>0</v>
      </c>
      <c r="AG377" s="1">
        <v>0</v>
      </c>
      <c r="AH377" s="1">
        <v>0</v>
      </c>
      <c r="AI377" s="1">
        <v>0</v>
      </c>
      <c r="AJ377" s="1">
        <v>0</v>
      </c>
      <c r="AK377" s="1">
        <v>0</v>
      </c>
      <c r="AL377" s="1">
        <v>0</v>
      </c>
      <c r="AM377" s="1">
        <v>0</v>
      </c>
      <c r="AN377" s="1">
        <v>0</v>
      </c>
      <c r="AO377" s="24">
        <f t="shared" si="17"/>
        <v>0</v>
      </c>
    </row>
    <row r="378" spans="1:41" ht="17.25" customHeight="1" x14ac:dyDescent="0.45">
      <c r="A378" s="12" t="s">
        <v>25</v>
      </c>
      <c r="B378" s="12" t="s">
        <v>14</v>
      </c>
      <c r="C378" s="25">
        <v>24</v>
      </c>
      <c r="D378" s="10">
        <v>29</v>
      </c>
      <c r="E378" s="10">
        <v>31</v>
      </c>
      <c r="F378" s="10">
        <v>30</v>
      </c>
      <c r="G378" s="10">
        <v>29</v>
      </c>
      <c r="H378" s="10">
        <v>19</v>
      </c>
      <c r="I378" s="10">
        <v>0</v>
      </c>
      <c r="J378" s="10">
        <v>0</v>
      </c>
      <c r="K378" s="10">
        <v>0</v>
      </c>
      <c r="L378" s="10">
        <v>0</v>
      </c>
      <c r="M378" s="10">
        <v>0</v>
      </c>
      <c r="N378" s="10">
        <v>0</v>
      </c>
      <c r="O378" s="26">
        <f t="shared" si="15"/>
        <v>162</v>
      </c>
      <c r="P378" s="25">
        <v>912</v>
      </c>
      <c r="Q378" s="10">
        <v>992</v>
      </c>
      <c r="R378" s="10">
        <v>1121</v>
      </c>
      <c r="S378" s="10">
        <v>1184</v>
      </c>
      <c r="T378" s="10">
        <v>874</v>
      </c>
      <c r="U378" s="10">
        <v>739</v>
      </c>
      <c r="V378" s="10">
        <v>0</v>
      </c>
      <c r="W378" s="10">
        <v>0</v>
      </c>
      <c r="X378" s="10">
        <v>0</v>
      </c>
      <c r="Y378" s="10">
        <v>0</v>
      </c>
      <c r="Z378" s="10">
        <v>0</v>
      </c>
      <c r="AA378" s="10">
        <v>0</v>
      </c>
      <c r="AB378" s="26">
        <f t="shared" si="16"/>
        <v>5822</v>
      </c>
      <c r="AC378" s="25">
        <v>1</v>
      </c>
      <c r="AD378" s="10">
        <v>0</v>
      </c>
      <c r="AE378" s="10">
        <v>0</v>
      </c>
      <c r="AF378" s="10">
        <v>5</v>
      </c>
      <c r="AG378" s="10">
        <v>0</v>
      </c>
      <c r="AH378" s="10">
        <v>0</v>
      </c>
      <c r="AI378" s="10">
        <v>0</v>
      </c>
      <c r="AJ378" s="10">
        <v>0</v>
      </c>
      <c r="AK378" s="10">
        <v>0</v>
      </c>
      <c r="AL378" s="10">
        <v>0</v>
      </c>
      <c r="AM378" s="10">
        <v>0</v>
      </c>
      <c r="AN378" s="10">
        <v>0</v>
      </c>
      <c r="AO378" s="26">
        <f t="shared" si="17"/>
        <v>6</v>
      </c>
    </row>
    <row r="379" spans="1:41" ht="17.25" customHeight="1" x14ac:dyDescent="0.45">
      <c r="A379" s="2" t="s">
        <v>25</v>
      </c>
      <c r="B379" s="2" t="s">
        <v>15</v>
      </c>
      <c r="C379" s="23">
        <v>117</v>
      </c>
      <c r="D379" s="1">
        <v>80</v>
      </c>
      <c r="E379" s="1">
        <v>87</v>
      </c>
      <c r="F379" s="1">
        <v>116</v>
      </c>
      <c r="G379" s="1">
        <v>120</v>
      </c>
      <c r="H379" s="1">
        <v>115</v>
      </c>
      <c r="I379" s="1">
        <v>118</v>
      </c>
      <c r="J379" s="1">
        <v>120</v>
      </c>
      <c r="K379" s="1">
        <v>115</v>
      </c>
      <c r="L379" s="1">
        <v>118</v>
      </c>
      <c r="M379" s="1">
        <v>114</v>
      </c>
      <c r="N379" s="1">
        <v>118</v>
      </c>
      <c r="O379" s="24">
        <f t="shared" si="15"/>
        <v>1338</v>
      </c>
      <c r="P379" s="23">
        <v>23208</v>
      </c>
      <c r="Q379" s="1">
        <v>16566</v>
      </c>
      <c r="R379" s="1">
        <v>17553</v>
      </c>
      <c r="S379" s="1">
        <v>21226</v>
      </c>
      <c r="T379" s="1">
        <v>21525</v>
      </c>
      <c r="U379" s="1">
        <v>19865</v>
      </c>
      <c r="V379" s="1">
        <v>22099</v>
      </c>
      <c r="W379" s="1">
        <v>21987</v>
      </c>
      <c r="X379" s="1">
        <v>19465</v>
      </c>
      <c r="Y379" s="1">
        <v>19941</v>
      </c>
      <c r="Z379" s="1">
        <v>20007</v>
      </c>
      <c r="AA379" s="1">
        <v>19054</v>
      </c>
      <c r="AB379" s="24">
        <f t="shared" si="16"/>
        <v>242496</v>
      </c>
      <c r="AC379" s="23">
        <v>0</v>
      </c>
      <c r="AD379" s="1">
        <v>0</v>
      </c>
      <c r="AE379" s="1">
        <v>0</v>
      </c>
      <c r="AF379" s="1">
        <v>0</v>
      </c>
      <c r="AG379" s="1">
        <v>140</v>
      </c>
      <c r="AH379" s="1">
        <v>0</v>
      </c>
      <c r="AI379" s="1">
        <v>0</v>
      </c>
      <c r="AJ379" s="1">
        <v>0</v>
      </c>
      <c r="AK379" s="1">
        <v>0</v>
      </c>
      <c r="AL379" s="1">
        <v>0</v>
      </c>
      <c r="AM379" s="1">
        <v>0</v>
      </c>
      <c r="AN379" s="1">
        <v>0</v>
      </c>
      <c r="AO379" s="24">
        <f t="shared" si="17"/>
        <v>140</v>
      </c>
    </row>
    <row r="380" spans="1:41" ht="17.25" customHeight="1" x14ac:dyDescent="0.45">
      <c r="A380" s="12" t="s">
        <v>59</v>
      </c>
      <c r="B380" s="12" t="s">
        <v>11</v>
      </c>
      <c r="C380" s="25">
        <v>0</v>
      </c>
      <c r="D380" s="10">
        <v>0</v>
      </c>
      <c r="E380" s="10">
        <v>0</v>
      </c>
      <c r="F380" s="10">
        <v>0</v>
      </c>
      <c r="G380" s="10">
        <v>0</v>
      </c>
      <c r="H380" s="10">
        <v>0</v>
      </c>
      <c r="I380" s="10">
        <v>0</v>
      </c>
      <c r="J380" s="10">
        <v>0</v>
      </c>
      <c r="K380" s="10">
        <v>21</v>
      </c>
      <c r="L380" s="10">
        <v>21</v>
      </c>
      <c r="M380" s="10">
        <v>30</v>
      </c>
      <c r="N380" s="10">
        <v>30</v>
      </c>
      <c r="O380" s="26">
        <f t="shared" si="15"/>
        <v>102</v>
      </c>
      <c r="P380" s="25">
        <v>0</v>
      </c>
      <c r="Q380" s="10">
        <v>0</v>
      </c>
      <c r="R380" s="10">
        <v>0</v>
      </c>
      <c r="S380" s="10">
        <v>0</v>
      </c>
      <c r="T380" s="10">
        <v>0</v>
      </c>
      <c r="U380" s="10">
        <v>0</v>
      </c>
      <c r="V380" s="10">
        <v>0</v>
      </c>
      <c r="W380" s="10">
        <v>0</v>
      </c>
      <c r="X380" s="10">
        <v>344</v>
      </c>
      <c r="Y380" s="10">
        <v>344</v>
      </c>
      <c r="Z380" s="10">
        <v>626</v>
      </c>
      <c r="AA380" s="10">
        <v>318</v>
      </c>
      <c r="AB380" s="26">
        <f t="shared" si="16"/>
        <v>1632</v>
      </c>
      <c r="AC380" s="25">
        <v>0</v>
      </c>
      <c r="AD380" s="10">
        <v>0</v>
      </c>
      <c r="AE380" s="10">
        <v>0</v>
      </c>
      <c r="AF380" s="10">
        <v>0</v>
      </c>
      <c r="AG380" s="10">
        <v>0</v>
      </c>
      <c r="AH380" s="10">
        <v>0</v>
      </c>
      <c r="AI380" s="10">
        <v>0</v>
      </c>
      <c r="AJ380" s="10">
        <v>0</v>
      </c>
      <c r="AK380" s="10">
        <v>0</v>
      </c>
      <c r="AL380" s="10">
        <v>0</v>
      </c>
      <c r="AM380" s="10">
        <v>0</v>
      </c>
      <c r="AN380" s="10">
        <v>0</v>
      </c>
      <c r="AO380" s="26">
        <f t="shared" si="17"/>
        <v>0</v>
      </c>
    </row>
    <row r="381" spans="1:41" ht="17.25" customHeight="1" x14ac:dyDescent="0.45">
      <c r="A381" s="2" t="s">
        <v>59</v>
      </c>
      <c r="B381" s="2" t="s">
        <v>12</v>
      </c>
      <c r="C381" s="23">
        <v>38</v>
      </c>
      <c r="D381" s="1">
        <v>29</v>
      </c>
      <c r="E381" s="1">
        <v>30</v>
      </c>
      <c r="F381" s="1">
        <v>30</v>
      </c>
      <c r="G381" s="1">
        <v>31</v>
      </c>
      <c r="H381" s="1">
        <v>30</v>
      </c>
      <c r="I381" s="1">
        <v>31</v>
      </c>
      <c r="J381" s="1">
        <v>31</v>
      </c>
      <c r="K381" s="1">
        <v>30</v>
      </c>
      <c r="L381" s="1">
        <v>31</v>
      </c>
      <c r="M381" s="1">
        <v>30</v>
      </c>
      <c r="N381" s="1">
        <v>29</v>
      </c>
      <c r="O381" s="24">
        <f t="shared" si="15"/>
        <v>370</v>
      </c>
      <c r="P381" s="23">
        <v>3299</v>
      </c>
      <c r="Q381" s="1">
        <v>2365</v>
      </c>
      <c r="R381" s="1">
        <v>2383</v>
      </c>
      <c r="S381" s="1">
        <v>2421</v>
      </c>
      <c r="T381" s="1">
        <v>2395</v>
      </c>
      <c r="U381" s="1">
        <v>2418</v>
      </c>
      <c r="V381" s="1">
        <v>2596</v>
      </c>
      <c r="W381" s="1">
        <v>2472</v>
      </c>
      <c r="X381" s="1">
        <v>2103</v>
      </c>
      <c r="Y381" s="1">
        <v>2264</v>
      </c>
      <c r="Z381" s="1">
        <v>2295</v>
      </c>
      <c r="AA381" s="1">
        <v>2405</v>
      </c>
      <c r="AB381" s="24">
        <f t="shared" si="16"/>
        <v>29416</v>
      </c>
      <c r="AC381" s="23">
        <v>2</v>
      </c>
      <c r="AD381" s="1">
        <v>0</v>
      </c>
      <c r="AE381" s="1">
        <v>1</v>
      </c>
      <c r="AF381" s="1">
        <v>0</v>
      </c>
      <c r="AG381" s="1">
        <v>0</v>
      </c>
      <c r="AH381" s="1">
        <v>0</v>
      </c>
      <c r="AI381" s="1">
        <v>0</v>
      </c>
      <c r="AJ381" s="1">
        <v>2</v>
      </c>
      <c r="AK381" s="1">
        <v>0</v>
      </c>
      <c r="AL381" s="1">
        <v>0</v>
      </c>
      <c r="AM381" s="1">
        <v>0</v>
      </c>
      <c r="AN381" s="1">
        <v>0</v>
      </c>
      <c r="AO381" s="24">
        <f t="shared" si="17"/>
        <v>5</v>
      </c>
    </row>
    <row r="382" spans="1:41" ht="17.25" customHeight="1" x14ac:dyDescent="0.45">
      <c r="A382" s="12" t="s">
        <v>59</v>
      </c>
      <c r="B382" s="12" t="s">
        <v>14</v>
      </c>
      <c r="C382" s="25">
        <v>8</v>
      </c>
      <c r="D382" s="10">
        <v>8</v>
      </c>
      <c r="E382" s="10">
        <v>9</v>
      </c>
      <c r="F382" s="10">
        <v>22</v>
      </c>
      <c r="G382" s="10">
        <v>22</v>
      </c>
      <c r="H382" s="10">
        <v>21</v>
      </c>
      <c r="I382" s="10">
        <v>22</v>
      </c>
      <c r="J382" s="10">
        <v>23</v>
      </c>
      <c r="K382" s="10">
        <v>30</v>
      </c>
      <c r="L382" s="10">
        <v>31</v>
      </c>
      <c r="M382" s="10">
        <v>30</v>
      </c>
      <c r="N382" s="10">
        <v>31</v>
      </c>
      <c r="O382" s="26">
        <f t="shared" si="15"/>
        <v>257</v>
      </c>
      <c r="P382" s="25">
        <v>823</v>
      </c>
      <c r="Q382" s="10">
        <v>1217</v>
      </c>
      <c r="R382" s="10">
        <v>1474</v>
      </c>
      <c r="S382" s="10">
        <v>3126</v>
      </c>
      <c r="T382" s="10">
        <v>3290</v>
      </c>
      <c r="U382" s="10">
        <v>3231</v>
      </c>
      <c r="V382" s="10">
        <v>3700</v>
      </c>
      <c r="W382" s="10">
        <v>3670</v>
      </c>
      <c r="X382" s="10">
        <v>4087</v>
      </c>
      <c r="Y382" s="10">
        <v>4315</v>
      </c>
      <c r="Z382" s="10">
        <v>3659</v>
      </c>
      <c r="AA382" s="10">
        <v>4787</v>
      </c>
      <c r="AB382" s="26">
        <f t="shared" si="16"/>
        <v>37379</v>
      </c>
      <c r="AC382" s="25">
        <v>0</v>
      </c>
      <c r="AD382" s="10">
        <v>0</v>
      </c>
      <c r="AE382" s="10">
        <v>0</v>
      </c>
      <c r="AF382" s="10">
        <v>0</v>
      </c>
      <c r="AG382" s="10">
        <v>0</v>
      </c>
      <c r="AH382" s="10">
        <v>0</v>
      </c>
      <c r="AI382" s="10">
        <v>0</v>
      </c>
      <c r="AJ382" s="10">
        <v>0</v>
      </c>
      <c r="AK382" s="10">
        <v>0</v>
      </c>
      <c r="AL382" s="10">
        <v>0</v>
      </c>
      <c r="AM382" s="10">
        <v>0</v>
      </c>
      <c r="AN382" s="10">
        <v>0</v>
      </c>
      <c r="AO382" s="26">
        <f t="shared" si="17"/>
        <v>0</v>
      </c>
    </row>
    <row r="383" spans="1:41" ht="17.25" customHeight="1" x14ac:dyDescent="0.45">
      <c r="A383" s="2" t="s">
        <v>26</v>
      </c>
      <c r="B383" s="2" t="s">
        <v>10</v>
      </c>
      <c r="C383" s="23">
        <v>30</v>
      </c>
      <c r="D383" s="1">
        <v>29</v>
      </c>
      <c r="E383" s="1">
        <v>31</v>
      </c>
      <c r="F383" s="1">
        <v>31</v>
      </c>
      <c r="G383" s="1">
        <v>31</v>
      </c>
      <c r="H383" s="1">
        <v>30</v>
      </c>
      <c r="I383" s="1">
        <v>30</v>
      </c>
      <c r="J383" s="1">
        <v>31</v>
      </c>
      <c r="K383" s="1">
        <v>30</v>
      </c>
      <c r="L383" s="1">
        <v>32</v>
      </c>
      <c r="M383" s="1">
        <v>31</v>
      </c>
      <c r="N383" s="1">
        <v>31</v>
      </c>
      <c r="O383" s="24">
        <f t="shared" si="15"/>
        <v>367</v>
      </c>
      <c r="P383" s="23">
        <v>5068</v>
      </c>
      <c r="Q383" s="1">
        <v>4745</v>
      </c>
      <c r="R383" s="1">
        <v>5045</v>
      </c>
      <c r="S383" s="1">
        <v>4564</v>
      </c>
      <c r="T383" s="1">
        <v>4434</v>
      </c>
      <c r="U383" s="1">
        <v>3569</v>
      </c>
      <c r="V383" s="1">
        <v>4224</v>
      </c>
      <c r="W383" s="1">
        <v>4666</v>
      </c>
      <c r="X383" s="1">
        <v>3883</v>
      </c>
      <c r="Y383" s="1">
        <v>4312</v>
      </c>
      <c r="Z383" s="1">
        <v>5117</v>
      </c>
      <c r="AA383" s="1">
        <v>4531</v>
      </c>
      <c r="AB383" s="24">
        <f t="shared" si="16"/>
        <v>54158</v>
      </c>
      <c r="AC383" s="23">
        <v>6556.7599999999993</v>
      </c>
      <c r="AD383" s="1">
        <v>20074.549999999996</v>
      </c>
      <c r="AE383" s="1">
        <v>22135.959999999995</v>
      </c>
      <c r="AF383" s="1">
        <v>4687.3999999999996</v>
      </c>
      <c r="AG383" s="1">
        <v>11772</v>
      </c>
      <c r="AH383" s="1">
        <v>4025.95</v>
      </c>
      <c r="AI383" s="1">
        <v>3527.01</v>
      </c>
      <c r="AJ383" s="1">
        <v>4098.1500000000005</v>
      </c>
      <c r="AK383" s="1">
        <v>5485.75</v>
      </c>
      <c r="AL383" s="1">
        <v>5974</v>
      </c>
      <c r="AM383" s="1">
        <v>20301.25</v>
      </c>
      <c r="AN383" s="1">
        <v>11838.339999999998</v>
      </c>
      <c r="AO383" s="24">
        <f t="shared" si="17"/>
        <v>120477.11999999998</v>
      </c>
    </row>
    <row r="384" spans="1:41" ht="17.25" customHeight="1" x14ac:dyDescent="0.45">
      <c r="A384" s="12" t="s">
        <v>26</v>
      </c>
      <c r="B384" s="12" t="s">
        <v>22</v>
      </c>
      <c r="C384" s="25">
        <v>2</v>
      </c>
      <c r="D384" s="10">
        <v>0</v>
      </c>
      <c r="E384" s="10">
        <v>0</v>
      </c>
      <c r="F384" s="10">
        <v>0</v>
      </c>
      <c r="G384" s="10">
        <v>0</v>
      </c>
      <c r="H384" s="10">
        <v>0</v>
      </c>
      <c r="I384" s="10">
        <v>0</v>
      </c>
      <c r="J384" s="10">
        <v>0</v>
      </c>
      <c r="K384" s="10">
        <v>0</v>
      </c>
      <c r="L384" s="10">
        <v>0</v>
      </c>
      <c r="M384" s="10">
        <v>0</v>
      </c>
      <c r="N384" s="10">
        <v>0</v>
      </c>
      <c r="O384" s="26">
        <f t="shared" si="15"/>
        <v>2</v>
      </c>
      <c r="P384" s="25">
        <v>264</v>
      </c>
      <c r="Q384" s="10">
        <v>0</v>
      </c>
      <c r="R384" s="10">
        <v>0</v>
      </c>
      <c r="S384" s="10">
        <v>0</v>
      </c>
      <c r="T384" s="10">
        <v>0</v>
      </c>
      <c r="U384" s="10">
        <v>0</v>
      </c>
      <c r="V384" s="10">
        <v>0</v>
      </c>
      <c r="W384" s="10">
        <v>0</v>
      </c>
      <c r="X384" s="10">
        <v>0</v>
      </c>
      <c r="Y384" s="10">
        <v>0</v>
      </c>
      <c r="Z384" s="10">
        <v>0</v>
      </c>
      <c r="AA384" s="10">
        <v>0</v>
      </c>
      <c r="AB384" s="26">
        <f t="shared" si="16"/>
        <v>264</v>
      </c>
      <c r="AC384" s="25">
        <v>1588.9</v>
      </c>
      <c r="AD384" s="10">
        <v>0</v>
      </c>
      <c r="AE384" s="10">
        <v>0</v>
      </c>
      <c r="AF384" s="10">
        <v>0</v>
      </c>
      <c r="AG384" s="10">
        <v>0</v>
      </c>
      <c r="AH384" s="10">
        <v>0</v>
      </c>
      <c r="AI384" s="10">
        <v>0</v>
      </c>
      <c r="AJ384" s="10">
        <v>0</v>
      </c>
      <c r="AK384" s="10">
        <v>0</v>
      </c>
      <c r="AL384" s="10">
        <v>0</v>
      </c>
      <c r="AM384" s="10">
        <v>0</v>
      </c>
      <c r="AN384" s="10">
        <v>0</v>
      </c>
      <c r="AO384" s="26">
        <f t="shared" si="17"/>
        <v>1588.9</v>
      </c>
    </row>
    <row r="385" spans="1:41" ht="17.25" customHeight="1" x14ac:dyDescent="0.45">
      <c r="A385" s="2" t="s">
        <v>26</v>
      </c>
      <c r="B385" s="2" t="s">
        <v>11</v>
      </c>
      <c r="C385" s="23">
        <v>39</v>
      </c>
      <c r="D385" s="1">
        <v>29</v>
      </c>
      <c r="E385" s="1">
        <v>40</v>
      </c>
      <c r="F385" s="1">
        <v>46</v>
      </c>
      <c r="G385" s="1">
        <v>44</v>
      </c>
      <c r="H385" s="1">
        <v>41</v>
      </c>
      <c r="I385" s="1">
        <v>48</v>
      </c>
      <c r="J385" s="1">
        <v>44</v>
      </c>
      <c r="K385" s="1">
        <v>43</v>
      </c>
      <c r="L385" s="1">
        <v>44</v>
      </c>
      <c r="M385" s="1">
        <v>44</v>
      </c>
      <c r="N385" s="1">
        <v>48</v>
      </c>
      <c r="O385" s="24">
        <f t="shared" si="15"/>
        <v>510</v>
      </c>
      <c r="P385" s="23">
        <v>6704</v>
      </c>
      <c r="Q385" s="1">
        <v>4761</v>
      </c>
      <c r="R385" s="1">
        <v>6152</v>
      </c>
      <c r="S385" s="1">
        <v>6868</v>
      </c>
      <c r="T385" s="1">
        <v>6406</v>
      </c>
      <c r="U385" s="1">
        <v>5492</v>
      </c>
      <c r="V385" s="1">
        <v>7362</v>
      </c>
      <c r="W385" s="1">
        <v>7259</v>
      </c>
      <c r="X385" s="1">
        <v>6254</v>
      </c>
      <c r="Y385" s="1">
        <v>6829</v>
      </c>
      <c r="Z385" s="1">
        <v>7391</v>
      </c>
      <c r="AA385" s="1">
        <v>7176</v>
      </c>
      <c r="AB385" s="24">
        <f t="shared" si="16"/>
        <v>78654</v>
      </c>
      <c r="AC385" s="23">
        <v>37413.219999999994</v>
      </c>
      <c r="AD385" s="1">
        <v>40805.350000000013</v>
      </c>
      <c r="AE385" s="1">
        <v>40250.910000000003</v>
      </c>
      <c r="AF385" s="1">
        <v>54275.630000000005</v>
      </c>
      <c r="AG385" s="1">
        <v>34307</v>
      </c>
      <c r="AH385" s="1">
        <v>31448.400000000005</v>
      </c>
      <c r="AI385" s="1">
        <v>20483.5</v>
      </c>
      <c r="AJ385" s="1">
        <v>23864.350000000002</v>
      </c>
      <c r="AK385" s="1">
        <v>30791.39</v>
      </c>
      <c r="AL385" s="1">
        <v>58278</v>
      </c>
      <c r="AM385" s="1">
        <v>52765.079999999994</v>
      </c>
      <c r="AN385" s="1">
        <v>36223.11</v>
      </c>
      <c r="AO385" s="24">
        <f t="shared" si="17"/>
        <v>460905.94</v>
      </c>
    </row>
    <row r="386" spans="1:41" ht="17.25" customHeight="1" x14ac:dyDescent="0.45">
      <c r="A386" s="12" t="s">
        <v>26</v>
      </c>
      <c r="B386" s="12" t="s">
        <v>23</v>
      </c>
      <c r="C386" s="25">
        <v>10</v>
      </c>
      <c r="D386" s="10">
        <v>8</v>
      </c>
      <c r="E386" s="10">
        <v>9</v>
      </c>
      <c r="F386" s="10">
        <v>9</v>
      </c>
      <c r="G386" s="10">
        <v>8</v>
      </c>
      <c r="H386" s="10">
        <v>8</v>
      </c>
      <c r="I386" s="10">
        <v>9</v>
      </c>
      <c r="J386" s="10">
        <v>9</v>
      </c>
      <c r="K386" s="10">
        <v>8</v>
      </c>
      <c r="L386" s="10">
        <v>8</v>
      </c>
      <c r="M386" s="10">
        <v>10</v>
      </c>
      <c r="N386" s="10">
        <v>11</v>
      </c>
      <c r="O386" s="26">
        <f t="shared" si="15"/>
        <v>107</v>
      </c>
      <c r="P386" s="25">
        <v>1547</v>
      </c>
      <c r="Q386" s="10">
        <v>1222</v>
      </c>
      <c r="R386" s="10">
        <v>1364</v>
      </c>
      <c r="S386" s="10">
        <v>1368</v>
      </c>
      <c r="T386" s="10">
        <v>1139</v>
      </c>
      <c r="U386" s="10">
        <v>984</v>
      </c>
      <c r="V386" s="10">
        <v>1198</v>
      </c>
      <c r="W386" s="10">
        <v>1414</v>
      </c>
      <c r="X386" s="10">
        <v>993</v>
      </c>
      <c r="Y386" s="10">
        <v>1021</v>
      </c>
      <c r="Z386" s="10">
        <v>1519</v>
      </c>
      <c r="AA386" s="10">
        <v>1581</v>
      </c>
      <c r="AB386" s="26">
        <f t="shared" si="16"/>
        <v>15350</v>
      </c>
      <c r="AC386" s="25">
        <v>1471.51</v>
      </c>
      <c r="AD386" s="10">
        <v>256.15000000000003</v>
      </c>
      <c r="AE386" s="10">
        <v>214.45</v>
      </c>
      <c r="AF386" s="10">
        <v>621.95000000000005</v>
      </c>
      <c r="AG386" s="10">
        <v>462</v>
      </c>
      <c r="AH386" s="10">
        <v>318.55</v>
      </c>
      <c r="AI386" s="10">
        <v>469.09999999999997</v>
      </c>
      <c r="AJ386" s="10">
        <v>381.95</v>
      </c>
      <c r="AK386" s="10">
        <v>468.45</v>
      </c>
      <c r="AL386" s="10">
        <v>747</v>
      </c>
      <c r="AM386" s="10">
        <v>773.15</v>
      </c>
      <c r="AN386" s="10">
        <v>901.74</v>
      </c>
      <c r="AO386" s="26">
        <f t="shared" si="17"/>
        <v>7086</v>
      </c>
    </row>
    <row r="387" spans="1:41" ht="17.25" customHeight="1" x14ac:dyDescent="0.45">
      <c r="A387" s="2" t="s">
        <v>26</v>
      </c>
      <c r="B387" s="2" t="s">
        <v>24</v>
      </c>
      <c r="C387" s="23">
        <v>9</v>
      </c>
      <c r="D387" s="1">
        <v>8</v>
      </c>
      <c r="E387" s="1">
        <v>9</v>
      </c>
      <c r="F387" s="1">
        <v>0</v>
      </c>
      <c r="G387" s="1">
        <v>0</v>
      </c>
      <c r="H387" s="1">
        <v>0</v>
      </c>
      <c r="I387" s="1">
        <v>0</v>
      </c>
      <c r="J387" s="1">
        <v>0</v>
      </c>
      <c r="K387" s="1">
        <v>0</v>
      </c>
      <c r="L387" s="1">
        <v>0</v>
      </c>
      <c r="M387" s="1">
        <v>0</v>
      </c>
      <c r="N387" s="1">
        <v>0</v>
      </c>
      <c r="O387" s="24">
        <f t="shared" si="15"/>
        <v>26</v>
      </c>
      <c r="P387" s="23">
        <v>1543</v>
      </c>
      <c r="Q387" s="1">
        <v>1280</v>
      </c>
      <c r="R387" s="1">
        <v>1298</v>
      </c>
      <c r="S387" s="1">
        <v>0</v>
      </c>
      <c r="T387" s="1">
        <v>0</v>
      </c>
      <c r="U387" s="1">
        <v>0</v>
      </c>
      <c r="V387" s="1">
        <v>0</v>
      </c>
      <c r="W387" s="1">
        <v>0</v>
      </c>
      <c r="X387" s="1">
        <v>0</v>
      </c>
      <c r="Y387" s="1">
        <v>0</v>
      </c>
      <c r="Z387" s="1">
        <v>0</v>
      </c>
      <c r="AA387" s="1">
        <v>0</v>
      </c>
      <c r="AB387" s="24">
        <f t="shared" si="16"/>
        <v>4121</v>
      </c>
      <c r="AC387" s="23">
        <v>1106.2000000000003</v>
      </c>
      <c r="AD387" s="1">
        <v>1798</v>
      </c>
      <c r="AE387" s="1">
        <v>1954.3</v>
      </c>
      <c r="AF387" s="1">
        <v>0</v>
      </c>
      <c r="AG387" s="1">
        <v>0</v>
      </c>
      <c r="AH387" s="1">
        <v>0</v>
      </c>
      <c r="AI387" s="1">
        <v>0</v>
      </c>
      <c r="AJ387" s="1">
        <v>0</v>
      </c>
      <c r="AK387" s="1">
        <v>0</v>
      </c>
      <c r="AL387" s="1">
        <v>0</v>
      </c>
      <c r="AM387" s="1">
        <v>0</v>
      </c>
      <c r="AN387" s="1">
        <v>0</v>
      </c>
      <c r="AO387" s="24">
        <f t="shared" si="17"/>
        <v>4858.5</v>
      </c>
    </row>
    <row r="388" spans="1:41" ht="17.25" customHeight="1" x14ac:dyDescent="0.45">
      <c r="A388" s="12" t="s">
        <v>26</v>
      </c>
      <c r="B388" s="12" t="s">
        <v>12</v>
      </c>
      <c r="C388" s="25">
        <v>237</v>
      </c>
      <c r="D388" s="10">
        <v>215</v>
      </c>
      <c r="E388" s="10">
        <v>216</v>
      </c>
      <c r="F388" s="10">
        <v>245</v>
      </c>
      <c r="G388" s="10">
        <v>260</v>
      </c>
      <c r="H388" s="10">
        <v>245</v>
      </c>
      <c r="I388" s="10">
        <v>225</v>
      </c>
      <c r="J388" s="10">
        <v>248</v>
      </c>
      <c r="K388" s="10">
        <v>216</v>
      </c>
      <c r="L388" s="10">
        <v>220</v>
      </c>
      <c r="M388" s="10">
        <v>206</v>
      </c>
      <c r="N388" s="10">
        <v>205</v>
      </c>
      <c r="O388" s="26">
        <f t="shared" si="15"/>
        <v>2738</v>
      </c>
      <c r="P388" s="25">
        <v>28004</v>
      </c>
      <c r="Q388" s="10">
        <v>26285</v>
      </c>
      <c r="R388" s="10">
        <v>26554</v>
      </c>
      <c r="S388" s="10">
        <v>28942</v>
      </c>
      <c r="T388" s="10">
        <v>29780</v>
      </c>
      <c r="U388" s="10">
        <v>26862</v>
      </c>
      <c r="V388" s="10">
        <v>28141</v>
      </c>
      <c r="W388" s="10">
        <v>31357</v>
      </c>
      <c r="X388" s="10">
        <v>25789</v>
      </c>
      <c r="Y388" s="10">
        <v>26981</v>
      </c>
      <c r="Z388" s="10">
        <v>28096</v>
      </c>
      <c r="AA388" s="10">
        <v>24174</v>
      </c>
      <c r="AB388" s="26">
        <f t="shared" si="16"/>
        <v>330965</v>
      </c>
      <c r="AC388" s="25">
        <v>94718.66</v>
      </c>
      <c r="AD388" s="10">
        <v>84995.049999999988</v>
      </c>
      <c r="AE388" s="10">
        <v>111648.89</v>
      </c>
      <c r="AF388" s="10">
        <v>125917.15000000001</v>
      </c>
      <c r="AG388" s="10">
        <v>126437.5</v>
      </c>
      <c r="AH388" s="10">
        <v>136428.35</v>
      </c>
      <c r="AI388" s="10">
        <v>140230.95000000001</v>
      </c>
      <c r="AJ388" s="10">
        <v>145118.14999999997</v>
      </c>
      <c r="AK388" s="10">
        <v>144177.74999999997</v>
      </c>
      <c r="AL388" s="10">
        <v>188664.50000000003</v>
      </c>
      <c r="AM388" s="10">
        <v>132307</v>
      </c>
      <c r="AN388" s="10">
        <v>111416.34</v>
      </c>
      <c r="AO388" s="26">
        <f t="shared" si="17"/>
        <v>1542060.29</v>
      </c>
    </row>
    <row r="389" spans="1:41" ht="17.25" customHeight="1" x14ac:dyDescent="0.45">
      <c r="A389" s="2" t="s">
        <v>26</v>
      </c>
      <c r="B389" s="2" t="s">
        <v>13</v>
      </c>
      <c r="C389" s="23">
        <v>16</v>
      </c>
      <c r="D389" s="1">
        <v>13</v>
      </c>
      <c r="E389" s="1">
        <v>22</v>
      </c>
      <c r="F389" s="1">
        <v>17</v>
      </c>
      <c r="G389" s="1">
        <v>16</v>
      </c>
      <c r="H389" s="1">
        <v>16</v>
      </c>
      <c r="I389" s="1">
        <v>22</v>
      </c>
      <c r="J389" s="1">
        <v>21</v>
      </c>
      <c r="K389" s="1">
        <v>37</v>
      </c>
      <c r="L389" s="1">
        <v>41</v>
      </c>
      <c r="M389" s="1">
        <v>48</v>
      </c>
      <c r="N389" s="1">
        <v>49</v>
      </c>
      <c r="O389" s="24">
        <f t="shared" si="15"/>
        <v>318</v>
      </c>
      <c r="P389" s="23">
        <v>3263</v>
      </c>
      <c r="Q389" s="1">
        <v>2469</v>
      </c>
      <c r="R389" s="1">
        <v>3475</v>
      </c>
      <c r="S389" s="1">
        <v>2438</v>
      </c>
      <c r="T389" s="1">
        <v>2376</v>
      </c>
      <c r="U389" s="1">
        <v>2040</v>
      </c>
      <c r="V389" s="1">
        <v>4147</v>
      </c>
      <c r="W389" s="1">
        <v>4230</v>
      </c>
      <c r="X389" s="1">
        <v>3774</v>
      </c>
      <c r="Y389" s="1">
        <v>4024</v>
      </c>
      <c r="Z389" s="1">
        <v>7947</v>
      </c>
      <c r="AA389" s="1">
        <v>6943</v>
      </c>
      <c r="AB389" s="24">
        <f t="shared" si="16"/>
        <v>47126</v>
      </c>
      <c r="AC389" s="23">
        <v>4919.8000000000011</v>
      </c>
      <c r="AD389" s="1">
        <v>3921.5</v>
      </c>
      <c r="AE389" s="1">
        <v>2304.9</v>
      </c>
      <c r="AF389" s="1">
        <v>0</v>
      </c>
      <c r="AG389" s="1">
        <v>0</v>
      </c>
      <c r="AH389" s="1">
        <v>0</v>
      </c>
      <c r="AI389" s="1">
        <v>0</v>
      </c>
      <c r="AJ389" s="1">
        <v>0</v>
      </c>
      <c r="AK389" s="1">
        <v>0</v>
      </c>
      <c r="AL389" s="1">
        <v>0</v>
      </c>
      <c r="AM389" s="1">
        <v>1615.9600000000003</v>
      </c>
      <c r="AN389" s="1">
        <v>1406.25</v>
      </c>
      <c r="AO389" s="24">
        <f t="shared" si="17"/>
        <v>14168.410000000002</v>
      </c>
    </row>
    <row r="390" spans="1:41" ht="17.25" customHeight="1" x14ac:dyDescent="0.45">
      <c r="A390" s="12" t="s">
        <v>26</v>
      </c>
      <c r="B390" s="12" t="s">
        <v>14</v>
      </c>
      <c r="C390" s="25">
        <v>48</v>
      </c>
      <c r="D390" s="10">
        <v>45</v>
      </c>
      <c r="E390" s="10">
        <v>54</v>
      </c>
      <c r="F390" s="10">
        <v>51</v>
      </c>
      <c r="G390" s="10">
        <v>51</v>
      </c>
      <c r="H390" s="10">
        <v>49</v>
      </c>
      <c r="I390" s="10">
        <v>53</v>
      </c>
      <c r="J390" s="10">
        <v>53</v>
      </c>
      <c r="K390" s="10">
        <v>55</v>
      </c>
      <c r="L390" s="10">
        <v>54</v>
      </c>
      <c r="M390" s="10">
        <v>52</v>
      </c>
      <c r="N390" s="10">
        <v>51</v>
      </c>
      <c r="O390" s="26">
        <f t="shared" si="15"/>
        <v>616</v>
      </c>
      <c r="P390" s="25">
        <v>5308</v>
      </c>
      <c r="Q390" s="10">
        <v>4798</v>
      </c>
      <c r="R390" s="10">
        <v>5599</v>
      </c>
      <c r="S390" s="10">
        <v>4730</v>
      </c>
      <c r="T390" s="10">
        <v>4330</v>
      </c>
      <c r="U390" s="10">
        <v>3729</v>
      </c>
      <c r="V390" s="10">
        <v>5388</v>
      </c>
      <c r="W390" s="10">
        <v>5680</v>
      </c>
      <c r="X390" s="10">
        <v>4214</v>
      </c>
      <c r="Y390" s="10">
        <v>3489</v>
      </c>
      <c r="Z390" s="10">
        <v>5702</v>
      </c>
      <c r="AA390" s="10">
        <v>4502</v>
      </c>
      <c r="AB390" s="26">
        <f t="shared" si="16"/>
        <v>57469</v>
      </c>
      <c r="AC390" s="25">
        <v>0</v>
      </c>
      <c r="AD390" s="10">
        <v>0</v>
      </c>
      <c r="AE390" s="10">
        <v>0</v>
      </c>
      <c r="AF390" s="10">
        <v>0</v>
      </c>
      <c r="AG390" s="10">
        <v>0</v>
      </c>
      <c r="AH390" s="10">
        <v>0</v>
      </c>
      <c r="AI390" s="10">
        <v>0</v>
      </c>
      <c r="AJ390" s="10">
        <v>0</v>
      </c>
      <c r="AK390" s="10">
        <v>0</v>
      </c>
      <c r="AL390" s="10">
        <v>0</v>
      </c>
      <c r="AM390" s="10">
        <v>0</v>
      </c>
      <c r="AN390" s="10">
        <v>0</v>
      </c>
      <c r="AO390" s="26">
        <f t="shared" si="17"/>
        <v>0</v>
      </c>
    </row>
    <row r="391" spans="1:41" ht="17.25" customHeight="1" x14ac:dyDescent="0.45">
      <c r="A391" s="2" t="s">
        <v>26</v>
      </c>
      <c r="B391" s="2" t="s">
        <v>15</v>
      </c>
      <c r="C391" s="23">
        <v>100</v>
      </c>
      <c r="D391" s="1">
        <v>91</v>
      </c>
      <c r="E391" s="1">
        <v>100</v>
      </c>
      <c r="F391" s="1">
        <v>92</v>
      </c>
      <c r="G391" s="1">
        <v>96</v>
      </c>
      <c r="H391" s="1">
        <v>88</v>
      </c>
      <c r="I391" s="1">
        <v>96</v>
      </c>
      <c r="J391" s="1">
        <v>97</v>
      </c>
      <c r="K391" s="1">
        <v>80</v>
      </c>
      <c r="L391" s="1">
        <v>93</v>
      </c>
      <c r="M391" s="1">
        <v>94</v>
      </c>
      <c r="N391" s="1">
        <v>96</v>
      </c>
      <c r="O391" s="24">
        <f t="shared" si="15"/>
        <v>1123</v>
      </c>
      <c r="P391" s="23">
        <v>19220</v>
      </c>
      <c r="Q391" s="1">
        <v>15867</v>
      </c>
      <c r="R391" s="1">
        <v>16654</v>
      </c>
      <c r="S391" s="1">
        <v>16337</v>
      </c>
      <c r="T391" s="1">
        <v>16219</v>
      </c>
      <c r="U391" s="1">
        <v>13527</v>
      </c>
      <c r="V391" s="1">
        <v>16762</v>
      </c>
      <c r="W391" s="1">
        <v>17652</v>
      </c>
      <c r="X391" s="1">
        <v>13332</v>
      </c>
      <c r="Y391" s="1">
        <v>13685</v>
      </c>
      <c r="Z391" s="1">
        <v>16214</v>
      </c>
      <c r="AA391" s="1">
        <v>14797</v>
      </c>
      <c r="AB391" s="24">
        <f t="shared" si="16"/>
        <v>190266</v>
      </c>
      <c r="AC391" s="23">
        <v>64637.75</v>
      </c>
      <c r="AD391" s="1">
        <v>54065.100000000013</v>
      </c>
      <c r="AE391" s="1">
        <v>61252.35</v>
      </c>
      <c r="AF391" s="1">
        <v>66788.03</v>
      </c>
      <c r="AG391" s="1">
        <v>67836.899999999994</v>
      </c>
      <c r="AH391" s="1">
        <v>50243.73</v>
      </c>
      <c r="AI391" s="1">
        <v>59204.41</v>
      </c>
      <c r="AJ391" s="1">
        <v>63994.400000000009</v>
      </c>
      <c r="AK391" s="1">
        <v>64384.01999999999</v>
      </c>
      <c r="AL391" s="1">
        <v>135668.1</v>
      </c>
      <c r="AM391" s="1">
        <v>77286.109999999986</v>
      </c>
      <c r="AN391" s="1">
        <v>91666.39999999998</v>
      </c>
      <c r="AO391" s="24">
        <f t="shared" si="17"/>
        <v>857027.3</v>
      </c>
    </row>
    <row r="392" spans="1:41" ht="17.25" customHeight="1" x14ac:dyDescent="0.45">
      <c r="A392" s="12" t="s">
        <v>243</v>
      </c>
      <c r="B392" s="12" t="s">
        <v>53</v>
      </c>
      <c r="C392" s="25">
        <v>0</v>
      </c>
      <c r="D392" s="10">
        <v>0</v>
      </c>
      <c r="E392" s="10">
        <v>0</v>
      </c>
      <c r="F392" s="10">
        <v>0</v>
      </c>
      <c r="G392" s="10">
        <v>0</v>
      </c>
      <c r="H392" s="10">
        <v>0</v>
      </c>
      <c r="I392" s="10">
        <v>0</v>
      </c>
      <c r="J392" s="10">
        <v>0</v>
      </c>
      <c r="K392" s="10">
        <v>1</v>
      </c>
      <c r="L392" s="10">
        <v>0</v>
      </c>
      <c r="M392" s="10">
        <v>0</v>
      </c>
      <c r="N392" s="10">
        <v>0</v>
      </c>
      <c r="O392" s="26">
        <f t="shared" ref="O392:O455" si="18">SUM(C392:N392)</f>
        <v>1</v>
      </c>
      <c r="P392" s="25">
        <v>0</v>
      </c>
      <c r="Q392" s="10">
        <v>0</v>
      </c>
      <c r="R392" s="10">
        <v>0</v>
      </c>
      <c r="S392" s="10">
        <v>0</v>
      </c>
      <c r="T392" s="10">
        <v>0</v>
      </c>
      <c r="U392" s="10">
        <v>0</v>
      </c>
      <c r="V392" s="10">
        <v>0</v>
      </c>
      <c r="W392" s="10">
        <v>0</v>
      </c>
      <c r="X392" s="10">
        <v>33</v>
      </c>
      <c r="Y392" s="10">
        <v>0</v>
      </c>
      <c r="Z392" s="10">
        <v>0</v>
      </c>
      <c r="AA392" s="10">
        <v>0</v>
      </c>
      <c r="AB392" s="26">
        <f t="shared" ref="AB392:AB455" si="19">SUM(P392:AA392)</f>
        <v>33</v>
      </c>
      <c r="AC392" s="25">
        <v>0</v>
      </c>
      <c r="AD392" s="10">
        <v>0</v>
      </c>
      <c r="AE392" s="10">
        <v>0</v>
      </c>
      <c r="AF392" s="10">
        <v>0</v>
      </c>
      <c r="AG392" s="10">
        <v>0</v>
      </c>
      <c r="AH392" s="10">
        <v>0</v>
      </c>
      <c r="AI392" s="10">
        <v>0</v>
      </c>
      <c r="AJ392" s="10">
        <v>0</v>
      </c>
      <c r="AK392" s="10">
        <v>0</v>
      </c>
      <c r="AL392" s="10">
        <v>0</v>
      </c>
      <c r="AM392" s="10">
        <v>0</v>
      </c>
      <c r="AN392" s="10">
        <v>0</v>
      </c>
      <c r="AO392" s="26">
        <f t="shared" ref="AO392:AO455" si="20">SUM(AC392:AN392)</f>
        <v>0</v>
      </c>
    </row>
    <row r="393" spans="1:41" ht="17.25" customHeight="1" x14ac:dyDescent="0.45">
      <c r="A393" s="2" t="s">
        <v>243</v>
      </c>
      <c r="B393" s="2" t="s">
        <v>36</v>
      </c>
      <c r="C393" s="23">
        <v>0</v>
      </c>
      <c r="D393" s="1">
        <v>0</v>
      </c>
      <c r="E393" s="1">
        <v>0</v>
      </c>
      <c r="F393" s="1">
        <v>0</v>
      </c>
      <c r="G393" s="1">
        <v>0</v>
      </c>
      <c r="H393" s="1">
        <v>0</v>
      </c>
      <c r="I393" s="1">
        <v>0</v>
      </c>
      <c r="J393" s="1">
        <v>1</v>
      </c>
      <c r="K393" s="1">
        <v>0</v>
      </c>
      <c r="L393" s="1">
        <v>0</v>
      </c>
      <c r="M393" s="1">
        <v>0</v>
      </c>
      <c r="N393" s="1">
        <v>0</v>
      </c>
      <c r="O393" s="24">
        <f t="shared" si="18"/>
        <v>1</v>
      </c>
      <c r="P393" s="23">
        <v>0</v>
      </c>
      <c r="Q393" s="1">
        <v>0</v>
      </c>
      <c r="R393" s="1">
        <v>0</v>
      </c>
      <c r="S393" s="1">
        <v>0</v>
      </c>
      <c r="T393" s="1">
        <v>0</v>
      </c>
      <c r="U393" s="1">
        <v>0</v>
      </c>
      <c r="V393" s="1">
        <v>0</v>
      </c>
      <c r="W393" s="1">
        <v>6</v>
      </c>
      <c r="X393" s="1">
        <v>0</v>
      </c>
      <c r="Y393" s="1">
        <v>0</v>
      </c>
      <c r="Z393" s="1">
        <v>0</v>
      </c>
      <c r="AA393" s="1">
        <v>0</v>
      </c>
      <c r="AB393" s="24">
        <f t="shared" si="19"/>
        <v>6</v>
      </c>
      <c r="AC393" s="23">
        <v>0</v>
      </c>
      <c r="AD393" s="1">
        <v>0</v>
      </c>
      <c r="AE393" s="1">
        <v>0</v>
      </c>
      <c r="AF393" s="1">
        <v>0</v>
      </c>
      <c r="AG393" s="1">
        <v>0</v>
      </c>
      <c r="AH393" s="1">
        <v>0</v>
      </c>
      <c r="AI393" s="1">
        <v>0</v>
      </c>
      <c r="AJ393" s="1">
        <v>0</v>
      </c>
      <c r="AK393" s="1">
        <v>0</v>
      </c>
      <c r="AL393" s="1">
        <v>0</v>
      </c>
      <c r="AM393" s="1">
        <v>0</v>
      </c>
      <c r="AN393" s="1">
        <v>0</v>
      </c>
      <c r="AO393" s="24">
        <f t="shared" si="20"/>
        <v>0</v>
      </c>
    </row>
    <row r="394" spans="1:41" ht="17.25" customHeight="1" x14ac:dyDescent="0.45">
      <c r="A394" s="12" t="s">
        <v>248</v>
      </c>
      <c r="B394" s="12" t="s">
        <v>31</v>
      </c>
      <c r="C394" s="25">
        <v>12</v>
      </c>
      <c r="D394" s="10">
        <v>0</v>
      </c>
      <c r="E394" s="10">
        <v>0</v>
      </c>
      <c r="F394" s="10">
        <v>0</v>
      </c>
      <c r="G394" s="10">
        <v>0</v>
      </c>
      <c r="H394" s="10">
        <v>0</v>
      </c>
      <c r="I394" s="10">
        <v>0</v>
      </c>
      <c r="J394" s="10">
        <v>0</v>
      </c>
      <c r="K394" s="10">
        <v>0</v>
      </c>
      <c r="L394" s="10">
        <v>0</v>
      </c>
      <c r="M394" s="10">
        <v>0</v>
      </c>
      <c r="N394" s="10">
        <v>0</v>
      </c>
      <c r="O394" s="26">
        <f t="shared" si="18"/>
        <v>12</v>
      </c>
      <c r="P394" s="25">
        <v>45</v>
      </c>
      <c r="Q394" s="10">
        <v>0</v>
      </c>
      <c r="R394" s="10">
        <v>0</v>
      </c>
      <c r="S394" s="10">
        <v>0</v>
      </c>
      <c r="T394" s="10">
        <v>0</v>
      </c>
      <c r="U394" s="10">
        <v>0</v>
      </c>
      <c r="V394" s="10">
        <v>0</v>
      </c>
      <c r="W394" s="10">
        <v>0</v>
      </c>
      <c r="X394" s="10">
        <v>0</v>
      </c>
      <c r="Y394" s="10">
        <v>0</v>
      </c>
      <c r="Z394" s="10">
        <v>0</v>
      </c>
      <c r="AA394" s="10">
        <v>0</v>
      </c>
      <c r="AB394" s="26">
        <f t="shared" si="19"/>
        <v>45</v>
      </c>
      <c r="AC394" s="25">
        <v>0</v>
      </c>
      <c r="AD394" s="10">
        <v>0</v>
      </c>
      <c r="AE394" s="10">
        <v>0</v>
      </c>
      <c r="AF394" s="10">
        <v>0</v>
      </c>
      <c r="AG394" s="10">
        <v>0</v>
      </c>
      <c r="AH394" s="10">
        <v>0</v>
      </c>
      <c r="AI394" s="10">
        <v>0</v>
      </c>
      <c r="AJ394" s="10">
        <v>0</v>
      </c>
      <c r="AK394" s="10">
        <v>0</v>
      </c>
      <c r="AL394" s="10">
        <v>0</v>
      </c>
      <c r="AM394" s="10">
        <v>0</v>
      </c>
      <c r="AN394" s="10">
        <v>0</v>
      </c>
      <c r="AO394" s="26">
        <f t="shared" si="20"/>
        <v>0</v>
      </c>
    </row>
    <row r="395" spans="1:41" ht="17.25" customHeight="1" x14ac:dyDescent="0.45">
      <c r="A395" s="2" t="s">
        <v>248</v>
      </c>
      <c r="B395" s="2" t="s">
        <v>35</v>
      </c>
      <c r="C395" s="23">
        <v>16</v>
      </c>
      <c r="D395" s="1">
        <v>0</v>
      </c>
      <c r="E395" s="1">
        <v>0</v>
      </c>
      <c r="F395" s="1">
        <v>0</v>
      </c>
      <c r="G395" s="1">
        <v>0</v>
      </c>
      <c r="H395" s="1">
        <v>0</v>
      </c>
      <c r="I395" s="1">
        <v>0</v>
      </c>
      <c r="J395" s="1">
        <v>0</v>
      </c>
      <c r="K395" s="1">
        <v>0</v>
      </c>
      <c r="L395" s="1">
        <v>0</v>
      </c>
      <c r="M395" s="1">
        <v>0</v>
      </c>
      <c r="N395" s="1">
        <v>0</v>
      </c>
      <c r="O395" s="24">
        <f t="shared" si="18"/>
        <v>16</v>
      </c>
      <c r="P395" s="23">
        <v>38</v>
      </c>
      <c r="Q395" s="1">
        <v>0</v>
      </c>
      <c r="R395" s="1">
        <v>0</v>
      </c>
      <c r="S395" s="1">
        <v>0</v>
      </c>
      <c r="T395" s="1">
        <v>0</v>
      </c>
      <c r="U395" s="1">
        <v>0</v>
      </c>
      <c r="V395" s="1">
        <v>0</v>
      </c>
      <c r="W395" s="1">
        <v>0</v>
      </c>
      <c r="X395" s="1">
        <v>0</v>
      </c>
      <c r="Y395" s="1">
        <v>0</v>
      </c>
      <c r="Z395" s="1">
        <v>0</v>
      </c>
      <c r="AA395" s="1">
        <v>0</v>
      </c>
      <c r="AB395" s="24">
        <f t="shared" si="19"/>
        <v>38</v>
      </c>
      <c r="AC395" s="23">
        <v>0</v>
      </c>
      <c r="AD395" s="1">
        <v>0</v>
      </c>
      <c r="AE395" s="1">
        <v>0</v>
      </c>
      <c r="AF395" s="1">
        <v>0</v>
      </c>
      <c r="AG395" s="1">
        <v>0</v>
      </c>
      <c r="AH395" s="1">
        <v>0</v>
      </c>
      <c r="AI395" s="1">
        <v>0</v>
      </c>
      <c r="AJ395" s="1">
        <v>0</v>
      </c>
      <c r="AK395" s="1">
        <v>0</v>
      </c>
      <c r="AL395" s="1">
        <v>0</v>
      </c>
      <c r="AM395" s="1">
        <v>0</v>
      </c>
      <c r="AN395" s="1">
        <v>0</v>
      </c>
      <c r="AO395" s="24">
        <f t="shared" si="20"/>
        <v>0</v>
      </c>
    </row>
    <row r="396" spans="1:41" ht="17.25" customHeight="1" x14ac:dyDescent="0.45">
      <c r="A396" s="12" t="s">
        <v>27</v>
      </c>
      <c r="B396" s="12" t="s">
        <v>10</v>
      </c>
      <c r="C396" s="25">
        <v>73</v>
      </c>
      <c r="D396" s="10">
        <v>67</v>
      </c>
      <c r="E396" s="10">
        <v>65</v>
      </c>
      <c r="F396" s="10">
        <v>79</v>
      </c>
      <c r="G396" s="10">
        <v>89</v>
      </c>
      <c r="H396" s="10">
        <v>84</v>
      </c>
      <c r="I396" s="10">
        <v>84</v>
      </c>
      <c r="J396" s="10">
        <v>88</v>
      </c>
      <c r="K396" s="10">
        <v>86</v>
      </c>
      <c r="L396" s="10">
        <v>81</v>
      </c>
      <c r="M396" s="10">
        <v>86</v>
      </c>
      <c r="N396" s="10">
        <v>89</v>
      </c>
      <c r="O396" s="26">
        <f t="shared" si="18"/>
        <v>971</v>
      </c>
      <c r="P396" s="25">
        <v>12890</v>
      </c>
      <c r="Q396" s="10">
        <v>11278</v>
      </c>
      <c r="R396" s="10">
        <v>10834</v>
      </c>
      <c r="S396" s="10">
        <v>13275</v>
      </c>
      <c r="T396" s="10">
        <v>14827</v>
      </c>
      <c r="U396" s="10">
        <v>13662</v>
      </c>
      <c r="V396" s="10">
        <v>14027</v>
      </c>
      <c r="W396" s="10">
        <v>15096</v>
      </c>
      <c r="X396" s="10">
        <v>14372</v>
      </c>
      <c r="Y396" s="10">
        <v>13021</v>
      </c>
      <c r="Z396" s="10">
        <v>14977</v>
      </c>
      <c r="AA396" s="10">
        <v>15863</v>
      </c>
      <c r="AB396" s="26">
        <f t="shared" si="19"/>
        <v>164122</v>
      </c>
      <c r="AC396" s="25">
        <v>20100.019999999997</v>
      </c>
      <c r="AD396" s="10">
        <v>16669.7</v>
      </c>
      <c r="AE396" s="10">
        <v>19425.419999999998</v>
      </c>
      <c r="AF396" s="10">
        <v>15981.82</v>
      </c>
      <c r="AG396" s="10">
        <v>16481</v>
      </c>
      <c r="AH396" s="10">
        <v>10707.729999999998</v>
      </c>
      <c r="AI396" s="10">
        <v>6389.6499999999987</v>
      </c>
      <c r="AJ396" s="10">
        <v>8272.7900000000009</v>
      </c>
      <c r="AK396" s="10">
        <v>12369.899999999998</v>
      </c>
      <c r="AL396" s="10">
        <v>14117</v>
      </c>
      <c r="AM396" s="10">
        <v>6723.6799999999994</v>
      </c>
      <c r="AN396" s="10">
        <v>12809.420000000002</v>
      </c>
      <c r="AO396" s="26">
        <f t="shared" si="20"/>
        <v>160048.12999999998</v>
      </c>
    </row>
    <row r="397" spans="1:41" ht="17.25" customHeight="1" x14ac:dyDescent="0.45">
      <c r="A397" s="2" t="s">
        <v>27</v>
      </c>
      <c r="B397" s="2" t="s">
        <v>19</v>
      </c>
      <c r="C397" s="23">
        <v>15</v>
      </c>
      <c r="D397" s="1">
        <v>14</v>
      </c>
      <c r="E397" s="1">
        <v>2</v>
      </c>
      <c r="F397" s="1">
        <v>9</v>
      </c>
      <c r="G397" s="1">
        <v>18</v>
      </c>
      <c r="H397" s="1">
        <v>16</v>
      </c>
      <c r="I397" s="1">
        <v>18</v>
      </c>
      <c r="J397" s="1">
        <v>17</v>
      </c>
      <c r="K397" s="1">
        <v>15</v>
      </c>
      <c r="L397" s="1">
        <v>18</v>
      </c>
      <c r="M397" s="1">
        <v>17</v>
      </c>
      <c r="N397" s="1">
        <v>16</v>
      </c>
      <c r="O397" s="24">
        <f t="shared" si="18"/>
        <v>175</v>
      </c>
      <c r="P397" s="23">
        <v>0</v>
      </c>
      <c r="Q397" s="1">
        <v>0</v>
      </c>
      <c r="R397" s="1">
        <v>0</v>
      </c>
      <c r="S397" s="1">
        <v>0</v>
      </c>
      <c r="T397" s="1">
        <v>0</v>
      </c>
      <c r="U397" s="1">
        <v>0</v>
      </c>
      <c r="V397" s="1">
        <v>0</v>
      </c>
      <c r="W397" s="1">
        <v>0</v>
      </c>
      <c r="X397" s="1">
        <v>0</v>
      </c>
      <c r="Y397" s="1">
        <v>0</v>
      </c>
      <c r="Z397" s="1">
        <v>0</v>
      </c>
      <c r="AA397" s="1">
        <v>0</v>
      </c>
      <c r="AB397" s="24">
        <f t="shared" si="19"/>
        <v>0</v>
      </c>
      <c r="AC397" s="23">
        <v>52970</v>
      </c>
      <c r="AD397" s="1">
        <v>42254</v>
      </c>
      <c r="AE397" s="1">
        <v>6351</v>
      </c>
      <c r="AF397" s="1">
        <v>27227</v>
      </c>
      <c r="AG397" s="1">
        <v>56691</v>
      </c>
      <c r="AH397" s="1">
        <v>48064</v>
      </c>
      <c r="AI397" s="1">
        <v>57843</v>
      </c>
      <c r="AJ397" s="1">
        <v>46414</v>
      </c>
      <c r="AK397" s="1">
        <v>44765</v>
      </c>
      <c r="AL397" s="1">
        <v>56728</v>
      </c>
      <c r="AM397" s="1">
        <v>68759</v>
      </c>
      <c r="AN397" s="1">
        <v>53415</v>
      </c>
      <c r="AO397" s="24">
        <f t="shared" si="20"/>
        <v>561481</v>
      </c>
    </row>
    <row r="398" spans="1:41" ht="17.25" customHeight="1" x14ac:dyDescent="0.45">
      <c r="A398" s="12" t="s">
        <v>27</v>
      </c>
      <c r="B398" s="12" t="s">
        <v>11</v>
      </c>
      <c r="C398" s="25">
        <v>20</v>
      </c>
      <c r="D398" s="10">
        <v>16</v>
      </c>
      <c r="E398" s="10">
        <v>25</v>
      </c>
      <c r="F398" s="10">
        <v>30</v>
      </c>
      <c r="G398" s="10">
        <v>31</v>
      </c>
      <c r="H398" s="10">
        <v>29</v>
      </c>
      <c r="I398" s="10">
        <v>45</v>
      </c>
      <c r="J398" s="10">
        <v>31</v>
      </c>
      <c r="K398" s="10">
        <v>35</v>
      </c>
      <c r="L398" s="10">
        <v>29</v>
      </c>
      <c r="M398" s="10">
        <v>30</v>
      </c>
      <c r="N398" s="10">
        <v>31</v>
      </c>
      <c r="O398" s="26">
        <f t="shared" si="18"/>
        <v>352</v>
      </c>
      <c r="P398" s="25">
        <v>3307</v>
      </c>
      <c r="Q398" s="10">
        <v>2648</v>
      </c>
      <c r="R398" s="10">
        <v>3734</v>
      </c>
      <c r="S398" s="10">
        <v>4535</v>
      </c>
      <c r="T398" s="10">
        <v>4875</v>
      </c>
      <c r="U398" s="10">
        <v>4354</v>
      </c>
      <c r="V398" s="10">
        <v>6612</v>
      </c>
      <c r="W398" s="10">
        <v>5274</v>
      </c>
      <c r="X398" s="10">
        <v>5781</v>
      </c>
      <c r="Y398" s="10">
        <v>4953</v>
      </c>
      <c r="Z398" s="10">
        <v>4903</v>
      </c>
      <c r="AA398" s="10">
        <v>4968</v>
      </c>
      <c r="AB398" s="26">
        <f t="shared" si="19"/>
        <v>55944</v>
      </c>
      <c r="AC398" s="25">
        <v>0</v>
      </c>
      <c r="AD398" s="10">
        <v>0</v>
      </c>
      <c r="AE398" s="10">
        <v>0</v>
      </c>
      <c r="AF398" s="10">
        <v>0</v>
      </c>
      <c r="AG398" s="10">
        <v>0</v>
      </c>
      <c r="AH398" s="10">
        <v>0</v>
      </c>
      <c r="AI398" s="10">
        <v>0</v>
      </c>
      <c r="AJ398" s="10">
        <v>0</v>
      </c>
      <c r="AK398" s="10">
        <v>0</v>
      </c>
      <c r="AL398" s="10">
        <v>0</v>
      </c>
      <c r="AM398" s="10">
        <v>0</v>
      </c>
      <c r="AN398" s="10">
        <v>0</v>
      </c>
      <c r="AO398" s="26">
        <f t="shared" si="20"/>
        <v>0</v>
      </c>
    </row>
    <row r="399" spans="1:41" ht="17.25" customHeight="1" x14ac:dyDescent="0.45">
      <c r="A399" s="2" t="s">
        <v>27</v>
      </c>
      <c r="B399" s="2" t="s">
        <v>23</v>
      </c>
      <c r="C399" s="23">
        <v>12</v>
      </c>
      <c r="D399" s="1">
        <v>13</v>
      </c>
      <c r="E399" s="1">
        <v>12</v>
      </c>
      <c r="F399" s="1">
        <v>13</v>
      </c>
      <c r="G399" s="1">
        <v>13</v>
      </c>
      <c r="H399" s="1">
        <v>13</v>
      </c>
      <c r="I399" s="1">
        <v>12</v>
      </c>
      <c r="J399" s="1">
        <v>14</v>
      </c>
      <c r="K399" s="1">
        <v>12</v>
      </c>
      <c r="L399" s="1">
        <v>18</v>
      </c>
      <c r="M399" s="1">
        <v>13</v>
      </c>
      <c r="N399" s="1">
        <v>13</v>
      </c>
      <c r="O399" s="24">
        <f t="shared" si="18"/>
        <v>158</v>
      </c>
      <c r="P399" s="23">
        <v>2155</v>
      </c>
      <c r="Q399" s="1">
        <v>2275</v>
      </c>
      <c r="R399" s="1">
        <v>2183</v>
      </c>
      <c r="S399" s="1">
        <v>1838</v>
      </c>
      <c r="T399" s="1">
        <v>1997</v>
      </c>
      <c r="U399" s="1">
        <v>2026</v>
      </c>
      <c r="V399" s="1">
        <v>2003</v>
      </c>
      <c r="W399" s="1">
        <v>2391</v>
      </c>
      <c r="X399" s="1">
        <v>1952</v>
      </c>
      <c r="Y399" s="1">
        <v>2724</v>
      </c>
      <c r="Z399" s="1">
        <v>2155</v>
      </c>
      <c r="AA399" s="1">
        <v>2152</v>
      </c>
      <c r="AB399" s="24">
        <f t="shared" si="19"/>
        <v>25851</v>
      </c>
      <c r="AC399" s="23">
        <v>0</v>
      </c>
      <c r="AD399" s="1">
        <v>0</v>
      </c>
      <c r="AE399" s="1">
        <v>0</v>
      </c>
      <c r="AF399" s="1">
        <v>0</v>
      </c>
      <c r="AG399" s="1">
        <v>0</v>
      </c>
      <c r="AH399" s="1">
        <v>0</v>
      </c>
      <c r="AI399" s="1">
        <v>0</v>
      </c>
      <c r="AJ399" s="1">
        <v>0</v>
      </c>
      <c r="AK399" s="1">
        <v>0</v>
      </c>
      <c r="AL399" s="1">
        <v>0</v>
      </c>
      <c r="AM399" s="1">
        <v>0</v>
      </c>
      <c r="AN399" s="1">
        <v>0</v>
      </c>
      <c r="AO399" s="24">
        <f t="shared" si="20"/>
        <v>0</v>
      </c>
    </row>
    <row r="400" spans="1:41" ht="17.25" customHeight="1" x14ac:dyDescent="0.45">
      <c r="A400" s="12" t="s">
        <v>27</v>
      </c>
      <c r="B400" s="12" t="s">
        <v>13</v>
      </c>
      <c r="C400" s="25">
        <v>48</v>
      </c>
      <c r="D400" s="10">
        <v>40</v>
      </c>
      <c r="E400" s="10">
        <v>51</v>
      </c>
      <c r="F400" s="10">
        <v>60</v>
      </c>
      <c r="G400" s="10">
        <v>61</v>
      </c>
      <c r="H400" s="10">
        <v>57</v>
      </c>
      <c r="I400" s="10">
        <v>63</v>
      </c>
      <c r="J400" s="10">
        <v>59</v>
      </c>
      <c r="K400" s="10">
        <v>52</v>
      </c>
      <c r="L400" s="10">
        <v>49</v>
      </c>
      <c r="M400" s="10">
        <v>52</v>
      </c>
      <c r="N400" s="10">
        <v>60</v>
      </c>
      <c r="O400" s="26">
        <f t="shared" si="18"/>
        <v>652</v>
      </c>
      <c r="P400" s="25">
        <v>9103</v>
      </c>
      <c r="Q400" s="10">
        <v>7085</v>
      </c>
      <c r="R400" s="10">
        <v>8158</v>
      </c>
      <c r="S400" s="10">
        <v>9262</v>
      </c>
      <c r="T400" s="10">
        <v>9565</v>
      </c>
      <c r="U400" s="10">
        <v>9023</v>
      </c>
      <c r="V400" s="10">
        <v>10343</v>
      </c>
      <c r="W400" s="10">
        <v>9750</v>
      </c>
      <c r="X400" s="10">
        <v>8655</v>
      </c>
      <c r="Y400" s="10">
        <v>8112</v>
      </c>
      <c r="Z400" s="10">
        <v>9538</v>
      </c>
      <c r="AA400" s="10">
        <v>9577</v>
      </c>
      <c r="AB400" s="26">
        <f t="shared" si="19"/>
        <v>108171</v>
      </c>
      <c r="AC400" s="25">
        <v>106.6</v>
      </c>
      <c r="AD400" s="10">
        <v>0</v>
      </c>
      <c r="AE400" s="10">
        <v>0</v>
      </c>
      <c r="AF400" s="10">
        <v>0</v>
      </c>
      <c r="AG400" s="10">
        <v>0</v>
      </c>
      <c r="AH400" s="10">
        <v>0</v>
      </c>
      <c r="AI400" s="10">
        <v>0</v>
      </c>
      <c r="AJ400" s="10">
        <v>0</v>
      </c>
      <c r="AK400" s="10">
        <v>0</v>
      </c>
      <c r="AL400" s="10">
        <v>0</v>
      </c>
      <c r="AM400" s="10">
        <v>0</v>
      </c>
      <c r="AN400" s="10">
        <v>0</v>
      </c>
      <c r="AO400" s="26">
        <f t="shared" si="20"/>
        <v>106.6</v>
      </c>
    </row>
    <row r="401" spans="1:41" ht="17.25" customHeight="1" x14ac:dyDescent="0.45">
      <c r="A401" s="2" t="s">
        <v>27</v>
      </c>
      <c r="B401" s="2" t="s">
        <v>30</v>
      </c>
      <c r="C401" s="23">
        <v>16</v>
      </c>
      <c r="D401" s="1">
        <v>14</v>
      </c>
      <c r="E401" s="1">
        <v>4</v>
      </c>
      <c r="F401" s="1">
        <v>9</v>
      </c>
      <c r="G401" s="1">
        <v>18</v>
      </c>
      <c r="H401" s="1">
        <v>15</v>
      </c>
      <c r="I401" s="1">
        <v>18</v>
      </c>
      <c r="J401" s="1">
        <v>18</v>
      </c>
      <c r="K401" s="1">
        <v>15</v>
      </c>
      <c r="L401" s="1">
        <v>18</v>
      </c>
      <c r="M401" s="1">
        <v>17</v>
      </c>
      <c r="N401" s="1">
        <v>16</v>
      </c>
      <c r="O401" s="24">
        <f t="shared" si="18"/>
        <v>178</v>
      </c>
      <c r="P401" s="23">
        <v>0</v>
      </c>
      <c r="Q401" s="1">
        <v>0</v>
      </c>
      <c r="R401" s="1">
        <v>0</v>
      </c>
      <c r="S401" s="1">
        <v>0</v>
      </c>
      <c r="T401" s="1">
        <v>0</v>
      </c>
      <c r="U401" s="1">
        <v>0</v>
      </c>
      <c r="V401" s="1">
        <v>0</v>
      </c>
      <c r="W401" s="1">
        <v>0</v>
      </c>
      <c r="X401" s="1">
        <v>0</v>
      </c>
      <c r="Y401" s="1">
        <v>0</v>
      </c>
      <c r="Z401" s="1">
        <v>0</v>
      </c>
      <c r="AA401" s="1">
        <v>0</v>
      </c>
      <c r="AB401" s="24">
        <f t="shared" si="19"/>
        <v>0</v>
      </c>
      <c r="AC401" s="23">
        <v>97860</v>
      </c>
      <c r="AD401" s="1">
        <v>82973</v>
      </c>
      <c r="AE401" s="1">
        <v>23423</v>
      </c>
      <c r="AF401" s="1">
        <v>50939</v>
      </c>
      <c r="AG401" s="1">
        <v>122129</v>
      </c>
      <c r="AH401" s="1">
        <v>91562</v>
      </c>
      <c r="AI401" s="1">
        <v>85885</v>
      </c>
      <c r="AJ401" s="1">
        <v>94139</v>
      </c>
      <c r="AK401" s="1">
        <v>87382</v>
      </c>
      <c r="AL401" s="1">
        <v>104118</v>
      </c>
      <c r="AM401" s="1">
        <v>105130</v>
      </c>
      <c r="AN401" s="1">
        <v>104313</v>
      </c>
      <c r="AO401" s="24">
        <f t="shared" si="20"/>
        <v>1049853</v>
      </c>
    </row>
    <row r="402" spans="1:41" ht="17.25" customHeight="1" x14ac:dyDescent="0.45">
      <c r="A402" s="12" t="s">
        <v>27</v>
      </c>
      <c r="B402" s="12" t="s">
        <v>14</v>
      </c>
      <c r="C402" s="25">
        <v>0</v>
      </c>
      <c r="D402" s="10">
        <v>0</v>
      </c>
      <c r="E402" s="10">
        <v>0</v>
      </c>
      <c r="F402" s="10">
        <v>0</v>
      </c>
      <c r="G402" s="10">
        <v>0</v>
      </c>
      <c r="H402" s="10">
        <v>1</v>
      </c>
      <c r="I402" s="10">
        <v>0</v>
      </c>
      <c r="J402" s="10">
        <v>2</v>
      </c>
      <c r="K402" s="10">
        <v>0</v>
      </c>
      <c r="L402" s="10">
        <v>0</v>
      </c>
      <c r="M402" s="10">
        <v>0</v>
      </c>
      <c r="N402" s="10">
        <v>0</v>
      </c>
      <c r="O402" s="26">
        <f t="shared" si="18"/>
        <v>3</v>
      </c>
      <c r="P402" s="25">
        <v>0</v>
      </c>
      <c r="Q402" s="10">
        <v>0</v>
      </c>
      <c r="R402" s="10">
        <v>0</v>
      </c>
      <c r="S402" s="10">
        <v>0</v>
      </c>
      <c r="T402" s="10">
        <v>0</v>
      </c>
      <c r="U402" s="10">
        <v>0</v>
      </c>
      <c r="V402" s="10">
        <v>0</v>
      </c>
      <c r="W402" s="10">
        <v>0</v>
      </c>
      <c r="X402" s="10">
        <v>0</v>
      </c>
      <c r="Y402" s="10">
        <v>0</v>
      </c>
      <c r="Z402" s="10">
        <v>0</v>
      </c>
      <c r="AA402" s="10">
        <v>0</v>
      </c>
      <c r="AB402" s="26">
        <f t="shared" si="19"/>
        <v>0</v>
      </c>
      <c r="AC402" s="25">
        <v>0</v>
      </c>
      <c r="AD402" s="10">
        <v>0</v>
      </c>
      <c r="AE402" s="10">
        <v>0</v>
      </c>
      <c r="AF402" s="10">
        <v>0</v>
      </c>
      <c r="AG402" s="10">
        <v>0</v>
      </c>
      <c r="AH402" s="10">
        <v>6068</v>
      </c>
      <c r="AI402" s="10">
        <v>0</v>
      </c>
      <c r="AJ402" s="10">
        <v>1742</v>
      </c>
      <c r="AK402" s="10">
        <v>0</v>
      </c>
      <c r="AL402" s="10">
        <v>0</v>
      </c>
      <c r="AM402" s="10">
        <v>0</v>
      </c>
      <c r="AN402" s="10">
        <v>0</v>
      </c>
      <c r="AO402" s="26">
        <f t="shared" si="20"/>
        <v>7810</v>
      </c>
    </row>
    <row r="403" spans="1:41" ht="17.25" customHeight="1" x14ac:dyDescent="0.45">
      <c r="A403" s="2" t="s">
        <v>27</v>
      </c>
      <c r="B403" s="2" t="s">
        <v>15</v>
      </c>
      <c r="C403" s="23">
        <v>86</v>
      </c>
      <c r="D403" s="1">
        <v>85</v>
      </c>
      <c r="E403" s="1">
        <v>89</v>
      </c>
      <c r="F403" s="1">
        <v>88</v>
      </c>
      <c r="G403" s="1">
        <v>93</v>
      </c>
      <c r="H403" s="1">
        <v>86</v>
      </c>
      <c r="I403" s="1">
        <v>91</v>
      </c>
      <c r="J403" s="1">
        <v>93</v>
      </c>
      <c r="K403" s="1">
        <v>85</v>
      </c>
      <c r="L403" s="1">
        <v>82</v>
      </c>
      <c r="M403" s="1">
        <v>89</v>
      </c>
      <c r="N403" s="1">
        <v>90</v>
      </c>
      <c r="O403" s="24">
        <f t="shared" si="18"/>
        <v>1057</v>
      </c>
      <c r="P403" s="23">
        <v>16647</v>
      </c>
      <c r="Q403" s="1">
        <v>15625</v>
      </c>
      <c r="R403" s="1">
        <v>15872</v>
      </c>
      <c r="S403" s="1">
        <v>16459</v>
      </c>
      <c r="T403" s="1">
        <v>16602</v>
      </c>
      <c r="U403" s="1">
        <v>15090</v>
      </c>
      <c r="V403" s="1">
        <v>16803</v>
      </c>
      <c r="W403" s="1">
        <v>17690</v>
      </c>
      <c r="X403" s="1">
        <v>15769</v>
      </c>
      <c r="Y403" s="1">
        <v>14796</v>
      </c>
      <c r="Z403" s="1">
        <v>16150</v>
      </c>
      <c r="AA403" s="1">
        <v>15044</v>
      </c>
      <c r="AB403" s="24">
        <f t="shared" si="19"/>
        <v>192547</v>
      </c>
      <c r="AC403" s="23">
        <v>47794.279999999992</v>
      </c>
      <c r="AD403" s="1">
        <v>45132.530000000006</v>
      </c>
      <c r="AE403" s="1">
        <v>56352.549999999996</v>
      </c>
      <c r="AF403" s="1">
        <v>68538.460000000006</v>
      </c>
      <c r="AG403" s="1">
        <v>62692</v>
      </c>
      <c r="AH403" s="1">
        <v>53914.84</v>
      </c>
      <c r="AI403" s="1">
        <v>64781.45</v>
      </c>
      <c r="AJ403" s="1">
        <v>63156.749999999993</v>
      </c>
      <c r="AK403" s="1">
        <v>60669.499999999993</v>
      </c>
      <c r="AL403" s="1">
        <v>65159</v>
      </c>
      <c r="AM403" s="1">
        <v>70365.749999999971</v>
      </c>
      <c r="AN403" s="1">
        <v>68126.8</v>
      </c>
      <c r="AO403" s="24">
        <f t="shared" si="20"/>
        <v>726683.91000000015</v>
      </c>
    </row>
    <row r="404" spans="1:41" ht="17.25" customHeight="1" x14ac:dyDescent="0.45">
      <c r="A404" s="12" t="s">
        <v>49</v>
      </c>
      <c r="B404" s="12" t="s">
        <v>11</v>
      </c>
      <c r="C404" s="25">
        <v>18</v>
      </c>
      <c r="D404" s="10">
        <v>16</v>
      </c>
      <c r="E404" s="10">
        <v>20</v>
      </c>
      <c r="F404" s="10">
        <v>18</v>
      </c>
      <c r="G404" s="10">
        <v>18</v>
      </c>
      <c r="H404" s="10">
        <v>17</v>
      </c>
      <c r="I404" s="10">
        <v>18</v>
      </c>
      <c r="J404" s="10">
        <v>17</v>
      </c>
      <c r="K404" s="10">
        <v>17</v>
      </c>
      <c r="L404" s="10">
        <v>17</v>
      </c>
      <c r="M404" s="10">
        <v>17</v>
      </c>
      <c r="N404" s="10">
        <v>31</v>
      </c>
      <c r="O404" s="26">
        <f t="shared" si="18"/>
        <v>224</v>
      </c>
      <c r="P404" s="25">
        <v>2947</v>
      </c>
      <c r="Q404" s="10">
        <v>2517</v>
      </c>
      <c r="R404" s="10">
        <v>2879</v>
      </c>
      <c r="S404" s="10">
        <v>3279</v>
      </c>
      <c r="T404" s="10">
        <v>3311</v>
      </c>
      <c r="U404" s="10">
        <v>3088</v>
      </c>
      <c r="V404" s="10">
        <v>3247</v>
      </c>
      <c r="W404" s="10">
        <v>3381</v>
      </c>
      <c r="X404" s="10">
        <v>2903</v>
      </c>
      <c r="Y404" s="10">
        <v>2929</v>
      </c>
      <c r="Z404" s="10">
        <v>3391</v>
      </c>
      <c r="AA404" s="10">
        <v>4830</v>
      </c>
      <c r="AB404" s="26">
        <f t="shared" si="19"/>
        <v>38702</v>
      </c>
      <c r="AC404" s="25">
        <v>0</v>
      </c>
      <c r="AD404" s="10">
        <v>0</v>
      </c>
      <c r="AE404" s="10">
        <v>0</v>
      </c>
      <c r="AF404" s="10">
        <v>0</v>
      </c>
      <c r="AG404" s="10">
        <v>0</v>
      </c>
      <c r="AH404" s="10">
        <v>0</v>
      </c>
      <c r="AI404" s="10">
        <v>0</v>
      </c>
      <c r="AJ404" s="10">
        <v>0</v>
      </c>
      <c r="AK404" s="10">
        <v>0</v>
      </c>
      <c r="AL404" s="10">
        <v>0</v>
      </c>
      <c r="AM404" s="10">
        <v>0</v>
      </c>
      <c r="AN404" s="10">
        <v>0</v>
      </c>
      <c r="AO404" s="26">
        <f t="shared" si="20"/>
        <v>0</v>
      </c>
    </row>
    <row r="405" spans="1:41" ht="17.25" customHeight="1" x14ac:dyDescent="0.45">
      <c r="A405" s="2" t="s">
        <v>49</v>
      </c>
      <c r="B405" s="2" t="s">
        <v>23</v>
      </c>
      <c r="C405" s="23">
        <v>0</v>
      </c>
      <c r="D405" s="1">
        <v>0</v>
      </c>
      <c r="E405" s="1">
        <v>0</v>
      </c>
      <c r="F405" s="1">
        <v>0</v>
      </c>
      <c r="G405" s="1">
        <v>0</v>
      </c>
      <c r="H405" s="1">
        <v>0</v>
      </c>
      <c r="I405" s="1">
        <v>0</v>
      </c>
      <c r="J405" s="1">
        <v>0</v>
      </c>
      <c r="K405" s="1">
        <v>27</v>
      </c>
      <c r="L405" s="1">
        <v>28</v>
      </c>
      <c r="M405" s="1">
        <v>29</v>
      </c>
      <c r="N405" s="1">
        <v>27</v>
      </c>
      <c r="O405" s="24">
        <f t="shared" si="18"/>
        <v>111</v>
      </c>
      <c r="P405" s="23">
        <v>0</v>
      </c>
      <c r="Q405" s="1">
        <v>0</v>
      </c>
      <c r="R405" s="1">
        <v>0</v>
      </c>
      <c r="S405" s="1">
        <v>0</v>
      </c>
      <c r="T405" s="1">
        <v>0</v>
      </c>
      <c r="U405" s="1">
        <v>0</v>
      </c>
      <c r="V405" s="1">
        <v>0</v>
      </c>
      <c r="W405" s="1">
        <v>0</v>
      </c>
      <c r="X405" s="1">
        <v>167</v>
      </c>
      <c r="Y405" s="1">
        <v>178</v>
      </c>
      <c r="Z405" s="1">
        <v>297</v>
      </c>
      <c r="AA405" s="1">
        <v>93</v>
      </c>
      <c r="AB405" s="24">
        <f t="shared" si="19"/>
        <v>735</v>
      </c>
      <c r="AC405" s="23">
        <v>0</v>
      </c>
      <c r="AD405" s="1">
        <v>0</v>
      </c>
      <c r="AE405" s="1">
        <v>0</v>
      </c>
      <c r="AF405" s="1">
        <v>0</v>
      </c>
      <c r="AG405" s="1">
        <v>0</v>
      </c>
      <c r="AH405" s="1">
        <v>0</v>
      </c>
      <c r="AI405" s="1">
        <v>0</v>
      </c>
      <c r="AJ405" s="1">
        <v>0</v>
      </c>
      <c r="AK405" s="1">
        <v>0</v>
      </c>
      <c r="AL405" s="1">
        <v>0</v>
      </c>
      <c r="AM405" s="1">
        <v>0</v>
      </c>
      <c r="AN405" s="1">
        <v>0</v>
      </c>
      <c r="AO405" s="24">
        <f t="shared" si="20"/>
        <v>0</v>
      </c>
    </row>
    <row r="406" spans="1:41" ht="17.25" customHeight="1" x14ac:dyDescent="0.45">
      <c r="A406" s="12" t="s">
        <v>49</v>
      </c>
      <c r="B406" s="12" t="s">
        <v>12</v>
      </c>
      <c r="C406" s="25">
        <v>163</v>
      </c>
      <c r="D406" s="10">
        <v>135</v>
      </c>
      <c r="E406" s="10">
        <v>147</v>
      </c>
      <c r="F406" s="10">
        <v>152</v>
      </c>
      <c r="G406" s="10">
        <v>162</v>
      </c>
      <c r="H406" s="10">
        <v>157</v>
      </c>
      <c r="I406" s="10">
        <v>167</v>
      </c>
      <c r="J406" s="10">
        <v>166</v>
      </c>
      <c r="K406" s="10">
        <v>147</v>
      </c>
      <c r="L406" s="10">
        <v>149</v>
      </c>
      <c r="M406" s="10">
        <v>112</v>
      </c>
      <c r="N406" s="10">
        <v>122</v>
      </c>
      <c r="O406" s="26">
        <f t="shared" si="18"/>
        <v>1779</v>
      </c>
      <c r="P406" s="25">
        <v>27356</v>
      </c>
      <c r="Q406" s="10">
        <v>20279</v>
      </c>
      <c r="R406" s="10">
        <v>21569</v>
      </c>
      <c r="S406" s="10">
        <v>22744</v>
      </c>
      <c r="T406" s="10">
        <v>24410</v>
      </c>
      <c r="U406" s="10">
        <v>22431</v>
      </c>
      <c r="V406" s="10">
        <v>23917</v>
      </c>
      <c r="W406" s="10">
        <v>24544</v>
      </c>
      <c r="X406" s="10">
        <v>19279</v>
      </c>
      <c r="Y406" s="10">
        <v>19088</v>
      </c>
      <c r="Z406" s="10">
        <v>21017</v>
      </c>
      <c r="AA406" s="10">
        <v>20929</v>
      </c>
      <c r="AB406" s="26">
        <f t="shared" si="19"/>
        <v>267563</v>
      </c>
      <c r="AC406" s="25">
        <v>0</v>
      </c>
      <c r="AD406" s="10">
        <v>10</v>
      </c>
      <c r="AE406" s="10">
        <v>0</v>
      </c>
      <c r="AF406" s="10">
        <v>363</v>
      </c>
      <c r="AG406" s="10">
        <v>0</v>
      </c>
      <c r="AH406" s="10">
        <v>0</v>
      </c>
      <c r="AI406" s="10">
        <v>9</v>
      </c>
      <c r="AJ406" s="10">
        <v>0</v>
      </c>
      <c r="AK406" s="10">
        <v>0</v>
      </c>
      <c r="AL406" s="10">
        <v>0</v>
      </c>
      <c r="AM406" s="10">
        <v>2</v>
      </c>
      <c r="AN406" s="10">
        <v>0</v>
      </c>
      <c r="AO406" s="26">
        <f t="shared" si="20"/>
        <v>384</v>
      </c>
    </row>
    <row r="407" spans="1:41" ht="17.25" customHeight="1" x14ac:dyDescent="0.45">
      <c r="A407" s="2" t="s">
        <v>49</v>
      </c>
      <c r="B407" s="2" t="s">
        <v>13</v>
      </c>
      <c r="C407" s="23">
        <v>10</v>
      </c>
      <c r="D407" s="1">
        <v>8</v>
      </c>
      <c r="E407" s="1">
        <v>10</v>
      </c>
      <c r="F407" s="1">
        <v>9</v>
      </c>
      <c r="G407" s="1">
        <v>9</v>
      </c>
      <c r="H407" s="1">
        <v>8</v>
      </c>
      <c r="I407" s="1">
        <v>14</v>
      </c>
      <c r="J407" s="1">
        <v>13</v>
      </c>
      <c r="K407" s="1">
        <v>9</v>
      </c>
      <c r="L407" s="1">
        <v>8</v>
      </c>
      <c r="M407" s="1">
        <v>9</v>
      </c>
      <c r="N407" s="1">
        <v>9</v>
      </c>
      <c r="O407" s="24">
        <f t="shared" si="18"/>
        <v>116</v>
      </c>
      <c r="P407" s="23">
        <v>2016</v>
      </c>
      <c r="Q407" s="1">
        <v>1345</v>
      </c>
      <c r="R407" s="1">
        <v>1657</v>
      </c>
      <c r="S407" s="1">
        <v>1559</v>
      </c>
      <c r="T407" s="1">
        <v>1846</v>
      </c>
      <c r="U407" s="1">
        <v>1478</v>
      </c>
      <c r="V407" s="1">
        <v>2390</v>
      </c>
      <c r="W407" s="1">
        <v>2432</v>
      </c>
      <c r="X407" s="1">
        <v>1505</v>
      </c>
      <c r="Y407" s="1">
        <v>1414</v>
      </c>
      <c r="Z407" s="1">
        <v>1560</v>
      </c>
      <c r="AA407" s="1">
        <v>1492</v>
      </c>
      <c r="AB407" s="24">
        <f t="shared" si="19"/>
        <v>20694</v>
      </c>
      <c r="AC407" s="23">
        <v>0</v>
      </c>
      <c r="AD407" s="1">
        <v>0</v>
      </c>
      <c r="AE407" s="1">
        <v>0</v>
      </c>
      <c r="AF407" s="1">
        <v>0</v>
      </c>
      <c r="AG407" s="1">
        <v>0</v>
      </c>
      <c r="AH407" s="1">
        <v>0</v>
      </c>
      <c r="AI407" s="1">
        <v>0</v>
      </c>
      <c r="AJ407" s="1">
        <v>0</v>
      </c>
      <c r="AK407" s="1">
        <v>0</v>
      </c>
      <c r="AL407" s="1">
        <v>0</v>
      </c>
      <c r="AM407" s="1">
        <v>0</v>
      </c>
      <c r="AN407" s="1">
        <v>0</v>
      </c>
      <c r="AO407" s="24">
        <f t="shared" si="20"/>
        <v>0</v>
      </c>
    </row>
    <row r="408" spans="1:41" ht="17.25" customHeight="1" x14ac:dyDescent="0.45">
      <c r="A408" s="12" t="s">
        <v>49</v>
      </c>
      <c r="B408" s="12" t="s">
        <v>14</v>
      </c>
      <c r="C408" s="25">
        <v>41</v>
      </c>
      <c r="D408" s="10">
        <v>42</v>
      </c>
      <c r="E408" s="10">
        <v>52</v>
      </c>
      <c r="F408" s="10">
        <v>56</v>
      </c>
      <c r="G408" s="10">
        <v>58</v>
      </c>
      <c r="H408" s="10">
        <v>52</v>
      </c>
      <c r="I408" s="10">
        <v>55</v>
      </c>
      <c r="J408" s="10">
        <v>56</v>
      </c>
      <c r="K408" s="10">
        <v>54</v>
      </c>
      <c r="L408" s="10">
        <v>59</v>
      </c>
      <c r="M408" s="10">
        <v>60</v>
      </c>
      <c r="N408" s="10">
        <v>52</v>
      </c>
      <c r="O408" s="26">
        <f t="shared" si="18"/>
        <v>637</v>
      </c>
      <c r="P408" s="25">
        <v>7963</v>
      </c>
      <c r="Q408" s="10">
        <v>7768</v>
      </c>
      <c r="R408" s="10">
        <v>8790</v>
      </c>
      <c r="S408" s="10">
        <v>9351</v>
      </c>
      <c r="T408" s="10">
        <v>8780</v>
      </c>
      <c r="U408" s="10">
        <v>7960</v>
      </c>
      <c r="V408" s="10">
        <v>8501</v>
      </c>
      <c r="W408" s="10">
        <v>8428</v>
      </c>
      <c r="X408" s="10">
        <v>6779</v>
      </c>
      <c r="Y408" s="10">
        <v>6446</v>
      </c>
      <c r="Z408" s="10">
        <v>9242</v>
      </c>
      <c r="AA408" s="10">
        <v>7952</v>
      </c>
      <c r="AB408" s="26">
        <f t="shared" si="19"/>
        <v>97960</v>
      </c>
      <c r="AC408" s="25">
        <v>0</v>
      </c>
      <c r="AD408" s="10">
        <v>0</v>
      </c>
      <c r="AE408" s="10">
        <v>0</v>
      </c>
      <c r="AF408" s="10">
        <v>0</v>
      </c>
      <c r="AG408" s="10">
        <v>0</v>
      </c>
      <c r="AH408" s="10">
        <v>0</v>
      </c>
      <c r="AI408" s="10">
        <v>0</v>
      </c>
      <c r="AJ408" s="10">
        <v>0</v>
      </c>
      <c r="AK408" s="10">
        <v>0</v>
      </c>
      <c r="AL408" s="10">
        <v>0</v>
      </c>
      <c r="AM408" s="10">
        <v>0</v>
      </c>
      <c r="AN408" s="10">
        <v>0</v>
      </c>
      <c r="AO408" s="26">
        <f t="shared" si="20"/>
        <v>0</v>
      </c>
    </row>
    <row r="409" spans="1:41" ht="17.25" customHeight="1" x14ac:dyDescent="0.45">
      <c r="A409" s="2" t="s">
        <v>49</v>
      </c>
      <c r="B409" s="2" t="s">
        <v>15</v>
      </c>
      <c r="C409" s="23">
        <v>2</v>
      </c>
      <c r="D409" s="1">
        <v>0</v>
      </c>
      <c r="E409" s="1">
        <v>0</v>
      </c>
      <c r="F409" s="1">
        <v>0</v>
      </c>
      <c r="G409" s="1">
        <v>0</v>
      </c>
      <c r="H409" s="1">
        <v>0</v>
      </c>
      <c r="I409" s="1">
        <v>0</v>
      </c>
      <c r="J409" s="1">
        <v>0</v>
      </c>
      <c r="K409" s="1">
        <v>0</v>
      </c>
      <c r="L409" s="1">
        <v>0</v>
      </c>
      <c r="M409" s="1">
        <v>0</v>
      </c>
      <c r="N409" s="1">
        <v>0</v>
      </c>
      <c r="O409" s="24">
        <f t="shared" si="18"/>
        <v>2</v>
      </c>
      <c r="P409" s="23">
        <v>353</v>
      </c>
      <c r="Q409" s="1">
        <v>0</v>
      </c>
      <c r="R409" s="1">
        <v>0</v>
      </c>
      <c r="S409" s="1">
        <v>0</v>
      </c>
      <c r="T409" s="1">
        <v>0</v>
      </c>
      <c r="U409" s="1">
        <v>0</v>
      </c>
      <c r="V409" s="1">
        <v>0</v>
      </c>
      <c r="W409" s="1">
        <v>0</v>
      </c>
      <c r="X409" s="1">
        <v>0</v>
      </c>
      <c r="Y409" s="1">
        <v>0</v>
      </c>
      <c r="Z409" s="1">
        <v>0</v>
      </c>
      <c r="AA409" s="1">
        <v>0</v>
      </c>
      <c r="AB409" s="24">
        <f t="shared" si="19"/>
        <v>353</v>
      </c>
      <c r="AC409" s="23">
        <v>0</v>
      </c>
      <c r="AD409" s="1">
        <v>0</v>
      </c>
      <c r="AE409" s="1">
        <v>0</v>
      </c>
      <c r="AF409" s="1">
        <v>0</v>
      </c>
      <c r="AG409" s="1">
        <v>0</v>
      </c>
      <c r="AH409" s="1">
        <v>0</v>
      </c>
      <c r="AI409" s="1">
        <v>0</v>
      </c>
      <c r="AJ409" s="1">
        <v>0</v>
      </c>
      <c r="AK409" s="1">
        <v>0</v>
      </c>
      <c r="AL409" s="1">
        <v>0</v>
      </c>
      <c r="AM409" s="1">
        <v>0</v>
      </c>
      <c r="AN409" s="1">
        <v>0</v>
      </c>
      <c r="AO409" s="24">
        <f t="shared" si="20"/>
        <v>0</v>
      </c>
    </row>
    <row r="410" spans="1:41" ht="17.25" customHeight="1" x14ac:dyDescent="0.45">
      <c r="A410" s="12" t="s">
        <v>17</v>
      </c>
      <c r="B410" s="12" t="s">
        <v>16</v>
      </c>
      <c r="C410" s="25">
        <v>17</v>
      </c>
      <c r="D410" s="10">
        <v>15</v>
      </c>
      <c r="E410" s="10">
        <v>16</v>
      </c>
      <c r="F410" s="10">
        <v>17</v>
      </c>
      <c r="G410" s="10">
        <v>11</v>
      </c>
      <c r="H410" s="10">
        <v>8</v>
      </c>
      <c r="I410" s="10">
        <v>14</v>
      </c>
      <c r="J410" s="10">
        <v>19</v>
      </c>
      <c r="K410" s="10">
        <v>15</v>
      </c>
      <c r="L410" s="10">
        <v>18</v>
      </c>
      <c r="M410" s="10">
        <v>25</v>
      </c>
      <c r="N410" s="10">
        <v>26</v>
      </c>
      <c r="O410" s="26">
        <f t="shared" si="18"/>
        <v>201</v>
      </c>
      <c r="P410" s="25">
        <v>636</v>
      </c>
      <c r="Q410" s="10">
        <v>416</v>
      </c>
      <c r="R410" s="10">
        <v>489</v>
      </c>
      <c r="S410" s="10">
        <v>585</v>
      </c>
      <c r="T410" s="10">
        <v>372</v>
      </c>
      <c r="U410" s="10">
        <v>269</v>
      </c>
      <c r="V410" s="10">
        <v>542</v>
      </c>
      <c r="W410" s="10">
        <v>634</v>
      </c>
      <c r="X410" s="10">
        <v>410</v>
      </c>
      <c r="Y410" s="10">
        <v>463</v>
      </c>
      <c r="Z410" s="10">
        <v>618</v>
      </c>
      <c r="AA410" s="10">
        <v>742</v>
      </c>
      <c r="AB410" s="26">
        <f t="shared" si="19"/>
        <v>6176</v>
      </c>
      <c r="AC410" s="25">
        <v>0</v>
      </c>
      <c r="AD410" s="10">
        <v>0</v>
      </c>
      <c r="AE410" s="10">
        <v>0</v>
      </c>
      <c r="AF410" s="10">
        <v>0</v>
      </c>
      <c r="AG410" s="10">
        <v>0</v>
      </c>
      <c r="AH410" s="10">
        <v>0</v>
      </c>
      <c r="AI410" s="10">
        <v>0</v>
      </c>
      <c r="AJ410" s="10">
        <v>0</v>
      </c>
      <c r="AK410" s="10">
        <v>0</v>
      </c>
      <c r="AL410" s="10">
        <v>0</v>
      </c>
      <c r="AM410" s="10">
        <v>0</v>
      </c>
      <c r="AN410" s="10">
        <v>0</v>
      </c>
      <c r="AO410" s="26">
        <f t="shared" si="20"/>
        <v>0</v>
      </c>
    </row>
    <row r="411" spans="1:41" ht="17.25" customHeight="1" x14ac:dyDescent="0.45">
      <c r="A411" s="2" t="s">
        <v>17</v>
      </c>
      <c r="B411" s="2" t="s">
        <v>20</v>
      </c>
      <c r="C411" s="23">
        <v>8</v>
      </c>
      <c r="D411" s="1">
        <v>9</v>
      </c>
      <c r="E411" s="1">
        <v>8</v>
      </c>
      <c r="F411" s="1">
        <v>9</v>
      </c>
      <c r="G411" s="1">
        <v>9</v>
      </c>
      <c r="H411" s="1">
        <v>13</v>
      </c>
      <c r="I411" s="1">
        <v>8</v>
      </c>
      <c r="J411" s="1">
        <v>7</v>
      </c>
      <c r="K411" s="1">
        <v>9</v>
      </c>
      <c r="L411" s="1">
        <v>9</v>
      </c>
      <c r="M411" s="1">
        <v>10</v>
      </c>
      <c r="N411" s="1">
        <v>9</v>
      </c>
      <c r="O411" s="24">
        <f t="shared" si="18"/>
        <v>108</v>
      </c>
      <c r="P411" s="23">
        <v>1275</v>
      </c>
      <c r="Q411" s="1">
        <v>1196</v>
      </c>
      <c r="R411" s="1">
        <v>1325</v>
      </c>
      <c r="S411" s="1">
        <v>1259</v>
      </c>
      <c r="T411" s="1">
        <v>1521</v>
      </c>
      <c r="U411" s="1">
        <v>2500</v>
      </c>
      <c r="V411" s="1">
        <v>1347</v>
      </c>
      <c r="W411" s="1">
        <v>1183</v>
      </c>
      <c r="X411" s="1">
        <v>1684</v>
      </c>
      <c r="Y411" s="1">
        <v>1845</v>
      </c>
      <c r="Z411" s="1">
        <v>1315</v>
      </c>
      <c r="AA411" s="1">
        <v>1179</v>
      </c>
      <c r="AB411" s="24">
        <f t="shared" si="19"/>
        <v>17629</v>
      </c>
      <c r="AC411" s="23">
        <v>0</v>
      </c>
      <c r="AD411" s="1">
        <v>0</v>
      </c>
      <c r="AE411" s="1">
        <v>0</v>
      </c>
      <c r="AF411" s="1">
        <v>0</v>
      </c>
      <c r="AG411" s="1">
        <v>0</v>
      </c>
      <c r="AH411" s="1">
        <v>0</v>
      </c>
      <c r="AI411" s="1">
        <v>0</v>
      </c>
      <c r="AJ411" s="1">
        <v>0</v>
      </c>
      <c r="AK411" s="1">
        <v>0</v>
      </c>
      <c r="AL411" s="1">
        <v>0</v>
      </c>
      <c r="AM411" s="1">
        <v>0</v>
      </c>
      <c r="AN411" s="1">
        <v>0</v>
      </c>
      <c r="AO411" s="24">
        <f t="shared" si="20"/>
        <v>0</v>
      </c>
    </row>
    <row r="412" spans="1:41" ht="17.25" customHeight="1" x14ac:dyDescent="0.45">
      <c r="A412" s="12" t="s">
        <v>17</v>
      </c>
      <c r="B412" s="12" t="s">
        <v>22</v>
      </c>
      <c r="C412" s="25">
        <v>33</v>
      </c>
      <c r="D412" s="10">
        <v>29</v>
      </c>
      <c r="E412" s="10">
        <v>32</v>
      </c>
      <c r="F412" s="10">
        <v>38</v>
      </c>
      <c r="G412" s="10">
        <v>40</v>
      </c>
      <c r="H412" s="10">
        <v>37</v>
      </c>
      <c r="I412" s="10">
        <v>39</v>
      </c>
      <c r="J412" s="10">
        <v>40</v>
      </c>
      <c r="K412" s="10">
        <v>39</v>
      </c>
      <c r="L412" s="10">
        <v>41</v>
      </c>
      <c r="M412" s="10">
        <v>42</v>
      </c>
      <c r="N412" s="10">
        <v>48</v>
      </c>
      <c r="O412" s="26">
        <f t="shared" si="18"/>
        <v>458</v>
      </c>
      <c r="P412" s="25">
        <v>4961</v>
      </c>
      <c r="Q412" s="10">
        <v>4242</v>
      </c>
      <c r="R412" s="10">
        <v>4714</v>
      </c>
      <c r="S412" s="10">
        <v>5683</v>
      </c>
      <c r="T412" s="10">
        <v>6272</v>
      </c>
      <c r="U412" s="10">
        <v>5729</v>
      </c>
      <c r="V412" s="10">
        <v>5602</v>
      </c>
      <c r="W412" s="10">
        <v>5686</v>
      </c>
      <c r="X412" s="10">
        <v>5792</v>
      </c>
      <c r="Y412" s="10">
        <v>5630</v>
      </c>
      <c r="Z412" s="10">
        <v>5624</v>
      </c>
      <c r="AA412" s="10">
        <v>6445</v>
      </c>
      <c r="AB412" s="26">
        <f t="shared" si="19"/>
        <v>66380</v>
      </c>
      <c r="AC412" s="25">
        <v>386.7</v>
      </c>
      <c r="AD412" s="10">
        <v>471.1</v>
      </c>
      <c r="AE412" s="10">
        <v>662.5</v>
      </c>
      <c r="AF412" s="10">
        <v>1784.5</v>
      </c>
      <c r="AG412" s="10">
        <v>870</v>
      </c>
      <c r="AH412" s="10">
        <v>303</v>
      </c>
      <c r="AI412" s="10">
        <v>171.5</v>
      </c>
      <c r="AJ412" s="10">
        <v>391</v>
      </c>
      <c r="AK412" s="10">
        <v>211.29999999999998</v>
      </c>
      <c r="AL412" s="10">
        <v>1256</v>
      </c>
      <c r="AM412" s="10">
        <v>373</v>
      </c>
      <c r="AN412" s="10">
        <v>402.8</v>
      </c>
      <c r="AO412" s="26">
        <f t="shared" si="20"/>
        <v>7283.4000000000005</v>
      </c>
    </row>
    <row r="413" spans="1:41" ht="17.25" customHeight="1" x14ac:dyDescent="0.45">
      <c r="A413" s="2" t="s">
        <v>17</v>
      </c>
      <c r="B413" s="2" t="s">
        <v>42</v>
      </c>
      <c r="C413" s="23">
        <v>8</v>
      </c>
      <c r="D413" s="1">
        <v>7</v>
      </c>
      <c r="E413" s="1">
        <v>0</v>
      </c>
      <c r="F413" s="1">
        <v>0</v>
      </c>
      <c r="G413" s="1">
        <v>0</v>
      </c>
      <c r="H413" s="1">
        <v>0</v>
      </c>
      <c r="I413" s="1">
        <v>0</v>
      </c>
      <c r="J413" s="1">
        <v>0</v>
      </c>
      <c r="K413" s="1">
        <v>0</v>
      </c>
      <c r="L413" s="1">
        <v>0</v>
      </c>
      <c r="M413" s="1">
        <v>0</v>
      </c>
      <c r="N413" s="1">
        <v>0</v>
      </c>
      <c r="O413" s="24">
        <f t="shared" si="18"/>
        <v>15</v>
      </c>
      <c r="P413" s="23">
        <v>100</v>
      </c>
      <c r="Q413" s="1">
        <v>53</v>
      </c>
      <c r="R413" s="1">
        <v>0</v>
      </c>
      <c r="S413" s="1">
        <v>0</v>
      </c>
      <c r="T413" s="1">
        <v>0</v>
      </c>
      <c r="U413" s="1">
        <v>0</v>
      </c>
      <c r="V413" s="1">
        <v>0</v>
      </c>
      <c r="W413" s="1">
        <v>0</v>
      </c>
      <c r="X413" s="1">
        <v>0</v>
      </c>
      <c r="Y413" s="1">
        <v>0</v>
      </c>
      <c r="Z413" s="1">
        <v>0</v>
      </c>
      <c r="AA413" s="1">
        <v>0</v>
      </c>
      <c r="AB413" s="24">
        <f t="shared" si="19"/>
        <v>153</v>
      </c>
      <c r="AC413" s="23">
        <v>0</v>
      </c>
      <c r="AD413" s="1">
        <v>0</v>
      </c>
      <c r="AE413" s="1">
        <v>0</v>
      </c>
      <c r="AF413" s="1">
        <v>0</v>
      </c>
      <c r="AG413" s="1">
        <v>0</v>
      </c>
      <c r="AH413" s="1">
        <v>0</v>
      </c>
      <c r="AI413" s="1">
        <v>0</v>
      </c>
      <c r="AJ413" s="1">
        <v>0</v>
      </c>
      <c r="AK413" s="1">
        <v>0</v>
      </c>
      <c r="AL413" s="1">
        <v>0</v>
      </c>
      <c r="AM413" s="1">
        <v>0</v>
      </c>
      <c r="AN413" s="1">
        <v>0</v>
      </c>
      <c r="AO413" s="24">
        <f t="shared" si="20"/>
        <v>0</v>
      </c>
    </row>
    <row r="414" spans="1:41" ht="17.25" customHeight="1" x14ac:dyDescent="0.45">
      <c r="A414" s="12" t="s">
        <v>17</v>
      </c>
      <c r="B414" s="12" t="s">
        <v>11</v>
      </c>
      <c r="C414" s="25">
        <v>94</v>
      </c>
      <c r="D414" s="10">
        <v>87</v>
      </c>
      <c r="E414" s="10">
        <v>110</v>
      </c>
      <c r="F414" s="10">
        <v>135</v>
      </c>
      <c r="G414" s="10">
        <v>141</v>
      </c>
      <c r="H414" s="10">
        <v>138</v>
      </c>
      <c r="I414" s="10">
        <v>149</v>
      </c>
      <c r="J414" s="10">
        <v>136</v>
      </c>
      <c r="K414" s="10">
        <v>134</v>
      </c>
      <c r="L414" s="10">
        <v>141</v>
      </c>
      <c r="M414" s="10">
        <v>143</v>
      </c>
      <c r="N414" s="10">
        <v>142</v>
      </c>
      <c r="O414" s="26">
        <f t="shared" si="18"/>
        <v>1550</v>
      </c>
      <c r="P414" s="25">
        <v>13215</v>
      </c>
      <c r="Q414" s="10">
        <v>12051</v>
      </c>
      <c r="R414" s="10">
        <v>14497</v>
      </c>
      <c r="S414" s="10">
        <v>15680</v>
      </c>
      <c r="T414" s="10">
        <v>16927</v>
      </c>
      <c r="U414" s="10">
        <v>17006</v>
      </c>
      <c r="V414" s="10">
        <v>18659</v>
      </c>
      <c r="W414" s="10">
        <v>17936</v>
      </c>
      <c r="X414" s="10">
        <v>16369</v>
      </c>
      <c r="Y414" s="10">
        <v>17672</v>
      </c>
      <c r="Z414" s="10">
        <v>17933</v>
      </c>
      <c r="AA414" s="10">
        <v>18773</v>
      </c>
      <c r="AB414" s="26">
        <f t="shared" si="19"/>
        <v>196718</v>
      </c>
      <c r="AC414" s="25">
        <v>7</v>
      </c>
      <c r="AD414" s="10">
        <v>644</v>
      </c>
      <c r="AE414" s="10">
        <v>55</v>
      </c>
      <c r="AF414" s="10">
        <v>9</v>
      </c>
      <c r="AG414" s="10">
        <v>49</v>
      </c>
      <c r="AH414" s="10">
        <v>704</v>
      </c>
      <c r="AI414" s="10">
        <v>226.5</v>
      </c>
      <c r="AJ414" s="10">
        <v>389</v>
      </c>
      <c r="AK414" s="10">
        <v>222</v>
      </c>
      <c r="AL414" s="10">
        <v>916</v>
      </c>
      <c r="AM414" s="10">
        <v>121.39999999999999</v>
      </c>
      <c r="AN414" s="10">
        <v>88.9</v>
      </c>
      <c r="AO414" s="26">
        <f t="shared" si="20"/>
        <v>3431.8</v>
      </c>
    </row>
    <row r="415" spans="1:41" ht="17.25" customHeight="1" x14ac:dyDescent="0.45">
      <c r="A415" s="2" t="s">
        <v>17</v>
      </c>
      <c r="B415" s="2" t="s">
        <v>23</v>
      </c>
      <c r="C415" s="23">
        <v>0</v>
      </c>
      <c r="D415" s="1">
        <v>0</v>
      </c>
      <c r="E415" s="1">
        <v>0</v>
      </c>
      <c r="F415" s="1">
        <v>0</v>
      </c>
      <c r="G415" s="1">
        <v>0</v>
      </c>
      <c r="H415" s="1">
        <v>0</v>
      </c>
      <c r="I415" s="1">
        <v>0</v>
      </c>
      <c r="J415" s="1">
        <v>0</v>
      </c>
      <c r="K415" s="1">
        <v>29</v>
      </c>
      <c r="L415" s="1">
        <v>27</v>
      </c>
      <c r="M415" s="1">
        <v>29</v>
      </c>
      <c r="N415" s="1">
        <v>31</v>
      </c>
      <c r="O415" s="24">
        <f t="shared" si="18"/>
        <v>116</v>
      </c>
      <c r="P415" s="23">
        <v>0</v>
      </c>
      <c r="Q415" s="1">
        <v>0</v>
      </c>
      <c r="R415" s="1">
        <v>0</v>
      </c>
      <c r="S415" s="1">
        <v>0</v>
      </c>
      <c r="T415" s="1">
        <v>0</v>
      </c>
      <c r="U415" s="1">
        <v>0</v>
      </c>
      <c r="V415" s="1">
        <v>0</v>
      </c>
      <c r="W415" s="1">
        <v>0</v>
      </c>
      <c r="X415" s="1">
        <v>166</v>
      </c>
      <c r="Y415" s="1">
        <v>201</v>
      </c>
      <c r="Z415" s="1">
        <v>269</v>
      </c>
      <c r="AA415" s="1">
        <v>130</v>
      </c>
      <c r="AB415" s="24">
        <f t="shared" si="19"/>
        <v>766</v>
      </c>
      <c r="AC415" s="23">
        <v>0</v>
      </c>
      <c r="AD415" s="1">
        <v>0</v>
      </c>
      <c r="AE415" s="1">
        <v>0</v>
      </c>
      <c r="AF415" s="1">
        <v>0</v>
      </c>
      <c r="AG415" s="1">
        <v>0</v>
      </c>
      <c r="AH415" s="1">
        <v>0</v>
      </c>
      <c r="AI415" s="1">
        <v>0</v>
      </c>
      <c r="AJ415" s="1">
        <v>0</v>
      </c>
      <c r="AK415" s="1">
        <v>0</v>
      </c>
      <c r="AL415" s="1">
        <v>0</v>
      </c>
      <c r="AM415" s="1">
        <v>0</v>
      </c>
      <c r="AN415" s="1">
        <v>0</v>
      </c>
      <c r="AO415" s="24">
        <f t="shared" si="20"/>
        <v>0</v>
      </c>
    </row>
    <row r="416" spans="1:41" ht="17.25" customHeight="1" x14ac:dyDescent="0.45">
      <c r="A416" s="12" t="s">
        <v>17</v>
      </c>
      <c r="B416" s="12" t="s">
        <v>24</v>
      </c>
      <c r="C416" s="25">
        <v>3</v>
      </c>
      <c r="D416" s="10">
        <v>0</v>
      </c>
      <c r="E416" s="10">
        <v>0</v>
      </c>
      <c r="F416" s="10">
        <v>8</v>
      </c>
      <c r="G416" s="10">
        <v>9</v>
      </c>
      <c r="H416" s="10">
        <v>12</v>
      </c>
      <c r="I416" s="10">
        <v>13</v>
      </c>
      <c r="J416" s="10">
        <v>10</v>
      </c>
      <c r="K416" s="10">
        <v>9</v>
      </c>
      <c r="L416" s="10">
        <v>9</v>
      </c>
      <c r="M416" s="10">
        <v>8</v>
      </c>
      <c r="N416" s="10">
        <v>10</v>
      </c>
      <c r="O416" s="26">
        <f t="shared" si="18"/>
        <v>91</v>
      </c>
      <c r="P416" s="25">
        <v>535</v>
      </c>
      <c r="Q416" s="10">
        <v>0</v>
      </c>
      <c r="R416" s="10">
        <v>0</v>
      </c>
      <c r="S416" s="10">
        <v>1411</v>
      </c>
      <c r="T416" s="10">
        <v>1559</v>
      </c>
      <c r="U416" s="10">
        <v>2028</v>
      </c>
      <c r="V416" s="10">
        <v>2182</v>
      </c>
      <c r="W416" s="10">
        <v>1716</v>
      </c>
      <c r="X416" s="10">
        <v>1502</v>
      </c>
      <c r="Y416" s="10">
        <v>1469</v>
      </c>
      <c r="Z416" s="10">
        <v>1310</v>
      </c>
      <c r="AA416" s="10">
        <v>1248</v>
      </c>
      <c r="AB416" s="26">
        <f t="shared" si="19"/>
        <v>14960</v>
      </c>
      <c r="AC416" s="25">
        <v>15</v>
      </c>
      <c r="AD416" s="10">
        <v>0</v>
      </c>
      <c r="AE416" s="10">
        <v>0</v>
      </c>
      <c r="AF416" s="10">
        <v>0</v>
      </c>
      <c r="AG416" s="10">
        <v>1665</v>
      </c>
      <c r="AH416" s="10">
        <v>0</v>
      </c>
      <c r="AI416" s="10">
        <v>762.5</v>
      </c>
      <c r="AJ416" s="10">
        <v>0</v>
      </c>
      <c r="AK416" s="10">
        <v>0</v>
      </c>
      <c r="AL416" s="10">
        <v>0</v>
      </c>
      <c r="AM416" s="10">
        <v>22</v>
      </c>
      <c r="AN416" s="10">
        <v>0</v>
      </c>
      <c r="AO416" s="26">
        <f t="shared" si="20"/>
        <v>2464.5</v>
      </c>
    </row>
    <row r="417" spans="1:41" ht="17.25" customHeight="1" x14ac:dyDescent="0.45">
      <c r="A417" s="2" t="s">
        <v>17</v>
      </c>
      <c r="B417" s="2" t="s">
        <v>12</v>
      </c>
      <c r="C417" s="23">
        <v>264</v>
      </c>
      <c r="D417" s="1">
        <v>238</v>
      </c>
      <c r="E417" s="1">
        <v>263</v>
      </c>
      <c r="F417" s="1">
        <v>264</v>
      </c>
      <c r="G417" s="1">
        <v>277</v>
      </c>
      <c r="H417" s="1">
        <v>277</v>
      </c>
      <c r="I417" s="1">
        <v>306</v>
      </c>
      <c r="J417" s="1">
        <v>304</v>
      </c>
      <c r="K417" s="1">
        <v>255</v>
      </c>
      <c r="L417" s="1">
        <v>257</v>
      </c>
      <c r="M417" s="1">
        <v>244</v>
      </c>
      <c r="N417" s="1">
        <v>257</v>
      </c>
      <c r="O417" s="24">
        <f t="shared" si="18"/>
        <v>3206</v>
      </c>
      <c r="P417" s="23">
        <v>43614</v>
      </c>
      <c r="Q417" s="1">
        <v>38601</v>
      </c>
      <c r="R417" s="1">
        <v>42283</v>
      </c>
      <c r="S417" s="1">
        <v>43282</v>
      </c>
      <c r="T417" s="1">
        <v>46460</v>
      </c>
      <c r="U417" s="1">
        <v>44021</v>
      </c>
      <c r="V417" s="1">
        <v>49779</v>
      </c>
      <c r="W417" s="1">
        <v>47116</v>
      </c>
      <c r="X417" s="1">
        <v>37423</v>
      </c>
      <c r="Y417" s="1">
        <v>38957</v>
      </c>
      <c r="Z417" s="1">
        <v>40227</v>
      </c>
      <c r="AA417" s="1">
        <v>43174</v>
      </c>
      <c r="AB417" s="24">
        <f t="shared" si="19"/>
        <v>514937</v>
      </c>
      <c r="AC417" s="23">
        <v>8879.2000000000007</v>
      </c>
      <c r="AD417" s="1">
        <v>6415.6</v>
      </c>
      <c r="AE417" s="1">
        <v>8210</v>
      </c>
      <c r="AF417" s="1">
        <v>8622.7999999999993</v>
      </c>
      <c r="AG417" s="1">
        <v>8062</v>
      </c>
      <c r="AH417" s="1">
        <v>7540.9</v>
      </c>
      <c r="AI417" s="1">
        <v>9048.7000000000007</v>
      </c>
      <c r="AJ417" s="1">
        <v>9474.4000000000015</v>
      </c>
      <c r="AK417" s="1">
        <v>9392.2000000000007</v>
      </c>
      <c r="AL417" s="1">
        <v>8341</v>
      </c>
      <c r="AM417" s="1">
        <v>10136.5</v>
      </c>
      <c r="AN417" s="1">
        <v>10981.6</v>
      </c>
      <c r="AO417" s="24">
        <f t="shared" si="20"/>
        <v>105104.90000000001</v>
      </c>
    </row>
    <row r="418" spans="1:41" ht="17.25" customHeight="1" x14ac:dyDescent="0.45">
      <c r="A418" s="12" t="s">
        <v>17</v>
      </c>
      <c r="B418" s="12" t="s">
        <v>13</v>
      </c>
      <c r="C418" s="25">
        <v>57</v>
      </c>
      <c r="D418" s="10">
        <v>41</v>
      </c>
      <c r="E418" s="10">
        <v>63</v>
      </c>
      <c r="F418" s="10">
        <v>80</v>
      </c>
      <c r="G418" s="10">
        <v>94</v>
      </c>
      <c r="H418" s="10">
        <v>89</v>
      </c>
      <c r="I418" s="10">
        <v>138</v>
      </c>
      <c r="J418" s="10">
        <v>129</v>
      </c>
      <c r="K418" s="10">
        <v>73</v>
      </c>
      <c r="L418" s="10">
        <v>72</v>
      </c>
      <c r="M418" s="10">
        <v>75</v>
      </c>
      <c r="N418" s="10">
        <v>73</v>
      </c>
      <c r="O418" s="26">
        <f t="shared" si="18"/>
        <v>984</v>
      </c>
      <c r="P418" s="25">
        <v>9635</v>
      </c>
      <c r="Q418" s="10">
        <v>6504</v>
      </c>
      <c r="R418" s="10">
        <v>9378</v>
      </c>
      <c r="S418" s="10">
        <v>11027</v>
      </c>
      <c r="T418" s="10">
        <v>13111</v>
      </c>
      <c r="U418" s="10">
        <v>14155</v>
      </c>
      <c r="V418" s="10">
        <v>25204</v>
      </c>
      <c r="W418" s="10">
        <v>22672</v>
      </c>
      <c r="X418" s="10">
        <v>11930</v>
      </c>
      <c r="Y418" s="10">
        <v>11592</v>
      </c>
      <c r="Z418" s="10">
        <v>12457</v>
      </c>
      <c r="AA418" s="10">
        <v>9898</v>
      </c>
      <c r="AB418" s="26">
        <f t="shared" si="19"/>
        <v>157563</v>
      </c>
      <c r="AC418" s="25">
        <v>0</v>
      </c>
      <c r="AD418" s="10">
        <v>0</v>
      </c>
      <c r="AE418" s="10">
        <v>0</v>
      </c>
      <c r="AF418" s="10">
        <v>0</v>
      </c>
      <c r="AG418" s="10">
        <v>0</v>
      </c>
      <c r="AH418" s="10">
        <v>0</v>
      </c>
      <c r="AI418" s="10">
        <v>0</v>
      </c>
      <c r="AJ418" s="10">
        <v>0</v>
      </c>
      <c r="AK418" s="10">
        <v>0</v>
      </c>
      <c r="AL418" s="10">
        <v>0</v>
      </c>
      <c r="AM418" s="10">
        <v>0</v>
      </c>
      <c r="AN418" s="10">
        <v>0</v>
      </c>
      <c r="AO418" s="26">
        <f t="shared" si="20"/>
        <v>0</v>
      </c>
    </row>
    <row r="419" spans="1:41" ht="17.25" customHeight="1" x14ac:dyDescent="0.45">
      <c r="A419" s="2" t="s">
        <v>17</v>
      </c>
      <c r="B419" s="2" t="s">
        <v>28</v>
      </c>
      <c r="C419" s="23">
        <v>17</v>
      </c>
      <c r="D419" s="1">
        <v>17</v>
      </c>
      <c r="E419" s="1">
        <v>18</v>
      </c>
      <c r="F419" s="1">
        <v>29</v>
      </c>
      <c r="G419" s="1">
        <v>31</v>
      </c>
      <c r="H419" s="1">
        <v>30</v>
      </c>
      <c r="I419" s="1">
        <v>31</v>
      </c>
      <c r="J419" s="1">
        <v>31</v>
      </c>
      <c r="K419" s="1">
        <v>30</v>
      </c>
      <c r="L419" s="1">
        <v>31</v>
      </c>
      <c r="M419" s="1">
        <v>30</v>
      </c>
      <c r="N419" s="1">
        <v>31</v>
      </c>
      <c r="O419" s="24">
        <f t="shared" si="18"/>
        <v>326</v>
      </c>
      <c r="P419" s="23">
        <v>2461</v>
      </c>
      <c r="Q419" s="1">
        <v>2327</v>
      </c>
      <c r="R419" s="1">
        <v>2463</v>
      </c>
      <c r="S419" s="1">
        <v>3680</v>
      </c>
      <c r="T419" s="1">
        <v>4599</v>
      </c>
      <c r="U419" s="1">
        <v>4324</v>
      </c>
      <c r="V419" s="1">
        <v>4615</v>
      </c>
      <c r="W419" s="1">
        <v>4561</v>
      </c>
      <c r="X419" s="1">
        <v>3990</v>
      </c>
      <c r="Y419" s="1">
        <v>4109</v>
      </c>
      <c r="Z419" s="1">
        <v>4999</v>
      </c>
      <c r="AA419" s="1">
        <v>5300</v>
      </c>
      <c r="AB419" s="24">
        <f t="shared" si="19"/>
        <v>47428</v>
      </c>
      <c r="AC419" s="23">
        <v>3</v>
      </c>
      <c r="AD419" s="1">
        <v>9</v>
      </c>
      <c r="AE419" s="1">
        <v>31</v>
      </c>
      <c r="AF419" s="1">
        <v>111.2</v>
      </c>
      <c r="AG419" s="1">
        <v>210</v>
      </c>
      <c r="AH419" s="1">
        <v>30.5</v>
      </c>
      <c r="AI419" s="1">
        <v>32.400000000000006</v>
      </c>
      <c r="AJ419" s="1">
        <v>362</v>
      </c>
      <c r="AK419" s="1">
        <v>139.1</v>
      </c>
      <c r="AL419" s="1">
        <v>261</v>
      </c>
      <c r="AM419" s="1">
        <v>285.49999999999994</v>
      </c>
      <c r="AN419" s="1">
        <v>735.65</v>
      </c>
      <c r="AO419" s="24">
        <f t="shared" si="20"/>
        <v>2210.35</v>
      </c>
    </row>
    <row r="420" spans="1:41" ht="17.25" customHeight="1" x14ac:dyDescent="0.45">
      <c r="A420" s="12" t="s">
        <v>17</v>
      </c>
      <c r="B420" s="12" t="s">
        <v>30</v>
      </c>
      <c r="C420" s="25">
        <v>10</v>
      </c>
      <c r="D420" s="10">
        <v>9</v>
      </c>
      <c r="E420" s="10">
        <v>13</v>
      </c>
      <c r="F420" s="10">
        <v>13</v>
      </c>
      <c r="G420" s="10">
        <v>9</v>
      </c>
      <c r="H420" s="10">
        <v>8</v>
      </c>
      <c r="I420" s="10">
        <v>11</v>
      </c>
      <c r="J420" s="10">
        <v>20</v>
      </c>
      <c r="K420" s="10">
        <v>15</v>
      </c>
      <c r="L420" s="10">
        <v>16</v>
      </c>
      <c r="M420" s="10">
        <v>26</v>
      </c>
      <c r="N420" s="10">
        <v>26</v>
      </c>
      <c r="O420" s="26">
        <f t="shared" si="18"/>
        <v>176</v>
      </c>
      <c r="P420" s="25">
        <v>389</v>
      </c>
      <c r="Q420" s="10">
        <v>204</v>
      </c>
      <c r="R420" s="10">
        <v>333</v>
      </c>
      <c r="S420" s="10">
        <v>406</v>
      </c>
      <c r="T420" s="10">
        <v>266</v>
      </c>
      <c r="U420" s="10">
        <v>239</v>
      </c>
      <c r="V420" s="10">
        <v>420</v>
      </c>
      <c r="W420" s="10">
        <v>591</v>
      </c>
      <c r="X420" s="10">
        <v>314</v>
      </c>
      <c r="Y420" s="10">
        <v>315</v>
      </c>
      <c r="Z420" s="10">
        <v>456</v>
      </c>
      <c r="AA420" s="10">
        <v>533</v>
      </c>
      <c r="AB420" s="26">
        <f t="shared" si="19"/>
        <v>4466</v>
      </c>
      <c r="AC420" s="25">
        <v>0</v>
      </c>
      <c r="AD420" s="10">
        <v>0</v>
      </c>
      <c r="AE420" s="10">
        <v>0</v>
      </c>
      <c r="AF420" s="10">
        <v>0</v>
      </c>
      <c r="AG420" s="10">
        <v>0</v>
      </c>
      <c r="AH420" s="10">
        <v>0</v>
      </c>
      <c r="AI420" s="10">
        <v>0</v>
      </c>
      <c r="AJ420" s="10">
        <v>0</v>
      </c>
      <c r="AK420" s="10">
        <v>0</v>
      </c>
      <c r="AL420" s="10">
        <v>0</v>
      </c>
      <c r="AM420" s="10">
        <v>0</v>
      </c>
      <c r="AN420" s="10">
        <v>0</v>
      </c>
      <c r="AO420" s="26">
        <f t="shared" si="20"/>
        <v>0</v>
      </c>
    </row>
    <row r="421" spans="1:41" ht="17.25" customHeight="1" x14ac:dyDescent="0.45">
      <c r="A421" s="2" t="s">
        <v>17</v>
      </c>
      <c r="B421" s="2" t="s">
        <v>14</v>
      </c>
      <c r="C421" s="23">
        <v>39</v>
      </c>
      <c r="D421" s="1">
        <v>37</v>
      </c>
      <c r="E421" s="1">
        <v>50</v>
      </c>
      <c r="F421" s="1">
        <v>68</v>
      </c>
      <c r="G421" s="1">
        <v>71</v>
      </c>
      <c r="H421" s="1">
        <v>98</v>
      </c>
      <c r="I421" s="1">
        <v>100</v>
      </c>
      <c r="J421" s="1">
        <v>102</v>
      </c>
      <c r="K421" s="1">
        <v>59</v>
      </c>
      <c r="L421" s="1">
        <v>61</v>
      </c>
      <c r="M421" s="1">
        <v>59</v>
      </c>
      <c r="N421" s="1">
        <v>62</v>
      </c>
      <c r="O421" s="24">
        <f t="shared" si="18"/>
        <v>806</v>
      </c>
      <c r="P421" s="23">
        <v>2921</v>
      </c>
      <c r="Q421" s="1">
        <v>2173</v>
      </c>
      <c r="R421" s="1">
        <v>3974</v>
      </c>
      <c r="S421" s="1">
        <v>7529</v>
      </c>
      <c r="T421" s="1">
        <v>8414</v>
      </c>
      <c r="U421" s="1">
        <v>12173</v>
      </c>
      <c r="V421" s="1">
        <v>12981</v>
      </c>
      <c r="W421" s="1">
        <v>13048</v>
      </c>
      <c r="X421" s="1">
        <v>6319</v>
      </c>
      <c r="Y421" s="1">
        <v>6500</v>
      </c>
      <c r="Z421" s="1">
        <v>6622</v>
      </c>
      <c r="AA421" s="1">
        <v>7326</v>
      </c>
      <c r="AB421" s="24">
        <f t="shared" si="19"/>
        <v>89980</v>
      </c>
      <c r="AC421" s="23">
        <v>0</v>
      </c>
      <c r="AD421" s="1">
        <v>0</v>
      </c>
      <c r="AE421" s="1">
        <v>0</v>
      </c>
      <c r="AF421" s="1">
        <v>0</v>
      </c>
      <c r="AG421" s="1">
        <v>0</v>
      </c>
      <c r="AH421" s="1">
        <v>0</v>
      </c>
      <c r="AI421" s="1">
        <v>0</v>
      </c>
      <c r="AJ421" s="1">
        <v>0</v>
      </c>
      <c r="AK421" s="1">
        <v>0</v>
      </c>
      <c r="AL421" s="1">
        <v>0</v>
      </c>
      <c r="AM421" s="1">
        <v>0</v>
      </c>
      <c r="AN421" s="1">
        <v>0</v>
      </c>
      <c r="AO421" s="24">
        <f t="shared" si="20"/>
        <v>0</v>
      </c>
    </row>
    <row r="422" spans="1:41" ht="17.25" customHeight="1" x14ac:dyDescent="0.45">
      <c r="A422" s="12" t="s">
        <v>17</v>
      </c>
      <c r="B422" s="12" t="s">
        <v>15</v>
      </c>
      <c r="C422" s="25">
        <v>84</v>
      </c>
      <c r="D422" s="10">
        <v>59</v>
      </c>
      <c r="E422" s="10">
        <v>77</v>
      </c>
      <c r="F422" s="10">
        <v>103</v>
      </c>
      <c r="G422" s="10">
        <v>100</v>
      </c>
      <c r="H422" s="10">
        <v>108</v>
      </c>
      <c r="I422" s="10">
        <v>119</v>
      </c>
      <c r="J422" s="10">
        <v>107</v>
      </c>
      <c r="K422" s="10">
        <v>97</v>
      </c>
      <c r="L422" s="10">
        <v>102</v>
      </c>
      <c r="M422" s="10">
        <v>126</v>
      </c>
      <c r="N422" s="10">
        <v>118</v>
      </c>
      <c r="O422" s="26">
        <f t="shared" si="18"/>
        <v>1200</v>
      </c>
      <c r="P422" s="25">
        <v>17495</v>
      </c>
      <c r="Q422" s="10">
        <v>11345</v>
      </c>
      <c r="R422" s="10">
        <v>14023</v>
      </c>
      <c r="S422" s="10">
        <v>19721</v>
      </c>
      <c r="T422" s="10">
        <v>18663</v>
      </c>
      <c r="U422" s="10">
        <v>20345</v>
      </c>
      <c r="V422" s="10">
        <v>23802</v>
      </c>
      <c r="W422" s="10">
        <v>20651</v>
      </c>
      <c r="X422" s="10">
        <v>17396</v>
      </c>
      <c r="Y422" s="10">
        <v>18729</v>
      </c>
      <c r="Z422" s="10">
        <v>19814</v>
      </c>
      <c r="AA422" s="10">
        <v>18211</v>
      </c>
      <c r="AB422" s="26">
        <f t="shared" si="19"/>
        <v>220195</v>
      </c>
      <c r="AC422" s="25">
        <v>26820.399999999998</v>
      </c>
      <c r="AD422" s="10">
        <v>20971.5</v>
      </c>
      <c r="AE422" s="10">
        <v>26022.400000000001</v>
      </c>
      <c r="AF422" s="10">
        <v>33924.199999999997</v>
      </c>
      <c r="AG422" s="10">
        <v>44437</v>
      </c>
      <c r="AH422" s="10">
        <v>47223.199999999997</v>
      </c>
      <c r="AI422" s="10">
        <v>38162.699999999997</v>
      </c>
      <c r="AJ422" s="10">
        <v>28698.3</v>
      </c>
      <c r="AK422" s="10">
        <v>23541.81</v>
      </c>
      <c r="AL422" s="10">
        <v>28180</v>
      </c>
      <c r="AM422" s="10">
        <v>29500.300000000003</v>
      </c>
      <c r="AN422" s="10">
        <v>20638.3</v>
      </c>
      <c r="AO422" s="26">
        <f t="shared" si="20"/>
        <v>368120.11</v>
      </c>
    </row>
    <row r="423" spans="1:41" ht="17.25" customHeight="1" x14ac:dyDescent="0.45">
      <c r="A423" s="2" t="s">
        <v>17</v>
      </c>
      <c r="B423" s="2" t="s">
        <v>32</v>
      </c>
      <c r="C423" s="23">
        <v>40</v>
      </c>
      <c r="D423" s="1">
        <v>37</v>
      </c>
      <c r="E423" s="1">
        <v>40</v>
      </c>
      <c r="F423" s="1">
        <v>39</v>
      </c>
      <c r="G423" s="1">
        <v>40</v>
      </c>
      <c r="H423" s="1">
        <v>38</v>
      </c>
      <c r="I423" s="1">
        <v>40</v>
      </c>
      <c r="J423" s="1">
        <v>40</v>
      </c>
      <c r="K423" s="1">
        <v>39</v>
      </c>
      <c r="L423" s="1">
        <v>39</v>
      </c>
      <c r="M423" s="1">
        <v>39</v>
      </c>
      <c r="N423" s="1">
        <v>38</v>
      </c>
      <c r="O423" s="24">
        <f t="shared" si="18"/>
        <v>469</v>
      </c>
      <c r="P423" s="23">
        <v>6439</v>
      </c>
      <c r="Q423" s="1">
        <v>5587</v>
      </c>
      <c r="R423" s="1">
        <v>5714</v>
      </c>
      <c r="S423" s="1">
        <v>6786</v>
      </c>
      <c r="T423" s="1">
        <v>7271</v>
      </c>
      <c r="U423" s="1">
        <v>6382</v>
      </c>
      <c r="V423" s="1">
        <v>7271</v>
      </c>
      <c r="W423" s="1">
        <v>7303</v>
      </c>
      <c r="X423" s="1">
        <v>6486</v>
      </c>
      <c r="Y423" s="1">
        <v>6290</v>
      </c>
      <c r="Z423" s="1">
        <v>6887</v>
      </c>
      <c r="AA423" s="1">
        <v>6671</v>
      </c>
      <c r="AB423" s="24">
        <f t="shared" si="19"/>
        <v>79087</v>
      </c>
      <c r="AC423" s="23">
        <v>49</v>
      </c>
      <c r="AD423" s="1">
        <v>0</v>
      </c>
      <c r="AE423" s="1">
        <v>0</v>
      </c>
      <c r="AF423" s="1">
        <v>44.2</v>
      </c>
      <c r="AG423" s="1">
        <v>17</v>
      </c>
      <c r="AH423" s="1">
        <v>60</v>
      </c>
      <c r="AI423" s="1">
        <v>12</v>
      </c>
      <c r="AJ423" s="1">
        <v>0</v>
      </c>
      <c r="AK423" s="1">
        <v>70</v>
      </c>
      <c r="AL423" s="1">
        <v>6</v>
      </c>
      <c r="AM423" s="1">
        <v>131.5</v>
      </c>
      <c r="AN423" s="1">
        <v>0</v>
      </c>
      <c r="AO423" s="24">
        <f t="shared" si="20"/>
        <v>389.7</v>
      </c>
    </row>
    <row r="424" spans="1:41" ht="17.25" customHeight="1" x14ac:dyDescent="0.45">
      <c r="A424" s="12" t="s">
        <v>28</v>
      </c>
      <c r="B424" s="12" t="s">
        <v>10</v>
      </c>
      <c r="C424" s="25">
        <v>69</v>
      </c>
      <c r="D424" s="10">
        <v>58</v>
      </c>
      <c r="E424" s="10">
        <v>62</v>
      </c>
      <c r="F424" s="10">
        <v>74</v>
      </c>
      <c r="G424" s="10">
        <v>79</v>
      </c>
      <c r="H424" s="10">
        <v>78</v>
      </c>
      <c r="I424" s="10">
        <v>72</v>
      </c>
      <c r="J424" s="10">
        <v>76</v>
      </c>
      <c r="K424" s="10">
        <v>71</v>
      </c>
      <c r="L424" s="10">
        <v>76</v>
      </c>
      <c r="M424" s="10">
        <v>81</v>
      </c>
      <c r="N424" s="10">
        <v>88</v>
      </c>
      <c r="O424" s="26">
        <f t="shared" si="18"/>
        <v>884</v>
      </c>
      <c r="P424" s="25">
        <v>12042</v>
      </c>
      <c r="Q424" s="10">
        <v>8768</v>
      </c>
      <c r="R424" s="10">
        <v>10139</v>
      </c>
      <c r="S424" s="10">
        <v>11471</v>
      </c>
      <c r="T424" s="10">
        <v>12864</v>
      </c>
      <c r="U424" s="10">
        <v>12869</v>
      </c>
      <c r="V424" s="10">
        <v>11925</v>
      </c>
      <c r="W424" s="10">
        <v>13414</v>
      </c>
      <c r="X424" s="10">
        <v>12039</v>
      </c>
      <c r="Y424" s="10">
        <v>12486</v>
      </c>
      <c r="Z424" s="10">
        <v>13301</v>
      </c>
      <c r="AA424" s="10">
        <v>14155</v>
      </c>
      <c r="AB424" s="26">
        <f t="shared" si="19"/>
        <v>145473</v>
      </c>
      <c r="AC424" s="25">
        <v>56.5</v>
      </c>
      <c r="AD424" s="10">
        <v>1526</v>
      </c>
      <c r="AE424" s="10">
        <v>480</v>
      </c>
      <c r="AF424" s="10">
        <v>1135.75</v>
      </c>
      <c r="AG424" s="10">
        <v>576</v>
      </c>
      <c r="AH424" s="10">
        <v>2911.25</v>
      </c>
      <c r="AI424" s="10">
        <v>1228.9000000000001</v>
      </c>
      <c r="AJ424" s="10">
        <v>4983.7000000000007</v>
      </c>
      <c r="AK424" s="10">
        <v>3376.6500000000005</v>
      </c>
      <c r="AL424" s="10">
        <v>4527</v>
      </c>
      <c r="AM424" s="10">
        <v>4142.0999999999995</v>
      </c>
      <c r="AN424" s="10">
        <v>2256.9500000000003</v>
      </c>
      <c r="AO424" s="26">
        <f t="shared" si="20"/>
        <v>27200.799999999999</v>
      </c>
    </row>
    <row r="425" spans="1:41" ht="17.25" customHeight="1" x14ac:dyDescent="0.45">
      <c r="A425" s="2" t="s">
        <v>28</v>
      </c>
      <c r="B425" s="2" t="s">
        <v>20</v>
      </c>
      <c r="C425" s="23">
        <v>2</v>
      </c>
      <c r="D425" s="1">
        <v>0</v>
      </c>
      <c r="E425" s="1">
        <v>0</v>
      </c>
      <c r="F425" s="1">
        <v>0</v>
      </c>
      <c r="G425" s="1">
        <v>0</v>
      </c>
      <c r="H425" s="1">
        <v>0</v>
      </c>
      <c r="I425" s="1">
        <v>0</v>
      </c>
      <c r="J425" s="1">
        <v>0</v>
      </c>
      <c r="K425" s="1">
        <v>0</v>
      </c>
      <c r="L425" s="1">
        <v>0</v>
      </c>
      <c r="M425" s="1">
        <v>0</v>
      </c>
      <c r="N425" s="1">
        <v>0</v>
      </c>
      <c r="O425" s="24">
        <f t="shared" si="18"/>
        <v>2</v>
      </c>
      <c r="P425" s="23">
        <v>271</v>
      </c>
      <c r="Q425" s="1">
        <v>0</v>
      </c>
      <c r="R425" s="1">
        <v>0</v>
      </c>
      <c r="S425" s="1">
        <v>0</v>
      </c>
      <c r="T425" s="1">
        <v>0</v>
      </c>
      <c r="U425" s="1">
        <v>0</v>
      </c>
      <c r="V425" s="1">
        <v>0</v>
      </c>
      <c r="W425" s="1">
        <v>0</v>
      </c>
      <c r="X425" s="1">
        <v>0</v>
      </c>
      <c r="Y425" s="1">
        <v>0</v>
      </c>
      <c r="Z425" s="1">
        <v>0</v>
      </c>
      <c r="AA425" s="1">
        <v>0</v>
      </c>
      <c r="AB425" s="24">
        <f t="shared" si="19"/>
        <v>271</v>
      </c>
      <c r="AC425" s="23">
        <v>107.5</v>
      </c>
      <c r="AD425" s="1">
        <v>0</v>
      </c>
      <c r="AE425" s="1">
        <v>0</v>
      </c>
      <c r="AF425" s="1">
        <v>0</v>
      </c>
      <c r="AG425" s="1">
        <v>0</v>
      </c>
      <c r="AH425" s="1">
        <v>0</v>
      </c>
      <c r="AI425" s="1">
        <v>0</v>
      </c>
      <c r="AJ425" s="1">
        <v>0</v>
      </c>
      <c r="AK425" s="1">
        <v>0</v>
      </c>
      <c r="AL425" s="1">
        <v>0</v>
      </c>
      <c r="AM425" s="1">
        <v>0</v>
      </c>
      <c r="AN425" s="1">
        <v>0</v>
      </c>
      <c r="AO425" s="24">
        <f t="shared" si="20"/>
        <v>107.5</v>
      </c>
    </row>
    <row r="426" spans="1:41" ht="17.25" customHeight="1" x14ac:dyDescent="0.45">
      <c r="A426" s="12" t="s">
        <v>28</v>
      </c>
      <c r="B426" s="12" t="s">
        <v>21</v>
      </c>
      <c r="C426" s="25">
        <v>2</v>
      </c>
      <c r="D426" s="10">
        <v>0</v>
      </c>
      <c r="E426" s="10">
        <v>0</v>
      </c>
      <c r="F426" s="10">
        <v>0</v>
      </c>
      <c r="G426" s="10">
        <v>0</v>
      </c>
      <c r="H426" s="10">
        <v>0</v>
      </c>
      <c r="I426" s="10">
        <v>0</v>
      </c>
      <c r="J426" s="10">
        <v>0</v>
      </c>
      <c r="K426" s="10">
        <v>0</v>
      </c>
      <c r="L426" s="10">
        <v>0</v>
      </c>
      <c r="M426" s="10">
        <v>0</v>
      </c>
      <c r="N426" s="10">
        <v>0</v>
      </c>
      <c r="O426" s="26">
        <f t="shared" si="18"/>
        <v>2</v>
      </c>
      <c r="P426" s="25">
        <v>220</v>
      </c>
      <c r="Q426" s="10">
        <v>0</v>
      </c>
      <c r="R426" s="10">
        <v>0</v>
      </c>
      <c r="S426" s="10">
        <v>0</v>
      </c>
      <c r="T426" s="10">
        <v>0</v>
      </c>
      <c r="U426" s="10">
        <v>0</v>
      </c>
      <c r="V426" s="10">
        <v>0</v>
      </c>
      <c r="W426" s="10">
        <v>0</v>
      </c>
      <c r="X426" s="10">
        <v>0</v>
      </c>
      <c r="Y426" s="10">
        <v>0</v>
      </c>
      <c r="Z426" s="10">
        <v>0</v>
      </c>
      <c r="AA426" s="10">
        <v>0</v>
      </c>
      <c r="AB426" s="26">
        <f t="shared" si="19"/>
        <v>220</v>
      </c>
      <c r="AC426" s="25">
        <v>0</v>
      </c>
      <c r="AD426" s="10">
        <v>0</v>
      </c>
      <c r="AE426" s="10">
        <v>0</v>
      </c>
      <c r="AF426" s="10">
        <v>0</v>
      </c>
      <c r="AG426" s="10">
        <v>0</v>
      </c>
      <c r="AH426" s="10">
        <v>0</v>
      </c>
      <c r="AI426" s="10">
        <v>0</v>
      </c>
      <c r="AJ426" s="10">
        <v>0</v>
      </c>
      <c r="AK426" s="10">
        <v>0</v>
      </c>
      <c r="AL426" s="10">
        <v>0</v>
      </c>
      <c r="AM426" s="10">
        <v>0</v>
      </c>
      <c r="AN426" s="10">
        <v>0</v>
      </c>
      <c r="AO426" s="26">
        <f t="shared" si="20"/>
        <v>0</v>
      </c>
    </row>
    <row r="427" spans="1:41" ht="17.25" customHeight="1" x14ac:dyDescent="0.45">
      <c r="A427" s="2" t="s">
        <v>28</v>
      </c>
      <c r="B427" s="2" t="s">
        <v>38</v>
      </c>
      <c r="C427" s="23">
        <v>7</v>
      </c>
      <c r="D427" s="1">
        <v>8</v>
      </c>
      <c r="E427" s="1">
        <v>6</v>
      </c>
      <c r="F427" s="1">
        <v>9</v>
      </c>
      <c r="G427" s="1">
        <v>5</v>
      </c>
      <c r="H427" s="1">
        <v>7</v>
      </c>
      <c r="I427" s="1">
        <v>8</v>
      </c>
      <c r="J427" s="1">
        <v>10</v>
      </c>
      <c r="K427" s="1">
        <v>8</v>
      </c>
      <c r="L427" s="1">
        <v>7</v>
      </c>
      <c r="M427" s="1">
        <v>10</v>
      </c>
      <c r="N427" s="1">
        <v>13</v>
      </c>
      <c r="O427" s="24">
        <f t="shared" si="18"/>
        <v>98</v>
      </c>
      <c r="P427" s="23">
        <v>329</v>
      </c>
      <c r="Q427" s="1">
        <v>299</v>
      </c>
      <c r="R427" s="1">
        <v>252</v>
      </c>
      <c r="S427" s="1">
        <v>331</v>
      </c>
      <c r="T427" s="1">
        <v>165</v>
      </c>
      <c r="U427" s="1">
        <v>217</v>
      </c>
      <c r="V427" s="1">
        <v>309</v>
      </c>
      <c r="W427" s="1">
        <v>318</v>
      </c>
      <c r="X427" s="1">
        <v>155</v>
      </c>
      <c r="Y427" s="1">
        <v>164</v>
      </c>
      <c r="Z427" s="1">
        <v>248</v>
      </c>
      <c r="AA427" s="1">
        <v>461</v>
      </c>
      <c r="AB427" s="24">
        <f t="shared" si="19"/>
        <v>3248</v>
      </c>
      <c r="AC427" s="23">
        <v>0</v>
      </c>
      <c r="AD427" s="1">
        <v>0</v>
      </c>
      <c r="AE427" s="1">
        <v>0</v>
      </c>
      <c r="AF427" s="1">
        <v>0</v>
      </c>
      <c r="AG427" s="1">
        <v>0</v>
      </c>
      <c r="AH427" s="1">
        <v>0</v>
      </c>
      <c r="AI427" s="1">
        <v>0</v>
      </c>
      <c r="AJ427" s="1">
        <v>0</v>
      </c>
      <c r="AK427" s="1">
        <v>0</v>
      </c>
      <c r="AL427" s="1">
        <v>0</v>
      </c>
      <c r="AM427" s="1">
        <v>0</v>
      </c>
      <c r="AN427" s="1">
        <v>0</v>
      </c>
      <c r="AO427" s="24">
        <f t="shared" si="20"/>
        <v>0</v>
      </c>
    </row>
    <row r="428" spans="1:41" ht="17.25" customHeight="1" x14ac:dyDescent="0.45">
      <c r="A428" s="12" t="s">
        <v>28</v>
      </c>
      <c r="B428" s="12" t="s">
        <v>52</v>
      </c>
      <c r="C428" s="25">
        <v>12</v>
      </c>
      <c r="D428" s="10">
        <v>12</v>
      </c>
      <c r="E428" s="10">
        <v>14</v>
      </c>
      <c r="F428" s="10">
        <v>7</v>
      </c>
      <c r="G428" s="10">
        <v>9</v>
      </c>
      <c r="H428" s="10">
        <v>9</v>
      </c>
      <c r="I428" s="10">
        <v>8</v>
      </c>
      <c r="J428" s="10">
        <v>9</v>
      </c>
      <c r="K428" s="10">
        <v>8</v>
      </c>
      <c r="L428" s="10">
        <v>9</v>
      </c>
      <c r="M428" s="10">
        <v>8</v>
      </c>
      <c r="N428" s="10">
        <v>9</v>
      </c>
      <c r="O428" s="26">
        <f t="shared" si="18"/>
        <v>114</v>
      </c>
      <c r="P428" s="25">
        <v>1216</v>
      </c>
      <c r="Q428" s="10">
        <v>1363</v>
      </c>
      <c r="R428" s="10">
        <v>1881</v>
      </c>
      <c r="S428" s="10">
        <v>1060</v>
      </c>
      <c r="T428" s="10">
        <v>1467</v>
      </c>
      <c r="U428" s="10">
        <v>1467</v>
      </c>
      <c r="V428" s="10">
        <v>1337</v>
      </c>
      <c r="W428" s="10">
        <v>1497</v>
      </c>
      <c r="X428" s="10">
        <v>1026</v>
      </c>
      <c r="Y428" s="10">
        <v>1486</v>
      </c>
      <c r="Z428" s="10">
        <v>1237</v>
      </c>
      <c r="AA428" s="10">
        <v>1520</v>
      </c>
      <c r="AB428" s="26">
        <f t="shared" si="19"/>
        <v>16557</v>
      </c>
      <c r="AC428" s="25">
        <v>0</v>
      </c>
      <c r="AD428" s="10">
        <v>0</v>
      </c>
      <c r="AE428" s="10">
        <v>0</v>
      </c>
      <c r="AF428" s="10">
        <v>0</v>
      </c>
      <c r="AG428" s="10">
        <v>0</v>
      </c>
      <c r="AH428" s="10">
        <v>0</v>
      </c>
      <c r="AI428" s="10">
        <v>0</v>
      </c>
      <c r="AJ428" s="10">
        <v>0</v>
      </c>
      <c r="AK428" s="10">
        <v>0</v>
      </c>
      <c r="AL428" s="10">
        <v>0</v>
      </c>
      <c r="AM428" s="10">
        <v>0</v>
      </c>
      <c r="AN428" s="10">
        <v>0</v>
      </c>
      <c r="AO428" s="26">
        <f t="shared" si="20"/>
        <v>0</v>
      </c>
    </row>
    <row r="429" spans="1:41" ht="17.25" customHeight="1" x14ac:dyDescent="0.45">
      <c r="A429" s="2" t="s">
        <v>28</v>
      </c>
      <c r="B429" s="2" t="s">
        <v>40</v>
      </c>
      <c r="C429" s="23">
        <v>9</v>
      </c>
      <c r="D429" s="1">
        <v>9</v>
      </c>
      <c r="E429" s="1">
        <v>13</v>
      </c>
      <c r="F429" s="1">
        <v>13</v>
      </c>
      <c r="G429" s="1">
        <v>13</v>
      </c>
      <c r="H429" s="1">
        <v>11</v>
      </c>
      <c r="I429" s="1">
        <v>11</v>
      </c>
      <c r="J429" s="1">
        <v>13</v>
      </c>
      <c r="K429" s="1">
        <v>11</v>
      </c>
      <c r="L429" s="1">
        <v>12</v>
      </c>
      <c r="M429" s="1">
        <v>16</v>
      </c>
      <c r="N429" s="1">
        <v>18</v>
      </c>
      <c r="O429" s="24">
        <f t="shared" si="18"/>
        <v>149</v>
      </c>
      <c r="P429" s="23">
        <v>149</v>
      </c>
      <c r="Q429" s="1">
        <v>265</v>
      </c>
      <c r="R429" s="1">
        <v>472</v>
      </c>
      <c r="S429" s="1">
        <v>472</v>
      </c>
      <c r="T429" s="1">
        <v>453</v>
      </c>
      <c r="U429" s="1">
        <v>273</v>
      </c>
      <c r="V429" s="1">
        <v>338</v>
      </c>
      <c r="W429" s="1">
        <v>348</v>
      </c>
      <c r="X429" s="1">
        <v>292</v>
      </c>
      <c r="Y429" s="1">
        <v>314</v>
      </c>
      <c r="Z429" s="1">
        <v>361</v>
      </c>
      <c r="AA429" s="1">
        <v>694</v>
      </c>
      <c r="AB429" s="24">
        <f t="shared" si="19"/>
        <v>4431</v>
      </c>
      <c r="AC429" s="23">
        <v>0</v>
      </c>
      <c r="AD429" s="1">
        <v>0</v>
      </c>
      <c r="AE429" s="1">
        <v>0</v>
      </c>
      <c r="AF429" s="1">
        <v>0</v>
      </c>
      <c r="AG429" s="1">
        <v>0</v>
      </c>
      <c r="AH429" s="1">
        <v>0</v>
      </c>
      <c r="AI429" s="1">
        <v>0</v>
      </c>
      <c r="AJ429" s="1">
        <v>0</v>
      </c>
      <c r="AK429" s="1">
        <v>0</v>
      </c>
      <c r="AL429" s="1">
        <v>0</v>
      </c>
      <c r="AM429" s="1">
        <v>0</v>
      </c>
      <c r="AN429" s="1">
        <v>0</v>
      </c>
      <c r="AO429" s="24">
        <f t="shared" si="20"/>
        <v>0</v>
      </c>
    </row>
    <row r="430" spans="1:41" ht="17.25" customHeight="1" x14ac:dyDescent="0.45">
      <c r="A430" s="12" t="s">
        <v>28</v>
      </c>
      <c r="B430" s="12" t="s">
        <v>23</v>
      </c>
      <c r="C430" s="25">
        <v>17</v>
      </c>
      <c r="D430" s="10">
        <v>12</v>
      </c>
      <c r="E430" s="10">
        <v>14</v>
      </c>
      <c r="F430" s="10">
        <v>13</v>
      </c>
      <c r="G430" s="10">
        <v>13</v>
      </c>
      <c r="H430" s="10">
        <v>21</v>
      </c>
      <c r="I430" s="10">
        <v>17</v>
      </c>
      <c r="J430" s="10">
        <v>17</v>
      </c>
      <c r="K430" s="10">
        <v>18</v>
      </c>
      <c r="L430" s="10">
        <v>16</v>
      </c>
      <c r="M430" s="10">
        <v>19</v>
      </c>
      <c r="N430" s="10">
        <v>19</v>
      </c>
      <c r="O430" s="26">
        <f t="shared" si="18"/>
        <v>196</v>
      </c>
      <c r="P430" s="25">
        <v>3220</v>
      </c>
      <c r="Q430" s="10">
        <v>2363</v>
      </c>
      <c r="R430" s="10">
        <v>2835</v>
      </c>
      <c r="S430" s="10">
        <v>2192</v>
      </c>
      <c r="T430" s="10">
        <v>2131</v>
      </c>
      <c r="U430" s="10">
        <v>3168</v>
      </c>
      <c r="V430" s="10">
        <v>2805</v>
      </c>
      <c r="W430" s="10">
        <v>2834</v>
      </c>
      <c r="X430" s="10">
        <v>2798</v>
      </c>
      <c r="Y430" s="10">
        <v>2599</v>
      </c>
      <c r="Z430" s="10">
        <v>3229</v>
      </c>
      <c r="AA430" s="10">
        <v>3269</v>
      </c>
      <c r="AB430" s="26">
        <f t="shared" si="19"/>
        <v>33443</v>
      </c>
      <c r="AC430" s="25">
        <v>0</v>
      </c>
      <c r="AD430" s="10">
        <v>0</v>
      </c>
      <c r="AE430" s="10">
        <v>0</v>
      </c>
      <c r="AF430" s="10">
        <v>0</v>
      </c>
      <c r="AG430" s="10">
        <v>0</v>
      </c>
      <c r="AH430" s="10">
        <v>0</v>
      </c>
      <c r="AI430" s="10">
        <v>0</v>
      </c>
      <c r="AJ430" s="10">
        <v>0</v>
      </c>
      <c r="AK430" s="10">
        <v>0</v>
      </c>
      <c r="AL430" s="10">
        <v>0</v>
      </c>
      <c r="AM430" s="10">
        <v>0</v>
      </c>
      <c r="AN430" s="10">
        <v>0</v>
      </c>
      <c r="AO430" s="26">
        <f t="shared" si="20"/>
        <v>0</v>
      </c>
    </row>
    <row r="431" spans="1:41" ht="17.25" customHeight="1" x14ac:dyDescent="0.45">
      <c r="A431" s="2" t="s">
        <v>28</v>
      </c>
      <c r="B431" s="2" t="s">
        <v>24</v>
      </c>
      <c r="C431" s="23">
        <v>6</v>
      </c>
      <c r="D431" s="1">
        <v>4</v>
      </c>
      <c r="E431" s="1">
        <v>4</v>
      </c>
      <c r="F431" s="1">
        <v>0</v>
      </c>
      <c r="G431" s="1">
        <v>0</v>
      </c>
      <c r="H431" s="1">
        <v>0</v>
      </c>
      <c r="I431" s="1">
        <v>0</v>
      </c>
      <c r="J431" s="1">
        <v>0</v>
      </c>
      <c r="K431" s="1">
        <v>0</v>
      </c>
      <c r="L431" s="1">
        <v>0</v>
      </c>
      <c r="M431" s="1">
        <v>0</v>
      </c>
      <c r="N431" s="1">
        <v>0</v>
      </c>
      <c r="O431" s="24">
        <f t="shared" si="18"/>
        <v>14</v>
      </c>
      <c r="P431" s="23">
        <v>1063</v>
      </c>
      <c r="Q431" s="1">
        <v>661</v>
      </c>
      <c r="R431" s="1">
        <v>694</v>
      </c>
      <c r="S431" s="1">
        <v>0</v>
      </c>
      <c r="T431" s="1">
        <v>0</v>
      </c>
      <c r="U431" s="1">
        <v>0</v>
      </c>
      <c r="V431" s="1">
        <v>0</v>
      </c>
      <c r="W431" s="1">
        <v>0</v>
      </c>
      <c r="X431" s="1">
        <v>0</v>
      </c>
      <c r="Y431" s="1">
        <v>0</v>
      </c>
      <c r="Z431" s="1">
        <v>0</v>
      </c>
      <c r="AA431" s="1">
        <v>0</v>
      </c>
      <c r="AB431" s="24">
        <f t="shared" si="19"/>
        <v>2418</v>
      </c>
      <c r="AC431" s="23">
        <v>4.5</v>
      </c>
      <c r="AD431" s="1">
        <v>0</v>
      </c>
      <c r="AE431" s="1">
        <v>65</v>
      </c>
      <c r="AF431" s="1">
        <v>0</v>
      </c>
      <c r="AG431" s="1">
        <v>0</v>
      </c>
      <c r="AH431" s="1">
        <v>0</v>
      </c>
      <c r="AI431" s="1">
        <v>0</v>
      </c>
      <c r="AJ431" s="1">
        <v>0</v>
      </c>
      <c r="AK431" s="1">
        <v>0</v>
      </c>
      <c r="AL431" s="1">
        <v>0</v>
      </c>
      <c r="AM431" s="1">
        <v>0</v>
      </c>
      <c r="AN431" s="1">
        <v>0</v>
      </c>
      <c r="AO431" s="24">
        <f t="shared" si="20"/>
        <v>69.5</v>
      </c>
    </row>
    <row r="432" spans="1:41" ht="17.25" customHeight="1" x14ac:dyDescent="0.45">
      <c r="A432" s="12" t="s">
        <v>28</v>
      </c>
      <c r="B432" s="12" t="s">
        <v>12</v>
      </c>
      <c r="C432" s="25">
        <v>88</v>
      </c>
      <c r="D432" s="10">
        <v>86</v>
      </c>
      <c r="E432" s="10">
        <v>81</v>
      </c>
      <c r="F432" s="10">
        <v>90</v>
      </c>
      <c r="G432" s="10">
        <v>92</v>
      </c>
      <c r="H432" s="10">
        <v>88</v>
      </c>
      <c r="I432" s="10">
        <v>88</v>
      </c>
      <c r="J432" s="10">
        <v>89</v>
      </c>
      <c r="K432" s="10">
        <v>83</v>
      </c>
      <c r="L432" s="10">
        <v>84</v>
      </c>
      <c r="M432" s="10">
        <v>85</v>
      </c>
      <c r="N432" s="10">
        <v>81</v>
      </c>
      <c r="O432" s="26">
        <f t="shared" si="18"/>
        <v>1035</v>
      </c>
      <c r="P432" s="25">
        <v>7548</v>
      </c>
      <c r="Q432" s="10">
        <v>7268</v>
      </c>
      <c r="R432" s="10">
        <v>7608</v>
      </c>
      <c r="S432" s="10">
        <v>7128</v>
      </c>
      <c r="T432" s="10">
        <v>7082</v>
      </c>
      <c r="U432" s="10">
        <v>6851</v>
      </c>
      <c r="V432" s="10">
        <v>7674</v>
      </c>
      <c r="W432" s="10">
        <v>7378</v>
      </c>
      <c r="X432" s="10">
        <v>6765</v>
      </c>
      <c r="Y432" s="10">
        <v>6776</v>
      </c>
      <c r="Z432" s="10">
        <v>7383</v>
      </c>
      <c r="AA432" s="10">
        <v>7108</v>
      </c>
      <c r="AB432" s="26">
        <f t="shared" si="19"/>
        <v>86569</v>
      </c>
      <c r="AC432" s="25">
        <v>6076</v>
      </c>
      <c r="AD432" s="10">
        <v>9586</v>
      </c>
      <c r="AE432" s="10">
        <v>5262</v>
      </c>
      <c r="AF432" s="10">
        <v>8203</v>
      </c>
      <c r="AG432" s="10">
        <v>7584</v>
      </c>
      <c r="AH432" s="10">
        <v>5348</v>
      </c>
      <c r="AI432" s="10">
        <v>7208</v>
      </c>
      <c r="AJ432" s="10">
        <v>11106</v>
      </c>
      <c r="AK432" s="10">
        <v>4093</v>
      </c>
      <c r="AL432" s="10">
        <v>8761</v>
      </c>
      <c r="AM432" s="10">
        <v>8355</v>
      </c>
      <c r="AN432" s="10">
        <v>7384</v>
      </c>
      <c r="AO432" s="26">
        <f t="shared" si="20"/>
        <v>88966</v>
      </c>
    </row>
    <row r="433" spans="1:41" ht="17.25" customHeight="1" x14ac:dyDescent="0.45">
      <c r="A433" s="2" t="s">
        <v>28</v>
      </c>
      <c r="B433" s="2" t="s">
        <v>13</v>
      </c>
      <c r="C433" s="23">
        <v>102</v>
      </c>
      <c r="D433" s="1">
        <v>96</v>
      </c>
      <c r="E433" s="1">
        <v>104</v>
      </c>
      <c r="F433" s="1">
        <v>130</v>
      </c>
      <c r="G433" s="1">
        <v>139</v>
      </c>
      <c r="H433" s="1">
        <v>131</v>
      </c>
      <c r="I433" s="1">
        <v>162</v>
      </c>
      <c r="J433" s="1">
        <v>158</v>
      </c>
      <c r="K433" s="1">
        <v>144</v>
      </c>
      <c r="L433" s="1">
        <v>150</v>
      </c>
      <c r="M433" s="1">
        <v>224</v>
      </c>
      <c r="N433" s="1">
        <v>225</v>
      </c>
      <c r="O433" s="24">
        <f t="shared" si="18"/>
        <v>1765</v>
      </c>
      <c r="P433" s="23">
        <v>15250</v>
      </c>
      <c r="Q433" s="1">
        <v>12621</v>
      </c>
      <c r="R433" s="1">
        <v>14008</v>
      </c>
      <c r="S433" s="1">
        <v>17051</v>
      </c>
      <c r="T433" s="1">
        <v>18501</v>
      </c>
      <c r="U433" s="1">
        <v>16253</v>
      </c>
      <c r="V433" s="1">
        <v>19672</v>
      </c>
      <c r="W433" s="1">
        <v>19393</v>
      </c>
      <c r="X433" s="1">
        <v>18716</v>
      </c>
      <c r="Y433" s="1">
        <v>19947</v>
      </c>
      <c r="Z433" s="1">
        <v>28591</v>
      </c>
      <c r="AA433" s="1">
        <v>28361</v>
      </c>
      <c r="AB433" s="24">
        <f t="shared" si="19"/>
        <v>228364</v>
      </c>
      <c r="AC433" s="23">
        <v>36</v>
      </c>
      <c r="AD433" s="1">
        <v>0</v>
      </c>
      <c r="AE433" s="1">
        <v>0</v>
      </c>
      <c r="AF433" s="1">
        <v>0</v>
      </c>
      <c r="AG433" s="1">
        <v>0</v>
      </c>
      <c r="AH433" s="1">
        <v>0</v>
      </c>
      <c r="AI433" s="1">
        <v>318</v>
      </c>
      <c r="AJ433" s="1">
        <v>493</v>
      </c>
      <c r="AK433" s="1">
        <v>346</v>
      </c>
      <c r="AL433" s="1">
        <v>553</v>
      </c>
      <c r="AM433" s="1">
        <v>1410.25</v>
      </c>
      <c r="AN433" s="1">
        <v>323.75</v>
      </c>
      <c r="AO433" s="24">
        <f t="shared" si="20"/>
        <v>3480</v>
      </c>
    </row>
    <row r="434" spans="1:41" ht="17.25" customHeight="1" x14ac:dyDescent="0.45">
      <c r="A434" s="12" t="s">
        <v>28</v>
      </c>
      <c r="B434" s="12" t="s">
        <v>17</v>
      </c>
      <c r="C434" s="25">
        <v>17</v>
      </c>
      <c r="D434" s="10">
        <v>17</v>
      </c>
      <c r="E434" s="10">
        <v>18</v>
      </c>
      <c r="F434" s="10">
        <v>29</v>
      </c>
      <c r="G434" s="10">
        <v>31</v>
      </c>
      <c r="H434" s="10">
        <v>30</v>
      </c>
      <c r="I434" s="10">
        <v>31</v>
      </c>
      <c r="J434" s="10">
        <v>31</v>
      </c>
      <c r="K434" s="10">
        <v>30</v>
      </c>
      <c r="L434" s="10">
        <v>31</v>
      </c>
      <c r="M434" s="10">
        <v>30</v>
      </c>
      <c r="N434" s="10">
        <v>31</v>
      </c>
      <c r="O434" s="26">
        <f t="shared" si="18"/>
        <v>326</v>
      </c>
      <c r="P434" s="25">
        <v>2433</v>
      </c>
      <c r="Q434" s="10">
        <v>2414</v>
      </c>
      <c r="R434" s="10">
        <v>2853</v>
      </c>
      <c r="S434" s="10">
        <v>3970</v>
      </c>
      <c r="T434" s="10">
        <v>4854</v>
      </c>
      <c r="U434" s="10">
        <v>4553</v>
      </c>
      <c r="V434" s="10">
        <v>4834</v>
      </c>
      <c r="W434" s="10">
        <v>4607</v>
      </c>
      <c r="X434" s="10">
        <v>4087</v>
      </c>
      <c r="Y434" s="10">
        <v>4437</v>
      </c>
      <c r="Z434" s="10">
        <v>5434</v>
      </c>
      <c r="AA434" s="10">
        <v>6031</v>
      </c>
      <c r="AB434" s="26">
        <f t="shared" si="19"/>
        <v>50507</v>
      </c>
      <c r="AC434" s="25">
        <v>0</v>
      </c>
      <c r="AD434" s="10">
        <v>0</v>
      </c>
      <c r="AE434" s="10">
        <v>0</v>
      </c>
      <c r="AF434" s="10">
        <v>1358.5</v>
      </c>
      <c r="AG434" s="10">
        <v>71</v>
      </c>
      <c r="AH434" s="10">
        <v>22.5</v>
      </c>
      <c r="AI434" s="10">
        <v>1551.5</v>
      </c>
      <c r="AJ434" s="10">
        <v>1469.75</v>
      </c>
      <c r="AK434" s="10">
        <v>2691.5</v>
      </c>
      <c r="AL434" s="10">
        <v>776</v>
      </c>
      <c r="AM434" s="10">
        <v>2873.3999999999996</v>
      </c>
      <c r="AN434" s="10">
        <v>5114.7500000000009</v>
      </c>
      <c r="AO434" s="26">
        <f t="shared" si="20"/>
        <v>15928.900000000001</v>
      </c>
    </row>
    <row r="435" spans="1:41" ht="17.25" customHeight="1" x14ac:dyDescent="0.45">
      <c r="A435" s="2" t="s">
        <v>28</v>
      </c>
      <c r="B435" s="2" t="s">
        <v>48</v>
      </c>
      <c r="C435" s="23">
        <v>14</v>
      </c>
      <c r="D435" s="1">
        <v>9</v>
      </c>
      <c r="E435" s="1">
        <v>13</v>
      </c>
      <c r="F435" s="1">
        <v>26</v>
      </c>
      <c r="G435" s="1">
        <v>26</v>
      </c>
      <c r="H435" s="1">
        <v>26</v>
      </c>
      <c r="I435" s="1">
        <v>26</v>
      </c>
      <c r="J435" s="1">
        <v>26</v>
      </c>
      <c r="K435" s="1">
        <v>26</v>
      </c>
      <c r="L435" s="1">
        <v>28</v>
      </c>
      <c r="M435" s="1">
        <v>24</v>
      </c>
      <c r="N435" s="1">
        <v>26</v>
      </c>
      <c r="O435" s="24">
        <f t="shared" si="18"/>
        <v>270</v>
      </c>
      <c r="P435" s="23">
        <v>2252</v>
      </c>
      <c r="Q435" s="1">
        <v>1604</v>
      </c>
      <c r="R435" s="1">
        <v>2512</v>
      </c>
      <c r="S435" s="1">
        <v>3962</v>
      </c>
      <c r="T435" s="1">
        <v>3958</v>
      </c>
      <c r="U435" s="1">
        <v>3406</v>
      </c>
      <c r="V435" s="1">
        <v>4262</v>
      </c>
      <c r="W435" s="1">
        <v>4654</v>
      </c>
      <c r="X435" s="1">
        <v>3526</v>
      </c>
      <c r="Y435" s="1">
        <v>3363</v>
      </c>
      <c r="Z435" s="1">
        <v>2869</v>
      </c>
      <c r="AA435" s="1">
        <v>3309</v>
      </c>
      <c r="AB435" s="24">
        <f t="shared" si="19"/>
        <v>39677</v>
      </c>
      <c r="AC435" s="23">
        <v>0</v>
      </c>
      <c r="AD435" s="1">
        <v>0</v>
      </c>
      <c r="AE435" s="1">
        <v>0</v>
      </c>
      <c r="AF435" s="1">
        <v>1126</v>
      </c>
      <c r="AG435" s="1">
        <v>1789</v>
      </c>
      <c r="AH435" s="1">
        <v>290</v>
      </c>
      <c r="AI435" s="1">
        <v>894.5</v>
      </c>
      <c r="AJ435" s="1">
        <v>120.5</v>
      </c>
      <c r="AK435" s="1">
        <v>15</v>
      </c>
      <c r="AL435" s="1">
        <v>207</v>
      </c>
      <c r="AM435" s="1">
        <v>0</v>
      </c>
      <c r="AN435" s="1">
        <v>0</v>
      </c>
      <c r="AO435" s="24">
        <f t="shared" si="20"/>
        <v>4442</v>
      </c>
    </row>
    <row r="436" spans="1:41" ht="17.25" customHeight="1" x14ac:dyDescent="0.45">
      <c r="A436" s="12" t="s">
        <v>28</v>
      </c>
      <c r="B436" s="12" t="s">
        <v>15</v>
      </c>
      <c r="C436" s="25">
        <v>26</v>
      </c>
      <c r="D436" s="10">
        <v>25</v>
      </c>
      <c r="E436" s="10">
        <v>28</v>
      </c>
      <c r="F436" s="10">
        <v>33</v>
      </c>
      <c r="G436" s="10">
        <v>36</v>
      </c>
      <c r="H436" s="10">
        <v>34</v>
      </c>
      <c r="I436" s="10">
        <v>35</v>
      </c>
      <c r="J436" s="10">
        <v>36</v>
      </c>
      <c r="K436" s="10">
        <v>47</v>
      </c>
      <c r="L436" s="10">
        <v>48</v>
      </c>
      <c r="M436" s="10">
        <v>46</v>
      </c>
      <c r="N436" s="10">
        <v>46</v>
      </c>
      <c r="O436" s="26">
        <f t="shared" si="18"/>
        <v>440</v>
      </c>
      <c r="P436" s="25">
        <v>4913</v>
      </c>
      <c r="Q436" s="10">
        <v>4940</v>
      </c>
      <c r="R436" s="10">
        <v>5036</v>
      </c>
      <c r="S436" s="10">
        <v>6714</v>
      </c>
      <c r="T436" s="10">
        <v>6433</v>
      </c>
      <c r="U436" s="10">
        <v>5699</v>
      </c>
      <c r="V436" s="10">
        <v>6636</v>
      </c>
      <c r="W436" s="10">
        <v>6779</v>
      </c>
      <c r="X436" s="10">
        <v>6370</v>
      </c>
      <c r="Y436" s="10">
        <v>6183</v>
      </c>
      <c r="Z436" s="10">
        <v>6505</v>
      </c>
      <c r="AA436" s="10">
        <v>7039</v>
      </c>
      <c r="AB436" s="26">
        <f t="shared" si="19"/>
        <v>73247</v>
      </c>
      <c r="AC436" s="25">
        <v>6508.45</v>
      </c>
      <c r="AD436" s="10">
        <v>7017</v>
      </c>
      <c r="AE436" s="10">
        <v>8695</v>
      </c>
      <c r="AF436" s="10">
        <v>4896</v>
      </c>
      <c r="AG436" s="10">
        <v>7432</v>
      </c>
      <c r="AH436" s="10">
        <v>7066</v>
      </c>
      <c r="AI436" s="10">
        <v>5393.7</v>
      </c>
      <c r="AJ436" s="10">
        <v>6618.9</v>
      </c>
      <c r="AK436" s="10">
        <v>6224</v>
      </c>
      <c r="AL436" s="10">
        <v>6071</v>
      </c>
      <c r="AM436" s="10">
        <v>10772.25</v>
      </c>
      <c r="AN436" s="10">
        <v>7394.95</v>
      </c>
      <c r="AO436" s="26">
        <f t="shared" si="20"/>
        <v>84089.249999999985</v>
      </c>
    </row>
    <row r="437" spans="1:41" ht="17.25" customHeight="1" x14ac:dyDescent="0.45">
      <c r="A437" s="2" t="s">
        <v>28</v>
      </c>
      <c r="B437" s="2" t="s">
        <v>33</v>
      </c>
      <c r="C437" s="23">
        <v>10</v>
      </c>
      <c r="D437" s="1">
        <v>12</v>
      </c>
      <c r="E437" s="1">
        <v>9</v>
      </c>
      <c r="F437" s="1">
        <v>12</v>
      </c>
      <c r="G437" s="1">
        <v>12</v>
      </c>
      <c r="H437" s="1">
        <v>11</v>
      </c>
      <c r="I437" s="1">
        <v>6</v>
      </c>
      <c r="J437" s="1">
        <v>15</v>
      </c>
      <c r="K437" s="1">
        <v>7</v>
      </c>
      <c r="L437" s="1">
        <v>5</v>
      </c>
      <c r="M437" s="1">
        <v>19</v>
      </c>
      <c r="N437" s="1">
        <v>22</v>
      </c>
      <c r="O437" s="24">
        <f t="shared" si="18"/>
        <v>140</v>
      </c>
      <c r="P437" s="23">
        <v>327</v>
      </c>
      <c r="Q437" s="1">
        <v>400</v>
      </c>
      <c r="R437" s="1">
        <v>333</v>
      </c>
      <c r="S437" s="1">
        <v>422</v>
      </c>
      <c r="T437" s="1">
        <v>428</v>
      </c>
      <c r="U437" s="1">
        <v>347</v>
      </c>
      <c r="V437" s="1">
        <v>236</v>
      </c>
      <c r="W437" s="1">
        <v>403</v>
      </c>
      <c r="X437" s="1">
        <v>186</v>
      </c>
      <c r="Y437" s="1">
        <v>175</v>
      </c>
      <c r="Z437" s="1">
        <v>481</v>
      </c>
      <c r="AA437" s="1">
        <v>564</v>
      </c>
      <c r="AB437" s="24">
        <f t="shared" si="19"/>
        <v>4302</v>
      </c>
      <c r="AC437" s="23">
        <v>0</v>
      </c>
      <c r="AD437" s="1">
        <v>0</v>
      </c>
      <c r="AE437" s="1">
        <v>0</v>
      </c>
      <c r="AF437" s="1">
        <v>0</v>
      </c>
      <c r="AG437" s="1">
        <v>0</v>
      </c>
      <c r="AH437" s="1">
        <v>0</v>
      </c>
      <c r="AI437" s="1">
        <v>0</v>
      </c>
      <c r="AJ437" s="1">
        <v>0</v>
      </c>
      <c r="AK437" s="1">
        <v>0</v>
      </c>
      <c r="AL437" s="1">
        <v>0</v>
      </c>
      <c r="AM437" s="1">
        <v>0</v>
      </c>
      <c r="AN437" s="1">
        <v>0</v>
      </c>
      <c r="AO437" s="24">
        <f t="shared" si="20"/>
        <v>0</v>
      </c>
    </row>
    <row r="438" spans="1:41" ht="17.25" customHeight="1" x14ac:dyDescent="0.45">
      <c r="A438" s="12" t="s">
        <v>29</v>
      </c>
      <c r="B438" s="12" t="s">
        <v>10</v>
      </c>
      <c r="C438" s="25">
        <v>19</v>
      </c>
      <c r="D438" s="10">
        <v>16</v>
      </c>
      <c r="E438" s="10">
        <v>18</v>
      </c>
      <c r="F438" s="10">
        <v>21</v>
      </c>
      <c r="G438" s="10">
        <v>22</v>
      </c>
      <c r="H438" s="10">
        <v>29</v>
      </c>
      <c r="I438" s="10">
        <v>30</v>
      </c>
      <c r="J438" s="10">
        <v>27</v>
      </c>
      <c r="K438" s="10">
        <v>20</v>
      </c>
      <c r="L438" s="10">
        <v>23</v>
      </c>
      <c r="M438" s="10">
        <v>21</v>
      </c>
      <c r="N438" s="10">
        <v>19</v>
      </c>
      <c r="O438" s="26">
        <f t="shared" si="18"/>
        <v>265</v>
      </c>
      <c r="P438" s="25">
        <v>1720</v>
      </c>
      <c r="Q438" s="10">
        <v>1649</v>
      </c>
      <c r="R438" s="10">
        <v>2401</v>
      </c>
      <c r="S438" s="10">
        <v>2496</v>
      </c>
      <c r="T438" s="10">
        <v>2913</v>
      </c>
      <c r="U438" s="10">
        <v>4477</v>
      </c>
      <c r="V438" s="10">
        <v>4605</v>
      </c>
      <c r="W438" s="10">
        <v>4152</v>
      </c>
      <c r="X438" s="10">
        <v>2905</v>
      </c>
      <c r="Y438" s="10">
        <v>3090</v>
      </c>
      <c r="Z438" s="10">
        <v>2601</v>
      </c>
      <c r="AA438" s="10">
        <v>2321</v>
      </c>
      <c r="AB438" s="26">
        <f t="shared" si="19"/>
        <v>35330</v>
      </c>
      <c r="AC438" s="25">
        <v>0</v>
      </c>
      <c r="AD438" s="10">
        <v>0</v>
      </c>
      <c r="AE438" s="10">
        <v>0</v>
      </c>
      <c r="AF438" s="10">
        <v>0</v>
      </c>
      <c r="AG438" s="10">
        <v>0</v>
      </c>
      <c r="AH438" s="10">
        <v>0</v>
      </c>
      <c r="AI438" s="10">
        <v>0</v>
      </c>
      <c r="AJ438" s="10">
        <v>0</v>
      </c>
      <c r="AK438" s="10">
        <v>0</v>
      </c>
      <c r="AL438" s="10">
        <v>0</v>
      </c>
      <c r="AM438" s="10">
        <v>0</v>
      </c>
      <c r="AN438" s="10">
        <v>0</v>
      </c>
      <c r="AO438" s="26">
        <f t="shared" si="20"/>
        <v>0</v>
      </c>
    </row>
    <row r="439" spans="1:41" ht="17.25" customHeight="1" x14ac:dyDescent="0.45">
      <c r="A439" s="2" t="s">
        <v>29</v>
      </c>
      <c r="B439" s="2" t="s">
        <v>44</v>
      </c>
      <c r="C439" s="23">
        <v>6</v>
      </c>
      <c r="D439" s="1">
        <v>0</v>
      </c>
      <c r="E439" s="1">
        <v>0</v>
      </c>
      <c r="F439" s="1">
        <v>0</v>
      </c>
      <c r="G439" s="1">
        <v>0</v>
      </c>
      <c r="H439" s="1">
        <v>0</v>
      </c>
      <c r="I439" s="1">
        <v>0</v>
      </c>
      <c r="J439" s="1">
        <v>0</v>
      </c>
      <c r="K439" s="1">
        <v>0</v>
      </c>
      <c r="L439" s="1">
        <v>0</v>
      </c>
      <c r="M439" s="1">
        <v>0</v>
      </c>
      <c r="N439" s="1">
        <v>0</v>
      </c>
      <c r="O439" s="24">
        <f t="shared" si="18"/>
        <v>6</v>
      </c>
      <c r="P439" s="23">
        <v>17</v>
      </c>
      <c r="Q439" s="1">
        <v>0</v>
      </c>
      <c r="R439" s="1">
        <v>0</v>
      </c>
      <c r="S439" s="1">
        <v>0</v>
      </c>
      <c r="T439" s="1">
        <v>0</v>
      </c>
      <c r="U439" s="1">
        <v>0</v>
      </c>
      <c r="V439" s="1">
        <v>0</v>
      </c>
      <c r="W439" s="1">
        <v>0</v>
      </c>
      <c r="X439" s="1">
        <v>0</v>
      </c>
      <c r="Y439" s="1">
        <v>0</v>
      </c>
      <c r="Z439" s="1">
        <v>0</v>
      </c>
      <c r="AA439" s="1">
        <v>0</v>
      </c>
      <c r="AB439" s="24">
        <f t="shared" si="19"/>
        <v>17</v>
      </c>
      <c r="AC439" s="23">
        <v>0</v>
      </c>
      <c r="AD439" s="1">
        <v>0</v>
      </c>
      <c r="AE439" s="1">
        <v>0</v>
      </c>
      <c r="AF439" s="1">
        <v>0</v>
      </c>
      <c r="AG439" s="1">
        <v>0</v>
      </c>
      <c r="AH439" s="1">
        <v>0</v>
      </c>
      <c r="AI439" s="1">
        <v>0</v>
      </c>
      <c r="AJ439" s="1">
        <v>0</v>
      </c>
      <c r="AK439" s="1">
        <v>0</v>
      </c>
      <c r="AL439" s="1">
        <v>0</v>
      </c>
      <c r="AM439" s="1">
        <v>0</v>
      </c>
      <c r="AN439" s="1">
        <v>0</v>
      </c>
      <c r="AO439" s="24">
        <f t="shared" si="20"/>
        <v>0</v>
      </c>
    </row>
    <row r="440" spans="1:41" ht="17.25" customHeight="1" x14ac:dyDescent="0.45">
      <c r="A440" s="12" t="s">
        <v>29</v>
      </c>
      <c r="B440" s="12" t="s">
        <v>11</v>
      </c>
      <c r="C440" s="25">
        <v>15</v>
      </c>
      <c r="D440" s="10">
        <v>12</v>
      </c>
      <c r="E440" s="10">
        <v>17</v>
      </c>
      <c r="F440" s="10">
        <v>17</v>
      </c>
      <c r="G440" s="10">
        <v>31</v>
      </c>
      <c r="H440" s="10">
        <v>20</v>
      </c>
      <c r="I440" s="10">
        <v>31</v>
      </c>
      <c r="J440" s="10">
        <v>31</v>
      </c>
      <c r="K440" s="10">
        <v>49</v>
      </c>
      <c r="L440" s="10">
        <v>55</v>
      </c>
      <c r="M440" s="10">
        <v>25</v>
      </c>
      <c r="N440" s="10">
        <v>26</v>
      </c>
      <c r="O440" s="26">
        <f t="shared" si="18"/>
        <v>329</v>
      </c>
      <c r="P440" s="25">
        <v>1754</v>
      </c>
      <c r="Q440" s="10">
        <v>1439</v>
      </c>
      <c r="R440" s="10">
        <v>2009</v>
      </c>
      <c r="S440" s="10">
        <v>1648</v>
      </c>
      <c r="T440" s="10">
        <v>3141</v>
      </c>
      <c r="U440" s="10">
        <v>2239</v>
      </c>
      <c r="V440" s="10">
        <v>3429</v>
      </c>
      <c r="W440" s="10">
        <v>3219</v>
      </c>
      <c r="X440" s="10">
        <v>2766</v>
      </c>
      <c r="Y440" s="10">
        <v>3583</v>
      </c>
      <c r="Z440" s="10">
        <v>2663</v>
      </c>
      <c r="AA440" s="10">
        <v>2962</v>
      </c>
      <c r="AB440" s="26">
        <f t="shared" si="19"/>
        <v>30852</v>
      </c>
      <c r="AC440" s="25">
        <v>0</v>
      </c>
      <c r="AD440" s="10">
        <v>0</v>
      </c>
      <c r="AE440" s="10">
        <v>0</v>
      </c>
      <c r="AF440" s="10">
        <v>0</v>
      </c>
      <c r="AG440" s="10">
        <v>0</v>
      </c>
      <c r="AH440" s="10">
        <v>0</v>
      </c>
      <c r="AI440" s="10">
        <v>0</v>
      </c>
      <c r="AJ440" s="10">
        <v>0</v>
      </c>
      <c r="AK440" s="10">
        <v>0</v>
      </c>
      <c r="AL440" s="10">
        <v>0</v>
      </c>
      <c r="AM440" s="10">
        <v>0</v>
      </c>
      <c r="AN440" s="10">
        <v>0</v>
      </c>
      <c r="AO440" s="26">
        <f t="shared" si="20"/>
        <v>0</v>
      </c>
    </row>
    <row r="441" spans="1:41" ht="17.25" customHeight="1" x14ac:dyDescent="0.45">
      <c r="A441" s="2" t="s">
        <v>29</v>
      </c>
      <c r="B441" s="2" t="s">
        <v>12</v>
      </c>
      <c r="C441" s="23">
        <v>96</v>
      </c>
      <c r="D441" s="1">
        <v>86</v>
      </c>
      <c r="E441" s="1">
        <v>91</v>
      </c>
      <c r="F441" s="1">
        <v>90</v>
      </c>
      <c r="G441" s="1">
        <v>93</v>
      </c>
      <c r="H441" s="1">
        <v>90</v>
      </c>
      <c r="I441" s="1">
        <v>93</v>
      </c>
      <c r="J441" s="1">
        <v>93</v>
      </c>
      <c r="K441" s="1">
        <v>89</v>
      </c>
      <c r="L441" s="1">
        <v>93</v>
      </c>
      <c r="M441" s="1">
        <v>90</v>
      </c>
      <c r="N441" s="1">
        <v>91</v>
      </c>
      <c r="O441" s="24">
        <f t="shared" si="18"/>
        <v>1095</v>
      </c>
      <c r="P441" s="23">
        <v>8699</v>
      </c>
      <c r="Q441" s="1">
        <v>7718</v>
      </c>
      <c r="R441" s="1">
        <v>8366</v>
      </c>
      <c r="S441" s="1">
        <v>8365</v>
      </c>
      <c r="T441" s="1">
        <v>8841</v>
      </c>
      <c r="U441" s="1">
        <v>8939</v>
      </c>
      <c r="V441" s="1">
        <v>9659</v>
      </c>
      <c r="W441" s="1">
        <v>8908</v>
      </c>
      <c r="X441" s="1">
        <v>8604</v>
      </c>
      <c r="Y441" s="1">
        <v>8493</v>
      </c>
      <c r="Z441" s="1">
        <v>8711</v>
      </c>
      <c r="AA441" s="1">
        <v>9634</v>
      </c>
      <c r="AB441" s="24">
        <f t="shared" si="19"/>
        <v>104937</v>
      </c>
      <c r="AC441" s="23">
        <v>24839</v>
      </c>
      <c r="AD441" s="1">
        <v>24191</v>
      </c>
      <c r="AE441" s="1">
        <v>27840</v>
      </c>
      <c r="AF441" s="1">
        <v>27055</v>
      </c>
      <c r="AG441" s="1">
        <v>25486</v>
      </c>
      <c r="AH441" s="1">
        <v>23674</v>
      </c>
      <c r="AI441" s="1">
        <v>24528</v>
      </c>
      <c r="AJ441" s="1">
        <v>26348</v>
      </c>
      <c r="AK441" s="1">
        <v>24642</v>
      </c>
      <c r="AL441" s="1">
        <v>25267</v>
      </c>
      <c r="AM441" s="1">
        <v>28778</v>
      </c>
      <c r="AN441" s="1">
        <v>26551</v>
      </c>
      <c r="AO441" s="24">
        <f t="shared" si="20"/>
        <v>309199</v>
      </c>
    </row>
    <row r="442" spans="1:41" ht="17.25" customHeight="1" x14ac:dyDescent="0.45">
      <c r="A442" s="12" t="s">
        <v>29</v>
      </c>
      <c r="B442" s="12" t="s">
        <v>14</v>
      </c>
      <c r="C442" s="25">
        <v>24</v>
      </c>
      <c r="D442" s="10">
        <v>29</v>
      </c>
      <c r="E442" s="10">
        <v>31</v>
      </c>
      <c r="F442" s="10">
        <v>29</v>
      </c>
      <c r="G442" s="10">
        <v>31</v>
      </c>
      <c r="H442" s="10">
        <v>29</v>
      </c>
      <c r="I442" s="10">
        <v>29</v>
      </c>
      <c r="J442" s="10">
        <v>31</v>
      </c>
      <c r="K442" s="10">
        <v>30</v>
      </c>
      <c r="L442" s="10">
        <v>31</v>
      </c>
      <c r="M442" s="10">
        <v>30</v>
      </c>
      <c r="N442" s="10">
        <v>28</v>
      </c>
      <c r="O442" s="26">
        <f t="shared" si="18"/>
        <v>352</v>
      </c>
      <c r="P442" s="25">
        <v>1478</v>
      </c>
      <c r="Q442" s="10">
        <v>2408</v>
      </c>
      <c r="R442" s="10">
        <v>3160</v>
      </c>
      <c r="S442" s="10">
        <v>2637</v>
      </c>
      <c r="T442" s="10">
        <v>2590</v>
      </c>
      <c r="U442" s="10">
        <v>2469</v>
      </c>
      <c r="V442" s="10">
        <v>2793</v>
      </c>
      <c r="W442" s="10">
        <v>2775</v>
      </c>
      <c r="X442" s="10">
        <v>2730</v>
      </c>
      <c r="Y442" s="10">
        <v>2986</v>
      </c>
      <c r="Z442" s="10">
        <v>3117</v>
      </c>
      <c r="AA442" s="10">
        <v>3851</v>
      </c>
      <c r="AB442" s="26">
        <f t="shared" si="19"/>
        <v>32994</v>
      </c>
      <c r="AC442" s="25">
        <v>0</v>
      </c>
      <c r="AD442" s="10">
        <v>0</v>
      </c>
      <c r="AE442" s="10">
        <v>0</v>
      </c>
      <c r="AF442" s="10">
        <v>0</v>
      </c>
      <c r="AG442" s="10">
        <v>0</v>
      </c>
      <c r="AH442" s="10">
        <v>0</v>
      </c>
      <c r="AI442" s="10">
        <v>0</v>
      </c>
      <c r="AJ442" s="10">
        <v>0</v>
      </c>
      <c r="AK442" s="10">
        <v>0</v>
      </c>
      <c r="AL442" s="10">
        <v>0</v>
      </c>
      <c r="AM442" s="10">
        <v>0</v>
      </c>
      <c r="AN442" s="10">
        <v>0</v>
      </c>
      <c r="AO442" s="26">
        <f t="shared" si="20"/>
        <v>0</v>
      </c>
    </row>
    <row r="443" spans="1:41" ht="17.25" customHeight="1" x14ac:dyDescent="0.45">
      <c r="A443" s="2" t="s">
        <v>29</v>
      </c>
      <c r="B443" s="2" t="s">
        <v>31</v>
      </c>
      <c r="C443" s="23">
        <v>9</v>
      </c>
      <c r="D443" s="1">
        <v>9</v>
      </c>
      <c r="E443" s="1">
        <v>0</v>
      </c>
      <c r="F443" s="1">
        <v>0</v>
      </c>
      <c r="G443" s="1">
        <v>0</v>
      </c>
      <c r="H443" s="1">
        <v>0</v>
      </c>
      <c r="I443" s="1">
        <v>0</v>
      </c>
      <c r="J443" s="1">
        <v>0</v>
      </c>
      <c r="K443" s="1">
        <v>0</v>
      </c>
      <c r="L443" s="1">
        <v>0</v>
      </c>
      <c r="M443" s="1">
        <v>0</v>
      </c>
      <c r="N443" s="1">
        <v>0</v>
      </c>
      <c r="O443" s="24">
        <f t="shared" si="18"/>
        <v>18</v>
      </c>
      <c r="P443" s="23">
        <v>22</v>
      </c>
      <c r="Q443" s="1">
        <v>28</v>
      </c>
      <c r="R443" s="1">
        <v>0</v>
      </c>
      <c r="S443" s="1">
        <v>0</v>
      </c>
      <c r="T443" s="1">
        <v>0</v>
      </c>
      <c r="U443" s="1">
        <v>0</v>
      </c>
      <c r="V443" s="1">
        <v>0</v>
      </c>
      <c r="W443" s="1">
        <v>0</v>
      </c>
      <c r="X443" s="1">
        <v>0</v>
      </c>
      <c r="Y443" s="1">
        <v>0</v>
      </c>
      <c r="Z443" s="1">
        <v>0</v>
      </c>
      <c r="AA443" s="1">
        <v>0</v>
      </c>
      <c r="AB443" s="24">
        <f t="shared" si="19"/>
        <v>50</v>
      </c>
      <c r="AC443" s="23">
        <v>0</v>
      </c>
      <c r="AD443" s="1">
        <v>0</v>
      </c>
      <c r="AE443" s="1">
        <v>0</v>
      </c>
      <c r="AF443" s="1">
        <v>0</v>
      </c>
      <c r="AG443" s="1">
        <v>0</v>
      </c>
      <c r="AH443" s="1">
        <v>0</v>
      </c>
      <c r="AI443" s="1">
        <v>0</v>
      </c>
      <c r="AJ443" s="1">
        <v>0</v>
      </c>
      <c r="AK443" s="1">
        <v>0</v>
      </c>
      <c r="AL443" s="1">
        <v>0</v>
      </c>
      <c r="AM443" s="1">
        <v>0</v>
      </c>
      <c r="AN443" s="1">
        <v>0</v>
      </c>
      <c r="AO443" s="24">
        <f t="shared" si="20"/>
        <v>0</v>
      </c>
    </row>
    <row r="444" spans="1:41" ht="17.25" customHeight="1" x14ac:dyDescent="0.45">
      <c r="A444" s="12" t="s">
        <v>29</v>
      </c>
      <c r="B444" s="12" t="s">
        <v>35</v>
      </c>
      <c r="C444" s="25">
        <v>11</v>
      </c>
      <c r="D444" s="10">
        <v>8</v>
      </c>
      <c r="E444" s="10">
        <v>10</v>
      </c>
      <c r="F444" s="10">
        <v>13</v>
      </c>
      <c r="G444" s="10">
        <v>13</v>
      </c>
      <c r="H444" s="10">
        <v>15</v>
      </c>
      <c r="I444" s="10">
        <v>18</v>
      </c>
      <c r="J444" s="10">
        <v>18</v>
      </c>
      <c r="K444" s="10">
        <v>17</v>
      </c>
      <c r="L444" s="10">
        <v>18</v>
      </c>
      <c r="M444" s="10">
        <v>18</v>
      </c>
      <c r="N444" s="10">
        <v>16</v>
      </c>
      <c r="O444" s="26">
        <f t="shared" si="18"/>
        <v>175</v>
      </c>
      <c r="P444" s="25">
        <v>1237</v>
      </c>
      <c r="Q444" s="10">
        <v>1015</v>
      </c>
      <c r="R444" s="10">
        <v>1231</v>
      </c>
      <c r="S444" s="10">
        <v>1383</v>
      </c>
      <c r="T444" s="10">
        <v>1532</v>
      </c>
      <c r="U444" s="10">
        <v>1819</v>
      </c>
      <c r="V444" s="10">
        <v>2351</v>
      </c>
      <c r="W444" s="10">
        <v>2137</v>
      </c>
      <c r="X444" s="10">
        <v>1595</v>
      </c>
      <c r="Y444" s="10">
        <v>1816</v>
      </c>
      <c r="Z444" s="10">
        <v>2141</v>
      </c>
      <c r="AA444" s="10">
        <v>2452</v>
      </c>
      <c r="AB444" s="26">
        <f t="shared" si="19"/>
        <v>20709</v>
      </c>
      <c r="AC444" s="25">
        <v>0</v>
      </c>
      <c r="AD444" s="10">
        <v>0</v>
      </c>
      <c r="AE444" s="10">
        <v>0</v>
      </c>
      <c r="AF444" s="10">
        <v>0</v>
      </c>
      <c r="AG444" s="10">
        <v>0</v>
      </c>
      <c r="AH444" s="10">
        <v>0</v>
      </c>
      <c r="AI444" s="10">
        <v>0</v>
      </c>
      <c r="AJ444" s="10">
        <v>0</v>
      </c>
      <c r="AK444" s="10">
        <v>0</v>
      </c>
      <c r="AL444" s="10">
        <v>0</v>
      </c>
      <c r="AM444" s="10">
        <v>0</v>
      </c>
      <c r="AN444" s="10">
        <v>0</v>
      </c>
      <c r="AO444" s="26">
        <f t="shared" si="20"/>
        <v>0</v>
      </c>
    </row>
    <row r="445" spans="1:41" ht="17.25" customHeight="1" x14ac:dyDescent="0.45">
      <c r="A445" s="2" t="s">
        <v>48</v>
      </c>
      <c r="B445" s="2" t="s">
        <v>10</v>
      </c>
      <c r="C445" s="23">
        <v>0</v>
      </c>
      <c r="D445" s="1">
        <v>0</v>
      </c>
      <c r="E445" s="1">
        <v>0</v>
      </c>
      <c r="F445" s="1">
        <v>0</v>
      </c>
      <c r="G445" s="1">
        <v>0</v>
      </c>
      <c r="H445" s="1">
        <v>0</v>
      </c>
      <c r="I445" s="1">
        <v>0</v>
      </c>
      <c r="J445" s="1">
        <v>0</v>
      </c>
      <c r="K445" s="1">
        <v>29</v>
      </c>
      <c r="L445" s="1">
        <v>31</v>
      </c>
      <c r="M445" s="1">
        <v>30</v>
      </c>
      <c r="N445" s="1">
        <v>29</v>
      </c>
      <c r="O445" s="24">
        <f t="shared" si="18"/>
        <v>119</v>
      </c>
      <c r="P445" s="23">
        <v>0</v>
      </c>
      <c r="Q445" s="1">
        <v>0</v>
      </c>
      <c r="R445" s="1">
        <v>0</v>
      </c>
      <c r="S445" s="1">
        <v>0</v>
      </c>
      <c r="T445" s="1">
        <v>0</v>
      </c>
      <c r="U445" s="1">
        <v>0</v>
      </c>
      <c r="V445" s="1">
        <v>0</v>
      </c>
      <c r="W445" s="1">
        <v>0</v>
      </c>
      <c r="X445" s="1">
        <v>711</v>
      </c>
      <c r="Y445" s="1">
        <v>760</v>
      </c>
      <c r="Z445" s="1">
        <v>1063</v>
      </c>
      <c r="AA445" s="1">
        <v>430</v>
      </c>
      <c r="AB445" s="24">
        <f t="shared" si="19"/>
        <v>2964</v>
      </c>
      <c r="AC445" s="23">
        <v>0</v>
      </c>
      <c r="AD445" s="1">
        <v>0</v>
      </c>
      <c r="AE445" s="1">
        <v>0</v>
      </c>
      <c r="AF445" s="1">
        <v>0</v>
      </c>
      <c r="AG445" s="1">
        <v>0</v>
      </c>
      <c r="AH445" s="1">
        <v>0</v>
      </c>
      <c r="AI445" s="1">
        <v>0</v>
      </c>
      <c r="AJ445" s="1">
        <v>0</v>
      </c>
      <c r="AK445" s="1">
        <v>0</v>
      </c>
      <c r="AL445" s="1">
        <v>0</v>
      </c>
      <c r="AM445" s="1">
        <v>0</v>
      </c>
      <c r="AN445" s="1">
        <v>0</v>
      </c>
      <c r="AO445" s="24">
        <f t="shared" si="20"/>
        <v>0</v>
      </c>
    </row>
    <row r="446" spans="1:41" ht="17.25" customHeight="1" x14ac:dyDescent="0.45">
      <c r="A446" s="12" t="s">
        <v>48</v>
      </c>
      <c r="B446" s="12" t="s">
        <v>20</v>
      </c>
      <c r="C446" s="25">
        <v>3</v>
      </c>
      <c r="D446" s="10">
        <v>0</v>
      </c>
      <c r="E446" s="10">
        <v>0</v>
      </c>
      <c r="F446" s="10">
        <v>0</v>
      </c>
      <c r="G446" s="10">
        <v>0</v>
      </c>
      <c r="H446" s="10">
        <v>0</v>
      </c>
      <c r="I446" s="10">
        <v>0</v>
      </c>
      <c r="J446" s="10">
        <v>0</v>
      </c>
      <c r="K446" s="10">
        <v>0</v>
      </c>
      <c r="L446" s="10">
        <v>0</v>
      </c>
      <c r="M446" s="10">
        <v>0</v>
      </c>
      <c r="N446" s="10">
        <v>0</v>
      </c>
      <c r="O446" s="26">
        <f t="shared" si="18"/>
        <v>3</v>
      </c>
      <c r="P446" s="25">
        <v>345</v>
      </c>
      <c r="Q446" s="10">
        <v>0</v>
      </c>
      <c r="R446" s="10">
        <v>0</v>
      </c>
      <c r="S446" s="10">
        <v>0</v>
      </c>
      <c r="T446" s="10">
        <v>0</v>
      </c>
      <c r="U446" s="10">
        <v>0</v>
      </c>
      <c r="V446" s="10">
        <v>0</v>
      </c>
      <c r="W446" s="10">
        <v>0</v>
      </c>
      <c r="X446" s="10">
        <v>0</v>
      </c>
      <c r="Y446" s="10">
        <v>0</v>
      </c>
      <c r="Z446" s="10">
        <v>0</v>
      </c>
      <c r="AA446" s="10">
        <v>0</v>
      </c>
      <c r="AB446" s="26">
        <f t="shared" si="19"/>
        <v>345</v>
      </c>
      <c r="AC446" s="25">
        <v>0</v>
      </c>
      <c r="AD446" s="10">
        <v>0</v>
      </c>
      <c r="AE446" s="10">
        <v>0</v>
      </c>
      <c r="AF446" s="10">
        <v>0</v>
      </c>
      <c r="AG446" s="10">
        <v>0</v>
      </c>
      <c r="AH446" s="10">
        <v>0</v>
      </c>
      <c r="AI446" s="10">
        <v>0</v>
      </c>
      <c r="AJ446" s="10">
        <v>0</v>
      </c>
      <c r="AK446" s="10">
        <v>0</v>
      </c>
      <c r="AL446" s="10">
        <v>0</v>
      </c>
      <c r="AM446" s="10">
        <v>0</v>
      </c>
      <c r="AN446" s="10">
        <v>0</v>
      </c>
      <c r="AO446" s="26">
        <f t="shared" si="20"/>
        <v>0</v>
      </c>
    </row>
    <row r="447" spans="1:41" ht="17.25" customHeight="1" x14ac:dyDescent="0.45">
      <c r="A447" s="2" t="s">
        <v>48</v>
      </c>
      <c r="B447" s="2" t="s">
        <v>21</v>
      </c>
      <c r="C447" s="23">
        <v>53</v>
      </c>
      <c r="D447" s="1">
        <v>46</v>
      </c>
      <c r="E447" s="1">
        <v>49</v>
      </c>
      <c r="F447" s="1">
        <v>51</v>
      </c>
      <c r="G447" s="1">
        <v>62</v>
      </c>
      <c r="H447" s="1">
        <v>64</v>
      </c>
      <c r="I447" s="1">
        <v>70</v>
      </c>
      <c r="J447" s="1">
        <v>67</v>
      </c>
      <c r="K447" s="1">
        <v>59</v>
      </c>
      <c r="L447" s="1">
        <v>62</v>
      </c>
      <c r="M447" s="1">
        <v>59</v>
      </c>
      <c r="N447" s="1">
        <v>60</v>
      </c>
      <c r="O447" s="24">
        <f t="shared" si="18"/>
        <v>702</v>
      </c>
      <c r="P447" s="23">
        <v>7792</v>
      </c>
      <c r="Q447" s="1">
        <v>7907</v>
      </c>
      <c r="R447" s="1">
        <v>8235</v>
      </c>
      <c r="S447" s="1">
        <v>8503</v>
      </c>
      <c r="T447" s="1">
        <v>10157</v>
      </c>
      <c r="U447" s="1">
        <v>9891</v>
      </c>
      <c r="V447" s="1">
        <v>12688</v>
      </c>
      <c r="W447" s="1">
        <v>12099</v>
      </c>
      <c r="X447" s="1">
        <v>6418</v>
      </c>
      <c r="Y447" s="1">
        <v>7282</v>
      </c>
      <c r="Z447" s="1">
        <v>7698</v>
      </c>
      <c r="AA447" s="1">
        <v>9701</v>
      </c>
      <c r="AB447" s="24">
        <f t="shared" si="19"/>
        <v>108371</v>
      </c>
      <c r="AC447" s="23">
        <v>200</v>
      </c>
      <c r="AD447" s="1">
        <v>85</v>
      </c>
      <c r="AE447" s="1">
        <v>60.4</v>
      </c>
      <c r="AF447" s="1">
        <v>16.3</v>
      </c>
      <c r="AG447" s="1">
        <v>0</v>
      </c>
      <c r="AH447" s="1">
        <v>215</v>
      </c>
      <c r="AI447" s="1">
        <v>423.6</v>
      </c>
      <c r="AJ447" s="1">
        <v>300</v>
      </c>
      <c r="AK447" s="1">
        <v>220</v>
      </c>
      <c r="AL447" s="1">
        <v>126.6</v>
      </c>
      <c r="AM447" s="1">
        <v>345.40000000000003</v>
      </c>
      <c r="AN447" s="1">
        <v>309.7</v>
      </c>
      <c r="AO447" s="24">
        <f t="shared" si="20"/>
        <v>2302</v>
      </c>
    </row>
    <row r="448" spans="1:41" ht="17.25" customHeight="1" x14ac:dyDescent="0.45">
      <c r="A448" s="12" t="s">
        <v>48</v>
      </c>
      <c r="B448" s="12" t="s">
        <v>22</v>
      </c>
      <c r="C448" s="25">
        <v>26</v>
      </c>
      <c r="D448" s="10">
        <v>25</v>
      </c>
      <c r="E448" s="10">
        <v>28</v>
      </c>
      <c r="F448" s="10">
        <v>12</v>
      </c>
      <c r="G448" s="10">
        <v>14</v>
      </c>
      <c r="H448" s="10">
        <v>13</v>
      </c>
      <c r="I448" s="10">
        <v>13</v>
      </c>
      <c r="J448" s="10">
        <v>13</v>
      </c>
      <c r="K448" s="10">
        <v>13</v>
      </c>
      <c r="L448" s="10">
        <v>13</v>
      </c>
      <c r="M448" s="10">
        <v>18</v>
      </c>
      <c r="N448" s="10">
        <v>18</v>
      </c>
      <c r="O448" s="26">
        <f t="shared" si="18"/>
        <v>206</v>
      </c>
      <c r="P448" s="25">
        <v>3084</v>
      </c>
      <c r="Q448" s="10">
        <v>3408</v>
      </c>
      <c r="R448" s="10">
        <v>3718</v>
      </c>
      <c r="S448" s="10">
        <v>1909</v>
      </c>
      <c r="T448" s="10">
        <v>2281</v>
      </c>
      <c r="U448" s="10">
        <v>2116</v>
      </c>
      <c r="V448" s="10">
        <v>2081</v>
      </c>
      <c r="W448" s="10">
        <v>1937</v>
      </c>
      <c r="X448" s="10">
        <v>1911</v>
      </c>
      <c r="Y448" s="10">
        <v>1954</v>
      </c>
      <c r="Z448" s="10">
        <v>2343</v>
      </c>
      <c r="AA448" s="10">
        <v>2974</v>
      </c>
      <c r="AB448" s="26">
        <f t="shared" si="19"/>
        <v>29716</v>
      </c>
      <c r="AC448" s="25">
        <v>888.4</v>
      </c>
      <c r="AD448" s="10">
        <v>207</v>
      </c>
      <c r="AE448" s="10">
        <v>940.25</v>
      </c>
      <c r="AF448" s="10">
        <v>5.2</v>
      </c>
      <c r="AG448" s="10">
        <v>55</v>
      </c>
      <c r="AH448" s="10">
        <v>48</v>
      </c>
      <c r="AI448" s="10">
        <v>80</v>
      </c>
      <c r="AJ448" s="10">
        <v>124.5</v>
      </c>
      <c r="AK448" s="10">
        <v>11</v>
      </c>
      <c r="AL448" s="10">
        <v>0</v>
      </c>
      <c r="AM448" s="10">
        <v>0</v>
      </c>
      <c r="AN448" s="10">
        <v>172.2</v>
      </c>
      <c r="AO448" s="26">
        <f t="shared" si="20"/>
        <v>2531.5500000000002</v>
      </c>
    </row>
    <row r="449" spans="1:41" ht="17.25" customHeight="1" x14ac:dyDescent="0.45">
      <c r="A449" s="2" t="s">
        <v>48</v>
      </c>
      <c r="B449" s="2" t="s">
        <v>11</v>
      </c>
      <c r="C449" s="23">
        <v>112</v>
      </c>
      <c r="D449" s="1">
        <v>100</v>
      </c>
      <c r="E449" s="1">
        <v>118</v>
      </c>
      <c r="F449" s="1">
        <v>121</v>
      </c>
      <c r="G449" s="1">
        <v>120</v>
      </c>
      <c r="H449" s="1">
        <v>130</v>
      </c>
      <c r="I449" s="1">
        <v>136</v>
      </c>
      <c r="J449" s="1">
        <v>131</v>
      </c>
      <c r="K449" s="1">
        <v>115</v>
      </c>
      <c r="L449" s="1">
        <v>118</v>
      </c>
      <c r="M449" s="1">
        <v>128</v>
      </c>
      <c r="N449" s="1">
        <v>136</v>
      </c>
      <c r="O449" s="24">
        <f t="shared" si="18"/>
        <v>1465</v>
      </c>
      <c r="P449" s="23">
        <v>17247</v>
      </c>
      <c r="Q449" s="1">
        <v>15745</v>
      </c>
      <c r="R449" s="1">
        <v>18262</v>
      </c>
      <c r="S449" s="1">
        <v>18791</v>
      </c>
      <c r="T449" s="1">
        <v>19061</v>
      </c>
      <c r="U449" s="1">
        <v>21315</v>
      </c>
      <c r="V449" s="1">
        <v>23717</v>
      </c>
      <c r="W449" s="1">
        <v>23145</v>
      </c>
      <c r="X449" s="1">
        <v>19155</v>
      </c>
      <c r="Y449" s="1">
        <v>20641</v>
      </c>
      <c r="Z449" s="1">
        <v>20348</v>
      </c>
      <c r="AA449" s="1">
        <v>23358</v>
      </c>
      <c r="AB449" s="24">
        <f t="shared" si="19"/>
        <v>240785</v>
      </c>
      <c r="AC449" s="23">
        <v>2953.6</v>
      </c>
      <c r="AD449" s="1">
        <v>1936.7</v>
      </c>
      <c r="AE449" s="1">
        <v>2772.3</v>
      </c>
      <c r="AF449" s="1">
        <v>1805</v>
      </c>
      <c r="AG449" s="1">
        <v>2669.1</v>
      </c>
      <c r="AH449" s="1">
        <v>2016.6999999999998</v>
      </c>
      <c r="AI449" s="1">
        <v>2198.6999999999998</v>
      </c>
      <c r="AJ449" s="1">
        <v>1909.5500000000002</v>
      </c>
      <c r="AK449" s="1">
        <v>1410.4499999999998</v>
      </c>
      <c r="AL449" s="1">
        <v>2035</v>
      </c>
      <c r="AM449" s="1">
        <v>3004.9</v>
      </c>
      <c r="AN449" s="1">
        <v>3109.6000000000004</v>
      </c>
      <c r="AO449" s="24">
        <f t="shared" si="20"/>
        <v>27821.600000000006</v>
      </c>
    </row>
    <row r="450" spans="1:41" ht="17.25" customHeight="1" x14ac:dyDescent="0.45">
      <c r="A450" s="12" t="s">
        <v>48</v>
      </c>
      <c r="B450" s="12" t="s">
        <v>38</v>
      </c>
      <c r="C450" s="25">
        <v>9</v>
      </c>
      <c r="D450" s="10">
        <v>8</v>
      </c>
      <c r="E450" s="10">
        <v>9</v>
      </c>
      <c r="F450" s="10">
        <v>8</v>
      </c>
      <c r="G450" s="10">
        <v>9</v>
      </c>
      <c r="H450" s="10">
        <v>9</v>
      </c>
      <c r="I450" s="10">
        <v>9</v>
      </c>
      <c r="J450" s="10">
        <v>9</v>
      </c>
      <c r="K450" s="10">
        <v>8</v>
      </c>
      <c r="L450" s="10">
        <v>9</v>
      </c>
      <c r="M450" s="10">
        <v>9</v>
      </c>
      <c r="N450" s="10">
        <v>8</v>
      </c>
      <c r="O450" s="26">
        <f t="shared" si="18"/>
        <v>104</v>
      </c>
      <c r="P450" s="25">
        <v>1364</v>
      </c>
      <c r="Q450" s="10">
        <v>1356</v>
      </c>
      <c r="R450" s="10">
        <v>1703</v>
      </c>
      <c r="S450" s="10">
        <v>1366</v>
      </c>
      <c r="T450" s="10">
        <v>1468</v>
      </c>
      <c r="U450" s="10">
        <v>1437</v>
      </c>
      <c r="V450" s="10">
        <v>1925</v>
      </c>
      <c r="W450" s="10">
        <v>1821</v>
      </c>
      <c r="X450" s="10">
        <v>1265</v>
      </c>
      <c r="Y450" s="10">
        <v>1503</v>
      </c>
      <c r="Z450" s="10">
        <v>1445</v>
      </c>
      <c r="AA450" s="10">
        <v>1455</v>
      </c>
      <c r="AB450" s="26">
        <f t="shared" si="19"/>
        <v>18108</v>
      </c>
      <c r="AC450" s="25">
        <v>269</v>
      </c>
      <c r="AD450" s="10">
        <v>0</v>
      </c>
      <c r="AE450" s="10">
        <v>41.4</v>
      </c>
      <c r="AF450" s="10">
        <v>16.5</v>
      </c>
      <c r="AG450" s="10">
        <v>110</v>
      </c>
      <c r="AH450" s="10">
        <v>0</v>
      </c>
      <c r="AI450" s="10">
        <v>20.2</v>
      </c>
      <c r="AJ450" s="10">
        <v>64.5</v>
      </c>
      <c r="AK450" s="10">
        <v>0</v>
      </c>
      <c r="AL450" s="10">
        <v>0</v>
      </c>
      <c r="AM450" s="10">
        <v>0</v>
      </c>
      <c r="AN450" s="10">
        <v>2.1</v>
      </c>
      <c r="AO450" s="26">
        <f t="shared" si="20"/>
        <v>523.69999999999993</v>
      </c>
    </row>
    <row r="451" spans="1:41" ht="17.25" customHeight="1" x14ac:dyDescent="0.45">
      <c r="A451" s="2" t="s">
        <v>48</v>
      </c>
      <c r="B451" s="2" t="s">
        <v>24</v>
      </c>
      <c r="C451" s="23">
        <v>8</v>
      </c>
      <c r="D451" s="1">
        <v>9</v>
      </c>
      <c r="E451" s="1">
        <v>8</v>
      </c>
      <c r="F451" s="1">
        <v>8</v>
      </c>
      <c r="G451" s="1">
        <v>9</v>
      </c>
      <c r="H451" s="1">
        <v>12</v>
      </c>
      <c r="I451" s="1">
        <v>13</v>
      </c>
      <c r="J451" s="1">
        <v>11</v>
      </c>
      <c r="K451" s="1">
        <v>9</v>
      </c>
      <c r="L451" s="1">
        <v>9</v>
      </c>
      <c r="M451" s="1">
        <v>8</v>
      </c>
      <c r="N451" s="1">
        <v>10</v>
      </c>
      <c r="O451" s="24">
        <f t="shared" si="18"/>
        <v>114</v>
      </c>
      <c r="P451" s="23">
        <v>1657</v>
      </c>
      <c r="Q451" s="1">
        <v>1994</v>
      </c>
      <c r="R451" s="1">
        <v>1576</v>
      </c>
      <c r="S451" s="1">
        <v>1379</v>
      </c>
      <c r="T451" s="1">
        <v>1597</v>
      </c>
      <c r="U451" s="1">
        <v>1967</v>
      </c>
      <c r="V451" s="1">
        <v>2096</v>
      </c>
      <c r="W451" s="1">
        <v>1845</v>
      </c>
      <c r="X451" s="1">
        <v>1304</v>
      </c>
      <c r="Y451" s="1">
        <v>1446</v>
      </c>
      <c r="Z451" s="1">
        <v>1196</v>
      </c>
      <c r="AA451" s="1">
        <v>1352</v>
      </c>
      <c r="AB451" s="24">
        <f t="shared" si="19"/>
        <v>19409</v>
      </c>
      <c r="AC451" s="23">
        <v>47.5</v>
      </c>
      <c r="AD451" s="1">
        <v>0</v>
      </c>
      <c r="AE451" s="1">
        <v>30</v>
      </c>
      <c r="AF451" s="1">
        <v>0</v>
      </c>
      <c r="AG451" s="1">
        <v>0</v>
      </c>
      <c r="AH451" s="1">
        <v>0</v>
      </c>
      <c r="AI451" s="1">
        <v>0</v>
      </c>
      <c r="AJ451" s="1">
        <v>0.5</v>
      </c>
      <c r="AK451" s="1">
        <v>0</v>
      </c>
      <c r="AL451" s="1">
        <v>0</v>
      </c>
      <c r="AM451" s="1">
        <v>0</v>
      </c>
      <c r="AN451" s="1">
        <v>0</v>
      </c>
      <c r="AO451" s="24">
        <f t="shared" si="20"/>
        <v>78</v>
      </c>
    </row>
    <row r="452" spans="1:41" ht="17.25" customHeight="1" x14ac:dyDescent="0.45">
      <c r="A452" s="12" t="s">
        <v>48</v>
      </c>
      <c r="B452" s="12" t="s">
        <v>12</v>
      </c>
      <c r="C452" s="25">
        <v>219</v>
      </c>
      <c r="D452" s="10">
        <v>186</v>
      </c>
      <c r="E452" s="10">
        <v>199</v>
      </c>
      <c r="F452" s="10">
        <v>191</v>
      </c>
      <c r="G452" s="10">
        <v>211</v>
      </c>
      <c r="H452" s="10">
        <v>213</v>
      </c>
      <c r="I452" s="10">
        <v>239</v>
      </c>
      <c r="J452" s="10">
        <v>242</v>
      </c>
      <c r="K452" s="10">
        <v>200</v>
      </c>
      <c r="L452" s="10">
        <v>203</v>
      </c>
      <c r="M452" s="10">
        <v>175</v>
      </c>
      <c r="N452" s="10">
        <v>225</v>
      </c>
      <c r="O452" s="26">
        <f t="shared" si="18"/>
        <v>2503</v>
      </c>
      <c r="P452" s="25">
        <v>36480</v>
      </c>
      <c r="Q452" s="10">
        <v>30444</v>
      </c>
      <c r="R452" s="10">
        <v>32354</v>
      </c>
      <c r="S452" s="10">
        <v>30742</v>
      </c>
      <c r="T452" s="10">
        <v>35260</v>
      </c>
      <c r="U452" s="10">
        <v>33509</v>
      </c>
      <c r="V452" s="10">
        <v>41079</v>
      </c>
      <c r="W452" s="10">
        <v>38672</v>
      </c>
      <c r="X452" s="10">
        <v>31409</v>
      </c>
      <c r="Y452" s="10">
        <v>31442</v>
      </c>
      <c r="Z452" s="10">
        <v>27155</v>
      </c>
      <c r="AA452" s="10">
        <v>37264</v>
      </c>
      <c r="AB452" s="26">
        <f t="shared" si="19"/>
        <v>405810</v>
      </c>
      <c r="AC452" s="25">
        <v>17521.650000000001</v>
      </c>
      <c r="AD452" s="10">
        <v>16960.3</v>
      </c>
      <c r="AE452" s="10">
        <v>15189.3</v>
      </c>
      <c r="AF452" s="10">
        <v>21942.199999999997</v>
      </c>
      <c r="AG452" s="10">
        <v>13845.8</v>
      </c>
      <c r="AH452" s="10">
        <v>16615.149999999998</v>
      </c>
      <c r="AI452" s="10">
        <v>14477.45</v>
      </c>
      <c r="AJ452" s="10">
        <v>19340.099999999999</v>
      </c>
      <c r="AK452" s="10">
        <v>16685.45</v>
      </c>
      <c r="AL452" s="10">
        <v>20744.900000000001</v>
      </c>
      <c r="AM452" s="10">
        <v>22916.249999999996</v>
      </c>
      <c r="AN452" s="10">
        <v>19469.099999999999</v>
      </c>
      <c r="AO452" s="26">
        <f t="shared" si="20"/>
        <v>215707.65</v>
      </c>
    </row>
    <row r="453" spans="1:41" ht="17.25" customHeight="1" x14ac:dyDescent="0.45">
      <c r="A453" s="2" t="s">
        <v>48</v>
      </c>
      <c r="B453" s="2" t="s">
        <v>13</v>
      </c>
      <c r="C453" s="23">
        <v>37</v>
      </c>
      <c r="D453" s="1">
        <v>29</v>
      </c>
      <c r="E453" s="1">
        <v>35</v>
      </c>
      <c r="F453" s="1">
        <v>38</v>
      </c>
      <c r="G453" s="1">
        <v>49</v>
      </c>
      <c r="H453" s="1">
        <v>53</v>
      </c>
      <c r="I453" s="1">
        <v>77</v>
      </c>
      <c r="J453" s="1">
        <v>64</v>
      </c>
      <c r="K453" s="1">
        <v>41</v>
      </c>
      <c r="L453" s="1">
        <v>40</v>
      </c>
      <c r="M453" s="1">
        <v>44</v>
      </c>
      <c r="N453" s="1">
        <v>46</v>
      </c>
      <c r="O453" s="24">
        <f t="shared" si="18"/>
        <v>553</v>
      </c>
      <c r="P453" s="23">
        <v>6153</v>
      </c>
      <c r="Q453" s="1">
        <v>5120</v>
      </c>
      <c r="R453" s="1">
        <v>5648</v>
      </c>
      <c r="S453" s="1">
        <v>6033</v>
      </c>
      <c r="T453" s="1">
        <v>7616</v>
      </c>
      <c r="U453" s="1">
        <v>7561</v>
      </c>
      <c r="V453" s="1">
        <v>14243</v>
      </c>
      <c r="W453" s="1">
        <v>12002</v>
      </c>
      <c r="X453" s="1">
        <v>7540</v>
      </c>
      <c r="Y453" s="1">
        <v>7569</v>
      </c>
      <c r="Z453" s="1">
        <v>6924</v>
      </c>
      <c r="AA453" s="1">
        <v>6697</v>
      </c>
      <c r="AB453" s="24">
        <f t="shared" si="19"/>
        <v>93106</v>
      </c>
      <c r="AC453" s="23">
        <v>558.6</v>
      </c>
      <c r="AD453" s="1">
        <v>13.5</v>
      </c>
      <c r="AE453" s="1">
        <v>132</v>
      </c>
      <c r="AF453" s="1">
        <v>743.5</v>
      </c>
      <c r="AG453" s="1">
        <v>223.4</v>
      </c>
      <c r="AH453" s="1">
        <v>333</v>
      </c>
      <c r="AI453" s="1">
        <v>284.8</v>
      </c>
      <c r="AJ453" s="1">
        <v>115</v>
      </c>
      <c r="AK453" s="1">
        <v>100</v>
      </c>
      <c r="AL453" s="1">
        <v>10</v>
      </c>
      <c r="AM453" s="1">
        <v>564.29999999999995</v>
      </c>
      <c r="AN453" s="1">
        <v>50.3</v>
      </c>
      <c r="AO453" s="24">
        <f t="shared" si="20"/>
        <v>3128.4000000000005</v>
      </c>
    </row>
    <row r="454" spans="1:41" ht="17.25" customHeight="1" x14ac:dyDescent="0.45">
      <c r="A454" s="12" t="s">
        <v>48</v>
      </c>
      <c r="B454" s="12" t="s">
        <v>28</v>
      </c>
      <c r="C454" s="25">
        <v>14</v>
      </c>
      <c r="D454" s="10">
        <v>9</v>
      </c>
      <c r="E454" s="10">
        <v>13</v>
      </c>
      <c r="F454" s="10">
        <v>26</v>
      </c>
      <c r="G454" s="10">
        <v>26</v>
      </c>
      <c r="H454" s="10">
        <v>26</v>
      </c>
      <c r="I454" s="10">
        <v>26</v>
      </c>
      <c r="J454" s="10">
        <v>26</v>
      </c>
      <c r="K454" s="10">
        <v>26</v>
      </c>
      <c r="L454" s="10">
        <v>28</v>
      </c>
      <c r="M454" s="10">
        <v>24</v>
      </c>
      <c r="N454" s="10">
        <v>26</v>
      </c>
      <c r="O454" s="26">
        <f t="shared" si="18"/>
        <v>270</v>
      </c>
      <c r="P454" s="25">
        <v>1975</v>
      </c>
      <c r="Q454" s="10">
        <v>1238</v>
      </c>
      <c r="R454" s="10">
        <v>1828</v>
      </c>
      <c r="S454" s="10">
        <v>3123</v>
      </c>
      <c r="T454" s="10">
        <v>3292</v>
      </c>
      <c r="U454" s="10">
        <v>3345</v>
      </c>
      <c r="V454" s="10">
        <v>4069</v>
      </c>
      <c r="W454" s="10">
        <v>4513</v>
      </c>
      <c r="X454" s="10">
        <v>3502</v>
      </c>
      <c r="Y454" s="10">
        <v>3348</v>
      </c>
      <c r="Z454" s="10">
        <v>3015</v>
      </c>
      <c r="AA454" s="10">
        <v>4119</v>
      </c>
      <c r="AB454" s="26">
        <f t="shared" si="19"/>
        <v>37367</v>
      </c>
      <c r="AC454" s="25">
        <v>0</v>
      </c>
      <c r="AD454" s="10">
        <v>0</v>
      </c>
      <c r="AE454" s="10">
        <v>0</v>
      </c>
      <c r="AF454" s="10">
        <v>0</v>
      </c>
      <c r="AG454" s="10">
        <v>0</v>
      </c>
      <c r="AH454" s="10">
        <v>0</v>
      </c>
      <c r="AI454" s="10">
        <v>0</v>
      </c>
      <c r="AJ454" s="10">
        <v>0</v>
      </c>
      <c r="AK454" s="10">
        <v>0</v>
      </c>
      <c r="AL454" s="10">
        <v>0</v>
      </c>
      <c r="AM454" s="10">
        <v>0</v>
      </c>
      <c r="AN454" s="10">
        <v>10</v>
      </c>
      <c r="AO454" s="26">
        <f t="shared" si="20"/>
        <v>10</v>
      </c>
    </row>
    <row r="455" spans="1:41" ht="17.25" customHeight="1" x14ac:dyDescent="0.45">
      <c r="A455" s="2" t="s">
        <v>48</v>
      </c>
      <c r="B455" s="2" t="s">
        <v>14</v>
      </c>
      <c r="C455" s="23">
        <v>18</v>
      </c>
      <c r="D455" s="1">
        <v>16</v>
      </c>
      <c r="E455" s="1">
        <v>18</v>
      </c>
      <c r="F455" s="1">
        <v>53</v>
      </c>
      <c r="G455" s="1">
        <v>49</v>
      </c>
      <c r="H455" s="1">
        <v>60</v>
      </c>
      <c r="I455" s="1">
        <v>61</v>
      </c>
      <c r="J455" s="1">
        <v>62</v>
      </c>
      <c r="K455" s="1">
        <v>58</v>
      </c>
      <c r="L455" s="1">
        <v>61</v>
      </c>
      <c r="M455" s="1">
        <v>59</v>
      </c>
      <c r="N455" s="1">
        <v>62</v>
      </c>
      <c r="O455" s="24">
        <f t="shared" si="18"/>
        <v>577</v>
      </c>
      <c r="P455" s="23">
        <v>2742</v>
      </c>
      <c r="Q455" s="1">
        <v>2391</v>
      </c>
      <c r="R455" s="1">
        <v>2710</v>
      </c>
      <c r="S455" s="1">
        <v>6976</v>
      </c>
      <c r="T455" s="1">
        <v>6718</v>
      </c>
      <c r="U455" s="1">
        <v>7811</v>
      </c>
      <c r="V455" s="1">
        <v>9445</v>
      </c>
      <c r="W455" s="1">
        <v>10073</v>
      </c>
      <c r="X455" s="1">
        <v>7998</v>
      </c>
      <c r="Y455" s="1">
        <v>9001</v>
      </c>
      <c r="Z455" s="1">
        <v>8575</v>
      </c>
      <c r="AA455" s="1">
        <v>9796</v>
      </c>
      <c r="AB455" s="24">
        <f t="shared" si="19"/>
        <v>84236</v>
      </c>
      <c r="AC455" s="23">
        <v>0</v>
      </c>
      <c r="AD455" s="1">
        <v>4</v>
      </c>
      <c r="AE455" s="1">
        <v>42.55</v>
      </c>
      <c r="AF455" s="1">
        <v>0</v>
      </c>
      <c r="AG455" s="1">
        <v>0</v>
      </c>
      <c r="AH455" s="1">
        <v>147</v>
      </c>
      <c r="AI455" s="1">
        <v>68</v>
      </c>
      <c r="AJ455" s="1">
        <v>0</v>
      </c>
      <c r="AK455" s="1">
        <v>0</v>
      </c>
      <c r="AL455" s="1">
        <v>40</v>
      </c>
      <c r="AM455" s="1">
        <v>0</v>
      </c>
      <c r="AN455" s="1">
        <v>0</v>
      </c>
      <c r="AO455" s="24">
        <f t="shared" si="20"/>
        <v>301.55</v>
      </c>
    </row>
    <row r="456" spans="1:41" ht="17.25" customHeight="1" x14ac:dyDescent="0.45">
      <c r="A456" s="12" t="s">
        <v>48</v>
      </c>
      <c r="B456" s="12" t="s">
        <v>15</v>
      </c>
      <c r="C456" s="25">
        <v>109</v>
      </c>
      <c r="D456" s="10">
        <v>96</v>
      </c>
      <c r="E456" s="10">
        <v>113</v>
      </c>
      <c r="F456" s="10">
        <v>114</v>
      </c>
      <c r="G456" s="10">
        <v>111</v>
      </c>
      <c r="H456" s="10">
        <v>109</v>
      </c>
      <c r="I456" s="10">
        <v>126</v>
      </c>
      <c r="J456" s="10">
        <v>121</v>
      </c>
      <c r="K456" s="10">
        <v>125</v>
      </c>
      <c r="L456" s="10">
        <v>141</v>
      </c>
      <c r="M456" s="10">
        <v>148</v>
      </c>
      <c r="N456" s="10">
        <v>155</v>
      </c>
      <c r="O456" s="26">
        <f t="shared" ref="O456:O519" si="21">SUM(C456:N456)</f>
        <v>1468</v>
      </c>
      <c r="P456" s="25">
        <v>21959</v>
      </c>
      <c r="Q456" s="10">
        <v>18540</v>
      </c>
      <c r="R456" s="10">
        <v>21985</v>
      </c>
      <c r="S456" s="10">
        <v>22594</v>
      </c>
      <c r="T456" s="10">
        <v>20455</v>
      </c>
      <c r="U456" s="10">
        <v>21002</v>
      </c>
      <c r="V456" s="10">
        <v>24229</v>
      </c>
      <c r="W456" s="10">
        <v>22908</v>
      </c>
      <c r="X456" s="10">
        <v>17879</v>
      </c>
      <c r="Y456" s="10">
        <v>19920</v>
      </c>
      <c r="Z456" s="10">
        <v>21543</v>
      </c>
      <c r="AA456" s="10">
        <v>19965</v>
      </c>
      <c r="AB456" s="26">
        <f t="shared" ref="AB456:AB519" si="22">SUM(P456:AA456)</f>
        <v>252979</v>
      </c>
      <c r="AC456" s="25">
        <v>2968.1</v>
      </c>
      <c r="AD456" s="10">
        <v>2375.8999999999996</v>
      </c>
      <c r="AE456" s="10">
        <v>4335.6000000000004</v>
      </c>
      <c r="AF456" s="10">
        <v>4886.2</v>
      </c>
      <c r="AG456" s="10">
        <v>7195</v>
      </c>
      <c r="AH456" s="10">
        <v>627.41000000000008</v>
      </c>
      <c r="AI456" s="10">
        <v>1221.5999999999999</v>
      </c>
      <c r="AJ456" s="10">
        <v>830.55</v>
      </c>
      <c r="AK456" s="10">
        <v>674.74999999999989</v>
      </c>
      <c r="AL456" s="10">
        <v>1254</v>
      </c>
      <c r="AM456" s="10">
        <v>675.35</v>
      </c>
      <c r="AN456" s="10">
        <v>69.95</v>
      </c>
      <c r="AO456" s="26">
        <f t="shared" ref="AO456:AO519" si="23">SUM(AC456:AN456)</f>
        <v>27114.409999999996</v>
      </c>
    </row>
    <row r="457" spans="1:41" ht="17.25" customHeight="1" x14ac:dyDescent="0.45">
      <c r="A457" s="2" t="s">
        <v>48</v>
      </c>
      <c r="B457" s="2" t="s">
        <v>32</v>
      </c>
      <c r="C457" s="23">
        <v>53</v>
      </c>
      <c r="D457" s="1">
        <v>50</v>
      </c>
      <c r="E457" s="1">
        <v>53</v>
      </c>
      <c r="F457" s="1">
        <v>51</v>
      </c>
      <c r="G457" s="1">
        <v>52</v>
      </c>
      <c r="H457" s="1">
        <v>47</v>
      </c>
      <c r="I457" s="1">
        <v>53</v>
      </c>
      <c r="J457" s="1">
        <v>53</v>
      </c>
      <c r="K457" s="1">
        <v>50</v>
      </c>
      <c r="L457" s="1">
        <v>53</v>
      </c>
      <c r="M457" s="1">
        <v>51</v>
      </c>
      <c r="N457" s="1">
        <v>53</v>
      </c>
      <c r="O457" s="24">
        <f t="shared" si="21"/>
        <v>619</v>
      </c>
      <c r="P457" s="23">
        <v>8360</v>
      </c>
      <c r="Q457" s="1">
        <v>7493</v>
      </c>
      <c r="R457" s="1">
        <v>8138</v>
      </c>
      <c r="S457" s="1">
        <v>8643</v>
      </c>
      <c r="T457" s="1">
        <v>8940</v>
      </c>
      <c r="U457" s="1">
        <v>7382</v>
      </c>
      <c r="V457" s="1">
        <v>9738</v>
      </c>
      <c r="W457" s="1">
        <v>9019</v>
      </c>
      <c r="X457" s="1">
        <v>7283</v>
      </c>
      <c r="Y457" s="1">
        <v>7616</v>
      </c>
      <c r="Z457" s="1">
        <v>6948</v>
      </c>
      <c r="AA457" s="1">
        <v>9381</v>
      </c>
      <c r="AB457" s="24">
        <f t="shared" si="22"/>
        <v>98941</v>
      </c>
      <c r="AC457" s="23">
        <v>212</v>
      </c>
      <c r="AD457" s="1">
        <v>27.3</v>
      </c>
      <c r="AE457" s="1">
        <v>0</v>
      </c>
      <c r="AF457" s="1">
        <v>41</v>
      </c>
      <c r="AG457" s="1">
        <v>1074</v>
      </c>
      <c r="AH457" s="1">
        <v>0</v>
      </c>
      <c r="AI457" s="1">
        <v>355</v>
      </c>
      <c r="AJ457" s="1">
        <v>1</v>
      </c>
      <c r="AK457" s="1">
        <v>5.5</v>
      </c>
      <c r="AL457" s="1">
        <v>0</v>
      </c>
      <c r="AM457" s="1">
        <v>17.45</v>
      </c>
      <c r="AN457" s="1">
        <v>13</v>
      </c>
      <c r="AO457" s="24">
        <f t="shared" si="23"/>
        <v>1746.25</v>
      </c>
    </row>
    <row r="458" spans="1:41" ht="17.25" customHeight="1" x14ac:dyDescent="0.45">
      <c r="A458" s="12" t="s">
        <v>48</v>
      </c>
      <c r="B458" s="12" t="s">
        <v>33</v>
      </c>
      <c r="C458" s="25">
        <v>9</v>
      </c>
      <c r="D458" s="10">
        <v>8</v>
      </c>
      <c r="E458" s="10">
        <v>9</v>
      </c>
      <c r="F458" s="10">
        <v>9</v>
      </c>
      <c r="G458" s="10">
        <v>9</v>
      </c>
      <c r="H458" s="10">
        <v>8</v>
      </c>
      <c r="I458" s="10">
        <v>9</v>
      </c>
      <c r="J458" s="10">
        <v>9</v>
      </c>
      <c r="K458" s="10">
        <v>9</v>
      </c>
      <c r="L458" s="10">
        <v>8</v>
      </c>
      <c r="M458" s="10">
        <v>9</v>
      </c>
      <c r="N458" s="10">
        <v>9</v>
      </c>
      <c r="O458" s="26">
        <f t="shared" si="21"/>
        <v>105</v>
      </c>
      <c r="P458" s="25">
        <v>979</v>
      </c>
      <c r="Q458" s="10">
        <v>1042</v>
      </c>
      <c r="R458" s="10">
        <v>1177</v>
      </c>
      <c r="S458" s="10">
        <v>1355</v>
      </c>
      <c r="T458" s="10">
        <v>1375</v>
      </c>
      <c r="U458" s="10">
        <v>1136</v>
      </c>
      <c r="V458" s="10">
        <v>1929</v>
      </c>
      <c r="W458" s="10">
        <v>1760</v>
      </c>
      <c r="X458" s="10">
        <v>1150</v>
      </c>
      <c r="Y458" s="10">
        <v>1044</v>
      </c>
      <c r="Z458" s="10">
        <v>1133</v>
      </c>
      <c r="AA458" s="10">
        <v>1088</v>
      </c>
      <c r="AB458" s="26">
        <f t="shared" si="22"/>
        <v>15168</v>
      </c>
      <c r="AC458" s="25">
        <v>0</v>
      </c>
      <c r="AD458" s="10">
        <v>0</v>
      </c>
      <c r="AE458" s="10">
        <v>0</v>
      </c>
      <c r="AF458" s="10">
        <v>0</v>
      </c>
      <c r="AG458" s="10">
        <v>0</v>
      </c>
      <c r="AH458" s="10">
        <v>0</v>
      </c>
      <c r="AI458" s="10">
        <v>0</v>
      </c>
      <c r="AJ458" s="10">
        <v>0</v>
      </c>
      <c r="AK458" s="10">
        <v>0</v>
      </c>
      <c r="AL458" s="10">
        <v>0</v>
      </c>
      <c r="AM458" s="10">
        <v>0</v>
      </c>
      <c r="AN458" s="10">
        <v>0</v>
      </c>
      <c r="AO458" s="26">
        <f t="shared" si="23"/>
        <v>0</v>
      </c>
    </row>
    <row r="459" spans="1:41" ht="17.25" customHeight="1" x14ac:dyDescent="0.45">
      <c r="A459" s="2" t="s">
        <v>30</v>
      </c>
      <c r="B459" s="2" t="s">
        <v>10</v>
      </c>
      <c r="C459" s="23">
        <v>15</v>
      </c>
      <c r="D459" s="1">
        <v>8</v>
      </c>
      <c r="E459" s="1">
        <v>8</v>
      </c>
      <c r="F459" s="1">
        <v>26</v>
      </c>
      <c r="G459" s="1">
        <v>27</v>
      </c>
      <c r="H459" s="1">
        <v>26</v>
      </c>
      <c r="I459" s="1">
        <v>25</v>
      </c>
      <c r="J459" s="1">
        <v>27</v>
      </c>
      <c r="K459" s="1">
        <v>26</v>
      </c>
      <c r="L459" s="1">
        <v>26</v>
      </c>
      <c r="M459" s="1">
        <v>26</v>
      </c>
      <c r="N459" s="1">
        <v>30</v>
      </c>
      <c r="O459" s="24">
        <f t="shared" si="21"/>
        <v>270</v>
      </c>
      <c r="P459" s="23">
        <v>2400</v>
      </c>
      <c r="Q459" s="1">
        <v>1266</v>
      </c>
      <c r="R459" s="1">
        <v>1339</v>
      </c>
      <c r="S459" s="1">
        <v>4614</v>
      </c>
      <c r="T459" s="1">
        <v>5018</v>
      </c>
      <c r="U459" s="1">
        <v>4998</v>
      </c>
      <c r="V459" s="1">
        <v>4895</v>
      </c>
      <c r="W459" s="1">
        <v>5190</v>
      </c>
      <c r="X459" s="1">
        <v>4736</v>
      </c>
      <c r="Y459" s="1">
        <v>4822</v>
      </c>
      <c r="Z459" s="1">
        <v>4596</v>
      </c>
      <c r="AA459" s="1">
        <v>4985</v>
      </c>
      <c r="AB459" s="24">
        <f t="shared" si="22"/>
        <v>48859</v>
      </c>
      <c r="AC459" s="23">
        <v>0</v>
      </c>
      <c r="AD459" s="1">
        <v>0</v>
      </c>
      <c r="AE459" s="1">
        <v>0</v>
      </c>
      <c r="AF459" s="1">
        <v>0</v>
      </c>
      <c r="AG459" s="1">
        <v>0</v>
      </c>
      <c r="AH459" s="1">
        <v>0</v>
      </c>
      <c r="AI459" s="1">
        <v>0</v>
      </c>
      <c r="AJ459" s="1">
        <v>0</v>
      </c>
      <c r="AK459" s="1">
        <v>0</v>
      </c>
      <c r="AL459" s="1">
        <v>0</v>
      </c>
      <c r="AM459" s="1">
        <v>0</v>
      </c>
      <c r="AN459" s="1">
        <v>0</v>
      </c>
      <c r="AO459" s="24">
        <f t="shared" si="23"/>
        <v>0</v>
      </c>
    </row>
    <row r="460" spans="1:41" ht="17.25" customHeight="1" x14ac:dyDescent="0.45">
      <c r="A460" s="12" t="s">
        <v>30</v>
      </c>
      <c r="B460" s="12" t="s">
        <v>19</v>
      </c>
      <c r="C460" s="25">
        <v>0</v>
      </c>
      <c r="D460" s="10">
        <v>1</v>
      </c>
      <c r="E460" s="10">
        <v>2</v>
      </c>
      <c r="F460" s="10">
        <v>1</v>
      </c>
      <c r="G460" s="10">
        <v>2</v>
      </c>
      <c r="H460" s="10">
        <v>2</v>
      </c>
      <c r="I460" s="10">
        <v>0</v>
      </c>
      <c r="J460" s="10">
        <v>0</v>
      </c>
      <c r="K460" s="10">
        <v>0</v>
      </c>
      <c r="L460" s="10">
        <v>0</v>
      </c>
      <c r="M460" s="10">
        <v>0</v>
      </c>
      <c r="N460" s="10">
        <v>0</v>
      </c>
      <c r="O460" s="26">
        <f t="shared" si="21"/>
        <v>8</v>
      </c>
      <c r="P460" s="25">
        <v>0</v>
      </c>
      <c r="Q460" s="10">
        <v>0</v>
      </c>
      <c r="R460" s="10">
        <v>0</v>
      </c>
      <c r="S460" s="10">
        <v>0</v>
      </c>
      <c r="T460" s="10">
        <v>0</v>
      </c>
      <c r="U460" s="10">
        <v>0</v>
      </c>
      <c r="V460" s="10">
        <v>0</v>
      </c>
      <c r="W460" s="10">
        <v>0</v>
      </c>
      <c r="X460" s="10">
        <v>0</v>
      </c>
      <c r="Y460" s="10">
        <v>0</v>
      </c>
      <c r="Z460" s="10">
        <v>0</v>
      </c>
      <c r="AA460" s="10">
        <v>0</v>
      </c>
      <c r="AB460" s="26">
        <f t="shared" si="22"/>
        <v>0</v>
      </c>
      <c r="AC460" s="25">
        <v>0</v>
      </c>
      <c r="AD460" s="10">
        <v>101</v>
      </c>
      <c r="AE460" s="10">
        <v>202</v>
      </c>
      <c r="AF460" s="10">
        <v>101</v>
      </c>
      <c r="AG460" s="10">
        <v>202</v>
      </c>
      <c r="AH460" s="10">
        <v>202</v>
      </c>
      <c r="AI460" s="10">
        <v>0</v>
      </c>
      <c r="AJ460" s="10">
        <v>0</v>
      </c>
      <c r="AK460" s="10">
        <v>0</v>
      </c>
      <c r="AL460" s="10">
        <v>0</v>
      </c>
      <c r="AM460" s="10">
        <v>0</v>
      </c>
      <c r="AN460" s="10">
        <v>0</v>
      </c>
      <c r="AO460" s="26">
        <f t="shared" si="23"/>
        <v>808</v>
      </c>
    </row>
    <row r="461" spans="1:41" ht="17.25" customHeight="1" x14ac:dyDescent="0.45">
      <c r="A461" s="2" t="s">
        <v>30</v>
      </c>
      <c r="B461" s="2" t="s">
        <v>44</v>
      </c>
      <c r="C461" s="23">
        <v>10</v>
      </c>
      <c r="D461" s="1">
        <v>0</v>
      </c>
      <c r="E461" s="1">
        <v>0</v>
      </c>
      <c r="F461" s="1">
        <v>0</v>
      </c>
      <c r="G461" s="1">
        <v>0</v>
      </c>
      <c r="H461" s="1">
        <v>0</v>
      </c>
      <c r="I461" s="1">
        <v>0</v>
      </c>
      <c r="J461" s="1">
        <v>0</v>
      </c>
      <c r="K461" s="1">
        <v>0</v>
      </c>
      <c r="L461" s="1">
        <v>0</v>
      </c>
      <c r="M461" s="1">
        <v>0</v>
      </c>
      <c r="N461" s="1">
        <v>0</v>
      </c>
      <c r="O461" s="24">
        <f t="shared" si="21"/>
        <v>10</v>
      </c>
      <c r="P461" s="23">
        <v>37</v>
      </c>
      <c r="Q461" s="1">
        <v>0</v>
      </c>
      <c r="R461" s="1">
        <v>0</v>
      </c>
      <c r="S461" s="1">
        <v>0</v>
      </c>
      <c r="T461" s="1">
        <v>0</v>
      </c>
      <c r="U461" s="1">
        <v>0</v>
      </c>
      <c r="V461" s="1">
        <v>0</v>
      </c>
      <c r="W461" s="1">
        <v>0</v>
      </c>
      <c r="X461" s="1">
        <v>0</v>
      </c>
      <c r="Y461" s="1">
        <v>0</v>
      </c>
      <c r="Z461" s="1">
        <v>0</v>
      </c>
      <c r="AA461" s="1">
        <v>0</v>
      </c>
      <c r="AB461" s="24">
        <f t="shared" si="22"/>
        <v>37</v>
      </c>
      <c r="AC461" s="23">
        <v>0</v>
      </c>
      <c r="AD461" s="1">
        <v>0</v>
      </c>
      <c r="AE461" s="1">
        <v>0</v>
      </c>
      <c r="AF461" s="1">
        <v>0</v>
      </c>
      <c r="AG461" s="1">
        <v>0</v>
      </c>
      <c r="AH461" s="1">
        <v>0</v>
      </c>
      <c r="AI461" s="1">
        <v>0</v>
      </c>
      <c r="AJ461" s="1">
        <v>0</v>
      </c>
      <c r="AK461" s="1">
        <v>0</v>
      </c>
      <c r="AL461" s="1">
        <v>0</v>
      </c>
      <c r="AM461" s="1">
        <v>0</v>
      </c>
      <c r="AN461" s="1">
        <v>0</v>
      </c>
      <c r="AO461" s="24">
        <f t="shared" si="23"/>
        <v>0</v>
      </c>
    </row>
    <row r="462" spans="1:41" ht="17.25" customHeight="1" x14ac:dyDescent="0.45">
      <c r="A462" s="12" t="s">
        <v>30</v>
      </c>
      <c r="B462" s="12" t="s">
        <v>21</v>
      </c>
      <c r="C462" s="25">
        <v>17</v>
      </c>
      <c r="D462" s="10">
        <v>16</v>
      </c>
      <c r="E462" s="10">
        <v>15</v>
      </c>
      <c r="F462" s="10">
        <v>17</v>
      </c>
      <c r="G462" s="10">
        <v>18</v>
      </c>
      <c r="H462" s="10">
        <v>16</v>
      </c>
      <c r="I462" s="10">
        <v>18</v>
      </c>
      <c r="J462" s="10">
        <v>18</v>
      </c>
      <c r="K462" s="10">
        <v>17</v>
      </c>
      <c r="L462" s="10">
        <v>19</v>
      </c>
      <c r="M462" s="10">
        <v>16</v>
      </c>
      <c r="N462" s="10">
        <v>15</v>
      </c>
      <c r="O462" s="26">
        <f t="shared" si="21"/>
        <v>202</v>
      </c>
      <c r="P462" s="25">
        <v>0</v>
      </c>
      <c r="Q462" s="10">
        <v>0</v>
      </c>
      <c r="R462" s="10">
        <v>0</v>
      </c>
      <c r="S462" s="10">
        <v>0</v>
      </c>
      <c r="T462" s="10">
        <v>0</v>
      </c>
      <c r="U462" s="10">
        <v>0</v>
      </c>
      <c r="V462" s="10">
        <v>0</v>
      </c>
      <c r="W462" s="10">
        <v>0</v>
      </c>
      <c r="X462" s="10">
        <v>0</v>
      </c>
      <c r="Y462" s="10">
        <v>0</v>
      </c>
      <c r="Z462" s="10">
        <v>0</v>
      </c>
      <c r="AA462" s="10">
        <v>0</v>
      </c>
      <c r="AB462" s="26">
        <f t="shared" si="22"/>
        <v>0</v>
      </c>
      <c r="AC462" s="25">
        <v>269293</v>
      </c>
      <c r="AD462" s="10">
        <v>239828</v>
      </c>
      <c r="AE462" s="10">
        <v>221700</v>
      </c>
      <c r="AF462" s="10">
        <v>240849</v>
      </c>
      <c r="AG462" s="10">
        <v>262032</v>
      </c>
      <c r="AH462" s="10">
        <v>208671</v>
      </c>
      <c r="AI462" s="10">
        <v>246576</v>
      </c>
      <c r="AJ462" s="10">
        <v>222434</v>
      </c>
      <c r="AK462" s="10">
        <v>201974</v>
      </c>
      <c r="AL462" s="10">
        <v>275092</v>
      </c>
      <c r="AM462" s="10">
        <v>259880</v>
      </c>
      <c r="AN462" s="10">
        <v>242492</v>
      </c>
      <c r="AO462" s="26">
        <f t="shared" si="23"/>
        <v>2890821</v>
      </c>
    </row>
    <row r="463" spans="1:41" ht="17.25" customHeight="1" x14ac:dyDescent="0.45">
      <c r="A463" s="2" t="s">
        <v>30</v>
      </c>
      <c r="B463" s="2" t="s">
        <v>11</v>
      </c>
      <c r="C463" s="23">
        <v>17</v>
      </c>
      <c r="D463" s="1">
        <v>16</v>
      </c>
      <c r="E463" s="1">
        <v>15</v>
      </c>
      <c r="F463" s="1">
        <v>17</v>
      </c>
      <c r="G463" s="1">
        <v>18</v>
      </c>
      <c r="H463" s="1">
        <v>16</v>
      </c>
      <c r="I463" s="1">
        <v>18</v>
      </c>
      <c r="J463" s="1">
        <v>19</v>
      </c>
      <c r="K463" s="1">
        <v>15</v>
      </c>
      <c r="L463" s="1">
        <v>18</v>
      </c>
      <c r="M463" s="1">
        <v>17</v>
      </c>
      <c r="N463" s="1">
        <v>16</v>
      </c>
      <c r="O463" s="24">
        <f t="shared" si="21"/>
        <v>202</v>
      </c>
      <c r="P463" s="23">
        <v>0</v>
      </c>
      <c r="Q463" s="1">
        <v>0</v>
      </c>
      <c r="R463" s="1">
        <v>0</v>
      </c>
      <c r="S463" s="1">
        <v>0</v>
      </c>
      <c r="T463" s="1">
        <v>0</v>
      </c>
      <c r="U463" s="1">
        <v>0</v>
      </c>
      <c r="V463" s="1">
        <v>0</v>
      </c>
      <c r="W463" s="1">
        <v>0</v>
      </c>
      <c r="X463" s="1">
        <v>0</v>
      </c>
      <c r="Y463" s="1">
        <v>0</v>
      </c>
      <c r="Z463" s="1">
        <v>0</v>
      </c>
      <c r="AA463" s="1">
        <v>0</v>
      </c>
      <c r="AB463" s="24">
        <f t="shared" si="22"/>
        <v>0</v>
      </c>
      <c r="AC463" s="23">
        <v>217634</v>
      </c>
      <c r="AD463" s="1">
        <v>214510</v>
      </c>
      <c r="AE463" s="1">
        <v>209258</v>
      </c>
      <c r="AF463" s="1">
        <v>222365</v>
      </c>
      <c r="AG463" s="1">
        <v>230816</v>
      </c>
      <c r="AH463" s="1">
        <v>205876</v>
      </c>
      <c r="AI463" s="1">
        <v>230321</v>
      </c>
      <c r="AJ463" s="1">
        <v>219414</v>
      </c>
      <c r="AK463" s="1">
        <v>193070</v>
      </c>
      <c r="AL463" s="1">
        <v>250261</v>
      </c>
      <c r="AM463" s="1">
        <v>236476</v>
      </c>
      <c r="AN463" s="1">
        <v>208834</v>
      </c>
      <c r="AO463" s="24">
        <f t="shared" si="23"/>
        <v>2638835</v>
      </c>
    </row>
    <row r="464" spans="1:41" ht="17.25" customHeight="1" x14ac:dyDescent="0.45">
      <c r="A464" s="12" t="s">
        <v>30</v>
      </c>
      <c r="B464" s="12" t="s">
        <v>38</v>
      </c>
      <c r="C464" s="25">
        <v>4</v>
      </c>
      <c r="D464" s="10">
        <v>4</v>
      </c>
      <c r="E464" s="10">
        <v>4</v>
      </c>
      <c r="F464" s="10">
        <v>4</v>
      </c>
      <c r="G464" s="10">
        <v>5</v>
      </c>
      <c r="H464" s="10">
        <v>5</v>
      </c>
      <c r="I464" s="10">
        <v>4</v>
      </c>
      <c r="J464" s="10">
        <v>4</v>
      </c>
      <c r="K464" s="10">
        <v>4</v>
      </c>
      <c r="L464" s="10">
        <v>3</v>
      </c>
      <c r="M464" s="10">
        <v>6</v>
      </c>
      <c r="N464" s="10">
        <v>6</v>
      </c>
      <c r="O464" s="26">
        <f t="shared" si="21"/>
        <v>53</v>
      </c>
      <c r="P464" s="25">
        <v>0</v>
      </c>
      <c r="Q464" s="10">
        <v>0</v>
      </c>
      <c r="R464" s="10">
        <v>0</v>
      </c>
      <c r="S464" s="10">
        <v>0</v>
      </c>
      <c r="T464" s="10">
        <v>0</v>
      </c>
      <c r="U464" s="10">
        <v>0</v>
      </c>
      <c r="V464" s="10">
        <v>0</v>
      </c>
      <c r="W464" s="10">
        <v>0</v>
      </c>
      <c r="X464" s="10">
        <v>0</v>
      </c>
      <c r="Y464" s="10">
        <v>0</v>
      </c>
      <c r="Z464" s="10">
        <v>0</v>
      </c>
      <c r="AA464" s="10">
        <v>0</v>
      </c>
      <c r="AB464" s="26">
        <f t="shared" si="22"/>
        <v>0</v>
      </c>
      <c r="AC464" s="25">
        <v>53152</v>
      </c>
      <c r="AD464" s="10">
        <v>41872</v>
      </c>
      <c r="AE464" s="10">
        <v>41871</v>
      </c>
      <c r="AF464" s="10">
        <v>39773</v>
      </c>
      <c r="AG464" s="10">
        <v>31444</v>
      </c>
      <c r="AH464" s="10">
        <v>40557</v>
      </c>
      <c r="AI464" s="10">
        <v>27073</v>
      </c>
      <c r="AJ464" s="10">
        <v>34665</v>
      </c>
      <c r="AK464" s="10">
        <v>34973</v>
      </c>
      <c r="AL464" s="10">
        <v>23327</v>
      </c>
      <c r="AM464" s="10">
        <v>55927</v>
      </c>
      <c r="AN464" s="10">
        <v>45933</v>
      </c>
      <c r="AO464" s="26">
        <f t="shared" si="23"/>
        <v>470567</v>
      </c>
    </row>
    <row r="465" spans="1:41" ht="17.25" customHeight="1" x14ac:dyDescent="0.45">
      <c r="A465" s="2" t="s">
        <v>30</v>
      </c>
      <c r="B465" s="2" t="s">
        <v>23</v>
      </c>
      <c r="C465" s="23">
        <v>0</v>
      </c>
      <c r="D465" s="1">
        <v>0</v>
      </c>
      <c r="E465" s="1">
        <v>0</v>
      </c>
      <c r="F465" s="1">
        <v>0</v>
      </c>
      <c r="G465" s="1">
        <v>0</v>
      </c>
      <c r="H465" s="1">
        <v>0</v>
      </c>
      <c r="I465" s="1">
        <v>1</v>
      </c>
      <c r="J465" s="1">
        <v>0</v>
      </c>
      <c r="K465" s="1">
        <v>0</v>
      </c>
      <c r="L465" s="1">
        <v>1</v>
      </c>
      <c r="M465" s="1">
        <v>2</v>
      </c>
      <c r="N465" s="1">
        <v>0</v>
      </c>
      <c r="O465" s="24">
        <f t="shared" si="21"/>
        <v>4</v>
      </c>
      <c r="P465" s="23">
        <v>0</v>
      </c>
      <c r="Q465" s="1">
        <v>0</v>
      </c>
      <c r="R465" s="1">
        <v>0</v>
      </c>
      <c r="S465" s="1">
        <v>0</v>
      </c>
      <c r="T465" s="1">
        <v>0</v>
      </c>
      <c r="U465" s="1">
        <v>0</v>
      </c>
      <c r="V465" s="1">
        <v>0</v>
      </c>
      <c r="W465" s="1">
        <v>0</v>
      </c>
      <c r="X465" s="1">
        <v>0</v>
      </c>
      <c r="Y465" s="1">
        <v>0</v>
      </c>
      <c r="Z465" s="1">
        <v>0</v>
      </c>
      <c r="AA465" s="1">
        <v>0</v>
      </c>
      <c r="AB465" s="24">
        <f t="shared" si="22"/>
        <v>0</v>
      </c>
      <c r="AC465" s="23">
        <v>0</v>
      </c>
      <c r="AD465" s="1">
        <v>0</v>
      </c>
      <c r="AE465" s="1">
        <v>0</v>
      </c>
      <c r="AF465" s="1">
        <v>0</v>
      </c>
      <c r="AG465" s="1">
        <v>0</v>
      </c>
      <c r="AH465" s="1">
        <v>0</v>
      </c>
      <c r="AI465" s="1">
        <v>8496</v>
      </c>
      <c r="AJ465" s="1">
        <v>0</v>
      </c>
      <c r="AK465" s="1">
        <v>0</v>
      </c>
      <c r="AL465" s="1">
        <v>6651</v>
      </c>
      <c r="AM465" s="1">
        <v>9327</v>
      </c>
      <c r="AN465" s="1">
        <v>0</v>
      </c>
      <c r="AO465" s="24">
        <f t="shared" si="23"/>
        <v>24474</v>
      </c>
    </row>
    <row r="466" spans="1:41" ht="17.25" customHeight="1" x14ac:dyDescent="0.45">
      <c r="A466" s="12" t="s">
        <v>30</v>
      </c>
      <c r="B466" s="12" t="s">
        <v>12</v>
      </c>
      <c r="C466" s="25">
        <v>133</v>
      </c>
      <c r="D466" s="10">
        <v>140</v>
      </c>
      <c r="E466" s="10">
        <v>131</v>
      </c>
      <c r="F466" s="10">
        <v>149</v>
      </c>
      <c r="G466" s="10">
        <v>147</v>
      </c>
      <c r="H466" s="10">
        <v>139</v>
      </c>
      <c r="I466" s="10">
        <v>119</v>
      </c>
      <c r="J466" s="10">
        <v>120</v>
      </c>
      <c r="K466" s="10">
        <v>118</v>
      </c>
      <c r="L466" s="10">
        <v>127</v>
      </c>
      <c r="M466" s="10">
        <v>139</v>
      </c>
      <c r="N466" s="10">
        <v>126</v>
      </c>
      <c r="O466" s="26">
        <f t="shared" si="21"/>
        <v>1588</v>
      </c>
      <c r="P466" s="25">
        <v>10721</v>
      </c>
      <c r="Q466" s="10">
        <v>11524</v>
      </c>
      <c r="R466" s="10">
        <v>12640</v>
      </c>
      <c r="S466" s="10">
        <v>12945</v>
      </c>
      <c r="T466" s="10">
        <v>13356</v>
      </c>
      <c r="U466" s="10">
        <v>12728</v>
      </c>
      <c r="V466" s="10">
        <v>11314</v>
      </c>
      <c r="W466" s="10">
        <v>11737</v>
      </c>
      <c r="X466" s="10">
        <v>12472</v>
      </c>
      <c r="Y466" s="10">
        <v>13010</v>
      </c>
      <c r="Z466" s="10">
        <v>12408</v>
      </c>
      <c r="AA466" s="10">
        <v>11156</v>
      </c>
      <c r="AB466" s="26">
        <f t="shared" si="22"/>
        <v>146011</v>
      </c>
      <c r="AC466" s="25">
        <v>9187</v>
      </c>
      <c r="AD466" s="10">
        <v>9462</v>
      </c>
      <c r="AE466" s="10">
        <v>10132</v>
      </c>
      <c r="AF466" s="10">
        <v>12976</v>
      </c>
      <c r="AG466" s="10">
        <v>10801</v>
      </c>
      <c r="AH466" s="10">
        <v>8694</v>
      </c>
      <c r="AI466" s="10">
        <v>8350</v>
      </c>
      <c r="AJ466" s="10">
        <v>6917</v>
      </c>
      <c r="AK466" s="10">
        <v>6329</v>
      </c>
      <c r="AL466" s="10">
        <v>7770</v>
      </c>
      <c r="AM466" s="10">
        <v>6959</v>
      </c>
      <c r="AN466" s="10">
        <v>6077</v>
      </c>
      <c r="AO466" s="26">
        <f t="shared" si="23"/>
        <v>103654</v>
      </c>
    </row>
    <row r="467" spans="1:41" ht="17.25" customHeight="1" x14ac:dyDescent="0.45">
      <c r="A467" s="2" t="s">
        <v>30</v>
      </c>
      <c r="B467" s="2" t="s">
        <v>13</v>
      </c>
      <c r="C467" s="23">
        <v>37</v>
      </c>
      <c r="D467" s="1">
        <v>65</v>
      </c>
      <c r="E467" s="1">
        <v>69</v>
      </c>
      <c r="F467" s="1">
        <v>72</v>
      </c>
      <c r="G467" s="1">
        <v>62</v>
      </c>
      <c r="H467" s="1">
        <v>58</v>
      </c>
      <c r="I467" s="1">
        <v>70</v>
      </c>
      <c r="J467" s="1">
        <v>70</v>
      </c>
      <c r="K467" s="1">
        <v>67</v>
      </c>
      <c r="L467" s="1">
        <v>63</v>
      </c>
      <c r="M467" s="1">
        <v>65</v>
      </c>
      <c r="N467" s="1">
        <v>66</v>
      </c>
      <c r="O467" s="24">
        <f t="shared" si="21"/>
        <v>764</v>
      </c>
      <c r="P467" s="23">
        <v>113</v>
      </c>
      <c r="Q467" s="1">
        <v>225</v>
      </c>
      <c r="R467" s="1">
        <v>294</v>
      </c>
      <c r="S467" s="1">
        <v>301</v>
      </c>
      <c r="T467" s="1">
        <v>257</v>
      </c>
      <c r="U467" s="1">
        <v>234</v>
      </c>
      <c r="V467" s="1">
        <v>281</v>
      </c>
      <c r="W467" s="1">
        <v>313</v>
      </c>
      <c r="X467" s="1">
        <v>314</v>
      </c>
      <c r="Y467" s="1">
        <v>308</v>
      </c>
      <c r="Z467" s="1">
        <v>280</v>
      </c>
      <c r="AA467" s="1">
        <v>264</v>
      </c>
      <c r="AB467" s="24">
        <f t="shared" si="22"/>
        <v>3184</v>
      </c>
      <c r="AC467" s="23">
        <v>203061</v>
      </c>
      <c r="AD467" s="1">
        <v>213852</v>
      </c>
      <c r="AE467" s="1">
        <v>209488</v>
      </c>
      <c r="AF467" s="1">
        <v>239768</v>
      </c>
      <c r="AG467" s="1">
        <v>169390</v>
      </c>
      <c r="AH467" s="1">
        <v>207226</v>
      </c>
      <c r="AI467" s="1">
        <v>217997</v>
      </c>
      <c r="AJ467" s="1">
        <v>230407</v>
      </c>
      <c r="AK467" s="1">
        <v>196446</v>
      </c>
      <c r="AL467" s="1">
        <v>214236</v>
      </c>
      <c r="AM467" s="1">
        <v>216338</v>
      </c>
      <c r="AN467" s="1">
        <v>198225</v>
      </c>
      <c r="AO467" s="24">
        <f t="shared" si="23"/>
        <v>2516434</v>
      </c>
    </row>
    <row r="468" spans="1:41" ht="17.25" customHeight="1" x14ac:dyDescent="0.45">
      <c r="A468" s="12" t="s">
        <v>30</v>
      </c>
      <c r="B468" s="12" t="s">
        <v>27</v>
      </c>
      <c r="C468" s="25">
        <v>15</v>
      </c>
      <c r="D468" s="10">
        <v>14</v>
      </c>
      <c r="E468" s="10">
        <v>2</v>
      </c>
      <c r="F468" s="10">
        <v>9</v>
      </c>
      <c r="G468" s="10">
        <v>18</v>
      </c>
      <c r="H468" s="10">
        <v>16</v>
      </c>
      <c r="I468" s="10">
        <v>18</v>
      </c>
      <c r="J468" s="10">
        <v>18</v>
      </c>
      <c r="K468" s="10">
        <v>15</v>
      </c>
      <c r="L468" s="10">
        <v>18</v>
      </c>
      <c r="M468" s="10">
        <v>17</v>
      </c>
      <c r="N468" s="10">
        <v>16</v>
      </c>
      <c r="O468" s="26">
        <f t="shared" si="21"/>
        <v>176</v>
      </c>
      <c r="P468" s="25">
        <v>0</v>
      </c>
      <c r="Q468" s="10">
        <v>0</v>
      </c>
      <c r="R468" s="10">
        <v>0</v>
      </c>
      <c r="S468" s="10">
        <v>0</v>
      </c>
      <c r="T468" s="10">
        <v>0</v>
      </c>
      <c r="U468" s="10">
        <v>0</v>
      </c>
      <c r="V468" s="10">
        <v>0</v>
      </c>
      <c r="W468" s="10">
        <v>0</v>
      </c>
      <c r="X468" s="10">
        <v>0</v>
      </c>
      <c r="Y468" s="10">
        <v>0</v>
      </c>
      <c r="Z468" s="10">
        <v>0</v>
      </c>
      <c r="AA468" s="10">
        <v>0</v>
      </c>
      <c r="AB468" s="26">
        <f t="shared" si="22"/>
        <v>0</v>
      </c>
      <c r="AC468" s="25">
        <v>223338</v>
      </c>
      <c r="AD468" s="10">
        <v>206317</v>
      </c>
      <c r="AE468" s="10">
        <v>30866</v>
      </c>
      <c r="AF468" s="10">
        <v>130304</v>
      </c>
      <c r="AG468" s="10">
        <v>271899</v>
      </c>
      <c r="AH468" s="10">
        <v>231208</v>
      </c>
      <c r="AI468" s="10">
        <v>232987</v>
      </c>
      <c r="AJ468" s="10">
        <v>240329</v>
      </c>
      <c r="AK468" s="10">
        <v>190380</v>
      </c>
      <c r="AL468" s="10">
        <v>241432</v>
      </c>
      <c r="AM468" s="10">
        <v>238225</v>
      </c>
      <c r="AN468" s="10">
        <v>201420</v>
      </c>
      <c r="AO468" s="26">
        <f t="shared" si="23"/>
        <v>2438705</v>
      </c>
    </row>
    <row r="469" spans="1:41" ht="17.25" customHeight="1" x14ac:dyDescent="0.45">
      <c r="A469" s="2" t="s">
        <v>30</v>
      </c>
      <c r="B469" s="2" t="s">
        <v>17</v>
      </c>
      <c r="C469" s="23">
        <v>9</v>
      </c>
      <c r="D469" s="1">
        <v>9</v>
      </c>
      <c r="E469" s="1">
        <v>12</v>
      </c>
      <c r="F469" s="1">
        <v>13</v>
      </c>
      <c r="G469" s="1">
        <v>9</v>
      </c>
      <c r="H469" s="1">
        <v>8</v>
      </c>
      <c r="I469" s="1">
        <v>11</v>
      </c>
      <c r="J469" s="1">
        <v>18</v>
      </c>
      <c r="K469" s="1">
        <v>15</v>
      </c>
      <c r="L469" s="1">
        <v>16</v>
      </c>
      <c r="M469" s="1">
        <v>25</v>
      </c>
      <c r="N469" s="1">
        <v>26</v>
      </c>
      <c r="O469" s="24">
        <f t="shared" si="21"/>
        <v>171</v>
      </c>
      <c r="P469" s="23">
        <v>216</v>
      </c>
      <c r="Q469" s="1">
        <v>229</v>
      </c>
      <c r="R469" s="1">
        <v>342</v>
      </c>
      <c r="S469" s="1">
        <v>354</v>
      </c>
      <c r="T469" s="1">
        <v>224</v>
      </c>
      <c r="U469" s="1">
        <v>266</v>
      </c>
      <c r="V469" s="1">
        <v>385</v>
      </c>
      <c r="W469" s="1">
        <v>460</v>
      </c>
      <c r="X469" s="1">
        <v>248</v>
      </c>
      <c r="Y469" s="1">
        <v>322</v>
      </c>
      <c r="Z469" s="1">
        <v>435</v>
      </c>
      <c r="AA469" s="1">
        <v>662</v>
      </c>
      <c r="AB469" s="24">
        <f t="shared" si="22"/>
        <v>4143</v>
      </c>
      <c r="AC469" s="23">
        <v>0</v>
      </c>
      <c r="AD469" s="1">
        <v>0</v>
      </c>
      <c r="AE469" s="1">
        <v>0</v>
      </c>
      <c r="AF469" s="1">
        <v>0</v>
      </c>
      <c r="AG469" s="1">
        <v>0</v>
      </c>
      <c r="AH469" s="1">
        <v>0</v>
      </c>
      <c r="AI469" s="1">
        <v>0</v>
      </c>
      <c r="AJ469" s="1">
        <v>0</v>
      </c>
      <c r="AK469" s="1">
        <v>0</v>
      </c>
      <c r="AL469" s="1">
        <v>0</v>
      </c>
      <c r="AM469" s="1">
        <v>0</v>
      </c>
      <c r="AN469" s="1">
        <v>0</v>
      </c>
      <c r="AO469" s="24">
        <f t="shared" si="23"/>
        <v>0</v>
      </c>
    </row>
    <row r="470" spans="1:41" ht="17.25" customHeight="1" x14ac:dyDescent="0.45">
      <c r="A470" s="12" t="s">
        <v>30</v>
      </c>
      <c r="B470" s="12" t="s">
        <v>14</v>
      </c>
      <c r="C470" s="25">
        <v>20</v>
      </c>
      <c r="D470" s="10">
        <v>20</v>
      </c>
      <c r="E470" s="10">
        <v>28</v>
      </c>
      <c r="F470" s="10">
        <v>25</v>
      </c>
      <c r="G470" s="10">
        <v>18</v>
      </c>
      <c r="H470" s="10">
        <v>16</v>
      </c>
      <c r="I470" s="10">
        <v>19</v>
      </c>
      <c r="J470" s="10">
        <v>18</v>
      </c>
      <c r="K470" s="10">
        <v>15</v>
      </c>
      <c r="L470" s="10">
        <v>17</v>
      </c>
      <c r="M470" s="10">
        <v>18</v>
      </c>
      <c r="N470" s="10">
        <v>16</v>
      </c>
      <c r="O470" s="26">
        <f t="shared" si="21"/>
        <v>230</v>
      </c>
      <c r="P470" s="25">
        <v>0</v>
      </c>
      <c r="Q470" s="10">
        <v>0</v>
      </c>
      <c r="R470" s="10">
        <v>0</v>
      </c>
      <c r="S470" s="10">
        <v>0</v>
      </c>
      <c r="T470" s="10">
        <v>0</v>
      </c>
      <c r="U470" s="10">
        <v>0</v>
      </c>
      <c r="V470" s="10">
        <v>0</v>
      </c>
      <c r="W470" s="10">
        <v>0</v>
      </c>
      <c r="X470" s="10">
        <v>0</v>
      </c>
      <c r="Y470" s="10">
        <v>0</v>
      </c>
      <c r="Z470" s="10">
        <v>0</v>
      </c>
      <c r="AA470" s="10">
        <v>0</v>
      </c>
      <c r="AB470" s="26">
        <f t="shared" si="22"/>
        <v>0</v>
      </c>
      <c r="AC470" s="25">
        <v>286070</v>
      </c>
      <c r="AD470" s="10">
        <v>279627</v>
      </c>
      <c r="AE470" s="10">
        <v>418860</v>
      </c>
      <c r="AF470" s="10">
        <v>366292</v>
      </c>
      <c r="AG470" s="10">
        <v>274046</v>
      </c>
      <c r="AH470" s="10">
        <v>235780</v>
      </c>
      <c r="AI470" s="10">
        <v>254675</v>
      </c>
      <c r="AJ470" s="10">
        <v>240277</v>
      </c>
      <c r="AK470" s="10">
        <v>198450</v>
      </c>
      <c r="AL470" s="10">
        <v>232172</v>
      </c>
      <c r="AM470" s="10">
        <v>244660</v>
      </c>
      <c r="AN470" s="10">
        <v>222381</v>
      </c>
      <c r="AO470" s="26">
        <f t="shared" si="23"/>
        <v>3253290</v>
      </c>
    </row>
    <row r="471" spans="1:41" ht="17.25" customHeight="1" x14ac:dyDescent="0.45">
      <c r="A471" s="2" t="s">
        <v>30</v>
      </c>
      <c r="B471" s="2" t="s">
        <v>15</v>
      </c>
      <c r="C471" s="23">
        <v>18</v>
      </c>
      <c r="D471" s="1">
        <v>16</v>
      </c>
      <c r="E471" s="1">
        <v>19</v>
      </c>
      <c r="F471" s="1">
        <v>18</v>
      </c>
      <c r="G471" s="1">
        <v>18</v>
      </c>
      <c r="H471" s="1">
        <v>18</v>
      </c>
      <c r="I471" s="1">
        <v>18</v>
      </c>
      <c r="J471" s="1">
        <v>18</v>
      </c>
      <c r="K471" s="1">
        <v>17</v>
      </c>
      <c r="L471" s="1">
        <v>18</v>
      </c>
      <c r="M471" s="1">
        <v>18</v>
      </c>
      <c r="N471" s="1">
        <v>18</v>
      </c>
      <c r="O471" s="24">
        <f t="shared" si="21"/>
        <v>214</v>
      </c>
      <c r="P471" s="23">
        <v>3412</v>
      </c>
      <c r="Q471" s="1">
        <v>2930</v>
      </c>
      <c r="R471" s="1">
        <v>3059</v>
      </c>
      <c r="S471" s="1">
        <v>3078</v>
      </c>
      <c r="T471" s="1">
        <v>2901</v>
      </c>
      <c r="U471" s="1">
        <v>2656</v>
      </c>
      <c r="V471" s="1">
        <v>3086</v>
      </c>
      <c r="W471" s="1">
        <v>3058</v>
      </c>
      <c r="X471" s="1">
        <v>2735</v>
      </c>
      <c r="Y471" s="1">
        <v>2823</v>
      </c>
      <c r="Z471" s="1">
        <v>3227</v>
      </c>
      <c r="AA471" s="1">
        <v>3167</v>
      </c>
      <c r="AB471" s="24">
        <f t="shared" si="22"/>
        <v>36132</v>
      </c>
      <c r="AC471" s="23">
        <v>0</v>
      </c>
      <c r="AD471" s="1">
        <v>0</v>
      </c>
      <c r="AE471" s="1">
        <v>0</v>
      </c>
      <c r="AF471" s="1">
        <v>0</v>
      </c>
      <c r="AG471" s="1">
        <v>101</v>
      </c>
      <c r="AH471" s="1">
        <v>9791</v>
      </c>
      <c r="AI471" s="1">
        <v>0</v>
      </c>
      <c r="AJ471" s="1">
        <v>0</v>
      </c>
      <c r="AK471" s="1">
        <v>0</v>
      </c>
      <c r="AL471" s="1">
        <v>0</v>
      </c>
      <c r="AM471" s="1">
        <v>7252</v>
      </c>
      <c r="AN471" s="1">
        <v>0</v>
      </c>
      <c r="AO471" s="24">
        <f t="shared" si="23"/>
        <v>17144</v>
      </c>
    </row>
    <row r="472" spans="1:41" ht="17.25" customHeight="1" x14ac:dyDescent="0.45">
      <c r="A472" s="12" t="s">
        <v>30</v>
      </c>
      <c r="B472" s="12" t="s">
        <v>36</v>
      </c>
      <c r="C472" s="25">
        <v>12</v>
      </c>
      <c r="D472" s="10">
        <v>17</v>
      </c>
      <c r="E472" s="10">
        <v>4</v>
      </c>
      <c r="F472" s="10">
        <v>4</v>
      </c>
      <c r="G472" s="10">
        <v>4</v>
      </c>
      <c r="H472" s="10">
        <v>5</v>
      </c>
      <c r="I472" s="10">
        <v>15</v>
      </c>
      <c r="J472" s="10">
        <v>22</v>
      </c>
      <c r="K472" s="10">
        <v>21</v>
      </c>
      <c r="L472" s="10">
        <v>21</v>
      </c>
      <c r="M472" s="10">
        <v>18</v>
      </c>
      <c r="N472" s="10">
        <v>18</v>
      </c>
      <c r="O472" s="26">
        <f t="shared" si="21"/>
        <v>161</v>
      </c>
      <c r="P472" s="25">
        <v>0</v>
      </c>
      <c r="Q472" s="10">
        <v>0</v>
      </c>
      <c r="R472" s="10">
        <v>0</v>
      </c>
      <c r="S472" s="10">
        <v>0</v>
      </c>
      <c r="T472" s="10">
        <v>0</v>
      </c>
      <c r="U472" s="10">
        <v>0</v>
      </c>
      <c r="V472" s="10">
        <v>0</v>
      </c>
      <c r="W472" s="10">
        <v>0</v>
      </c>
      <c r="X472" s="10">
        <v>0</v>
      </c>
      <c r="Y472" s="10">
        <v>0</v>
      </c>
      <c r="Z472" s="10">
        <v>0</v>
      </c>
      <c r="AA472" s="10">
        <v>0</v>
      </c>
      <c r="AB472" s="26">
        <f t="shared" si="22"/>
        <v>0</v>
      </c>
      <c r="AC472" s="25">
        <v>90304</v>
      </c>
      <c r="AD472" s="10">
        <v>110533</v>
      </c>
      <c r="AE472" s="10">
        <v>56114</v>
      </c>
      <c r="AF472" s="10">
        <v>48232</v>
      </c>
      <c r="AG472" s="10">
        <v>48134</v>
      </c>
      <c r="AH472" s="10">
        <v>59499</v>
      </c>
      <c r="AI472" s="10">
        <v>90476</v>
      </c>
      <c r="AJ472" s="10">
        <v>117245</v>
      </c>
      <c r="AK472" s="10">
        <v>130632</v>
      </c>
      <c r="AL472" s="10">
        <v>155795</v>
      </c>
      <c r="AM472" s="10">
        <v>135155</v>
      </c>
      <c r="AN472" s="10">
        <v>130636</v>
      </c>
      <c r="AO472" s="26">
        <f t="shared" si="23"/>
        <v>1172755</v>
      </c>
    </row>
    <row r="473" spans="1:41" ht="17.25" customHeight="1" x14ac:dyDescent="0.45">
      <c r="A473" s="2" t="s">
        <v>14</v>
      </c>
      <c r="B473" s="2" t="s">
        <v>9</v>
      </c>
      <c r="C473" s="23">
        <v>7</v>
      </c>
      <c r="D473" s="1">
        <v>8</v>
      </c>
      <c r="E473" s="1">
        <v>9</v>
      </c>
      <c r="F473" s="1">
        <v>11</v>
      </c>
      <c r="G473" s="1">
        <v>18</v>
      </c>
      <c r="H473" s="1">
        <v>17</v>
      </c>
      <c r="I473" s="1">
        <v>17</v>
      </c>
      <c r="J473" s="1">
        <v>17</v>
      </c>
      <c r="K473" s="1">
        <v>15</v>
      </c>
      <c r="L473" s="1">
        <v>16</v>
      </c>
      <c r="M473" s="1">
        <v>17</v>
      </c>
      <c r="N473" s="1">
        <v>18</v>
      </c>
      <c r="O473" s="24">
        <f t="shared" si="21"/>
        <v>170</v>
      </c>
      <c r="P473" s="23">
        <v>1016</v>
      </c>
      <c r="Q473" s="1">
        <v>1204</v>
      </c>
      <c r="R473" s="1">
        <v>1432</v>
      </c>
      <c r="S473" s="1">
        <v>1598</v>
      </c>
      <c r="T473" s="1">
        <v>2623</v>
      </c>
      <c r="U473" s="1">
        <v>2621</v>
      </c>
      <c r="V473" s="1">
        <v>2716</v>
      </c>
      <c r="W473" s="1">
        <v>2674</v>
      </c>
      <c r="X473" s="1">
        <v>1666</v>
      </c>
      <c r="Y473" s="1">
        <v>1363</v>
      </c>
      <c r="Z473" s="1">
        <v>1761</v>
      </c>
      <c r="AA473" s="1">
        <v>1995</v>
      </c>
      <c r="AB473" s="24">
        <f t="shared" si="22"/>
        <v>22669</v>
      </c>
      <c r="AC473" s="23">
        <v>0</v>
      </c>
      <c r="AD473" s="1">
        <v>0</v>
      </c>
      <c r="AE473" s="1">
        <v>0</v>
      </c>
      <c r="AF473" s="1">
        <v>0</v>
      </c>
      <c r="AG473" s="1">
        <v>0</v>
      </c>
      <c r="AH473" s="1">
        <v>0</v>
      </c>
      <c r="AI473" s="1">
        <v>0</v>
      </c>
      <c r="AJ473" s="1">
        <v>0</v>
      </c>
      <c r="AK473" s="1">
        <v>0</v>
      </c>
      <c r="AL473" s="1">
        <v>0</v>
      </c>
      <c r="AM473" s="1">
        <v>0</v>
      </c>
      <c r="AN473" s="1">
        <v>0</v>
      </c>
      <c r="AO473" s="24">
        <f t="shared" si="23"/>
        <v>0</v>
      </c>
    </row>
    <row r="474" spans="1:41" ht="17.25" customHeight="1" x14ac:dyDescent="0.45">
      <c r="A474" s="12" t="s">
        <v>14</v>
      </c>
      <c r="B474" s="12" t="s">
        <v>18</v>
      </c>
      <c r="C474" s="25">
        <v>9</v>
      </c>
      <c r="D474" s="10">
        <v>9</v>
      </c>
      <c r="E474" s="10">
        <v>8</v>
      </c>
      <c r="F474" s="10">
        <v>0</v>
      </c>
      <c r="G474" s="10">
        <v>0</v>
      </c>
      <c r="H474" s="10">
        <v>0</v>
      </c>
      <c r="I474" s="10">
        <v>0</v>
      </c>
      <c r="J474" s="10">
        <v>0</v>
      </c>
      <c r="K474" s="10">
        <v>0</v>
      </c>
      <c r="L474" s="10">
        <v>0</v>
      </c>
      <c r="M474" s="10">
        <v>0</v>
      </c>
      <c r="N474" s="10">
        <v>0</v>
      </c>
      <c r="O474" s="26">
        <f t="shared" si="21"/>
        <v>26</v>
      </c>
      <c r="P474" s="25">
        <v>191</v>
      </c>
      <c r="Q474" s="10">
        <v>216</v>
      </c>
      <c r="R474" s="10">
        <v>363</v>
      </c>
      <c r="S474" s="10">
        <v>0</v>
      </c>
      <c r="T474" s="10">
        <v>0</v>
      </c>
      <c r="U474" s="10">
        <v>0</v>
      </c>
      <c r="V474" s="10">
        <v>0</v>
      </c>
      <c r="W474" s="10">
        <v>0</v>
      </c>
      <c r="X474" s="10">
        <v>0</v>
      </c>
      <c r="Y474" s="10">
        <v>0</v>
      </c>
      <c r="Z474" s="10">
        <v>0</v>
      </c>
      <c r="AA474" s="10">
        <v>0</v>
      </c>
      <c r="AB474" s="26">
        <f t="shared" si="22"/>
        <v>770</v>
      </c>
      <c r="AC474" s="25">
        <v>0</v>
      </c>
      <c r="AD474" s="10">
        <v>0</v>
      </c>
      <c r="AE474" s="10">
        <v>0</v>
      </c>
      <c r="AF474" s="10">
        <v>0</v>
      </c>
      <c r="AG474" s="10">
        <v>0</v>
      </c>
      <c r="AH474" s="10">
        <v>0</v>
      </c>
      <c r="AI474" s="10">
        <v>0</v>
      </c>
      <c r="AJ474" s="10">
        <v>0</v>
      </c>
      <c r="AK474" s="10">
        <v>0</v>
      </c>
      <c r="AL474" s="10">
        <v>0</v>
      </c>
      <c r="AM474" s="10">
        <v>0</v>
      </c>
      <c r="AN474" s="10">
        <v>0</v>
      </c>
      <c r="AO474" s="26">
        <f t="shared" si="23"/>
        <v>0</v>
      </c>
    </row>
    <row r="475" spans="1:41" ht="17.25" customHeight="1" x14ac:dyDescent="0.45">
      <c r="A475" s="2" t="s">
        <v>14</v>
      </c>
      <c r="B475" s="2" t="s">
        <v>10</v>
      </c>
      <c r="C475" s="23">
        <v>224</v>
      </c>
      <c r="D475" s="1">
        <v>232</v>
      </c>
      <c r="E475" s="1">
        <v>281</v>
      </c>
      <c r="F475" s="1">
        <v>328</v>
      </c>
      <c r="G475" s="1">
        <v>333</v>
      </c>
      <c r="H475" s="1">
        <v>318</v>
      </c>
      <c r="I475" s="1">
        <v>323</v>
      </c>
      <c r="J475" s="1">
        <v>336</v>
      </c>
      <c r="K475" s="1">
        <v>309</v>
      </c>
      <c r="L475" s="1">
        <v>323</v>
      </c>
      <c r="M475" s="1">
        <v>325</v>
      </c>
      <c r="N475" s="1">
        <v>341</v>
      </c>
      <c r="O475" s="24">
        <f t="shared" si="21"/>
        <v>3673</v>
      </c>
      <c r="P475" s="23">
        <v>36142</v>
      </c>
      <c r="Q475" s="1">
        <v>35880</v>
      </c>
      <c r="R475" s="1">
        <v>42257</v>
      </c>
      <c r="S475" s="1">
        <v>46194</v>
      </c>
      <c r="T475" s="1">
        <v>49162</v>
      </c>
      <c r="U475" s="1">
        <v>46476</v>
      </c>
      <c r="V475" s="1">
        <v>45952</v>
      </c>
      <c r="W475" s="1">
        <v>49528</v>
      </c>
      <c r="X475" s="1">
        <v>46322</v>
      </c>
      <c r="Y475" s="1">
        <v>45883</v>
      </c>
      <c r="Z475" s="1">
        <v>48931</v>
      </c>
      <c r="AA475" s="1">
        <v>49377</v>
      </c>
      <c r="AB475" s="24">
        <f t="shared" si="22"/>
        <v>542104</v>
      </c>
      <c r="AC475" s="23">
        <v>32820.800000000003</v>
      </c>
      <c r="AD475" s="1">
        <v>47675.600000000006</v>
      </c>
      <c r="AE475" s="1">
        <v>41432</v>
      </c>
      <c r="AF475" s="1">
        <v>50632.7</v>
      </c>
      <c r="AG475" s="1">
        <v>60154</v>
      </c>
      <c r="AH475" s="1">
        <v>52812.9</v>
      </c>
      <c r="AI475" s="1">
        <v>53563.7</v>
      </c>
      <c r="AJ475" s="1">
        <v>43615.899999999994</v>
      </c>
      <c r="AK475" s="1">
        <v>60219.3</v>
      </c>
      <c r="AL475" s="1">
        <v>75654</v>
      </c>
      <c r="AM475" s="1">
        <v>80159.100000000006</v>
      </c>
      <c r="AN475" s="1">
        <v>65736</v>
      </c>
      <c r="AO475" s="24">
        <f t="shared" si="23"/>
        <v>664476</v>
      </c>
    </row>
    <row r="476" spans="1:41" ht="17.25" customHeight="1" x14ac:dyDescent="0.45">
      <c r="A476" s="12" t="s">
        <v>14</v>
      </c>
      <c r="B476" s="12" t="s">
        <v>37</v>
      </c>
      <c r="C476" s="25">
        <v>9</v>
      </c>
      <c r="D476" s="10">
        <v>24</v>
      </c>
      <c r="E476" s="10">
        <v>27</v>
      </c>
      <c r="F476" s="10">
        <v>35</v>
      </c>
      <c r="G476" s="10">
        <v>35</v>
      </c>
      <c r="H476" s="10">
        <v>34</v>
      </c>
      <c r="I476" s="10">
        <v>32</v>
      </c>
      <c r="J476" s="10">
        <v>35</v>
      </c>
      <c r="K476" s="10">
        <v>47</v>
      </c>
      <c r="L476" s="10">
        <v>42</v>
      </c>
      <c r="M476" s="10">
        <v>40</v>
      </c>
      <c r="N476" s="10">
        <v>40</v>
      </c>
      <c r="O476" s="26">
        <f t="shared" si="21"/>
        <v>400</v>
      </c>
      <c r="P476" s="25">
        <v>819</v>
      </c>
      <c r="Q476" s="10">
        <v>1402</v>
      </c>
      <c r="R476" s="10">
        <v>2510</v>
      </c>
      <c r="S476" s="10">
        <v>4197</v>
      </c>
      <c r="T476" s="10">
        <v>4310</v>
      </c>
      <c r="U476" s="10">
        <v>3986</v>
      </c>
      <c r="V476" s="10">
        <v>4291</v>
      </c>
      <c r="W476" s="10">
        <v>4291</v>
      </c>
      <c r="X476" s="10">
        <v>4849</v>
      </c>
      <c r="Y476" s="10">
        <v>3988</v>
      </c>
      <c r="Z476" s="10">
        <v>4376</v>
      </c>
      <c r="AA476" s="10">
        <v>5074</v>
      </c>
      <c r="AB476" s="26">
        <f t="shared" si="22"/>
        <v>44093</v>
      </c>
      <c r="AC476" s="25">
        <v>0</v>
      </c>
      <c r="AD476" s="10">
        <v>0</v>
      </c>
      <c r="AE476" s="10">
        <v>0</v>
      </c>
      <c r="AF476" s="10">
        <v>0</v>
      </c>
      <c r="AG476" s="10">
        <v>0</v>
      </c>
      <c r="AH476" s="10">
        <v>0</v>
      </c>
      <c r="AI476" s="10">
        <v>0</v>
      </c>
      <c r="AJ476" s="10">
        <v>0</v>
      </c>
      <c r="AK476" s="10">
        <v>0</v>
      </c>
      <c r="AL476" s="10">
        <v>0</v>
      </c>
      <c r="AM476" s="10">
        <v>0</v>
      </c>
      <c r="AN476" s="10">
        <v>0</v>
      </c>
      <c r="AO476" s="26">
        <f t="shared" si="23"/>
        <v>0</v>
      </c>
    </row>
    <row r="477" spans="1:41" ht="17.25" customHeight="1" x14ac:dyDescent="0.45">
      <c r="A477" s="2" t="s">
        <v>14</v>
      </c>
      <c r="B477" s="2" t="s">
        <v>19</v>
      </c>
      <c r="C477" s="23">
        <v>13</v>
      </c>
      <c r="D477" s="1">
        <v>14</v>
      </c>
      <c r="E477" s="1">
        <v>26</v>
      </c>
      <c r="F477" s="1">
        <v>38</v>
      </c>
      <c r="G477" s="1">
        <v>31</v>
      </c>
      <c r="H477" s="1">
        <v>28</v>
      </c>
      <c r="I477" s="1">
        <v>31</v>
      </c>
      <c r="J477" s="1">
        <v>33</v>
      </c>
      <c r="K477" s="1">
        <v>29</v>
      </c>
      <c r="L477" s="1">
        <v>31</v>
      </c>
      <c r="M477" s="1">
        <v>30</v>
      </c>
      <c r="N477" s="1">
        <v>31</v>
      </c>
      <c r="O477" s="24">
        <f t="shared" si="21"/>
        <v>335</v>
      </c>
      <c r="P477" s="23">
        <v>1726</v>
      </c>
      <c r="Q477" s="1">
        <v>1774</v>
      </c>
      <c r="R477" s="1">
        <v>1860</v>
      </c>
      <c r="S477" s="1">
        <v>4473</v>
      </c>
      <c r="T477" s="1">
        <v>4426</v>
      </c>
      <c r="U477" s="1">
        <v>3841</v>
      </c>
      <c r="V477" s="1">
        <v>5070</v>
      </c>
      <c r="W477" s="1">
        <v>5087</v>
      </c>
      <c r="X477" s="1">
        <v>4657</v>
      </c>
      <c r="Y477" s="1">
        <v>5052</v>
      </c>
      <c r="Z477" s="1">
        <v>3721</v>
      </c>
      <c r="AA477" s="1">
        <v>3769</v>
      </c>
      <c r="AB477" s="24">
        <f t="shared" si="22"/>
        <v>45456</v>
      </c>
      <c r="AC477" s="23">
        <v>6917</v>
      </c>
      <c r="AD477" s="1">
        <v>6969</v>
      </c>
      <c r="AE477" s="1">
        <v>39197</v>
      </c>
      <c r="AF477" s="1">
        <v>40194</v>
      </c>
      <c r="AG477" s="1">
        <v>0</v>
      </c>
      <c r="AH477" s="1">
        <v>0</v>
      </c>
      <c r="AI477" s="1">
        <v>0</v>
      </c>
      <c r="AJ477" s="1">
        <v>3625</v>
      </c>
      <c r="AK477" s="1">
        <v>0</v>
      </c>
      <c r="AL477" s="1">
        <v>0</v>
      </c>
      <c r="AM477" s="1">
        <v>0</v>
      </c>
      <c r="AN477" s="1">
        <v>0</v>
      </c>
      <c r="AO477" s="24">
        <f t="shared" si="23"/>
        <v>96902</v>
      </c>
    </row>
    <row r="478" spans="1:41" ht="17.25" customHeight="1" x14ac:dyDescent="0.45">
      <c r="A478" s="12" t="s">
        <v>14</v>
      </c>
      <c r="B478" s="12" t="s">
        <v>20</v>
      </c>
      <c r="C478" s="25">
        <v>28</v>
      </c>
      <c r="D478" s="10">
        <v>28</v>
      </c>
      <c r="E478" s="10">
        <v>36</v>
      </c>
      <c r="F478" s="10">
        <v>39</v>
      </c>
      <c r="G478" s="10">
        <v>40</v>
      </c>
      <c r="H478" s="10">
        <v>37</v>
      </c>
      <c r="I478" s="10">
        <v>40</v>
      </c>
      <c r="J478" s="10">
        <v>40</v>
      </c>
      <c r="K478" s="10">
        <v>39</v>
      </c>
      <c r="L478" s="10">
        <v>40</v>
      </c>
      <c r="M478" s="10">
        <v>38</v>
      </c>
      <c r="N478" s="10">
        <v>30</v>
      </c>
      <c r="O478" s="26">
        <f t="shared" si="21"/>
        <v>435</v>
      </c>
      <c r="P478" s="25">
        <v>5276</v>
      </c>
      <c r="Q478" s="10">
        <v>5282</v>
      </c>
      <c r="R478" s="10">
        <v>5990</v>
      </c>
      <c r="S478" s="10">
        <v>7358</v>
      </c>
      <c r="T478" s="10">
        <v>6632</v>
      </c>
      <c r="U478" s="10">
        <v>6185</v>
      </c>
      <c r="V478" s="10">
        <v>6821</v>
      </c>
      <c r="W478" s="10">
        <v>6699</v>
      </c>
      <c r="X478" s="10">
        <v>6612</v>
      </c>
      <c r="Y478" s="10">
        <v>6792</v>
      </c>
      <c r="Z478" s="10">
        <v>6519</v>
      </c>
      <c r="AA478" s="10">
        <v>4657</v>
      </c>
      <c r="AB478" s="26">
        <f t="shared" si="22"/>
        <v>74823</v>
      </c>
      <c r="AC478" s="25">
        <v>996.5</v>
      </c>
      <c r="AD478" s="10">
        <v>893.5</v>
      </c>
      <c r="AE478" s="10">
        <v>2834.6</v>
      </c>
      <c r="AF478" s="10">
        <v>623</v>
      </c>
      <c r="AG478" s="10">
        <v>1205</v>
      </c>
      <c r="AH478" s="10">
        <v>529</v>
      </c>
      <c r="AI478" s="10">
        <v>1254</v>
      </c>
      <c r="AJ478" s="10">
        <v>810</v>
      </c>
      <c r="AK478" s="10">
        <v>1632</v>
      </c>
      <c r="AL478" s="10">
        <v>2218</v>
      </c>
      <c r="AM478" s="10">
        <v>2147.89</v>
      </c>
      <c r="AN478" s="10">
        <v>191</v>
      </c>
      <c r="AO478" s="26">
        <f t="shared" si="23"/>
        <v>15334.49</v>
      </c>
    </row>
    <row r="479" spans="1:41" ht="17.25" customHeight="1" x14ac:dyDescent="0.45">
      <c r="A479" s="2" t="s">
        <v>14</v>
      </c>
      <c r="B479" s="2" t="s">
        <v>43</v>
      </c>
      <c r="C479" s="23">
        <v>0</v>
      </c>
      <c r="D479" s="1">
        <v>0</v>
      </c>
      <c r="E479" s="1">
        <v>0</v>
      </c>
      <c r="F479" s="1">
        <v>0</v>
      </c>
      <c r="G479" s="1">
        <v>0</v>
      </c>
      <c r="H479" s="1">
        <v>0</v>
      </c>
      <c r="I479" s="1">
        <v>0</v>
      </c>
      <c r="J479" s="1">
        <v>0</v>
      </c>
      <c r="K479" s="1">
        <v>0</v>
      </c>
      <c r="L479" s="1">
        <v>0</v>
      </c>
      <c r="M479" s="1">
        <v>30</v>
      </c>
      <c r="N479" s="1">
        <v>34</v>
      </c>
      <c r="O479" s="24">
        <f t="shared" si="21"/>
        <v>64</v>
      </c>
      <c r="P479" s="23">
        <v>0</v>
      </c>
      <c r="Q479" s="1">
        <v>0</v>
      </c>
      <c r="R479" s="1">
        <v>0</v>
      </c>
      <c r="S479" s="1">
        <v>0</v>
      </c>
      <c r="T479" s="1">
        <v>0</v>
      </c>
      <c r="U479" s="1">
        <v>0</v>
      </c>
      <c r="V479" s="1">
        <v>0</v>
      </c>
      <c r="W479" s="1">
        <v>0</v>
      </c>
      <c r="X479" s="1">
        <v>0</v>
      </c>
      <c r="Y479" s="1">
        <v>0</v>
      </c>
      <c r="Z479" s="1">
        <v>1572</v>
      </c>
      <c r="AA479" s="1">
        <v>2214</v>
      </c>
      <c r="AB479" s="24">
        <f t="shared" si="22"/>
        <v>3786</v>
      </c>
      <c r="AC479" s="23">
        <v>0</v>
      </c>
      <c r="AD479" s="1">
        <v>0</v>
      </c>
      <c r="AE479" s="1">
        <v>0</v>
      </c>
      <c r="AF479" s="1">
        <v>0</v>
      </c>
      <c r="AG479" s="1">
        <v>0</v>
      </c>
      <c r="AH479" s="1">
        <v>0</v>
      </c>
      <c r="AI479" s="1">
        <v>0</v>
      </c>
      <c r="AJ479" s="1">
        <v>0</v>
      </c>
      <c r="AK479" s="1">
        <v>0</v>
      </c>
      <c r="AL479" s="1">
        <v>0</v>
      </c>
      <c r="AM479" s="1">
        <v>0</v>
      </c>
      <c r="AN479" s="1">
        <v>0</v>
      </c>
      <c r="AO479" s="24">
        <f t="shared" si="23"/>
        <v>0</v>
      </c>
    </row>
    <row r="480" spans="1:41" ht="17.25" customHeight="1" x14ac:dyDescent="0.45">
      <c r="A480" s="12" t="s">
        <v>14</v>
      </c>
      <c r="B480" s="12" t="s">
        <v>45</v>
      </c>
      <c r="C480" s="25">
        <v>29</v>
      </c>
      <c r="D480" s="10">
        <v>28</v>
      </c>
      <c r="E480" s="10">
        <v>30</v>
      </c>
      <c r="F480" s="10">
        <v>29</v>
      </c>
      <c r="G480" s="10">
        <v>31</v>
      </c>
      <c r="H480" s="10">
        <v>30</v>
      </c>
      <c r="I480" s="10">
        <v>31</v>
      </c>
      <c r="J480" s="10">
        <v>31</v>
      </c>
      <c r="K480" s="10">
        <v>30</v>
      </c>
      <c r="L480" s="10">
        <v>31</v>
      </c>
      <c r="M480" s="10">
        <v>30</v>
      </c>
      <c r="N480" s="10">
        <v>30</v>
      </c>
      <c r="O480" s="26">
        <f t="shared" si="21"/>
        <v>360</v>
      </c>
      <c r="P480" s="25">
        <v>1255</v>
      </c>
      <c r="Q480" s="10">
        <v>1545</v>
      </c>
      <c r="R480" s="10">
        <v>1625</v>
      </c>
      <c r="S480" s="10">
        <v>1754</v>
      </c>
      <c r="T480" s="10">
        <v>2196</v>
      </c>
      <c r="U480" s="10">
        <v>2084</v>
      </c>
      <c r="V480" s="10">
        <v>2413</v>
      </c>
      <c r="W480" s="10">
        <v>2162</v>
      </c>
      <c r="X480" s="10">
        <v>1969</v>
      </c>
      <c r="Y480" s="10">
        <v>2098</v>
      </c>
      <c r="Z480" s="10">
        <v>2488</v>
      </c>
      <c r="AA480" s="10">
        <v>2328</v>
      </c>
      <c r="AB480" s="26">
        <f t="shared" si="22"/>
        <v>23917</v>
      </c>
      <c r="AC480" s="25">
        <v>0</v>
      </c>
      <c r="AD480" s="10">
        <v>0</v>
      </c>
      <c r="AE480" s="10">
        <v>0</v>
      </c>
      <c r="AF480" s="10">
        <v>0</v>
      </c>
      <c r="AG480" s="10">
        <v>91</v>
      </c>
      <c r="AH480" s="10">
        <v>0</v>
      </c>
      <c r="AI480" s="10">
        <v>4</v>
      </c>
      <c r="AJ480" s="10">
        <v>4</v>
      </c>
      <c r="AK480" s="10">
        <v>0</v>
      </c>
      <c r="AL480" s="10">
        <v>0</v>
      </c>
      <c r="AM480" s="10">
        <v>0</v>
      </c>
      <c r="AN480" s="10">
        <v>0</v>
      </c>
      <c r="AO480" s="26">
        <f t="shared" si="23"/>
        <v>99</v>
      </c>
    </row>
    <row r="481" spans="1:41" ht="17.25" customHeight="1" x14ac:dyDescent="0.45">
      <c r="A481" s="2" t="s">
        <v>14</v>
      </c>
      <c r="B481" s="2" t="s">
        <v>21</v>
      </c>
      <c r="C481" s="23">
        <v>9</v>
      </c>
      <c r="D481" s="1">
        <v>9</v>
      </c>
      <c r="E481" s="1">
        <v>8</v>
      </c>
      <c r="F481" s="1">
        <v>51</v>
      </c>
      <c r="G481" s="1">
        <v>52</v>
      </c>
      <c r="H481" s="1">
        <v>51</v>
      </c>
      <c r="I481" s="1">
        <v>53</v>
      </c>
      <c r="J481" s="1">
        <v>52</v>
      </c>
      <c r="K481" s="1">
        <v>51</v>
      </c>
      <c r="L481" s="1">
        <v>53</v>
      </c>
      <c r="M481" s="1">
        <v>52</v>
      </c>
      <c r="N481" s="1">
        <v>32</v>
      </c>
      <c r="O481" s="24">
        <f t="shared" si="21"/>
        <v>473</v>
      </c>
      <c r="P481" s="23">
        <v>1507</v>
      </c>
      <c r="Q481" s="1">
        <v>1609</v>
      </c>
      <c r="R481" s="1">
        <v>1167</v>
      </c>
      <c r="S481" s="1">
        <v>8287</v>
      </c>
      <c r="T481" s="1">
        <v>7837</v>
      </c>
      <c r="U481" s="1">
        <v>7194</v>
      </c>
      <c r="V481" s="1">
        <v>8387</v>
      </c>
      <c r="W481" s="1">
        <v>8206</v>
      </c>
      <c r="X481" s="1">
        <v>7029</v>
      </c>
      <c r="Y481" s="1">
        <v>7451</v>
      </c>
      <c r="Z481" s="1">
        <v>8270</v>
      </c>
      <c r="AA481" s="1">
        <v>5270</v>
      </c>
      <c r="AB481" s="24">
        <f t="shared" si="22"/>
        <v>72214</v>
      </c>
      <c r="AC481" s="23">
        <v>0</v>
      </c>
      <c r="AD481" s="1">
        <v>0</v>
      </c>
      <c r="AE481" s="1">
        <v>0</v>
      </c>
      <c r="AF481" s="1">
        <v>0</v>
      </c>
      <c r="AG481" s="1">
        <v>0</v>
      </c>
      <c r="AH481" s="1">
        <v>0</v>
      </c>
      <c r="AI481" s="1">
        <v>0</v>
      </c>
      <c r="AJ481" s="1">
        <v>0</v>
      </c>
      <c r="AK481" s="1">
        <v>0</v>
      </c>
      <c r="AL481" s="1">
        <v>0</v>
      </c>
      <c r="AM481" s="1">
        <v>0</v>
      </c>
      <c r="AN481" s="1">
        <v>0</v>
      </c>
      <c r="AO481" s="24">
        <f t="shared" si="23"/>
        <v>0</v>
      </c>
    </row>
    <row r="482" spans="1:41" ht="17.25" customHeight="1" x14ac:dyDescent="0.45">
      <c r="A482" s="12" t="s">
        <v>14</v>
      </c>
      <c r="B482" s="12" t="s">
        <v>22</v>
      </c>
      <c r="C482" s="25">
        <v>7</v>
      </c>
      <c r="D482" s="10">
        <v>0</v>
      </c>
      <c r="E482" s="10">
        <v>0</v>
      </c>
      <c r="F482" s="10">
        <v>0</v>
      </c>
      <c r="G482" s="10">
        <v>0</v>
      </c>
      <c r="H482" s="10">
        <v>0</v>
      </c>
      <c r="I482" s="10">
        <v>0</v>
      </c>
      <c r="J482" s="10">
        <v>0</v>
      </c>
      <c r="K482" s="10">
        <v>0</v>
      </c>
      <c r="L482" s="10">
        <v>31</v>
      </c>
      <c r="M482" s="10">
        <v>30</v>
      </c>
      <c r="N482" s="10">
        <v>31</v>
      </c>
      <c r="O482" s="26">
        <f t="shared" si="21"/>
        <v>99</v>
      </c>
      <c r="P482" s="25">
        <v>176</v>
      </c>
      <c r="Q482" s="10">
        <v>0</v>
      </c>
      <c r="R482" s="10">
        <v>0</v>
      </c>
      <c r="S482" s="10">
        <v>0</v>
      </c>
      <c r="T482" s="10">
        <v>0</v>
      </c>
      <c r="U482" s="10">
        <v>0</v>
      </c>
      <c r="V482" s="10">
        <v>0</v>
      </c>
      <c r="W482" s="10">
        <v>0</v>
      </c>
      <c r="X482" s="10">
        <v>0</v>
      </c>
      <c r="Y482" s="10">
        <v>3062</v>
      </c>
      <c r="Z482" s="10">
        <v>2969</v>
      </c>
      <c r="AA482" s="10">
        <v>3216</v>
      </c>
      <c r="AB482" s="26">
        <f t="shared" si="22"/>
        <v>9423</v>
      </c>
      <c r="AC482" s="25">
        <v>386</v>
      </c>
      <c r="AD482" s="10">
        <v>0</v>
      </c>
      <c r="AE482" s="10">
        <v>0</v>
      </c>
      <c r="AF482" s="10">
        <v>0</v>
      </c>
      <c r="AG482" s="10">
        <v>0</v>
      </c>
      <c r="AH482" s="10">
        <v>0</v>
      </c>
      <c r="AI482" s="10">
        <v>0</v>
      </c>
      <c r="AJ482" s="10">
        <v>0</v>
      </c>
      <c r="AK482" s="10">
        <v>0</v>
      </c>
      <c r="AL482" s="10">
        <v>0</v>
      </c>
      <c r="AM482" s="10">
        <v>0</v>
      </c>
      <c r="AN482" s="10">
        <v>0</v>
      </c>
      <c r="AO482" s="26">
        <f t="shared" si="23"/>
        <v>386</v>
      </c>
    </row>
    <row r="483" spans="1:41" ht="17.25" customHeight="1" x14ac:dyDescent="0.45">
      <c r="A483" s="2" t="s">
        <v>14</v>
      </c>
      <c r="B483" s="2" t="s">
        <v>42</v>
      </c>
      <c r="C483" s="23">
        <v>51</v>
      </c>
      <c r="D483" s="1">
        <v>58</v>
      </c>
      <c r="E483" s="1">
        <v>52</v>
      </c>
      <c r="F483" s="1">
        <v>55</v>
      </c>
      <c r="G483" s="1">
        <v>31</v>
      </c>
      <c r="H483" s="1">
        <v>30</v>
      </c>
      <c r="I483" s="1">
        <v>31</v>
      </c>
      <c r="J483" s="1">
        <v>31</v>
      </c>
      <c r="K483" s="1">
        <v>30</v>
      </c>
      <c r="L483" s="1">
        <v>31</v>
      </c>
      <c r="M483" s="1">
        <v>30</v>
      </c>
      <c r="N483" s="1">
        <v>29</v>
      </c>
      <c r="O483" s="24">
        <f t="shared" si="21"/>
        <v>459</v>
      </c>
      <c r="P483" s="23">
        <v>2036</v>
      </c>
      <c r="Q483" s="1">
        <v>1958</v>
      </c>
      <c r="R483" s="1">
        <v>2903</v>
      </c>
      <c r="S483" s="1">
        <v>2879</v>
      </c>
      <c r="T483" s="1">
        <v>2109</v>
      </c>
      <c r="U483" s="1">
        <v>2180</v>
      </c>
      <c r="V483" s="1">
        <v>2778</v>
      </c>
      <c r="W483" s="1">
        <v>2237</v>
      </c>
      <c r="X483" s="1">
        <v>2233</v>
      </c>
      <c r="Y483" s="1">
        <v>2515</v>
      </c>
      <c r="Z483" s="1">
        <v>2601</v>
      </c>
      <c r="AA483" s="1">
        <v>2659</v>
      </c>
      <c r="AB483" s="24">
        <f t="shared" si="22"/>
        <v>29088</v>
      </c>
      <c r="AC483" s="23">
        <v>0</v>
      </c>
      <c r="AD483" s="1">
        <v>0</v>
      </c>
      <c r="AE483" s="1">
        <v>0</v>
      </c>
      <c r="AF483" s="1">
        <v>0</v>
      </c>
      <c r="AG483" s="1">
        <v>0</v>
      </c>
      <c r="AH483" s="1">
        <v>0</v>
      </c>
      <c r="AI483" s="1">
        <v>0</v>
      </c>
      <c r="AJ483" s="1">
        <v>0</v>
      </c>
      <c r="AK483" s="1">
        <v>0</v>
      </c>
      <c r="AL483" s="1">
        <v>0</v>
      </c>
      <c r="AM483" s="1">
        <v>0</v>
      </c>
      <c r="AN483" s="1">
        <v>0</v>
      </c>
      <c r="AO483" s="24">
        <f t="shared" si="23"/>
        <v>0</v>
      </c>
    </row>
    <row r="484" spans="1:41" ht="17.25" customHeight="1" x14ac:dyDescent="0.45">
      <c r="A484" s="12" t="s">
        <v>14</v>
      </c>
      <c r="B484" s="12" t="s">
        <v>11</v>
      </c>
      <c r="C484" s="25">
        <v>157</v>
      </c>
      <c r="D484" s="10">
        <v>165</v>
      </c>
      <c r="E484" s="10">
        <v>186</v>
      </c>
      <c r="F484" s="10">
        <v>198</v>
      </c>
      <c r="G484" s="10">
        <v>187</v>
      </c>
      <c r="H484" s="10">
        <v>204</v>
      </c>
      <c r="I484" s="10">
        <v>206</v>
      </c>
      <c r="J484" s="10">
        <v>175</v>
      </c>
      <c r="K484" s="10">
        <v>210</v>
      </c>
      <c r="L484" s="10">
        <v>204</v>
      </c>
      <c r="M484" s="10">
        <v>212</v>
      </c>
      <c r="N484" s="10">
        <v>215</v>
      </c>
      <c r="O484" s="26">
        <f t="shared" si="21"/>
        <v>2319</v>
      </c>
      <c r="P484" s="25">
        <v>17265</v>
      </c>
      <c r="Q484" s="10">
        <v>21247</v>
      </c>
      <c r="R484" s="10">
        <v>22950</v>
      </c>
      <c r="S484" s="10">
        <v>22349</v>
      </c>
      <c r="T484" s="10">
        <v>23216</v>
      </c>
      <c r="U484" s="10">
        <v>24587</v>
      </c>
      <c r="V484" s="10">
        <v>25627</v>
      </c>
      <c r="W484" s="10">
        <v>22224</v>
      </c>
      <c r="X484" s="10">
        <v>25293</v>
      </c>
      <c r="Y484" s="10">
        <v>26214</v>
      </c>
      <c r="Z484" s="10">
        <v>27003</v>
      </c>
      <c r="AA484" s="10">
        <v>25892</v>
      </c>
      <c r="AB484" s="26">
        <f t="shared" si="22"/>
        <v>283867</v>
      </c>
      <c r="AC484" s="25">
        <v>32278.75</v>
      </c>
      <c r="AD484" s="10">
        <v>34333.4</v>
      </c>
      <c r="AE484" s="10">
        <v>44593.4</v>
      </c>
      <c r="AF484" s="10">
        <v>42929.310000000005</v>
      </c>
      <c r="AG484" s="10">
        <v>40085</v>
      </c>
      <c r="AH484" s="10">
        <v>50208.1</v>
      </c>
      <c r="AI484" s="10">
        <v>70007.3</v>
      </c>
      <c r="AJ484" s="10">
        <v>44186.200000000004</v>
      </c>
      <c r="AK484" s="10">
        <v>38301.5</v>
      </c>
      <c r="AL484" s="10">
        <v>35595</v>
      </c>
      <c r="AM484" s="10">
        <v>26574.9</v>
      </c>
      <c r="AN484" s="10">
        <v>25560.5</v>
      </c>
      <c r="AO484" s="26">
        <f t="shared" si="23"/>
        <v>484653.36000000004</v>
      </c>
    </row>
    <row r="485" spans="1:41" ht="17.25" customHeight="1" x14ac:dyDescent="0.45">
      <c r="A485" s="2" t="s">
        <v>14</v>
      </c>
      <c r="B485" s="2" t="s">
        <v>38</v>
      </c>
      <c r="C485" s="23">
        <v>22</v>
      </c>
      <c r="D485" s="1">
        <v>21</v>
      </c>
      <c r="E485" s="1">
        <v>26</v>
      </c>
      <c r="F485" s="1">
        <v>30</v>
      </c>
      <c r="G485" s="1">
        <v>31</v>
      </c>
      <c r="H485" s="1">
        <v>29</v>
      </c>
      <c r="I485" s="1">
        <v>30</v>
      </c>
      <c r="J485" s="1">
        <v>31</v>
      </c>
      <c r="K485" s="1">
        <v>30</v>
      </c>
      <c r="L485" s="1">
        <v>31</v>
      </c>
      <c r="M485" s="1">
        <v>30</v>
      </c>
      <c r="N485" s="1">
        <v>31</v>
      </c>
      <c r="O485" s="24">
        <f t="shared" si="21"/>
        <v>342</v>
      </c>
      <c r="P485" s="23">
        <v>3914</v>
      </c>
      <c r="Q485" s="1">
        <v>3679</v>
      </c>
      <c r="R485" s="1">
        <v>4300</v>
      </c>
      <c r="S485" s="1">
        <v>6062</v>
      </c>
      <c r="T485" s="1">
        <v>5076</v>
      </c>
      <c r="U485" s="1">
        <v>4804</v>
      </c>
      <c r="V485" s="1">
        <v>5143</v>
      </c>
      <c r="W485" s="1">
        <v>5264</v>
      </c>
      <c r="X485" s="1">
        <v>4970</v>
      </c>
      <c r="Y485" s="1">
        <v>5258</v>
      </c>
      <c r="Z485" s="1">
        <v>4928</v>
      </c>
      <c r="AA485" s="1">
        <v>4981</v>
      </c>
      <c r="AB485" s="24">
        <f t="shared" si="22"/>
        <v>58379</v>
      </c>
      <c r="AC485" s="23">
        <v>0</v>
      </c>
      <c r="AD485" s="1">
        <v>0</v>
      </c>
      <c r="AE485" s="1">
        <v>0</v>
      </c>
      <c r="AF485" s="1">
        <v>0</v>
      </c>
      <c r="AG485" s="1">
        <v>0</v>
      </c>
      <c r="AH485" s="1">
        <v>0</v>
      </c>
      <c r="AI485" s="1">
        <v>0</v>
      </c>
      <c r="AJ485" s="1">
        <v>0</v>
      </c>
      <c r="AK485" s="1">
        <v>0</v>
      </c>
      <c r="AL485" s="1">
        <v>0</v>
      </c>
      <c r="AM485" s="1">
        <v>0</v>
      </c>
      <c r="AN485" s="1">
        <v>0</v>
      </c>
      <c r="AO485" s="24">
        <f t="shared" si="23"/>
        <v>0</v>
      </c>
    </row>
    <row r="486" spans="1:41" ht="17.25" customHeight="1" x14ac:dyDescent="0.45">
      <c r="A486" s="12" t="s">
        <v>14</v>
      </c>
      <c r="B486" s="12" t="s">
        <v>51</v>
      </c>
      <c r="C486" s="25">
        <v>10</v>
      </c>
      <c r="D486" s="10">
        <v>13</v>
      </c>
      <c r="E486" s="10">
        <v>24</v>
      </c>
      <c r="F486" s="10">
        <v>30</v>
      </c>
      <c r="G486" s="10">
        <v>31</v>
      </c>
      <c r="H486" s="10">
        <v>28</v>
      </c>
      <c r="I486" s="10">
        <v>31</v>
      </c>
      <c r="J486" s="10">
        <v>30</v>
      </c>
      <c r="K486" s="10">
        <v>29</v>
      </c>
      <c r="L486" s="10">
        <v>31</v>
      </c>
      <c r="M486" s="10">
        <v>30</v>
      </c>
      <c r="N486" s="10">
        <v>31</v>
      </c>
      <c r="O486" s="26">
        <f t="shared" si="21"/>
        <v>318</v>
      </c>
      <c r="P486" s="25">
        <v>1483</v>
      </c>
      <c r="Q486" s="10">
        <v>1716</v>
      </c>
      <c r="R486" s="10">
        <v>3426</v>
      </c>
      <c r="S486" s="10">
        <v>4235</v>
      </c>
      <c r="T486" s="10">
        <v>4602</v>
      </c>
      <c r="U486" s="10">
        <v>4316</v>
      </c>
      <c r="V486" s="10">
        <v>4528</v>
      </c>
      <c r="W486" s="10">
        <v>4232</v>
      </c>
      <c r="X486" s="10">
        <v>3665</v>
      </c>
      <c r="Y486" s="10">
        <v>4010</v>
      </c>
      <c r="Z486" s="10">
        <v>4463</v>
      </c>
      <c r="AA486" s="10">
        <v>5048</v>
      </c>
      <c r="AB486" s="26">
        <f t="shared" si="22"/>
        <v>45724</v>
      </c>
      <c r="AC486" s="25">
        <v>0</v>
      </c>
      <c r="AD486" s="10">
        <v>0</v>
      </c>
      <c r="AE486" s="10">
        <v>0</v>
      </c>
      <c r="AF486" s="10">
        <v>0</v>
      </c>
      <c r="AG486" s="10">
        <v>0</v>
      </c>
      <c r="AH486" s="10">
        <v>0</v>
      </c>
      <c r="AI486" s="10">
        <v>0</v>
      </c>
      <c r="AJ486" s="10">
        <v>0</v>
      </c>
      <c r="AK486" s="10">
        <v>0</v>
      </c>
      <c r="AL486" s="10">
        <v>0</v>
      </c>
      <c r="AM486" s="10">
        <v>0</v>
      </c>
      <c r="AN486" s="10">
        <v>0</v>
      </c>
      <c r="AO486" s="26">
        <f t="shared" si="23"/>
        <v>0</v>
      </c>
    </row>
    <row r="487" spans="1:41" ht="17.25" customHeight="1" x14ac:dyDescent="0.45">
      <c r="A487" s="2" t="s">
        <v>14</v>
      </c>
      <c r="B487" s="2" t="s">
        <v>52</v>
      </c>
      <c r="C487" s="23">
        <v>11</v>
      </c>
      <c r="D487" s="1">
        <v>9</v>
      </c>
      <c r="E487" s="1">
        <v>15</v>
      </c>
      <c r="F487" s="1">
        <v>21</v>
      </c>
      <c r="G487" s="1">
        <v>22</v>
      </c>
      <c r="H487" s="1">
        <v>22</v>
      </c>
      <c r="I487" s="1">
        <v>22</v>
      </c>
      <c r="J487" s="1">
        <v>22</v>
      </c>
      <c r="K487" s="1">
        <v>20</v>
      </c>
      <c r="L487" s="1">
        <v>23</v>
      </c>
      <c r="M487" s="1">
        <v>21</v>
      </c>
      <c r="N487" s="1">
        <v>22</v>
      </c>
      <c r="O487" s="24">
        <f t="shared" si="21"/>
        <v>230</v>
      </c>
      <c r="P487" s="23">
        <v>1051</v>
      </c>
      <c r="Q487" s="1">
        <v>1099</v>
      </c>
      <c r="R487" s="1">
        <v>2205</v>
      </c>
      <c r="S487" s="1">
        <v>2946</v>
      </c>
      <c r="T487" s="1">
        <v>3031</v>
      </c>
      <c r="U487" s="1">
        <v>3343</v>
      </c>
      <c r="V487" s="1">
        <v>3558</v>
      </c>
      <c r="W487" s="1">
        <v>3311</v>
      </c>
      <c r="X487" s="1">
        <v>2659</v>
      </c>
      <c r="Y487" s="1">
        <v>3312</v>
      </c>
      <c r="Z487" s="1">
        <v>2732</v>
      </c>
      <c r="AA487" s="1">
        <v>2957</v>
      </c>
      <c r="AB487" s="24">
        <f t="shared" si="22"/>
        <v>32204</v>
      </c>
      <c r="AC487" s="23">
        <v>0</v>
      </c>
      <c r="AD487" s="1">
        <v>0</v>
      </c>
      <c r="AE487" s="1">
        <v>0</v>
      </c>
      <c r="AF487" s="1">
        <v>0</v>
      </c>
      <c r="AG487" s="1">
        <v>0</v>
      </c>
      <c r="AH487" s="1">
        <v>0</v>
      </c>
      <c r="AI487" s="1">
        <v>0</v>
      </c>
      <c r="AJ487" s="1">
        <v>0</v>
      </c>
      <c r="AK487" s="1">
        <v>0</v>
      </c>
      <c r="AL487" s="1">
        <v>0</v>
      </c>
      <c r="AM487" s="1">
        <v>0</v>
      </c>
      <c r="AN487" s="1">
        <v>0</v>
      </c>
      <c r="AO487" s="24">
        <f t="shared" si="23"/>
        <v>0</v>
      </c>
    </row>
    <row r="488" spans="1:41" ht="17.25" customHeight="1" x14ac:dyDescent="0.45">
      <c r="A488" s="12" t="s">
        <v>14</v>
      </c>
      <c r="B488" s="12" t="s">
        <v>47</v>
      </c>
      <c r="C488" s="25">
        <v>16</v>
      </c>
      <c r="D488" s="10">
        <v>17</v>
      </c>
      <c r="E488" s="10">
        <v>18</v>
      </c>
      <c r="F488" s="10">
        <v>21</v>
      </c>
      <c r="G488" s="10">
        <v>13</v>
      </c>
      <c r="H488" s="10">
        <v>30</v>
      </c>
      <c r="I488" s="10">
        <v>31</v>
      </c>
      <c r="J488" s="10">
        <v>30</v>
      </c>
      <c r="K488" s="10">
        <v>29</v>
      </c>
      <c r="L488" s="10">
        <v>30</v>
      </c>
      <c r="M488" s="10">
        <v>30</v>
      </c>
      <c r="N488" s="10">
        <v>31</v>
      </c>
      <c r="O488" s="26">
        <f t="shared" si="21"/>
        <v>296</v>
      </c>
      <c r="P488" s="25">
        <v>2640</v>
      </c>
      <c r="Q488" s="10">
        <v>2952</v>
      </c>
      <c r="R488" s="10">
        <v>2805</v>
      </c>
      <c r="S488" s="10">
        <v>2969</v>
      </c>
      <c r="T488" s="10">
        <v>1787</v>
      </c>
      <c r="U488" s="10">
        <v>4235</v>
      </c>
      <c r="V488" s="10">
        <v>4928</v>
      </c>
      <c r="W488" s="10">
        <v>5012</v>
      </c>
      <c r="X488" s="10">
        <v>3775</v>
      </c>
      <c r="Y488" s="10">
        <v>4721</v>
      </c>
      <c r="Z488" s="10">
        <v>4600</v>
      </c>
      <c r="AA488" s="10">
        <v>4217</v>
      </c>
      <c r="AB488" s="26">
        <f t="shared" si="22"/>
        <v>44641</v>
      </c>
      <c r="AC488" s="25">
        <v>1103</v>
      </c>
      <c r="AD488" s="10">
        <v>1418</v>
      </c>
      <c r="AE488" s="10">
        <v>2925</v>
      </c>
      <c r="AF488" s="10">
        <v>953</v>
      </c>
      <c r="AG488" s="10">
        <v>2930</v>
      </c>
      <c r="AH488" s="10">
        <v>1288.0999999999999</v>
      </c>
      <c r="AI488" s="10">
        <v>1453.5</v>
      </c>
      <c r="AJ488" s="10">
        <v>1191</v>
      </c>
      <c r="AK488" s="10">
        <v>1527</v>
      </c>
      <c r="AL488" s="10">
        <v>2069</v>
      </c>
      <c r="AM488" s="10">
        <v>3008</v>
      </c>
      <c r="AN488" s="10">
        <v>3722.8</v>
      </c>
      <c r="AO488" s="26">
        <f t="shared" si="23"/>
        <v>23588.399999999998</v>
      </c>
    </row>
    <row r="489" spans="1:41" ht="17.25" customHeight="1" x14ac:dyDescent="0.45">
      <c r="A489" s="2" t="s">
        <v>14</v>
      </c>
      <c r="B489" s="2" t="s">
        <v>39</v>
      </c>
      <c r="C489" s="23">
        <v>0</v>
      </c>
      <c r="D489" s="1">
        <v>0</v>
      </c>
      <c r="E489" s="1">
        <v>0</v>
      </c>
      <c r="F489" s="1">
        <v>0</v>
      </c>
      <c r="G489" s="1">
        <v>0</v>
      </c>
      <c r="H489" s="1">
        <v>0</v>
      </c>
      <c r="I489" s="1">
        <v>0</v>
      </c>
      <c r="J489" s="1">
        <v>0</v>
      </c>
      <c r="K489" s="1">
        <v>0</v>
      </c>
      <c r="L489" s="1">
        <v>0</v>
      </c>
      <c r="M489" s="1">
        <v>23</v>
      </c>
      <c r="N489" s="1">
        <v>22</v>
      </c>
      <c r="O489" s="24">
        <f t="shared" si="21"/>
        <v>45</v>
      </c>
      <c r="P489" s="23">
        <v>0</v>
      </c>
      <c r="Q489" s="1">
        <v>0</v>
      </c>
      <c r="R489" s="1">
        <v>0</v>
      </c>
      <c r="S489" s="1">
        <v>0</v>
      </c>
      <c r="T489" s="1">
        <v>0</v>
      </c>
      <c r="U489" s="1">
        <v>0</v>
      </c>
      <c r="V489" s="1">
        <v>0</v>
      </c>
      <c r="W489" s="1">
        <v>0</v>
      </c>
      <c r="X489" s="1">
        <v>0</v>
      </c>
      <c r="Y489" s="1">
        <v>0</v>
      </c>
      <c r="Z489" s="1">
        <v>314</v>
      </c>
      <c r="AA489" s="1">
        <v>339</v>
      </c>
      <c r="AB489" s="24">
        <f t="shared" si="22"/>
        <v>653</v>
      </c>
      <c r="AC489" s="23">
        <v>0</v>
      </c>
      <c r="AD489" s="1">
        <v>0</v>
      </c>
      <c r="AE489" s="1">
        <v>0</v>
      </c>
      <c r="AF489" s="1">
        <v>0</v>
      </c>
      <c r="AG489" s="1">
        <v>0</v>
      </c>
      <c r="AH489" s="1">
        <v>0</v>
      </c>
      <c r="AI489" s="1">
        <v>0</v>
      </c>
      <c r="AJ489" s="1">
        <v>0</v>
      </c>
      <c r="AK489" s="1">
        <v>0</v>
      </c>
      <c r="AL489" s="1">
        <v>0</v>
      </c>
      <c r="AM489" s="1">
        <v>0</v>
      </c>
      <c r="AN489" s="1">
        <v>0</v>
      </c>
      <c r="AO489" s="24">
        <f t="shared" si="23"/>
        <v>0</v>
      </c>
    </row>
    <row r="490" spans="1:41" ht="17.25" customHeight="1" x14ac:dyDescent="0.45">
      <c r="A490" s="12" t="s">
        <v>14</v>
      </c>
      <c r="B490" s="12" t="s">
        <v>57</v>
      </c>
      <c r="C490" s="25">
        <v>0</v>
      </c>
      <c r="D490" s="10">
        <v>0</v>
      </c>
      <c r="E490" s="10">
        <v>0</v>
      </c>
      <c r="F490" s="10">
        <v>0</v>
      </c>
      <c r="G490" s="10">
        <v>0</v>
      </c>
      <c r="H490" s="10">
        <v>0</v>
      </c>
      <c r="I490" s="10">
        <v>0</v>
      </c>
      <c r="J490" s="10">
        <v>0</v>
      </c>
      <c r="K490" s="10">
        <v>0</v>
      </c>
      <c r="L490" s="10">
        <v>0</v>
      </c>
      <c r="M490" s="10">
        <v>11</v>
      </c>
      <c r="N490" s="10">
        <v>19</v>
      </c>
      <c r="O490" s="26">
        <f t="shared" si="21"/>
        <v>30</v>
      </c>
      <c r="P490" s="25">
        <v>0</v>
      </c>
      <c r="Q490" s="10">
        <v>0</v>
      </c>
      <c r="R490" s="10">
        <v>0</v>
      </c>
      <c r="S490" s="10">
        <v>0</v>
      </c>
      <c r="T490" s="10">
        <v>0</v>
      </c>
      <c r="U490" s="10">
        <v>0</v>
      </c>
      <c r="V490" s="10">
        <v>0</v>
      </c>
      <c r="W490" s="10">
        <v>0</v>
      </c>
      <c r="X490" s="10">
        <v>0</v>
      </c>
      <c r="Y490" s="10">
        <v>0</v>
      </c>
      <c r="Z490" s="10">
        <v>1887</v>
      </c>
      <c r="AA490" s="10">
        <v>3240</v>
      </c>
      <c r="AB490" s="26">
        <f t="shared" si="22"/>
        <v>5127</v>
      </c>
      <c r="AC490" s="25">
        <v>0</v>
      </c>
      <c r="AD490" s="10">
        <v>0</v>
      </c>
      <c r="AE490" s="10">
        <v>0</v>
      </c>
      <c r="AF490" s="10">
        <v>0</v>
      </c>
      <c r="AG490" s="10">
        <v>0</v>
      </c>
      <c r="AH490" s="10">
        <v>0</v>
      </c>
      <c r="AI490" s="10">
        <v>0</v>
      </c>
      <c r="AJ490" s="10">
        <v>0</v>
      </c>
      <c r="AK490" s="10">
        <v>0</v>
      </c>
      <c r="AL490" s="10">
        <v>0</v>
      </c>
      <c r="AM490" s="10">
        <v>0</v>
      </c>
      <c r="AN490" s="10">
        <v>0</v>
      </c>
      <c r="AO490" s="26">
        <f t="shared" si="23"/>
        <v>0</v>
      </c>
    </row>
    <row r="491" spans="1:41" ht="17.25" customHeight="1" x14ac:dyDescent="0.45">
      <c r="A491" s="2" t="s">
        <v>14</v>
      </c>
      <c r="B491" s="2" t="s">
        <v>40</v>
      </c>
      <c r="C491" s="23">
        <v>26</v>
      </c>
      <c r="D491" s="1">
        <v>25</v>
      </c>
      <c r="E491" s="1">
        <v>35</v>
      </c>
      <c r="F491" s="1">
        <v>42</v>
      </c>
      <c r="G491" s="1">
        <v>45</v>
      </c>
      <c r="H491" s="1">
        <v>43</v>
      </c>
      <c r="I491" s="1">
        <v>42</v>
      </c>
      <c r="J491" s="1">
        <v>44</v>
      </c>
      <c r="K491" s="1">
        <v>43</v>
      </c>
      <c r="L491" s="1">
        <v>44</v>
      </c>
      <c r="M491" s="1">
        <v>37</v>
      </c>
      <c r="N491" s="1">
        <v>35</v>
      </c>
      <c r="O491" s="24">
        <f t="shared" si="21"/>
        <v>461</v>
      </c>
      <c r="P491" s="23">
        <v>2480</v>
      </c>
      <c r="Q491" s="1">
        <v>2793</v>
      </c>
      <c r="R491" s="1">
        <v>4589</v>
      </c>
      <c r="S491" s="1">
        <v>6109</v>
      </c>
      <c r="T491" s="1">
        <v>5649</v>
      </c>
      <c r="U491" s="1">
        <v>5403</v>
      </c>
      <c r="V491" s="1">
        <v>5840</v>
      </c>
      <c r="W491" s="1">
        <v>5549</v>
      </c>
      <c r="X491" s="1">
        <v>4601</v>
      </c>
      <c r="Y491" s="1">
        <v>4595</v>
      </c>
      <c r="Z491" s="1">
        <v>3718</v>
      </c>
      <c r="AA491" s="1">
        <v>4326</v>
      </c>
      <c r="AB491" s="24">
        <f t="shared" si="22"/>
        <v>55652</v>
      </c>
      <c r="AC491" s="23">
        <v>0</v>
      </c>
      <c r="AD491" s="1">
        <v>0</v>
      </c>
      <c r="AE491" s="1">
        <v>0</v>
      </c>
      <c r="AF491" s="1">
        <v>0</v>
      </c>
      <c r="AG491" s="1">
        <v>0</v>
      </c>
      <c r="AH491" s="1">
        <v>0</v>
      </c>
      <c r="AI491" s="1">
        <v>0</v>
      </c>
      <c r="AJ491" s="1">
        <v>0</v>
      </c>
      <c r="AK491" s="1">
        <v>0</v>
      </c>
      <c r="AL491" s="1">
        <v>0</v>
      </c>
      <c r="AM491" s="1">
        <v>0</v>
      </c>
      <c r="AN491" s="1">
        <v>0</v>
      </c>
      <c r="AO491" s="24">
        <f t="shared" si="23"/>
        <v>0</v>
      </c>
    </row>
    <row r="492" spans="1:41" ht="17.25" customHeight="1" x14ac:dyDescent="0.45">
      <c r="A492" s="12" t="s">
        <v>14</v>
      </c>
      <c r="B492" s="12" t="s">
        <v>23</v>
      </c>
      <c r="C492" s="25">
        <v>99</v>
      </c>
      <c r="D492" s="10">
        <v>103</v>
      </c>
      <c r="E492" s="10">
        <v>120</v>
      </c>
      <c r="F492" s="10">
        <v>133</v>
      </c>
      <c r="G492" s="10">
        <v>123</v>
      </c>
      <c r="H492" s="10">
        <v>178</v>
      </c>
      <c r="I492" s="10">
        <v>174</v>
      </c>
      <c r="J492" s="10">
        <v>186</v>
      </c>
      <c r="K492" s="10">
        <v>174</v>
      </c>
      <c r="L492" s="10">
        <v>177</v>
      </c>
      <c r="M492" s="10">
        <v>179</v>
      </c>
      <c r="N492" s="10">
        <v>187</v>
      </c>
      <c r="O492" s="26">
        <f t="shared" si="21"/>
        <v>1833</v>
      </c>
      <c r="P492" s="25">
        <v>13971</v>
      </c>
      <c r="Q492" s="10">
        <v>14226</v>
      </c>
      <c r="R492" s="10">
        <v>15503</v>
      </c>
      <c r="S492" s="10">
        <v>13603</v>
      </c>
      <c r="T492" s="10">
        <v>11375</v>
      </c>
      <c r="U492" s="10">
        <v>18691</v>
      </c>
      <c r="V492" s="10">
        <v>20548</v>
      </c>
      <c r="W492" s="10">
        <v>23161</v>
      </c>
      <c r="X492" s="10">
        <v>19560</v>
      </c>
      <c r="Y492" s="10">
        <v>22129</v>
      </c>
      <c r="Z492" s="10">
        <v>24157</v>
      </c>
      <c r="AA492" s="10">
        <v>25151</v>
      </c>
      <c r="AB492" s="26">
        <f t="shared" si="22"/>
        <v>222075</v>
      </c>
      <c r="AC492" s="25">
        <v>11425.7</v>
      </c>
      <c r="AD492" s="10">
        <v>18387</v>
      </c>
      <c r="AE492" s="10">
        <v>128231.9</v>
      </c>
      <c r="AF492" s="10">
        <v>120047.2</v>
      </c>
      <c r="AG492" s="10">
        <v>98759</v>
      </c>
      <c r="AH492" s="10">
        <v>94286</v>
      </c>
      <c r="AI492" s="10">
        <v>94192.2</v>
      </c>
      <c r="AJ492" s="10">
        <v>100949.75</v>
      </c>
      <c r="AK492" s="10">
        <v>94516.3</v>
      </c>
      <c r="AL492" s="10">
        <v>110983</v>
      </c>
      <c r="AM492" s="10">
        <v>131793.00999999995</v>
      </c>
      <c r="AN492" s="10">
        <v>120238.83</v>
      </c>
      <c r="AO492" s="26">
        <f t="shared" si="23"/>
        <v>1123809.8900000001</v>
      </c>
    </row>
    <row r="493" spans="1:41" ht="17.25" customHeight="1" x14ac:dyDescent="0.45">
      <c r="A493" s="2" t="s">
        <v>14</v>
      </c>
      <c r="B493" s="2" t="s">
        <v>13</v>
      </c>
      <c r="C493" s="23">
        <v>153</v>
      </c>
      <c r="D493" s="1">
        <v>150</v>
      </c>
      <c r="E493" s="1">
        <v>153</v>
      </c>
      <c r="F493" s="1">
        <v>184</v>
      </c>
      <c r="G493" s="1">
        <v>161</v>
      </c>
      <c r="H493" s="1">
        <v>166</v>
      </c>
      <c r="I493" s="1">
        <v>183</v>
      </c>
      <c r="J493" s="1">
        <v>181</v>
      </c>
      <c r="K493" s="1">
        <v>187</v>
      </c>
      <c r="L493" s="1">
        <v>187</v>
      </c>
      <c r="M493" s="1">
        <v>238</v>
      </c>
      <c r="N493" s="1">
        <v>238</v>
      </c>
      <c r="O493" s="24">
        <f t="shared" si="21"/>
        <v>2181</v>
      </c>
      <c r="P493" s="23">
        <v>18521</v>
      </c>
      <c r="Q493" s="1">
        <v>18561</v>
      </c>
      <c r="R493" s="1">
        <v>19892</v>
      </c>
      <c r="S493" s="1">
        <v>24173</v>
      </c>
      <c r="T493" s="1">
        <v>22049</v>
      </c>
      <c r="U493" s="1">
        <v>22296</v>
      </c>
      <c r="V493" s="1">
        <v>26731</v>
      </c>
      <c r="W493" s="1">
        <v>25969</v>
      </c>
      <c r="X493" s="1">
        <v>23428</v>
      </c>
      <c r="Y493" s="1">
        <v>24787</v>
      </c>
      <c r="Z493" s="1">
        <v>30613</v>
      </c>
      <c r="AA493" s="1">
        <v>29084</v>
      </c>
      <c r="AB493" s="24">
        <f t="shared" si="22"/>
        <v>286104</v>
      </c>
      <c r="AC493" s="23">
        <v>146</v>
      </c>
      <c r="AD493" s="1">
        <v>0</v>
      </c>
      <c r="AE493" s="1">
        <v>0</v>
      </c>
      <c r="AF493" s="1">
        <v>0</v>
      </c>
      <c r="AG493" s="1">
        <v>0</v>
      </c>
      <c r="AH493" s="1">
        <v>0</v>
      </c>
      <c r="AI493" s="1">
        <v>36</v>
      </c>
      <c r="AJ493" s="1">
        <v>23</v>
      </c>
      <c r="AK493" s="1">
        <v>70</v>
      </c>
      <c r="AL493" s="1">
        <v>60</v>
      </c>
      <c r="AM493" s="1">
        <v>259</v>
      </c>
      <c r="AN493" s="1">
        <v>1315</v>
      </c>
      <c r="AO493" s="24">
        <f t="shared" si="23"/>
        <v>1909</v>
      </c>
    </row>
    <row r="494" spans="1:41" ht="17.25" customHeight="1" x14ac:dyDescent="0.45">
      <c r="A494" s="12" t="s">
        <v>14</v>
      </c>
      <c r="B494" s="12" t="s">
        <v>25</v>
      </c>
      <c r="C494" s="25">
        <v>24</v>
      </c>
      <c r="D494" s="10">
        <v>29</v>
      </c>
      <c r="E494" s="10">
        <v>31</v>
      </c>
      <c r="F494" s="10">
        <v>30</v>
      </c>
      <c r="G494" s="10">
        <v>29</v>
      </c>
      <c r="H494" s="10">
        <v>19</v>
      </c>
      <c r="I494" s="10">
        <v>0</v>
      </c>
      <c r="J494" s="10">
        <v>0</v>
      </c>
      <c r="K494" s="10">
        <v>0</v>
      </c>
      <c r="L494" s="10">
        <v>0</v>
      </c>
      <c r="M494" s="10">
        <v>0</v>
      </c>
      <c r="N494" s="10">
        <v>0</v>
      </c>
      <c r="O494" s="26">
        <f t="shared" si="21"/>
        <v>162</v>
      </c>
      <c r="P494" s="25">
        <v>800</v>
      </c>
      <c r="Q494" s="10">
        <v>1004</v>
      </c>
      <c r="R494" s="10">
        <v>1199</v>
      </c>
      <c r="S494" s="10">
        <v>1238</v>
      </c>
      <c r="T494" s="10">
        <v>961</v>
      </c>
      <c r="U494" s="10">
        <v>740</v>
      </c>
      <c r="V494" s="10">
        <v>0</v>
      </c>
      <c r="W494" s="10">
        <v>0</v>
      </c>
      <c r="X494" s="10">
        <v>0</v>
      </c>
      <c r="Y494" s="10">
        <v>0</v>
      </c>
      <c r="Z494" s="10">
        <v>0</v>
      </c>
      <c r="AA494" s="10">
        <v>0</v>
      </c>
      <c r="AB494" s="26">
        <f t="shared" si="22"/>
        <v>5942</v>
      </c>
      <c r="AC494" s="25">
        <v>0</v>
      </c>
      <c r="AD494" s="10">
        <v>0</v>
      </c>
      <c r="AE494" s="10">
        <v>0</v>
      </c>
      <c r="AF494" s="10">
        <v>0</v>
      </c>
      <c r="AG494" s="10">
        <v>0</v>
      </c>
      <c r="AH494" s="10">
        <v>0</v>
      </c>
      <c r="AI494" s="10">
        <v>0</v>
      </c>
      <c r="AJ494" s="10">
        <v>0</v>
      </c>
      <c r="AK494" s="10">
        <v>0</v>
      </c>
      <c r="AL494" s="10">
        <v>0</v>
      </c>
      <c r="AM494" s="10">
        <v>0</v>
      </c>
      <c r="AN494" s="10">
        <v>0</v>
      </c>
      <c r="AO494" s="26">
        <f t="shared" si="23"/>
        <v>0</v>
      </c>
    </row>
    <row r="495" spans="1:41" ht="17.25" customHeight="1" x14ac:dyDescent="0.45">
      <c r="A495" s="2" t="s">
        <v>14</v>
      </c>
      <c r="B495" s="2" t="s">
        <v>59</v>
      </c>
      <c r="C495" s="23">
        <v>8</v>
      </c>
      <c r="D495" s="1">
        <v>8</v>
      </c>
      <c r="E495" s="1">
        <v>9</v>
      </c>
      <c r="F495" s="1">
        <v>22</v>
      </c>
      <c r="G495" s="1">
        <v>22</v>
      </c>
      <c r="H495" s="1">
        <v>21</v>
      </c>
      <c r="I495" s="1">
        <v>22</v>
      </c>
      <c r="J495" s="1">
        <v>23</v>
      </c>
      <c r="K495" s="1">
        <v>30</v>
      </c>
      <c r="L495" s="1">
        <v>31</v>
      </c>
      <c r="M495" s="1">
        <v>30</v>
      </c>
      <c r="N495" s="1">
        <v>31</v>
      </c>
      <c r="O495" s="24">
        <f t="shared" si="21"/>
        <v>257</v>
      </c>
      <c r="P495" s="23">
        <v>1394</v>
      </c>
      <c r="Q495" s="1">
        <v>1417</v>
      </c>
      <c r="R495" s="1">
        <v>1540</v>
      </c>
      <c r="S495" s="1">
        <v>3740</v>
      </c>
      <c r="T495" s="1">
        <v>3575</v>
      </c>
      <c r="U495" s="1">
        <v>3463</v>
      </c>
      <c r="V495" s="1">
        <v>3701</v>
      </c>
      <c r="W495" s="1">
        <v>3596</v>
      </c>
      <c r="X495" s="1">
        <v>4185</v>
      </c>
      <c r="Y495" s="1">
        <v>4401</v>
      </c>
      <c r="Z495" s="1">
        <v>4082</v>
      </c>
      <c r="AA495" s="1">
        <v>4295</v>
      </c>
      <c r="AB495" s="24">
        <f t="shared" si="22"/>
        <v>39389</v>
      </c>
      <c r="AC495" s="23">
        <v>0</v>
      </c>
      <c r="AD495" s="1">
        <v>0</v>
      </c>
      <c r="AE495" s="1">
        <v>0</v>
      </c>
      <c r="AF495" s="1">
        <v>0</v>
      </c>
      <c r="AG495" s="1">
        <v>0</v>
      </c>
      <c r="AH495" s="1">
        <v>0</v>
      </c>
      <c r="AI495" s="1">
        <v>0</v>
      </c>
      <c r="AJ495" s="1">
        <v>0</v>
      </c>
      <c r="AK495" s="1">
        <v>0</v>
      </c>
      <c r="AL495" s="1">
        <v>0</v>
      </c>
      <c r="AM495" s="1">
        <v>0</v>
      </c>
      <c r="AN495" s="1">
        <v>0</v>
      </c>
      <c r="AO495" s="24">
        <f t="shared" si="23"/>
        <v>0</v>
      </c>
    </row>
    <row r="496" spans="1:41" ht="17.25" customHeight="1" x14ac:dyDescent="0.45">
      <c r="A496" s="12" t="s">
        <v>14</v>
      </c>
      <c r="B496" s="12" t="s">
        <v>26</v>
      </c>
      <c r="C496" s="25">
        <v>47</v>
      </c>
      <c r="D496" s="10">
        <v>45</v>
      </c>
      <c r="E496" s="10">
        <v>55</v>
      </c>
      <c r="F496" s="10">
        <v>51</v>
      </c>
      <c r="G496" s="10">
        <v>51</v>
      </c>
      <c r="H496" s="10">
        <v>49</v>
      </c>
      <c r="I496" s="10">
        <v>53</v>
      </c>
      <c r="J496" s="10">
        <v>53</v>
      </c>
      <c r="K496" s="10">
        <v>55</v>
      </c>
      <c r="L496" s="10">
        <v>54</v>
      </c>
      <c r="M496" s="10">
        <v>52</v>
      </c>
      <c r="N496" s="10">
        <v>51</v>
      </c>
      <c r="O496" s="26">
        <f t="shared" si="21"/>
        <v>616</v>
      </c>
      <c r="P496" s="25">
        <v>4622</v>
      </c>
      <c r="Q496" s="10">
        <v>4797</v>
      </c>
      <c r="R496" s="10">
        <v>6180</v>
      </c>
      <c r="S496" s="10">
        <v>4744</v>
      </c>
      <c r="T496" s="10">
        <v>4793</v>
      </c>
      <c r="U496" s="10">
        <v>4837</v>
      </c>
      <c r="V496" s="10">
        <v>6263</v>
      </c>
      <c r="W496" s="10">
        <v>5565</v>
      </c>
      <c r="X496" s="10">
        <v>4679</v>
      </c>
      <c r="Y496" s="10">
        <v>4913</v>
      </c>
      <c r="Z496" s="10">
        <v>5633</v>
      </c>
      <c r="AA496" s="10">
        <v>5711</v>
      </c>
      <c r="AB496" s="26">
        <f t="shared" si="22"/>
        <v>62737</v>
      </c>
      <c r="AC496" s="25">
        <v>0</v>
      </c>
      <c r="AD496" s="10">
        <v>0</v>
      </c>
      <c r="AE496" s="10">
        <v>0</v>
      </c>
      <c r="AF496" s="10">
        <v>0</v>
      </c>
      <c r="AG496" s="10">
        <v>0</v>
      </c>
      <c r="AH496" s="10">
        <v>0</v>
      </c>
      <c r="AI496" s="10">
        <v>0</v>
      </c>
      <c r="AJ496" s="10">
        <v>0</v>
      </c>
      <c r="AK496" s="10">
        <v>0</v>
      </c>
      <c r="AL496" s="10">
        <v>0</v>
      </c>
      <c r="AM496" s="10">
        <v>0</v>
      </c>
      <c r="AN496" s="10">
        <v>0</v>
      </c>
      <c r="AO496" s="26">
        <f t="shared" si="23"/>
        <v>0</v>
      </c>
    </row>
    <row r="497" spans="1:41" ht="17.25" customHeight="1" x14ac:dyDescent="0.45">
      <c r="A497" s="2" t="s">
        <v>14</v>
      </c>
      <c r="B497" s="2" t="s">
        <v>49</v>
      </c>
      <c r="C497" s="23">
        <v>41</v>
      </c>
      <c r="D497" s="1">
        <v>42</v>
      </c>
      <c r="E497" s="1">
        <v>52</v>
      </c>
      <c r="F497" s="1">
        <v>56</v>
      </c>
      <c r="G497" s="1">
        <v>58</v>
      </c>
      <c r="H497" s="1">
        <v>53</v>
      </c>
      <c r="I497" s="1">
        <v>56</v>
      </c>
      <c r="J497" s="1">
        <v>56</v>
      </c>
      <c r="K497" s="1">
        <v>56</v>
      </c>
      <c r="L497" s="1">
        <v>59</v>
      </c>
      <c r="M497" s="1">
        <v>60</v>
      </c>
      <c r="N497" s="1">
        <v>52</v>
      </c>
      <c r="O497" s="24">
        <f t="shared" si="21"/>
        <v>641</v>
      </c>
      <c r="P497" s="23">
        <v>6578</v>
      </c>
      <c r="Q497" s="1">
        <v>6839</v>
      </c>
      <c r="R497" s="1">
        <v>8270</v>
      </c>
      <c r="S497" s="1">
        <v>7447</v>
      </c>
      <c r="T497" s="1">
        <v>7513</v>
      </c>
      <c r="U497" s="1">
        <v>7568</v>
      </c>
      <c r="V497" s="1">
        <v>8042</v>
      </c>
      <c r="W497" s="1">
        <v>7529</v>
      </c>
      <c r="X497" s="1">
        <v>5854</v>
      </c>
      <c r="Y497" s="1">
        <v>7083</v>
      </c>
      <c r="Z497" s="1">
        <v>8166</v>
      </c>
      <c r="AA497" s="1">
        <v>8520</v>
      </c>
      <c r="AB497" s="24">
        <f t="shared" si="22"/>
        <v>89409</v>
      </c>
      <c r="AC497" s="23">
        <v>0</v>
      </c>
      <c r="AD497" s="1">
        <v>0</v>
      </c>
      <c r="AE497" s="1">
        <v>0</v>
      </c>
      <c r="AF497" s="1">
        <v>0</v>
      </c>
      <c r="AG497" s="1">
        <v>0</v>
      </c>
      <c r="AH497" s="1">
        <v>0</v>
      </c>
      <c r="AI497" s="1">
        <v>0</v>
      </c>
      <c r="AJ497" s="1">
        <v>0</v>
      </c>
      <c r="AK497" s="1">
        <v>0</v>
      </c>
      <c r="AL497" s="1">
        <v>0</v>
      </c>
      <c r="AM497" s="1">
        <v>0</v>
      </c>
      <c r="AN497" s="1">
        <v>0</v>
      </c>
      <c r="AO497" s="24">
        <f t="shared" si="23"/>
        <v>0</v>
      </c>
    </row>
    <row r="498" spans="1:41" ht="17.25" customHeight="1" x14ac:dyDescent="0.45">
      <c r="A498" s="12" t="s">
        <v>14</v>
      </c>
      <c r="B498" s="12" t="s">
        <v>17</v>
      </c>
      <c r="C498" s="25">
        <v>38</v>
      </c>
      <c r="D498" s="10">
        <v>37</v>
      </c>
      <c r="E498" s="10">
        <v>50</v>
      </c>
      <c r="F498" s="10">
        <v>68</v>
      </c>
      <c r="G498" s="10">
        <v>71</v>
      </c>
      <c r="H498" s="10">
        <v>98</v>
      </c>
      <c r="I498" s="10">
        <v>100</v>
      </c>
      <c r="J498" s="10">
        <v>102</v>
      </c>
      <c r="K498" s="10">
        <v>59</v>
      </c>
      <c r="L498" s="10">
        <v>61</v>
      </c>
      <c r="M498" s="10">
        <v>59</v>
      </c>
      <c r="N498" s="10">
        <v>62</v>
      </c>
      <c r="O498" s="26">
        <f t="shared" si="21"/>
        <v>805</v>
      </c>
      <c r="P498" s="25">
        <v>2831</v>
      </c>
      <c r="Q498" s="10">
        <v>2387</v>
      </c>
      <c r="R498" s="10">
        <v>4526</v>
      </c>
      <c r="S498" s="10">
        <v>7565</v>
      </c>
      <c r="T498" s="10">
        <v>8240</v>
      </c>
      <c r="U498" s="10">
        <v>12670</v>
      </c>
      <c r="V498" s="10">
        <v>13236</v>
      </c>
      <c r="W498" s="10">
        <v>12091</v>
      </c>
      <c r="X498" s="10">
        <v>6290</v>
      </c>
      <c r="Y498" s="10">
        <v>6913</v>
      </c>
      <c r="Z498" s="10">
        <v>7036</v>
      </c>
      <c r="AA498" s="10">
        <v>7502</v>
      </c>
      <c r="AB498" s="26">
        <f t="shared" si="22"/>
        <v>91287</v>
      </c>
      <c r="AC498" s="25">
        <v>0</v>
      </c>
      <c r="AD498" s="10">
        <v>0</v>
      </c>
      <c r="AE498" s="10">
        <v>0</v>
      </c>
      <c r="AF498" s="10">
        <v>0</v>
      </c>
      <c r="AG498" s="10">
        <v>0</v>
      </c>
      <c r="AH498" s="10">
        <v>0</v>
      </c>
      <c r="AI498" s="10">
        <v>0</v>
      </c>
      <c r="AJ498" s="10">
        <v>0</v>
      </c>
      <c r="AK498" s="10">
        <v>0</v>
      </c>
      <c r="AL498" s="10">
        <v>0</v>
      </c>
      <c r="AM498" s="10">
        <v>0</v>
      </c>
      <c r="AN498" s="10">
        <v>0</v>
      </c>
      <c r="AO498" s="26">
        <f t="shared" si="23"/>
        <v>0</v>
      </c>
    </row>
    <row r="499" spans="1:41" ht="17.25" customHeight="1" x14ac:dyDescent="0.45">
      <c r="A499" s="2" t="s">
        <v>14</v>
      </c>
      <c r="B499" s="2" t="s">
        <v>29</v>
      </c>
      <c r="C499" s="23">
        <v>24</v>
      </c>
      <c r="D499" s="1">
        <v>29</v>
      </c>
      <c r="E499" s="1">
        <v>31</v>
      </c>
      <c r="F499" s="1">
        <v>29</v>
      </c>
      <c r="G499" s="1">
        <v>31</v>
      </c>
      <c r="H499" s="1">
        <v>29</v>
      </c>
      <c r="I499" s="1">
        <v>29</v>
      </c>
      <c r="J499" s="1">
        <v>31</v>
      </c>
      <c r="K499" s="1">
        <v>30</v>
      </c>
      <c r="L499" s="1">
        <v>31</v>
      </c>
      <c r="M499" s="1">
        <v>30</v>
      </c>
      <c r="N499" s="1">
        <v>28</v>
      </c>
      <c r="O499" s="24">
        <f t="shared" si="21"/>
        <v>352</v>
      </c>
      <c r="P499" s="23">
        <v>4096</v>
      </c>
      <c r="Q499" s="1">
        <v>5155</v>
      </c>
      <c r="R499" s="1">
        <v>5158</v>
      </c>
      <c r="S499" s="1">
        <v>4918</v>
      </c>
      <c r="T499" s="1">
        <v>5178</v>
      </c>
      <c r="U499" s="1">
        <v>4823</v>
      </c>
      <c r="V499" s="1">
        <v>4844</v>
      </c>
      <c r="W499" s="1">
        <v>5100</v>
      </c>
      <c r="X499" s="1">
        <v>4617</v>
      </c>
      <c r="Y499" s="1">
        <v>4580</v>
      </c>
      <c r="Z499" s="1">
        <v>4841</v>
      </c>
      <c r="AA499" s="1">
        <v>4573</v>
      </c>
      <c r="AB499" s="24">
        <f t="shared" si="22"/>
        <v>57883</v>
      </c>
      <c r="AC499" s="23">
        <v>0</v>
      </c>
      <c r="AD499" s="1">
        <v>0</v>
      </c>
      <c r="AE499" s="1">
        <v>0</v>
      </c>
      <c r="AF499" s="1">
        <v>0</v>
      </c>
      <c r="AG499" s="1">
        <v>0</v>
      </c>
      <c r="AH499" s="1">
        <v>0</v>
      </c>
      <c r="AI499" s="1">
        <v>0</v>
      </c>
      <c r="AJ499" s="1">
        <v>0</v>
      </c>
      <c r="AK499" s="1">
        <v>0</v>
      </c>
      <c r="AL499" s="1">
        <v>0</v>
      </c>
      <c r="AM499" s="1">
        <v>0</v>
      </c>
      <c r="AN499" s="1">
        <v>0</v>
      </c>
      <c r="AO499" s="24">
        <f t="shared" si="23"/>
        <v>0</v>
      </c>
    </row>
    <row r="500" spans="1:41" ht="17.25" customHeight="1" x14ac:dyDescent="0.45">
      <c r="A500" s="12" t="s">
        <v>14</v>
      </c>
      <c r="B500" s="12" t="s">
        <v>48</v>
      </c>
      <c r="C500" s="25">
        <v>18</v>
      </c>
      <c r="D500" s="10">
        <v>16</v>
      </c>
      <c r="E500" s="10">
        <v>18</v>
      </c>
      <c r="F500" s="10">
        <v>53</v>
      </c>
      <c r="G500" s="10">
        <v>49</v>
      </c>
      <c r="H500" s="10">
        <v>60</v>
      </c>
      <c r="I500" s="10">
        <v>61</v>
      </c>
      <c r="J500" s="10">
        <v>62</v>
      </c>
      <c r="K500" s="10">
        <v>58</v>
      </c>
      <c r="L500" s="10">
        <v>61</v>
      </c>
      <c r="M500" s="10">
        <v>58</v>
      </c>
      <c r="N500" s="10">
        <v>62</v>
      </c>
      <c r="O500" s="26">
        <f t="shared" si="21"/>
        <v>576</v>
      </c>
      <c r="P500" s="25">
        <v>3017</v>
      </c>
      <c r="Q500" s="10">
        <v>2743</v>
      </c>
      <c r="R500" s="10">
        <v>3049</v>
      </c>
      <c r="S500" s="10">
        <v>7602</v>
      </c>
      <c r="T500" s="10">
        <v>7409</v>
      </c>
      <c r="U500" s="10">
        <v>8875</v>
      </c>
      <c r="V500" s="10">
        <v>9701</v>
      </c>
      <c r="W500" s="10">
        <v>10373</v>
      </c>
      <c r="X500" s="10">
        <v>8779</v>
      </c>
      <c r="Y500" s="10">
        <v>10079</v>
      </c>
      <c r="Z500" s="10">
        <v>8967</v>
      </c>
      <c r="AA500" s="10">
        <v>8871</v>
      </c>
      <c r="AB500" s="26">
        <f t="shared" si="22"/>
        <v>89465</v>
      </c>
      <c r="AC500" s="25">
        <v>8546.6</v>
      </c>
      <c r="AD500" s="10">
        <v>12481.199999999999</v>
      </c>
      <c r="AE500" s="10">
        <v>8129.9000000000005</v>
      </c>
      <c r="AF500" s="10">
        <v>10264.299999999999</v>
      </c>
      <c r="AG500" s="10">
        <v>12887</v>
      </c>
      <c r="AH500" s="10">
        <v>8872.5</v>
      </c>
      <c r="AI500" s="10">
        <v>9063.5</v>
      </c>
      <c r="AJ500" s="10">
        <v>4767.9000000000005</v>
      </c>
      <c r="AK500" s="10">
        <v>9006.7000000000007</v>
      </c>
      <c r="AL500" s="10">
        <v>8770</v>
      </c>
      <c r="AM500" s="10">
        <v>12839</v>
      </c>
      <c r="AN500" s="10">
        <v>20403.809999999998</v>
      </c>
      <c r="AO500" s="26">
        <f t="shared" si="23"/>
        <v>126032.40999999999</v>
      </c>
    </row>
    <row r="501" spans="1:41" ht="17.25" customHeight="1" x14ac:dyDescent="0.45">
      <c r="A501" s="2" t="s">
        <v>14</v>
      </c>
      <c r="B501" s="2" t="s">
        <v>30</v>
      </c>
      <c r="C501" s="23">
        <v>22</v>
      </c>
      <c r="D501" s="1">
        <v>23</v>
      </c>
      <c r="E501" s="1">
        <v>30</v>
      </c>
      <c r="F501" s="1">
        <v>29</v>
      </c>
      <c r="G501" s="1">
        <v>22</v>
      </c>
      <c r="H501" s="1">
        <v>21</v>
      </c>
      <c r="I501" s="1">
        <v>23</v>
      </c>
      <c r="J501" s="1">
        <v>24</v>
      </c>
      <c r="K501" s="1">
        <v>19</v>
      </c>
      <c r="L501" s="1">
        <v>23</v>
      </c>
      <c r="M501" s="1">
        <v>25</v>
      </c>
      <c r="N501" s="1">
        <v>21</v>
      </c>
      <c r="O501" s="24">
        <f t="shared" si="21"/>
        <v>282</v>
      </c>
      <c r="P501" s="23">
        <v>0</v>
      </c>
      <c r="Q501" s="1">
        <v>0</v>
      </c>
      <c r="R501" s="1">
        <v>0</v>
      </c>
      <c r="S501" s="1">
        <v>0</v>
      </c>
      <c r="T501" s="1">
        <v>0</v>
      </c>
      <c r="U501" s="1">
        <v>0</v>
      </c>
      <c r="V501" s="1">
        <v>0</v>
      </c>
      <c r="W501" s="1">
        <v>0</v>
      </c>
      <c r="X501" s="1">
        <v>0</v>
      </c>
      <c r="Y501" s="1">
        <v>0</v>
      </c>
      <c r="Z501" s="1">
        <v>0</v>
      </c>
      <c r="AA501" s="1">
        <v>0</v>
      </c>
      <c r="AB501" s="24">
        <f t="shared" si="22"/>
        <v>0</v>
      </c>
      <c r="AC501" s="23">
        <v>151693</v>
      </c>
      <c r="AD501" s="1">
        <v>136000</v>
      </c>
      <c r="AE501" s="1">
        <v>191227</v>
      </c>
      <c r="AF501" s="1">
        <v>157104</v>
      </c>
      <c r="AG501" s="1">
        <v>114646</v>
      </c>
      <c r="AH501" s="1">
        <v>107627</v>
      </c>
      <c r="AI501" s="1">
        <v>134142</v>
      </c>
      <c r="AJ501" s="1">
        <v>128251</v>
      </c>
      <c r="AK501" s="1">
        <v>125309</v>
      </c>
      <c r="AL501" s="1">
        <v>160748</v>
      </c>
      <c r="AM501" s="1">
        <v>168987</v>
      </c>
      <c r="AN501" s="1">
        <v>152748</v>
      </c>
      <c r="AO501" s="24">
        <f t="shared" si="23"/>
        <v>1728482</v>
      </c>
    </row>
    <row r="502" spans="1:41" ht="17.25" customHeight="1" x14ac:dyDescent="0.45">
      <c r="A502" s="12" t="s">
        <v>14</v>
      </c>
      <c r="B502" s="12" t="s">
        <v>31</v>
      </c>
      <c r="C502" s="25">
        <v>10</v>
      </c>
      <c r="D502" s="10">
        <v>12</v>
      </c>
      <c r="E502" s="10">
        <v>13</v>
      </c>
      <c r="F502" s="10">
        <v>17</v>
      </c>
      <c r="G502" s="10">
        <v>17</v>
      </c>
      <c r="H502" s="10">
        <v>17</v>
      </c>
      <c r="I502" s="10">
        <v>18</v>
      </c>
      <c r="J502" s="10">
        <v>17</v>
      </c>
      <c r="K502" s="10">
        <v>18</v>
      </c>
      <c r="L502" s="10">
        <v>17</v>
      </c>
      <c r="M502" s="10">
        <v>26</v>
      </c>
      <c r="N502" s="10">
        <v>26</v>
      </c>
      <c r="O502" s="26">
        <f t="shared" si="21"/>
        <v>208</v>
      </c>
      <c r="P502" s="25">
        <v>1004</v>
      </c>
      <c r="Q502" s="10">
        <v>1327</v>
      </c>
      <c r="R502" s="10">
        <v>1720</v>
      </c>
      <c r="S502" s="10">
        <v>1565</v>
      </c>
      <c r="T502" s="10">
        <v>1651</v>
      </c>
      <c r="U502" s="10">
        <v>1842</v>
      </c>
      <c r="V502" s="10">
        <v>2357</v>
      </c>
      <c r="W502" s="10">
        <v>2250</v>
      </c>
      <c r="X502" s="10">
        <v>1743</v>
      </c>
      <c r="Y502" s="10">
        <v>1892</v>
      </c>
      <c r="Z502" s="10">
        <v>2382</v>
      </c>
      <c r="AA502" s="10">
        <v>2333</v>
      </c>
      <c r="AB502" s="26">
        <f t="shared" si="22"/>
        <v>22066</v>
      </c>
      <c r="AC502" s="25">
        <v>0</v>
      </c>
      <c r="AD502" s="10">
        <v>0</v>
      </c>
      <c r="AE502" s="10">
        <v>0</v>
      </c>
      <c r="AF502" s="10">
        <v>0</v>
      </c>
      <c r="AG502" s="10">
        <v>0</v>
      </c>
      <c r="AH502" s="10">
        <v>0</v>
      </c>
      <c r="AI502" s="10">
        <v>0</v>
      </c>
      <c r="AJ502" s="10">
        <v>0</v>
      </c>
      <c r="AK502" s="10">
        <v>0</v>
      </c>
      <c r="AL502" s="10">
        <v>0</v>
      </c>
      <c r="AM502" s="10">
        <v>0</v>
      </c>
      <c r="AN502" s="10">
        <v>0</v>
      </c>
      <c r="AO502" s="26">
        <f t="shared" si="23"/>
        <v>0</v>
      </c>
    </row>
    <row r="503" spans="1:41" ht="17.25" customHeight="1" x14ac:dyDescent="0.45">
      <c r="A503" s="2" t="s">
        <v>14</v>
      </c>
      <c r="B503" s="2" t="s">
        <v>15</v>
      </c>
      <c r="C503" s="23">
        <v>97</v>
      </c>
      <c r="D503" s="1">
        <v>87</v>
      </c>
      <c r="E503" s="1">
        <v>104</v>
      </c>
      <c r="F503" s="1">
        <v>155</v>
      </c>
      <c r="G503" s="1">
        <v>137</v>
      </c>
      <c r="H503" s="1">
        <v>162</v>
      </c>
      <c r="I503" s="1">
        <v>190</v>
      </c>
      <c r="J503" s="1">
        <v>185</v>
      </c>
      <c r="K503" s="1">
        <v>165</v>
      </c>
      <c r="L503" s="1">
        <v>178</v>
      </c>
      <c r="M503" s="1">
        <v>169</v>
      </c>
      <c r="N503" s="1">
        <v>195</v>
      </c>
      <c r="O503" s="24">
        <f t="shared" si="21"/>
        <v>1824</v>
      </c>
      <c r="P503" s="23">
        <v>17093</v>
      </c>
      <c r="Q503" s="1">
        <v>17370</v>
      </c>
      <c r="R503" s="1">
        <v>20963</v>
      </c>
      <c r="S503" s="1">
        <v>26692</v>
      </c>
      <c r="T503" s="1">
        <v>24385</v>
      </c>
      <c r="U503" s="1">
        <v>27465</v>
      </c>
      <c r="V503" s="1">
        <v>32560</v>
      </c>
      <c r="W503" s="1">
        <v>30956</v>
      </c>
      <c r="X503" s="1">
        <v>25327</v>
      </c>
      <c r="Y503" s="1">
        <v>28053</v>
      </c>
      <c r="Z503" s="1">
        <v>25338</v>
      </c>
      <c r="AA503" s="1">
        <v>26457</v>
      </c>
      <c r="AB503" s="24">
        <f t="shared" si="22"/>
        <v>302659</v>
      </c>
      <c r="AC503" s="23">
        <v>18797.8</v>
      </c>
      <c r="AD503" s="1">
        <v>11722.6</v>
      </c>
      <c r="AE503" s="1">
        <v>15286.400000000001</v>
      </c>
      <c r="AF503" s="1">
        <v>13748.9</v>
      </c>
      <c r="AG503" s="1">
        <v>30980</v>
      </c>
      <c r="AH503" s="1">
        <v>47776</v>
      </c>
      <c r="AI503" s="1">
        <v>36116.699999999997</v>
      </c>
      <c r="AJ503" s="1">
        <v>22529.3</v>
      </c>
      <c r="AK503" s="1">
        <v>19523</v>
      </c>
      <c r="AL503" s="1">
        <v>32186</v>
      </c>
      <c r="AM503" s="1">
        <v>43292</v>
      </c>
      <c r="AN503" s="1">
        <v>45090.1</v>
      </c>
      <c r="AO503" s="24">
        <f t="shared" si="23"/>
        <v>337048.8</v>
      </c>
    </row>
    <row r="504" spans="1:41" ht="17.25" customHeight="1" x14ac:dyDescent="0.45">
      <c r="A504" s="12" t="s">
        <v>14</v>
      </c>
      <c r="B504" s="12" t="s">
        <v>247</v>
      </c>
      <c r="C504" s="25">
        <v>34</v>
      </c>
      <c r="D504" s="10">
        <v>58</v>
      </c>
      <c r="E504" s="10">
        <v>84</v>
      </c>
      <c r="F504" s="10">
        <v>89</v>
      </c>
      <c r="G504" s="10">
        <v>153</v>
      </c>
      <c r="H504" s="10">
        <v>149</v>
      </c>
      <c r="I504" s="10">
        <v>158</v>
      </c>
      <c r="J504" s="10">
        <v>167</v>
      </c>
      <c r="K504" s="10">
        <v>150</v>
      </c>
      <c r="L504" s="10">
        <v>155</v>
      </c>
      <c r="M504" s="10">
        <v>148</v>
      </c>
      <c r="N504" s="10">
        <v>167</v>
      </c>
      <c r="O504" s="26">
        <f t="shared" si="21"/>
        <v>1512</v>
      </c>
      <c r="P504" s="25">
        <v>5045</v>
      </c>
      <c r="Q504" s="10">
        <v>7301</v>
      </c>
      <c r="R504" s="10">
        <v>12537</v>
      </c>
      <c r="S504" s="10">
        <v>12739</v>
      </c>
      <c r="T504" s="10">
        <v>16762</v>
      </c>
      <c r="U504" s="10">
        <v>16377</v>
      </c>
      <c r="V504" s="10">
        <v>19423</v>
      </c>
      <c r="W504" s="10">
        <v>18971</v>
      </c>
      <c r="X504" s="10">
        <v>15855</v>
      </c>
      <c r="Y504" s="10">
        <v>15285</v>
      </c>
      <c r="Z504" s="10">
        <v>16015</v>
      </c>
      <c r="AA504" s="10">
        <v>21352</v>
      </c>
      <c r="AB504" s="26">
        <f t="shared" si="22"/>
        <v>177662</v>
      </c>
      <c r="AC504" s="25">
        <v>0</v>
      </c>
      <c r="AD504" s="10">
        <v>0</v>
      </c>
      <c r="AE504" s="10">
        <v>0</v>
      </c>
      <c r="AF504" s="10">
        <v>0</v>
      </c>
      <c r="AG504" s="10">
        <v>0</v>
      </c>
      <c r="AH504" s="10">
        <v>0</v>
      </c>
      <c r="AI504" s="10">
        <v>5</v>
      </c>
      <c r="AJ504" s="10">
        <v>499</v>
      </c>
      <c r="AK504" s="10">
        <v>38</v>
      </c>
      <c r="AL504" s="10">
        <v>10</v>
      </c>
      <c r="AM504" s="10">
        <v>47</v>
      </c>
      <c r="AN504" s="10">
        <v>0</v>
      </c>
      <c r="AO504" s="26">
        <f t="shared" si="23"/>
        <v>599</v>
      </c>
    </row>
    <row r="505" spans="1:41" ht="17.25" customHeight="1" x14ac:dyDescent="0.45">
      <c r="A505" s="2" t="s">
        <v>14</v>
      </c>
      <c r="B505" s="2" t="s">
        <v>34</v>
      </c>
      <c r="C505" s="23">
        <v>0</v>
      </c>
      <c r="D505" s="1">
        <v>0</v>
      </c>
      <c r="E505" s="1">
        <v>0</v>
      </c>
      <c r="F505" s="1">
        <v>16</v>
      </c>
      <c r="G505" s="1">
        <v>18</v>
      </c>
      <c r="H505" s="1">
        <v>17</v>
      </c>
      <c r="I505" s="1">
        <v>18</v>
      </c>
      <c r="J505" s="1">
        <v>18</v>
      </c>
      <c r="K505" s="1">
        <v>20</v>
      </c>
      <c r="L505" s="1">
        <v>31</v>
      </c>
      <c r="M505" s="1">
        <v>30</v>
      </c>
      <c r="N505" s="1">
        <v>32</v>
      </c>
      <c r="O505" s="24">
        <f t="shared" si="21"/>
        <v>200</v>
      </c>
      <c r="P505" s="23">
        <v>0</v>
      </c>
      <c r="Q505" s="1">
        <v>0</v>
      </c>
      <c r="R505" s="1">
        <v>0</v>
      </c>
      <c r="S505" s="1">
        <v>2214</v>
      </c>
      <c r="T505" s="1">
        <v>2759</v>
      </c>
      <c r="U505" s="1">
        <v>2712</v>
      </c>
      <c r="V505" s="1">
        <v>2936</v>
      </c>
      <c r="W505" s="1">
        <v>2865</v>
      </c>
      <c r="X505" s="1">
        <v>2225</v>
      </c>
      <c r="Y505" s="1">
        <v>4248</v>
      </c>
      <c r="Z505" s="1">
        <v>4916</v>
      </c>
      <c r="AA505" s="1">
        <v>5475</v>
      </c>
      <c r="AB505" s="24">
        <f t="shared" si="22"/>
        <v>30350</v>
      </c>
      <c r="AC505" s="23">
        <v>0</v>
      </c>
      <c r="AD505" s="1">
        <v>0</v>
      </c>
      <c r="AE505" s="1">
        <v>0</v>
      </c>
      <c r="AF505" s="1">
        <v>0</v>
      </c>
      <c r="AG505" s="1">
        <v>0</v>
      </c>
      <c r="AH505" s="1">
        <v>0</v>
      </c>
      <c r="AI505" s="1">
        <v>0</v>
      </c>
      <c r="AJ505" s="1">
        <v>0</v>
      </c>
      <c r="AK505" s="1">
        <v>0</v>
      </c>
      <c r="AL505" s="1">
        <v>0</v>
      </c>
      <c r="AM505" s="1">
        <v>0</v>
      </c>
      <c r="AN505" s="1">
        <v>0</v>
      </c>
      <c r="AO505" s="24">
        <f t="shared" si="23"/>
        <v>0</v>
      </c>
    </row>
    <row r="506" spans="1:41" ht="17.25" customHeight="1" x14ac:dyDescent="0.45">
      <c r="A506" s="12" t="s">
        <v>14</v>
      </c>
      <c r="B506" s="12" t="s">
        <v>35</v>
      </c>
      <c r="C506" s="25">
        <v>57</v>
      </c>
      <c r="D506" s="10">
        <v>29</v>
      </c>
      <c r="E506" s="10">
        <v>30</v>
      </c>
      <c r="F506" s="10">
        <v>30</v>
      </c>
      <c r="G506" s="10">
        <v>31</v>
      </c>
      <c r="H506" s="10">
        <v>30</v>
      </c>
      <c r="I506" s="10">
        <v>31</v>
      </c>
      <c r="J506" s="10">
        <v>31</v>
      </c>
      <c r="K506" s="10">
        <v>30</v>
      </c>
      <c r="L506" s="10">
        <v>31</v>
      </c>
      <c r="M506" s="10">
        <v>30</v>
      </c>
      <c r="N506" s="10">
        <v>29</v>
      </c>
      <c r="O506" s="26">
        <f t="shared" si="21"/>
        <v>389</v>
      </c>
      <c r="P506" s="25">
        <v>2282</v>
      </c>
      <c r="Q506" s="10">
        <v>1646</v>
      </c>
      <c r="R506" s="10">
        <v>2059</v>
      </c>
      <c r="S506" s="10">
        <v>1317</v>
      </c>
      <c r="T506" s="10">
        <v>1603</v>
      </c>
      <c r="U506" s="10">
        <v>1560</v>
      </c>
      <c r="V506" s="10">
        <v>2010</v>
      </c>
      <c r="W506" s="10">
        <v>1982</v>
      </c>
      <c r="X506" s="10">
        <v>1537</v>
      </c>
      <c r="Y506" s="10">
        <v>1553</v>
      </c>
      <c r="Z506" s="10">
        <v>1923</v>
      </c>
      <c r="AA506" s="10">
        <v>2479</v>
      </c>
      <c r="AB506" s="26">
        <f t="shared" si="22"/>
        <v>21951</v>
      </c>
      <c r="AC506" s="25">
        <v>0</v>
      </c>
      <c r="AD506" s="10">
        <v>0</v>
      </c>
      <c r="AE506" s="10">
        <v>0</v>
      </c>
      <c r="AF506" s="10">
        <v>0</v>
      </c>
      <c r="AG506" s="10">
        <v>0</v>
      </c>
      <c r="AH506" s="10">
        <v>0</v>
      </c>
      <c r="AI506" s="10">
        <v>0</v>
      </c>
      <c r="AJ506" s="10">
        <v>0</v>
      </c>
      <c r="AK506" s="10">
        <v>0</v>
      </c>
      <c r="AL506" s="10">
        <v>0</v>
      </c>
      <c r="AM506" s="10">
        <v>0</v>
      </c>
      <c r="AN506" s="10">
        <v>1500</v>
      </c>
      <c r="AO506" s="26">
        <f t="shared" si="23"/>
        <v>1500</v>
      </c>
    </row>
    <row r="507" spans="1:41" ht="17.25" customHeight="1" x14ac:dyDescent="0.45">
      <c r="A507" s="2" t="s">
        <v>14</v>
      </c>
      <c r="B507" s="2" t="s">
        <v>36</v>
      </c>
      <c r="C507" s="23">
        <v>16</v>
      </c>
      <c r="D507" s="1">
        <v>15</v>
      </c>
      <c r="E507" s="1">
        <v>0</v>
      </c>
      <c r="F507" s="1">
        <v>13</v>
      </c>
      <c r="G507" s="1">
        <v>13</v>
      </c>
      <c r="H507" s="1">
        <v>12</v>
      </c>
      <c r="I507" s="1">
        <v>11</v>
      </c>
      <c r="J507" s="1">
        <v>13</v>
      </c>
      <c r="K507" s="1">
        <v>18</v>
      </c>
      <c r="L507" s="1">
        <v>21</v>
      </c>
      <c r="M507" s="1">
        <v>25</v>
      </c>
      <c r="N507" s="1">
        <v>23</v>
      </c>
      <c r="O507" s="24">
        <f t="shared" si="21"/>
        <v>180</v>
      </c>
      <c r="P507" s="23">
        <v>0</v>
      </c>
      <c r="Q507" s="1">
        <v>0</v>
      </c>
      <c r="R507" s="1">
        <v>0</v>
      </c>
      <c r="S507" s="1">
        <v>1582</v>
      </c>
      <c r="T507" s="1">
        <v>1699</v>
      </c>
      <c r="U507" s="1">
        <v>1698</v>
      </c>
      <c r="V507" s="1">
        <v>1562</v>
      </c>
      <c r="W507" s="1">
        <v>1978</v>
      </c>
      <c r="X507" s="1">
        <v>1599</v>
      </c>
      <c r="Y507" s="1">
        <v>2267</v>
      </c>
      <c r="Z507" s="1">
        <v>2127</v>
      </c>
      <c r="AA507" s="1">
        <v>1701</v>
      </c>
      <c r="AB507" s="24">
        <f t="shared" si="22"/>
        <v>16213</v>
      </c>
      <c r="AC507" s="23">
        <v>118675</v>
      </c>
      <c r="AD507" s="1">
        <v>113694</v>
      </c>
      <c r="AE507" s="1">
        <v>0</v>
      </c>
      <c r="AF507" s="1">
        <v>0</v>
      </c>
      <c r="AG507" s="1">
        <v>0</v>
      </c>
      <c r="AH507" s="1">
        <v>0</v>
      </c>
      <c r="AI507" s="1">
        <v>3577</v>
      </c>
      <c r="AJ507" s="1">
        <v>0</v>
      </c>
      <c r="AK507" s="1">
        <v>0</v>
      </c>
      <c r="AL507" s="1">
        <v>0</v>
      </c>
      <c r="AM507" s="1">
        <v>14457</v>
      </c>
      <c r="AN507" s="1">
        <v>15646</v>
      </c>
      <c r="AO507" s="24">
        <f t="shared" si="23"/>
        <v>266049</v>
      </c>
    </row>
    <row r="508" spans="1:41" ht="17.25" customHeight="1" x14ac:dyDescent="0.45">
      <c r="A508" s="12" t="s">
        <v>31</v>
      </c>
      <c r="B508" s="12" t="s">
        <v>10</v>
      </c>
      <c r="C508" s="25">
        <v>10</v>
      </c>
      <c r="D508" s="10">
        <v>8</v>
      </c>
      <c r="E508" s="10">
        <v>9</v>
      </c>
      <c r="F508" s="10">
        <v>9</v>
      </c>
      <c r="G508" s="10">
        <v>14</v>
      </c>
      <c r="H508" s="10">
        <v>12</v>
      </c>
      <c r="I508" s="10">
        <v>22</v>
      </c>
      <c r="J508" s="10">
        <v>20</v>
      </c>
      <c r="K508" s="10">
        <v>12</v>
      </c>
      <c r="L508" s="10">
        <v>13</v>
      </c>
      <c r="M508" s="10">
        <v>9</v>
      </c>
      <c r="N508" s="10">
        <v>9</v>
      </c>
      <c r="O508" s="26">
        <f t="shared" si="21"/>
        <v>147</v>
      </c>
      <c r="P508" s="25">
        <v>1384</v>
      </c>
      <c r="Q508" s="10">
        <v>889</v>
      </c>
      <c r="R508" s="10">
        <v>1186</v>
      </c>
      <c r="S508" s="10">
        <v>1360</v>
      </c>
      <c r="T508" s="10">
        <v>1900</v>
      </c>
      <c r="U508" s="10">
        <v>1667</v>
      </c>
      <c r="V508" s="10">
        <v>3250</v>
      </c>
      <c r="W508" s="10">
        <v>2963</v>
      </c>
      <c r="X508" s="10">
        <v>1757</v>
      </c>
      <c r="Y508" s="10">
        <v>1900</v>
      </c>
      <c r="Z508" s="10">
        <v>1305</v>
      </c>
      <c r="AA508" s="10">
        <v>1390</v>
      </c>
      <c r="AB508" s="26">
        <f t="shared" si="22"/>
        <v>20951</v>
      </c>
      <c r="AC508" s="25">
        <v>0</v>
      </c>
      <c r="AD508" s="10">
        <v>0</v>
      </c>
      <c r="AE508" s="10">
        <v>0</v>
      </c>
      <c r="AF508" s="10">
        <v>0</v>
      </c>
      <c r="AG508" s="10">
        <v>0</v>
      </c>
      <c r="AH508" s="10">
        <v>0</v>
      </c>
      <c r="AI508" s="10">
        <v>0</v>
      </c>
      <c r="AJ508" s="10">
        <v>0</v>
      </c>
      <c r="AK508" s="10">
        <v>0</v>
      </c>
      <c r="AL508" s="10">
        <v>0</v>
      </c>
      <c r="AM508" s="10">
        <v>0</v>
      </c>
      <c r="AN508" s="10">
        <v>0</v>
      </c>
      <c r="AO508" s="26">
        <f t="shared" si="23"/>
        <v>0</v>
      </c>
    </row>
    <row r="509" spans="1:41" ht="17.25" customHeight="1" x14ac:dyDescent="0.45">
      <c r="A509" s="2" t="s">
        <v>31</v>
      </c>
      <c r="B509" s="2" t="s">
        <v>41</v>
      </c>
      <c r="C509" s="23">
        <v>2</v>
      </c>
      <c r="D509" s="1">
        <v>0</v>
      </c>
      <c r="E509" s="1">
        <v>0</v>
      </c>
      <c r="F509" s="1">
        <v>0</v>
      </c>
      <c r="G509" s="1">
        <v>0</v>
      </c>
      <c r="H509" s="1">
        <v>0</v>
      </c>
      <c r="I509" s="1">
        <v>0</v>
      </c>
      <c r="J509" s="1">
        <v>0</v>
      </c>
      <c r="K509" s="1">
        <v>0</v>
      </c>
      <c r="L509" s="1">
        <v>0</v>
      </c>
      <c r="M509" s="1">
        <v>0</v>
      </c>
      <c r="N509" s="1">
        <v>0</v>
      </c>
      <c r="O509" s="24">
        <f t="shared" si="21"/>
        <v>2</v>
      </c>
      <c r="P509" s="23">
        <v>97</v>
      </c>
      <c r="Q509" s="1">
        <v>0</v>
      </c>
      <c r="R509" s="1">
        <v>0</v>
      </c>
      <c r="S509" s="1">
        <v>0</v>
      </c>
      <c r="T509" s="1">
        <v>0</v>
      </c>
      <c r="U509" s="1">
        <v>0</v>
      </c>
      <c r="V509" s="1">
        <v>0</v>
      </c>
      <c r="W509" s="1">
        <v>0</v>
      </c>
      <c r="X509" s="1">
        <v>0</v>
      </c>
      <c r="Y509" s="1">
        <v>0</v>
      </c>
      <c r="Z509" s="1">
        <v>0</v>
      </c>
      <c r="AA509" s="1">
        <v>0</v>
      </c>
      <c r="AB509" s="24">
        <f t="shared" si="22"/>
        <v>97</v>
      </c>
      <c r="AC509" s="23">
        <v>0</v>
      </c>
      <c r="AD509" s="1">
        <v>0</v>
      </c>
      <c r="AE509" s="1">
        <v>0</v>
      </c>
      <c r="AF509" s="1">
        <v>0</v>
      </c>
      <c r="AG509" s="1">
        <v>0</v>
      </c>
      <c r="AH509" s="1">
        <v>0</v>
      </c>
      <c r="AI509" s="1">
        <v>0</v>
      </c>
      <c r="AJ509" s="1">
        <v>0</v>
      </c>
      <c r="AK509" s="1">
        <v>0</v>
      </c>
      <c r="AL509" s="1">
        <v>0</v>
      </c>
      <c r="AM509" s="1">
        <v>0</v>
      </c>
      <c r="AN509" s="1">
        <v>0</v>
      </c>
      <c r="AO509" s="24">
        <f t="shared" si="23"/>
        <v>0</v>
      </c>
    </row>
    <row r="510" spans="1:41" ht="17.25" customHeight="1" x14ac:dyDescent="0.45">
      <c r="A510" s="12" t="s">
        <v>31</v>
      </c>
      <c r="B510" s="12" t="s">
        <v>44</v>
      </c>
      <c r="C510" s="25">
        <v>10</v>
      </c>
      <c r="D510" s="10">
        <v>0</v>
      </c>
      <c r="E510" s="10">
        <v>0</v>
      </c>
      <c r="F510" s="10">
        <v>0</v>
      </c>
      <c r="G510" s="10">
        <v>0</v>
      </c>
      <c r="H510" s="10">
        <v>0</v>
      </c>
      <c r="I510" s="10">
        <v>0</v>
      </c>
      <c r="J510" s="10">
        <v>0</v>
      </c>
      <c r="K510" s="10">
        <v>0</v>
      </c>
      <c r="L510" s="10">
        <v>0</v>
      </c>
      <c r="M510" s="10">
        <v>0</v>
      </c>
      <c r="N510" s="10">
        <v>0</v>
      </c>
      <c r="O510" s="26">
        <f t="shared" si="21"/>
        <v>10</v>
      </c>
      <c r="P510" s="25">
        <v>30</v>
      </c>
      <c r="Q510" s="10">
        <v>0</v>
      </c>
      <c r="R510" s="10">
        <v>0</v>
      </c>
      <c r="S510" s="10">
        <v>0</v>
      </c>
      <c r="T510" s="10">
        <v>0</v>
      </c>
      <c r="U510" s="10">
        <v>0</v>
      </c>
      <c r="V510" s="10">
        <v>0</v>
      </c>
      <c r="W510" s="10">
        <v>0</v>
      </c>
      <c r="X510" s="10">
        <v>0</v>
      </c>
      <c r="Y510" s="10">
        <v>0</v>
      </c>
      <c r="Z510" s="10">
        <v>0</v>
      </c>
      <c r="AA510" s="10">
        <v>0</v>
      </c>
      <c r="AB510" s="26">
        <f t="shared" si="22"/>
        <v>30</v>
      </c>
      <c r="AC510" s="25">
        <v>0</v>
      </c>
      <c r="AD510" s="10">
        <v>0</v>
      </c>
      <c r="AE510" s="10">
        <v>0</v>
      </c>
      <c r="AF510" s="10">
        <v>0</v>
      </c>
      <c r="AG510" s="10">
        <v>0</v>
      </c>
      <c r="AH510" s="10">
        <v>0</v>
      </c>
      <c r="AI510" s="10">
        <v>0</v>
      </c>
      <c r="AJ510" s="10">
        <v>0</v>
      </c>
      <c r="AK510" s="10">
        <v>0</v>
      </c>
      <c r="AL510" s="10">
        <v>0</v>
      </c>
      <c r="AM510" s="10">
        <v>0</v>
      </c>
      <c r="AN510" s="10">
        <v>0</v>
      </c>
      <c r="AO510" s="26">
        <f t="shared" si="23"/>
        <v>0</v>
      </c>
    </row>
    <row r="511" spans="1:41" ht="17.25" customHeight="1" x14ac:dyDescent="0.45">
      <c r="A511" s="2" t="s">
        <v>31</v>
      </c>
      <c r="B511" s="2" t="s">
        <v>11</v>
      </c>
      <c r="C511" s="23">
        <v>0</v>
      </c>
      <c r="D511" s="1">
        <v>0</v>
      </c>
      <c r="E511" s="1">
        <v>0</v>
      </c>
      <c r="F511" s="1">
        <v>0</v>
      </c>
      <c r="G511" s="1">
        <v>0</v>
      </c>
      <c r="H511" s="1">
        <v>0</v>
      </c>
      <c r="I511" s="1">
        <v>0</v>
      </c>
      <c r="J511" s="1">
        <v>0</v>
      </c>
      <c r="K511" s="1">
        <v>9</v>
      </c>
      <c r="L511" s="1">
        <v>9</v>
      </c>
      <c r="M511" s="1">
        <v>23</v>
      </c>
      <c r="N511" s="1">
        <v>26</v>
      </c>
      <c r="O511" s="24">
        <f t="shared" si="21"/>
        <v>67</v>
      </c>
      <c r="P511" s="23">
        <v>0</v>
      </c>
      <c r="Q511" s="1">
        <v>0</v>
      </c>
      <c r="R511" s="1">
        <v>0</v>
      </c>
      <c r="S511" s="1">
        <v>0</v>
      </c>
      <c r="T511" s="1">
        <v>0</v>
      </c>
      <c r="U511" s="1">
        <v>0</v>
      </c>
      <c r="V511" s="1">
        <v>0</v>
      </c>
      <c r="W511" s="1">
        <v>0</v>
      </c>
      <c r="X511" s="1">
        <v>223</v>
      </c>
      <c r="Y511" s="1">
        <v>414</v>
      </c>
      <c r="Z511" s="1">
        <v>715</v>
      </c>
      <c r="AA511" s="1">
        <v>905</v>
      </c>
      <c r="AB511" s="24">
        <f t="shared" si="22"/>
        <v>2257</v>
      </c>
      <c r="AC511" s="23">
        <v>0</v>
      </c>
      <c r="AD511" s="1">
        <v>0</v>
      </c>
      <c r="AE511" s="1">
        <v>0</v>
      </c>
      <c r="AF511" s="1">
        <v>0</v>
      </c>
      <c r="AG511" s="1">
        <v>0</v>
      </c>
      <c r="AH511" s="1">
        <v>0</v>
      </c>
      <c r="AI511" s="1">
        <v>0</v>
      </c>
      <c r="AJ511" s="1">
        <v>0</v>
      </c>
      <c r="AK511" s="1">
        <v>0</v>
      </c>
      <c r="AL511" s="1">
        <v>0</v>
      </c>
      <c r="AM511" s="1">
        <v>0</v>
      </c>
      <c r="AN511" s="1">
        <v>0</v>
      </c>
      <c r="AO511" s="24">
        <f t="shared" si="23"/>
        <v>0</v>
      </c>
    </row>
    <row r="512" spans="1:41" ht="17.25" customHeight="1" x14ac:dyDescent="0.45">
      <c r="A512" s="12" t="s">
        <v>31</v>
      </c>
      <c r="B512" s="12" t="s">
        <v>57</v>
      </c>
      <c r="C512" s="25">
        <v>15</v>
      </c>
      <c r="D512" s="10">
        <v>14</v>
      </c>
      <c r="E512" s="10">
        <v>8</v>
      </c>
      <c r="F512" s="10">
        <v>8</v>
      </c>
      <c r="G512" s="10">
        <v>5</v>
      </c>
      <c r="H512" s="10">
        <v>3</v>
      </c>
      <c r="I512" s="10">
        <v>4</v>
      </c>
      <c r="J512" s="10">
        <v>4</v>
      </c>
      <c r="K512" s="10">
        <v>4</v>
      </c>
      <c r="L512" s="10">
        <v>4</v>
      </c>
      <c r="M512" s="10">
        <v>0</v>
      </c>
      <c r="N512" s="10">
        <v>0</v>
      </c>
      <c r="O512" s="26">
        <f t="shared" si="21"/>
        <v>69</v>
      </c>
      <c r="P512" s="25">
        <v>91</v>
      </c>
      <c r="Q512" s="10">
        <v>42</v>
      </c>
      <c r="R512" s="10">
        <v>54</v>
      </c>
      <c r="S512" s="10">
        <v>63</v>
      </c>
      <c r="T512" s="10">
        <v>26</v>
      </c>
      <c r="U512" s="10">
        <v>12</v>
      </c>
      <c r="V512" s="10">
        <v>31</v>
      </c>
      <c r="W512" s="10">
        <v>31</v>
      </c>
      <c r="X512" s="10">
        <v>33</v>
      </c>
      <c r="Y512" s="10">
        <v>38</v>
      </c>
      <c r="Z512" s="10">
        <v>0</v>
      </c>
      <c r="AA512" s="10">
        <v>0</v>
      </c>
      <c r="AB512" s="26">
        <f t="shared" si="22"/>
        <v>421</v>
      </c>
      <c r="AC512" s="25">
        <v>0</v>
      </c>
      <c r="AD512" s="10">
        <v>0</v>
      </c>
      <c r="AE512" s="10">
        <v>0</v>
      </c>
      <c r="AF512" s="10">
        <v>0</v>
      </c>
      <c r="AG512" s="10">
        <v>0</v>
      </c>
      <c r="AH512" s="10">
        <v>0</v>
      </c>
      <c r="AI512" s="10">
        <v>0</v>
      </c>
      <c r="AJ512" s="10">
        <v>0</v>
      </c>
      <c r="AK512" s="10">
        <v>0</v>
      </c>
      <c r="AL512" s="10">
        <v>0</v>
      </c>
      <c r="AM512" s="10">
        <v>0</v>
      </c>
      <c r="AN512" s="10">
        <v>0</v>
      </c>
      <c r="AO512" s="26">
        <f t="shared" si="23"/>
        <v>0</v>
      </c>
    </row>
    <row r="513" spans="1:41" ht="17.25" customHeight="1" x14ac:dyDescent="0.45">
      <c r="A513" s="2" t="s">
        <v>31</v>
      </c>
      <c r="B513" s="2" t="s">
        <v>12</v>
      </c>
      <c r="C513" s="23">
        <v>119</v>
      </c>
      <c r="D513" s="1">
        <v>111</v>
      </c>
      <c r="E513" s="1">
        <v>112</v>
      </c>
      <c r="F513" s="1">
        <v>143</v>
      </c>
      <c r="G513" s="1">
        <v>122</v>
      </c>
      <c r="H513" s="1">
        <v>129</v>
      </c>
      <c r="I513" s="1">
        <v>128</v>
      </c>
      <c r="J513" s="1">
        <v>127</v>
      </c>
      <c r="K513" s="1">
        <v>113</v>
      </c>
      <c r="L513" s="1">
        <v>119</v>
      </c>
      <c r="M513" s="1">
        <v>113</v>
      </c>
      <c r="N513" s="1">
        <v>100</v>
      </c>
      <c r="O513" s="24">
        <f t="shared" si="21"/>
        <v>1436</v>
      </c>
      <c r="P513" s="23">
        <v>11231</v>
      </c>
      <c r="Q513" s="1">
        <v>10241</v>
      </c>
      <c r="R513" s="1">
        <v>10436</v>
      </c>
      <c r="S513" s="1">
        <v>14050</v>
      </c>
      <c r="T513" s="1">
        <v>12790</v>
      </c>
      <c r="U513" s="1">
        <v>12739</v>
      </c>
      <c r="V513" s="1">
        <v>12997</v>
      </c>
      <c r="W513" s="1">
        <v>13732</v>
      </c>
      <c r="X513" s="1">
        <v>12488</v>
      </c>
      <c r="Y513" s="1">
        <v>13160</v>
      </c>
      <c r="Z513" s="1">
        <v>13443</v>
      </c>
      <c r="AA513" s="1">
        <v>11889</v>
      </c>
      <c r="AB513" s="24">
        <f t="shared" si="22"/>
        <v>149196</v>
      </c>
      <c r="AC513" s="23">
        <v>11849</v>
      </c>
      <c r="AD513" s="1">
        <v>10379</v>
      </c>
      <c r="AE513" s="1">
        <v>8391</v>
      </c>
      <c r="AF513" s="1">
        <v>13885</v>
      </c>
      <c r="AG513" s="1">
        <v>9343</v>
      </c>
      <c r="AH513" s="1">
        <v>12329</v>
      </c>
      <c r="AI513" s="1">
        <v>13728</v>
      </c>
      <c r="AJ513" s="1">
        <v>12108</v>
      </c>
      <c r="AK513" s="1">
        <v>9749</v>
      </c>
      <c r="AL513" s="1">
        <v>10962</v>
      </c>
      <c r="AM513" s="1">
        <v>11709</v>
      </c>
      <c r="AN513" s="1">
        <v>13694</v>
      </c>
      <c r="AO513" s="24">
        <f t="shared" si="23"/>
        <v>138126</v>
      </c>
    </row>
    <row r="514" spans="1:41" ht="17.25" customHeight="1" x14ac:dyDescent="0.45">
      <c r="A514" s="12" t="s">
        <v>31</v>
      </c>
      <c r="B514" s="12" t="s">
        <v>13</v>
      </c>
      <c r="C514" s="25">
        <v>29</v>
      </c>
      <c r="D514" s="10">
        <v>25</v>
      </c>
      <c r="E514" s="10">
        <v>27</v>
      </c>
      <c r="F514" s="10">
        <v>29</v>
      </c>
      <c r="G514" s="10">
        <v>30</v>
      </c>
      <c r="H514" s="10">
        <v>27</v>
      </c>
      <c r="I514" s="10">
        <v>31</v>
      </c>
      <c r="J514" s="10">
        <v>31</v>
      </c>
      <c r="K514" s="10">
        <v>24</v>
      </c>
      <c r="L514" s="10">
        <v>27</v>
      </c>
      <c r="M514" s="10">
        <v>30</v>
      </c>
      <c r="N514" s="10">
        <v>30</v>
      </c>
      <c r="O514" s="26">
        <f t="shared" si="21"/>
        <v>340</v>
      </c>
      <c r="P514" s="25">
        <v>4644</v>
      </c>
      <c r="Q514" s="10">
        <v>3653</v>
      </c>
      <c r="R514" s="10">
        <v>4145</v>
      </c>
      <c r="S514" s="10">
        <v>4445</v>
      </c>
      <c r="T514" s="10">
        <v>4510</v>
      </c>
      <c r="U514" s="10">
        <v>4329</v>
      </c>
      <c r="V514" s="10">
        <v>4883</v>
      </c>
      <c r="W514" s="10">
        <v>4950</v>
      </c>
      <c r="X514" s="10">
        <v>3773</v>
      </c>
      <c r="Y514" s="10">
        <v>3887</v>
      </c>
      <c r="Z514" s="10">
        <v>4917</v>
      </c>
      <c r="AA514" s="10">
        <v>4605</v>
      </c>
      <c r="AB514" s="26">
        <f t="shared" si="22"/>
        <v>52741</v>
      </c>
      <c r="AC514" s="25">
        <v>0</v>
      </c>
      <c r="AD514" s="10">
        <v>0</v>
      </c>
      <c r="AE514" s="10">
        <v>0</v>
      </c>
      <c r="AF514" s="10">
        <v>0</v>
      </c>
      <c r="AG514" s="10">
        <v>0</v>
      </c>
      <c r="AH514" s="10">
        <v>0</v>
      </c>
      <c r="AI514" s="10">
        <v>0</v>
      </c>
      <c r="AJ514" s="10">
        <v>0</v>
      </c>
      <c r="AK514" s="10">
        <v>0</v>
      </c>
      <c r="AL514" s="10">
        <v>0</v>
      </c>
      <c r="AM514" s="10">
        <v>0</v>
      </c>
      <c r="AN514" s="10">
        <v>0</v>
      </c>
      <c r="AO514" s="26">
        <f t="shared" si="23"/>
        <v>0</v>
      </c>
    </row>
    <row r="515" spans="1:41" ht="17.25" customHeight="1" x14ac:dyDescent="0.45">
      <c r="A515" s="2" t="s">
        <v>31</v>
      </c>
      <c r="B515" s="2" t="s">
        <v>248</v>
      </c>
      <c r="C515" s="23">
        <v>13</v>
      </c>
      <c r="D515" s="1">
        <v>0</v>
      </c>
      <c r="E515" s="1">
        <v>0</v>
      </c>
      <c r="F515" s="1">
        <v>0</v>
      </c>
      <c r="G515" s="1">
        <v>0</v>
      </c>
      <c r="H515" s="1">
        <v>0</v>
      </c>
      <c r="I515" s="1">
        <v>0</v>
      </c>
      <c r="J515" s="1">
        <v>0</v>
      </c>
      <c r="K515" s="1">
        <v>0</v>
      </c>
      <c r="L515" s="1">
        <v>0</v>
      </c>
      <c r="M515" s="1">
        <v>0</v>
      </c>
      <c r="N515" s="1">
        <v>0</v>
      </c>
      <c r="O515" s="24">
        <f t="shared" si="21"/>
        <v>13</v>
      </c>
      <c r="P515" s="23">
        <v>37</v>
      </c>
      <c r="Q515" s="1">
        <v>0</v>
      </c>
      <c r="R515" s="1">
        <v>0</v>
      </c>
      <c r="S515" s="1">
        <v>0</v>
      </c>
      <c r="T515" s="1">
        <v>0</v>
      </c>
      <c r="U515" s="1">
        <v>0</v>
      </c>
      <c r="V515" s="1">
        <v>0</v>
      </c>
      <c r="W515" s="1">
        <v>0</v>
      </c>
      <c r="X515" s="1">
        <v>0</v>
      </c>
      <c r="Y515" s="1">
        <v>0</v>
      </c>
      <c r="Z515" s="1">
        <v>0</v>
      </c>
      <c r="AA515" s="1">
        <v>0</v>
      </c>
      <c r="AB515" s="24">
        <f t="shared" si="22"/>
        <v>37</v>
      </c>
      <c r="AC515" s="23">
        <v>0</v>
      </c>
      <c r="AD515" s="1">
        <v>0</v>
      </c>
      <c r="AE515" s="1">
        <v>0</v>
      </c>
      <c r="AF515" s="1">
        <v>0</v>
      </c>
      <c r="AG515" s="1">
        <v>0</v>
      </c>
      <c r="AH515" s="1">
        <v>0</v>
      </c>
      <c r="AI515" s="1">
        <v>0</v>
      </c>
      <c r="AJ515" s="1">
        <v>0</v>
      </c>
      <c r="AK515" s="1">
        <v>0</v>
      </c>
      <c r="AL515" s="1">
        <v>0</v>
      </c>
      <c r="AM515" s="1">
        <v>0</v>
      </c>
      <c r="AN515" s="1">
        <v>0</v>
      </c>
      <c r="AO515" s="24">
        <f t="shared" si="23"/>
        <v>0</v>
      </c>
    </row>
    <row r="516" spans="1:41" ht="17.25" customHeight="1" x14ac:dyDescent="0.45">
      <c r="A516" s="12" t="s">
        <v>31</v>
      </c>
      <c r="B516" s="12" t="s">
        <v>29</v>
      </c>
      <c r="C516" s="25">
        <v>10</v>
      </c>
      <c r="D516" s="10">
        <v>8</v>
      </c>
      <c r="E516" s="10">
        <v>0</v>
      </c>
      <c r="F516" s="10">
        <v>0</v>
      </c>
      <c r="G516" s="10">
        <v>0</v>
      </c>
      <c r="H516" s="10">
        <v>0</v>
      </c>
      <c r="I516" s="10">
        <v>0</v>
      </c>
      <c r="J516" s="10">
        <v>0</v>
      </c>
      <c r="K516" s="10">
        <v>0</v>
      </c>
      <c r="L516" s="10">
        <v>0</v>
      </c>
      <c r="M516" s="10">
        <v>0</v>
      </c>
      <c r="N516" s="10">
        <v>0</v>
      </c>
      <c r="O516" s="26">
        <f t="shared" si="21"/>
        <v>18</v>
      </c>
      <c r="P516" s="25">
        <v>36</v>
      </c>
      <c r="Q516" s="10">
        <v>27</v>
      </c>
      <c r="R516" s="10">
        <v>0</v>
      </c>
      <c r="S516" s="10">
        <v>0</v>
      </c>
      <c r="T516" s="10">
        <v>0</v>
      </c>
      <c r="U516" s="10">
        <v>0</v>
      </c>
      <c r="V516" s="10">
        <v>0</v>
      </c>
      <c r="W516" s="10">
        <v>0</v>
      </c>
      <c r="X516" s="10">
        <v>0</v>
      </c>
      <c r="Y516" s="10">
        <v>0</v>
      </c>
      <c r="Z516" s="10">
        <v>0</v>
      </c>
      <c r="AA516" s="10">
        <v>0</v>
      </c>
      <c r="AB516" s="26">
        <f t="shared" si="22"/>
        <v>63</v>
      </c>
      <c r="AC516" s="25">
        <v>0</v>
      </c>
      <c r="AD516" s="10">
        <v>0</v>
      </c>
      <c r="AE516" s="10">
        <v>0</v>
      </c>
      <c r="AF516" s="10">
        <v>0</v>
      </c>
      <c r="AG516" s="10">
        <v>0</v>
      </c>
      <c r="AH516" s="10">
        <v>0</v>
      </c>
      <c r="AI516" s="10">
        <v>0</v>
      </c>
      <c r="AJ516" s="10">
        <v>0</v>
      </c>
      <c r="AK516" s="10">
        <v>0</v>
      </c>
      <c r="AL516" s="10">
        <v>0</v>
      </c>
      <c r="AM516" s="10">
        <v>0</v>
      </c>
      <c r="AN516" s="10">
        <v>0</v>
      </c>
      <c r="AO516" s="26">
        <f t="shared" si="23"/>
        <v>0</v>
      </c>
    </row>
    <row r="517" spans="1:41" ht="17.25" customHeight="1" x14ac:dyDescent="0.45">
      <c r="A517" s="2" t="s">
        <v>31</v>
      </c>
      <c r="B517" s="2" t="s">
        <v>14</v>
      </c>
      <c r="C517" s="23">
        <v>10</v>
      </c>
      <c r="D517" s="1">
        <v>12</v>
      </c>
      <c r="E517" s="1">
        <v>13</v>
      </c>
      <c r="F517" s="1">
        <v>17</v>
      </c>
      <c r="G517" s="1">
        <v>17</v>
      </c>
      <c r="H517" s="1">
        <v>17</v>
      </c>
      <c r="I517" s="1">
        <v>18</v>
      </c>
      <c r="J517" s="1">
        <v>17</v>
      </c>
      <c r="K517" s="1">
        <v>18</v>
      </c>
      <c r="L517" s="1">
        <v>17</v>
      </c>
      <c r="M517" s="1">
        <v>25</v>
      </c>
      <c r="N517" s="1">
        <v>26</v>
      </c>
      <c r="O517" s="24">
        <f t="shared" si="21"/>
        <v>207</v>
      </c>
      <c r="P517" s="23">
        <v>1196</v>
      </c>
      <c r="Q517" s="1">
        <v>1491</v>
      </c>
      <c r="R517" s="1">
        <v>1650</v>
      </c>
      <c r="S517" s="1">
        <v>1586</v>
      </c>
      <c r="T517" s="1">
        <v>1741</v>
      </c>
      <c r="U517" s="1">
        <v>1989</v>
      </c>
      <c r="V517" s="1">
        <v>2401</v>
      </c>
      <c r="W517" s="1">
        <v>1935</v>
      </c>
      <c r="X517" s="1">
        <v>1901</v>
      </c>
      <c r="Y517" s="1">
        <v>1782</v>
      </c>
      <c r="Z517" s="1">
        <v>2045</v>
      </c>
      <c r="AA517" s="1">
        <v>2008</v>
      </c>
      <c r="AB517" s="24">
        <f t="shared" si="22"/>
        <v>21725</v>
      </c>
      <c r="AC517" s="23">
        <v>0</v>
      </c>
      <c r="AD517" s="1">
        <v>0</v>
      </c>
      <c r="AE517" s="1">
        <v>0</v>
      </c>
      <c r="AF517" s="1">
        <v>0</v>
      </c>
      <c r="AG517" s="1">
        <v>0</v>
      </c>
      <c r="AH517" s="1">
        <v>0</v>
      </c>
      <c r="AI517" s="1">
        <v>0</v>
      </c>
      <c r="AJ517" s="1">
        <v>0</v>
      </c>
      <c r="AK517" s="1">
        <v>0</v>
      </c>
      <c r="AL517" s="1">
        <v>0</v>
      </c>
      <c r="AM517" s="1">
        <v>0</v>
      </c>
      <c r="AN517" s="1">
        <v>0</v>
      </c>
      <c r="AO517" s="24">
        <f t="shared" si="23"/>
        <v>0</v>
      </c>
    </row>
    <row r="518" spans="1:41" ht="17.25" customHeight="1" x14ac:dyDescent="0.45">
      <c r="A518" s="12" t="s">
        <v>31</v>
      </c>
      <c r="B518" s="12" t="s">
        <v>35</v>
      </c>
      <c r="C518" s="25">
        <v>8</v>
      </c>
      <c r="D518" s="10">
        <v>8</v>
      </c>
      <c r="E518" s="10">
        <v>6</v>
      </c>
      <c r="F518" s="10">
        <v>7</v>
      </c>
      <c r="G518" s="10">
        <v>6</v>
      </c>
      <c r="H518" s="10">
        <v>4</v>
      </c>
      <c r="I518" s="10">
        <v>1</v>
      </c>
      <c r="J518" s="10">
        <v>4</v>
      </c>
      <c r="K518" s="10">
        <v>2</v>
      </c>
      <c r="L518" s="10">
        <v>4</v>
      </c>
      <c r="M518" s="10">
        <v>0</v>
      </c>
      <c r="N518" s="10">
        <v>0</v>
      </c>
      <c r="O518" s="26">
        <f t="shared" si="21"/>
        <v>50</v>
      </c>
      <c r="P518" s="25">
        <v>11</v>
      </c>
      <c r="Q518" s="10">
        <v>19</v>
      </c>
      <c r="R518" s="10">
        <v>17</v>
      </c>
      <c r="S518" s="10">
        <v>19</v>
      </c>
      <c r="T518" s="10">
        <v>20</v>
      </c>
      <c r="U518" s="10">
        <v>6</v>
      </c>
      <c r="V518" s="10">
        <v>2</v>
      </c>
      <c r="W518" s="10">
        <v>8</v>
      </c>
      <c r="X518" s="10">
        <v>1</v>
      </c>
      <c r="Y518" s="10">
        <v>9</v>
      </c>
      <c r="Z518" s="10">
        <v>0</v>
      </c>
      <c r="AA518" s="10">
        <v>0</v>
      </c>
      <c r="AB518" s="26">
        <f t="shared" si="22"/>
        <v>112</v>
      </c>
      <c r="AC518" s="25">
        <v>0</v>
      </c>
      <c r="AD518" s="10">
        <v>0</v>
      </c>
      <c r="AE518" s="10">
        <v>0</v>
      </c>
      <c r="AF518" s="10">
        <v>0</v>
      </c>
      <c r="AG518" s="10">
        <v>0</v>
      </c>
      <c r="AH518" s="10">
        <v>0</v>
      </c>
      <c r="AI518" s="10">
        <v>0</v>
      </c>
      <c r="AJ518" s="10">
        <v>0</v>
      </c>
      <c r="AK518" s="10">
        <v>0</v>
      </c>
      <c r="AL518" s="10">
        <v>0</v>
      </c>
      <c r="AM518" s="10">
        <v>0</v>
      </c>
      <c r="AN518" s="10">
        <v>0</v>
      </c>
      <c r="AO518" s="26">
        <f t="shared" si="23"/>
        <v>0</v>
      </c>
    </row>
    <row r="519" spans="1:41" ht="17.25" customHeight="1" x14ac:dyDescent="0.45">
      <c r="A519" s="2" t="s">
        <v>50</v>
      </c>
      <c r="B519" s="2" t="s">
        <v>11</v>
      </c>
      <c r="C519" s="23">
        <v>18</v>
      </c>
      <c r="D519" s="1">
        <v>16</v>
      </c>
      <c r="E519" s="1">
        <v>21</v>
      </c>
      <c r="F519" s="1">
        <v>20</v>
      </c>
      <c r="G519" s="1">
        <v>18</v>
      </c>
      <c r="H519" s="1">
        <v>17</v>
      </c>
      <c r="I519" s="1">
        <v>18</v>
      </c>
      <c r="J519" s="1">
        <v>18</v>
      </c>
      <c r="K519" s="1">
        <v>17</v>
      </c>
      <c r="L519" s="1">
        <v>17</v>
      </c>
      <c r="M519" s="1">
        <v>18</v>
      </c>
      <c r="N519" s="1">
        <v>17</v>
      </c>
      <c r="O519" s="24">
        <f t="shared" si="21"/>
        <v>215</v>
      </c>
      <c r="P519" s="23">
        <v>2870</v>
      </c>
      <c r="Q519" s="1">
        <v>1965</v>
      </c>
      <c r="R519" s="1">
        <v>3227</v>
      </c>
      <c r="S519" s="1">
        <v>4146</v>
      </c>
      <c r="T519" s="1">
        <v>3391</v>
      </c>
      <c r="U519" s="1">
        <v>2778</v>
      </c>
      <c r="V519" s="1">
        <v>3084</v>
      </c>
      <c r="W519" s="1">
        <v>3527</v>
      </c>
      <c r="X519" s="1">
        <v>2704</v>
      </c>
      <c r="Y519" s="1">
        <v>3315</v>
      </c>
      <c r="Z519" s="1">
        <v>3322</v>
      </c>
      <c r="AA519" s="1">
        <v>3056</v>
      </c>
      <c r="AB519" s="24">
        <f t="shared" si="22"/>
        <v>37385</v>
      </c>
      <c r="AC519" s="23">
        <v>36.799999999999997</v>
      </c>
      <c r="AD519" s="1">
        <v>3.85</v>
      </c>
      <c r="AE519" s="1">
        <v>2413.8000000000002</v>
      </c>
      <c r="AF519" s="1">
        <v>2625.59</v>
      </c>
      <c r="AG519" s="1">
        <v>17</v>
      </c>
      <c r="AH519" s="1">
        <v>2.4</v>
      </c>
      <c r="AI519" s="1">
        <v>63.1</v>
      </c>
      <c r="AJ519" s="1">
        <v>8.5</v>
      </c>
      <c r="AK519" s="1">
        <v>83.850000000000009</v>
      </c>
      <c r="AL519" s="1">
        <v>358</v>
      </c>
      <c r="AM519" s="1">
        <v>54.8</v>
      </c>
      <c r="AN519" s="1">
        <v>42.35</v>
      </c>
      <c r="AO519" s="24">
        <f t="shared" si="23"/>
        <v>5710.0400000000018</v>
      </c>
    </row>
    <row r="520" spans="1:41" ht="17.25" customHeight="1" x14ac:dyDescent="0.45">
      <c r="A520" s="12" t="s">
        <v>50</v>
      </c>
      <c r="B520" s="12" t="s">
        <v>12</v>
      </c>
      <c r="C520" s="25">
        <v>118</v>
      </c>
      <c r="D520" s="10">
        <v>117</v>
      </c>
      <c r="E520" s="10">
        <v>115</v>
      </c>
      <c r="F520" s="10">
        <v>109</v>
      </c>
      <c r="G520" s="10">
        <v>116</v>
      </c>
      <c r="H520" s="10">
        <v>113</v>
      </c>
      <c r="I520" s="10">
        <v>122</v>
      </c>
      <c r="J520" s="10">
        <v>122</v>
      </c>
      <c r="K520" s="10">
        <v>114</v>
      </c>
      <c r="L520" s="10">
        <v>117</v>
      </c>
      <c r="M520" s="10">
        <v>112</v>
      </c>
      <c r="N520" s="10">
        <v>112</v>
      </c>
      <c r="O520" s="26">
        <f t="shared" ref="O520:O583" si="24">SUM(C520:N520)</f>
        <v>1387</v>
      </c>
      <c r="P520" s="25">
        <v>17178</v>
      </c>
      <c r="Q520" s="10">
        <v>15325</v>
      </c>
      <c r="R520" s="10">
        <v>15688</v>
      </c>
      <c r="S520" s="10">
        <v>17526</v>
      </c>
      <c r="T520" s="10">
        <v>15972</v>
      </c>
      <c r="U520" s="10">
        <v>15662</v>
      </c>
      <c r="V520" s="10">
        <v>15460</v>
      </c>
      <c r="W520" s="10">
        <v>16442</v>
      </c>
      <c r="X520" s="10">
        <v>16008</v>
      </c>
      <c r="Y520" s="10">
        <v>17135</v>
      </c>
      <c r="Z520" s="10">
        <v>15132</v>
      </c>
      <c r="AA520" s="10">
        <v>15364</v>
      </c>
      <c r="AB520" s="26">
        <f t="shared" ref="AB520:AB583" si="25">SUM(P520:AA520)</f>
        <v>192892</v>
      </c>
      <c r="AC520" s="25">
        <v>28448.559999999998</v>
      </c>
      <c r="AD520" s="10">
        <v>27625.989999999998</v>
      </c>
      <c r="AE520" s="10">
        <v>20618.849999999999</v>
      </c>
      <c r="AF520" s="10">
        <v>16554.2</v>
      </c>
      <c r="AG520" s="10">
        <v>24659</v>
      </c>
      <c r="AH520" s="10">
        <v>17278.949999999997</v>
      </c>
      <c r="AI520" s="10">
        <v>18064.670000000002</v>
      </c>
      <c r="AJ520" s="10">
        <v>19021.939999999999</v>
      </c>
      <c r="AK520" s="10">
        <v>14987.640000000003</v>
      </c>
      <c r="AL520" s="10">
        <v>29219</v>
      </c>
      <c r="AM520" s="10">
        <v>20191.2</v>
      </c>
      <c r="AN520" s="10">
        <v>17556.969999999998</v>
      </c>
      <c r="AO520" s="26">
        <f t="shared" ref="AO520:AO583" si="26">SUM(AC520:AN520)</f>
        <v>254226.97000000003</v>
      </c>
    </row>
    <row r="521" spans="1:41" ht="17.25" customHeight="1" x14ac:dyDescent="0.45">
      <c r="A521" s="2" t="s">
        <v>50</v>
      </c>
      <c r="B521" s="2" t="s">
        <v>13</v>
      </c>
      <c r="C521" s="23">
        <v>24</v>
      </c>
      <c r="D521" s="1">
        <v>20</v>
      </c>
      <c r="E521" s="1">
        <v>21</v>
      </c>
      <c r="F521" s="1">
        <v>25</v>
      </c>
      <c r="G521" s="1">
        <v>28</v>
      </c>
      <c r="H521" s="1">
        <v>24</v>
      </c>
      <c r="I521" s="1">
        <v>28</v>
      </c>
      <c r="J521" s="1">
        <v>26</v>
      </c>
      <c r="K521" s="1">
        <v>26</v>
      </c>
      <c r="L521" s="1">
        <v>26</v>
      </c>
      <c r="M521" s="1">
        <v>26</v>
      </c>
      <c r="N521" s="1">
        <v>26</v>
      </c>
      <c r="O521" s="24">
        <f t="shared" si="24"/>
        <v>300</v>
      </c>
      <c r="P521" s="23">
        <v>4423</v>
      </c>
      <c r="Q521" s="1">
        <v>3206</v>
      </c>
      <c r="R521" s="1">
        <v>3568</v>
      </c>
      <c r="S521" s="1">
        <v>4263</v>
      </c>
      <c r="T521" s="1">
        <v>4470</v>
      </c>
      <c r="U521" s="1">
        <v>3422</v>
      </c>
      <c r="V521" s="1">
        <v>4848</v>
      </c>
      <c r="W521" s="1">
        <v>4546</v>
      </c>
      <c r="X521" s="1">
        <v>4289</v>
      </c>
      <c r="Y521" s="1">
        <v>4708</v>
      </c>
      <c r="Z521" s="1">
        <v>4577</v>
      </c>
      <c r="AA521" s="1">
        <v>4495</v>
      </c>
      <c r="AB521" s="24">
        <f t="shared" si="25"/>
        <v>50815</v>
      </c>
      <c r="AC521" s="23">
        <v>22</v>
      </c>
      <c r="AD521" s="1">
        <v>24.8</v>
      </c>
      <c r="AE521" s="1">
        <v>80.699999999999989</v>
      </c>
      <c r="AF521" s="1">
        <v>39.75</v>
      </c>
      <c r="AG521" s="1">
        <v>110</v>
      </c>
      <c r="AH521" s="1">
        <v>33.25</v>
      </c>
      <c r="AI521" s="1">
        <v>80.400000000000006</v>
      </c>
      <c r="AJ521" s="1">
        <v>342.59999999999997</v>
      </c>
      <c r="AK521" s="1">
        <v>25.35</v>
      </c>
      <c r="AL521" s="1">
        <v>16</v>
      </c>
      <c r="AM521" s="1">
        <v>6.95</v>
      </c>
      <c r="AN521" s="1">
        <v>80.350000000000009</v>
      </c>
      <c r="AO521" s="24">
        <f t="shared" si="26"/>
        <v>862.15000000000009</v>
      </c>
    </row>
    <row r="522" spans="1:41" ht="17.25" customHeight="1" x14ac:dyDescent="0.45">
      <c r="A522" s="12" t="s">
        <v>50</v>
      </c>
      <c r="B522" s="12" t="s">
        <v>15</v>
      </c>
      <c r="C522" s="25">
        <v>22</v>
      </c>
      <c r="D522" s="10">
        <v>21</v>
      </c>
      <c r="E522" s="10">
        <v>23</v>
      </c>
      <c r="F522" s="10">
        <v>24</v>
      </c>
      <c r="G522" s="10">
        <v>22</v>
      </c>
      <c r="H522" s="10">
        <v>24</v>
      </c>
      <c r="I522" s="10">
        <v>28</v>
      </c>
      <c r="J522" s="10">
        <v>23</v>
      </c>
      <c r="K522" s="10">
        <v>19</v>
      </c>
      <c r="L522" s="10">
        <v>21</v>
      </c>
      <c r="M522" s="10">
        <v>22</v>
      </c>
      <c r="N522" s="10">
        <v>26</v>
      </c>
      <c r="O522" s="26">
        <f t="shared" si="24"/>
        <v>275</v>
      </c>
      <c r="P522" s="25">
        <v>3962</v>
      </c>
      <c r="Q522" s="10">
        <v>3871</v>
      </c>
      <c r="R522" s="10">
        <v>3951</v>
      </c>
      <c r="S522" s="10">
        <v>3896</v>
      </c>
      <c r="T522" s="10">
        <v>2922</v>
      </c>
      <c r="U522" s="10">
        <v>3548</v>
      </c>
      <c r="V522" s="10">
        <v>4781</v>
      </c>
      <c r="W522" s="10">
        <v>3851</v>
      </c>
      <c r="X522" s="10">
        <v>3031</v>
      </c>
      <c r="Y522" s="10">
        <v>3461</v>
      </c>
      <c r="Z522" s="10">
        <v>3852</v>
      </c>
      <c r="AA522" s="10">
        <v>4612</v>
      </c>
      <c r="AB522" s="26">
        <f t="shared" si="25"/>
        <v>45738</v>
      </c>
      <c r="AC522" s="25">
        <v>1.38</v>
      </c>
      <c r="AD522" s="10">
        <v>1</v>
      </c>
      <c r="AE522" s="10">
        <v>0</v>
      </c>
      <c r="AF522" s="10">
        <v>108.8</v>
      </c>
      <c r="AG522" s="10">
        <v>21</v>
      </c>
      <c r="AH522" s="10">
        <v>340.25</v>
      </c>
      <c r="AI522" s="10">
        <v>1024.25</v>
      </c>
      <c r="AJ522" s="10">
        <v>1165.05</v>
      </c>
      <c r="AK522" s="10">
        <v>1184.1000000000001</v>
      </c>
      <c r="AL522" s="10">
        <v>1396</v>
      </c>
      <c r="AM522" s="10">
        <v>0</v>
      </c>
      <c r="AN522" s="10">
        <v>0</v>
      </c>
      <c r="AO522" s="26">
        <f t="shared" si="26"/>
        <v>5241.83</v>
      </c>
    </row>
    <row r="523" spans="1:41" ht="17.25" customHeight="1" x14ac:dyDescent="0.45">
      <c r="A523" s="2" t="s">
        <v>61</v>
      </c>
      <c r="B523" s="2" t="s">
        <v>12</v>
      </c>
      <c r="C523" s="23">
        <v>29</v>
      </c>
      <c r="D523" s="1">
        <v>29</v>
      </c>
      <c r="E523" s="1">
        <v>29</v>
      </c>
      <c r="F523" s="1">
        <v>30</v>
      </c>
      <c r="G523" s="1">
        <v>31</v>
      </c>
      <c r="H523" s="1">
        <v>29</v>
      </c>
      <c r="I523" s="1">
        <v>30</v>
      </c>
      <c r="J523" s="1">
        <v>31</v>
      </c>
      <c r="K523" s="1">
        <v>30</v>
      </c>
      <c r="L523" s="1">
        <v>31</v>
      </c>
      <c r="M523" s="1">
        <v>30</v>
      </c>
      <c r="N523" s="1">
        <v>31</v>
      </c>
      <c r="O523" s="24">
        <f t="shared" si="24"/>
        <v>360</v>
      </c>
      <c r="P523" s="23">
        <v>2231</v>
      </c>
      <c r="Q523" s="1">
        <v>2190</v>
      </c>
      <c r="R523" s="1">
        <v>2144</v>
      </c>
      <c r="S523" s="1">
        <v>2497</v>
      </c>
      <c r="T523" s="1">
        <v>2479</v>
      </c>
      <c r="U523" s="1">
        <v>2265</v>
      </c>
      <c r="V523" s="1">
        <v>2288</v>
      </c>
      <c r="W523" s="1">
        <v>2288</v>
      </c>
      <c r="X523" s="1">
        <v>2226</v>
      </c>
      <c r="Y523" s="1">
        <v>2305</v>
      </c>
      <c r="Z523" s="1">
        <v>2487</v>
      </c>
      <c r="AA523" s="1">
        <v>2413</v>
      </c>
      <c r="AB523" s="24">
        <f t="shared" si="25"/>
        <v>27813</v>
      </c>
      <c r="AC523" s="23">
        <v>0</v>
      </c>
      <c r="AD523" s="1">
        <v>0</v>
      </c>
      <c r="AE523" s="1">
        <v>0</v>
      </c>
      <c r="AF523" s="1">
        <v>0</v>
      </c>
      <c r="AG523" s="1">
        <v>0</v>
      </c>
      <c r="AH523" s="1">
        <v>0</v>
      </c>
      <c r="AI523" s="1">
        <v>0</v>
      </c>
      <c r="AJ523" s="1">
        <v>0</v>
      </c>
      <c r="AK523" s="1">
        <v>454</v>
      </c>
      <c r="AL523" s="1">
        <v>0</v>
      </c>
      <c r="AM523" s="1">
        <v>0</v>
      </c>
      <c r="AN523" s="1">
        <v>0</v>
      </c>
      <c r="AO523" s="24">
        <f t="shared" si="26"/>
        <v>454</v>
      </c>
    </row>
    <row r="524" spans="1:41" ht="17.25" customHeight="1" x14ac:dyDescent="0.45">
      <c r="A524" s="12" t="s">
        <v>61</v>
      </c>
      <c r="B524" s="12" t="s">
        <v>15</v>
      </c>
      <c r="C524" s="25">
        <v>54</v>
      </c>
      <c r="D524" s="10">
        <v>49</v>
      </c>
      <c r="E524" s="10">
        <v>54</v>
      </c>
      <c r="F524" s="10">
        <v>31</v>
      </c>
      <c r="G524" s="10">
        <v>31</v>
      </c>
      <c r="H524" s="10">
        <v>26</v>
      </c>
      <c r="I524" s="10">
        <v>44</v>
      </c>
      <c r="J524" s="10">
        <v>44</v>
      </c>
      <c r="K524" s="10">
        <v>30</v>
      </c>
      <c r="L524" s="10">
        <v>30</v>
      </c>
      <c r="M524" s="10">
        <v>29</v>
      </c>
      <c r="N524" s="10">
        <v>33</v>
      </c>
      <c r="O524" s="26">
        <f t="shared" si="24"/>
        <v>455</v>
      </c>
      <c r="P524" s="25">
        <v>9810</v>
      </c>
      <c r="Q524" s="10">
        <v>8460</v>
      </c>
      <c r="R524" s="10">
        <v>9263</v>
      </c>
      <c r="S524" s="10">
        <v>5306</v>
      </c>
      <c r="T524" s="10">
        <v>4985</v>
      </c>
      <c r="U524" s="10">
        <v>4243</v>
      </c>
      <c r="V524" s="10">
        <v>7280</v>
      </c>
      <c r="W524" s="10">
        <v>7410</v>
      </c>
      <c r="X524" s="10">
        <v>4895</v>
      </c>
      <c r="Y524" s="10">
        <v>5081</v>
      </c>
      <c r="Z524" s="10">
        <v>4892</v>
      </c>
      <c r="AA524" s="10">
        <v>5350</v>
      </c>
      <c r="AB524" s="26">
        <f t="shared" si="25"/>
        <v>76975</v>
      </c>
      <c r="AC524" s="25">
        <v>0</v>
      </c>
      <c r="AD524" s="10">
        <v>0</v>
      </c>
      <c r="AE524" s="10">
        <v>0</v>
      </c>
      <c r="AF524" s="10">
        <v>0</v>
      </c>
      <c r="AG524" s="10">
        <v>0</v>
      </c>
      <c r="AH524" s="10">
        <v>0</v>
      </c>
      <c r="AI524" s="10">
        <v>0</v>
      </c>
      <c r="AJ524" s="10">
        <v>0</v>
      </c>
      <c r="AK524" s="10">
        <v>0</v>
      </c>
      <c r="AL524" s="10">
        <v>0</v>
      </c>
      <c r="AM524" s="10">
        <v>0</v>
      </c>
      <c r="AN524" s="10">
        <v>0</v>
      </c>
      <c r="AO524" s="26">
        <f t="shared" si="26"/>
        <v>0</v>
      </c>
    </row>
    <row r="525" spans="1:41" ht="17.25" customHeight="1" x14ac:dyDescent="0.45">
      <c r="A525" s="2" t="s">
        <v>15</v>
      </c>
      <c r="B525" s="2" t="s">
        <v>9</v>
      </c>
      <c r="C525" s="23">
        <v>36</v>
      </c>
      <c r="D525" s="1">
        <v>29</v>
      </c>
      <c r="E525" s="1">
        <v>31</v>
      </c>
      <c r="F525" s="1">
        <v>36</v>
      </c>
      <c r="G525" s="1">
        <v>44</v>
      </c>
      <c r="H525" s="1">
        <v>34</v>
      </c>
      <c r="I525" s="1">
        <v>44</v>
      </c>
      <c r="J525" s="1">
        <v>43</v>
      </c>
      <c r="K525" s="1">
        <v>23</v>
      </c>
      <c r="L525" s="1">
        <v>41</v>
      </c>
      <c r="M525" s="1">
        <v>46</v>
      </c>
      <c r="N525" s="1">
        <v>49</v>
      </c>
      <c r="O525" s="24">
        <f t="shared" si="24"/>
        <v>456</v>
      </c>
      <c r="P525" s="23">
        <v>6096</v>
      </c>
      <c r="Q525" s="1">
        <v>4896</v>
      </c>
      <c r="R525" s="1">
        <v>5270</v>
      </c>
      <c r="S525" s="1">
        <v>5551</v>
      </c>
      <c r="T525" s="1">
        <v>6554</v>
      </c>
      <c r="U525" s="1">
        <v>5140</v>
      </c>
      <c r="V525" s="1">
        <v>6845</v>
      </c>
      <c r="W525" s="1">
        <v>6666</v>
      </c>
      <c r="X525" s="1">
        <v>3261</v>
      </c>
      <c r="Y525" s="1">
        <v>6445</v>
      </c>
      <c r="Z525" s="1">
        <v>8354</v>
      </c>
      <c r="AA525" s="1">
        <v>9842</v>
      </c>
      <c r="AB525" s="24">
        <f t="shared" si="25"/>
        <v>74920</v>
      </c>
      <c r="AC525" s="23">
        <v>0</v>
      </c>
      <c r="AD525" s="1">
        <v>0</v>
      </c>
      <c r="AE525" s="1">
        <v>0</v>
      </c>
      <c r="AF525" s="1">
        <v>0</v>
      </c>
      <c r="AG525" s="1">
        <v>0</v>
      </c>
      <c r="AH525" s="1">
        <v>0</v>
      </c>
      <c r="AI525" s="1">
        <v>0</v>
      </c>
      <c r="AJ525" s="1">
        <v>0</v>
      </c>
      <c r="AK525" s="1">
        <v>0</v>
      </c>
      <c r="AL525" s="1">
        <v>0</v>
      </c>
      <c r="AM525" s="1">
        <v>0</v>
      </c>
      <c r="AN525" s="1">
        <v>0</v>
      </c>
      <c r="AO525" s="24">
        <f t="shared" si="26"/>
        <v>0</v>
      </c>
    </row>
    <row r="526" spans="1:41" ht="17.25" customHeight="1" x14ac:dyDescent="0.45">
      <c r="A526" s="12" t="s">
        <v>15</v>
      </c>
      <c r="B526" s="12" t="s">
        <v>16</v>
      </c>
      <c r="C526" s="25">
        <v>56</v>
      </c>
      <c r="D526" s="10">
        <v>49</v>
      </c>
      <c r="E526" s="10">
        <v>54</v>
      </c>
      <c r="F526" s="10">
        <v>67</v>
      </c>
      <c r="G526" s="10">
        <v>70</v>
      </c>
      <c r="H526" s="10">
        <v>58</v>
      </c>
      <c r="I526" s="10">
        <v>73</v>
      </c>
      <c r="J526" s="10">
        <v>71</v>
      </c>
      <c r="K526" s="10">
        <v>63</v>
      </c>
      <c r="L526" s="10">
        <v>67</v>
      </c>
      <c r="M526" s="10">
        <v>68</v>
      </c>
      <c r="N526" s="10">
        <v>70</v>
      </c>
      <c r="O526" s="26">
        <f t="shared" si="24"/>
        <v>766</v>
      </c>
      <c r="P526" s="25">
        <v>8128</v>
      </c>
      <c r="Q526" s="10">
        <v>7072</v>
      </c>
      <c r="R526" s="10">
        <v>8117</v>
      </c>
      <c r="S526" s="10">
        <v>10291</v>
      </c>
      <c r="T526" s="10">
        <v>10099</v>
      </c>
      <c r="U526" s="10">
        <v>9315</v>
      </c>
      <c r="V526" s="10">
        <v>11599</v>
      </c>
      <c r="W526" s="10">
        <v>9716</v>
      </c>
      <c r="X526" s="10">
        <v>9221</v>
      </c>
      <c r="Y526" s="10">
        <v>10431</v>
      </c>
      <c r="Z526" s="10">
        <v>10936</v>
      </c>
      <c r="AA526" s="10">
        <v>12284</v>
      </c>
      <c r="AB526" s="26">
        <f t="shared" si="25"/>
        <v>117209</v>
      </c>
      <c r="AC526" s="25">
        <v>0</v>
      </c>
      <c r="AD526" s="10">
        <v>0</v>
      </c>
      <c r="AE526" s="10">
        <v>0</v>
      </c>
      <c r="AF526" s="10">
        <v>0</v>
      </c>
      <c r="AG526" s="10">
        <v>0</v>
      </c>
      <c r="AH526" s="10">
        <v>0</v>
      </c>
      <c r="AI526" s="10">
        <v>0</v>
      </c>
      <c r="AJ526" s="10">
        <v>0</v>
      </c>
      <c r="AK526" s="10">
        <v>0</v>
      </c>
      <c r="AL526" s="10">
        <v>0</v>
      </c>
      <c r="AM526" s="10">
        <v>0</v>
      </c>
      <c r="AN526" s="10">
        <v>0</v>
      </c>
      <c r="AO526" s="26">
        <f t="shared" si="26"/>
        <v>0</v>
      </c>
    </row>
    <row r="527" spans="1:41" ht="17.25" customHeight="1" x14ac:dyDescent="0.45">
      <c r="A527" s="2" t="s">
        <v>15</v>
      </c>
      <c r="B527" s="2" t="s">
        <v>10</v>
      </c>
      <c r="C527" s="23">
        <v>126</v>
      </c>
      <c r="D527" s="1">
        <v>120</v>
      </c>
      <c r="E527" s="1">
        <v>121</v>
      </c>
      <c r="F527" s="1">
        <v>68</v>
      </c>
      <c r="G527" s="1">
        <v>61</v>
      </c>
      <c r="H527" s="1">
        <v>60</v>
      </c>
      <c r="I527" s="1">
        <v>80</v>
      </c>
      <c r="J527" s="1">
        <v>78</v>
      </c>
      <c r="K527" s="1">
        <v>60</v>
      </c>
      <c r="L527" s="1">
        <v>63</v>
      </c>
      <c r="M527" s="1">
        <v>62</v>
      </c>
      <c r="N527" s="1">
        <v>74</v>
      </c>
      <c r="O527" s="24">
        <f t="shared" si="24"/>
        <v>973</v>
      </c>
      <c r="P527" s="23">
        <v>15955</v>
      </c>
      <c r="Q527" s="1">
        <v>16117</v>
      </c>
      <c r="R527" s="1">
        <v>17990</v>
      </c>
      <c r="S527" s="1">
        <v>9794</v>
      </c>
      <c r="T527" s="1">
        <v>9821</v>
      </c>
      <c r="U527" s="1">
        <v>10787</v>
      </c>
      <c r="V527" s="1">
        <v>13925</v>
      </c>
      <c r="W527" s="1">
        <v>13003</v>
      </c>
      <c r="X527" s="1">
        <v>9276</v>
      </c>
      <c r="Y527" s="1">
        <v>9754</v>
      </c>
      <c r="Z527" s="1">
        <v>11034</v>
      </c>
      <c r="AA527" s="1">
        <v>13699</v>
      </c>
      <c r="AB527" s="24">
        <f t="shared" si="25"/>
        <v>151155</v>
      </c>
      <c r="AC527" s="23">
        <v>84385.999999999985</v>
      </c>
      <c r="AD527" s="1">
        <v>72897.130000000019</v>
      </c>
      <c r="AE527" s="1">
        <v>87048.55</v>
      </c>
      <c r="AF527" s="1">
        <v>48556.24</v>
      </c>
      <c r="AG527" s="1">
        <v>45367</v>
      </c>
      <c r="AH527" s="1">
        <v>39394.78</v>
      </c>
      <c r="AI527" s="1">
        <v>51056.569999999985</v>
      </c>
      <c r="AJ527" s="1">
        <v>59754.76</v>
      </c>
      <c r="AK527" s="1">
        <v>45967.310000000012</v>
      </c>
      <c r="AL527" s="1">
        <v>58848</v>
      </c>
      <c r="AM527" s="1">
        <v>20396.689999999999</v>
      </c>
      <c r="AN527" s="1">
        <v>27657</v>
      </c>
      <c r="AO527" s="24">
        <f t="shared" si="26"/>
        <v>641330.02999999991</v>
      </c>
    </row>
    <row r="528" spans="1:41" ht="17.25" customHeight="1" x14ac:dyDescent="0.45">
      <c r="A528" s="12" t="s">
        <v>15</v>
      </c>
      <c r="B528" s="12" t="s">
        <v>19</v>
      </c>
      <c r="C528" s="25">
        <v>40</v>
      </c>
      <c r="D528" s="10">
        <v>33</v>
      </c>
      <c r="E528" s="10">
        <v>35</v>
      </c>
      <c r="F528" s="10">
        <v>33</v>
      </c>
      <c r="G528" s="10">
        <v>36</v>
      </c>
      <c r="H528" s="10">
        <v>34</v>
      </c>
      <c r="I528" s="10">
        <v>36</v>
      </c>
      <c r="J528" s="10">
        <v>35</v>
      </c>
      <c r="K528" s="10">
        <v>29</v>
      </c>
      <c r="L528" s="10">
        <v>35</v>
      </c>
      <c r="M528" s="10">
        <v>29</v>
      </c>
      <c r="N528" s="10">
        <v>36</v>
      </c>
      <c r="O528" s="26">
        <f t="shared" si="24"/>
        <v>411</v>
      </c>
      <c r="P528" s="25">
        <v>4603</v>
      </c>
      <c r="Q528" s="10">
        <v>4157</v>
      </c>
      <c r="R528" s="10">
        <v>5680</v>
      </c>
      <c r="S528" s="10">
        <v>4867</v>
      </c>
      <c r="T528" s="10">
        <v>5355</v>
      </c>
      <c r="U528" s="10">
        <v>4563</v>
      </c>
      <c r="V528" s="10">
        <v>6044</v>
      </c>
      <c r="W528" s="10">
        <v>6020</v>
      </c>
      <c r="X528" s="10">
        <v>4589</v>
      </c>
      <c r="Y528" s="10">
        <v>6434</v>
      </c>
      <c r="Z528" s="10">
        <v>5456</v>
      </c>
      <c r="AA528" s="10">
        <v>5891</v>
      </c>
      <c r="AB528" s="26">
        <f t="shared" si="25"/>
        <v>63659</v>
      </c>
      <c r="AC528" s="25">
        <v>1162.6500000000001</v>
      </c>
      <c r="AD528" s="10">
        <v>1825.0000000000002</v>
      </c>
      <c r="AE528" s="10">
        <v>1539.0000000000002</v>
      </c>
      <c r="AF528" s="10">
        <v>1553.2999999999997</v>
      </c>
      <c r="AG528" s="10">
        <v>1167</v>
      </c>
      <c r="AH528" s="10">
        <v>856.6</v>
      </c>
      <c r="AI528" s="10">
        <v>1291.7</v>
      </c>
      <c r="AJ528" s="10">
        <v>1727.3500000000001</v>
      </c>
      <c r="AK528" s="10">
        <v>1538.31</v>
      </c>
      <c r="AL528" s="10">
        <v>1719</v>
      </c>
      <c r="AM528" s="10">
        <v>3736.72</v>
      </c>
      <c r="AN528" s="10">
        <v>2909.4199999999996</v>
      </c>
      <c r="AO528" s="26">
        <f t="shared" si="26"/>
        <v>21026.05</v>
      </c>
    </row>
    <row r="529" spans="1:41" ht="17.25" customHeight="1" x14ac:dyDescent="0.45">
      <c r="A529" s="2" t="s">
        <v>15</v>
      </c>
      <c r="B529" s="2" t="s">
        <v>20</v>
      </c>
      <c r="C529" s="23">
        <v>43</v>
      </c>
      <c r="D529" s="1">
        <v>42</v>
      </c>
      <c r="E529" s="1">
        <v>44</v>
      </c>
      <c r="F529" s="1">
        <v>41</v>
      </c>
      <c r="G529" s="1">
        <v>44</v>
      </c>
      <c r="H529" s="1">
        <v>41</v>
      </c>
      <c r="I529" s="1">
        <v>44</v>
      </c>
      <c r="J529" s="1">
        <v>45</v>
      </c>
      <c r="K529" s="1">
        <v>39</v>
      </c>
      <c r="L529" s="1">
        <v>45</v>
      </c>
      <c r="M529" s="1">
        <v>41</v>
      </c>
      <c r="N529" s="1">
        <v>45</v>
      </c>
      <c r="O529" s="24">
        <f t="shared" si="24"/>
        <v>514</v>
      </c>
      <c r="P529" s="23">
        <v>4861</v>
      </c>
      <c r="Q529" s="1">
        <v>4372</v>
      </c>
      <c r="R529" s="1">
        <v>5568</v>
      </c>
      <c r="S529" s="1">
        <v>5458</v>
      </c>
      <c r="T529" s="1">
        <v>5760</v>
      </c>
      <c r="U529" s="1">
        <v>5552</v>
      </c>
      <c r="V529" s="1">
        <v>6193</v>
      </c>
      <c r="W529" s="1">
        <v>6400</v>
      </c>
      <c r="X529" s="1">
        <v>5406</v>
      </c>
      <c r="Y529" s="1">
        <v>6738</v>
      </c>
      <c r="Z529" s="1">
        <v>5816</v>
      </c>
      <c r="AA529" s="1">
        <v>5580</v>
      </c>
      <c r="AB529" s="24">
        <f t="shared" si="25"/>
        <v>67704</v>
      </c>
      <c r="AC529" s="23">
        <v>2866.1000000000004</v>
      </c>
      <c r="AD529" s="1">
        <v>3787.4000000000005</v>
      </c>
      <c r="AE529" s="1">
        <v>8614.2500000000018</v>
      </c>
      <c r="AF529" s="1">
        <v>3427.3000000000006</v>
      </c>
      <c r="AG529" s="1">
        <v>3301</v>
      </c>
      <c r="AH529" s="1">
        <v>3187.91</v>
      </c>
      <c r="AI529" s="1">
        <v>2000.4</v>
      </c>
      <c r="AJ529" s="1">
        <v>2210.27</v>
      </c>
      <c r="AK529" s="1">
        <v>3884.13</v>
      </c>
      <c r="AL529" s="1">
        <v>4793</v>
      </c>
      <c r="AM529" s="1">
        <v>526.4</v>
      </c>
      <c r="AN529" s="1">
        <v>118.2</v>
      </c>
      <c r="AO529" s="24">
        <f t="shared" si="26"/>
        <v>38716.36</v>
      </c>
    </row>
    <row r="530" spans="1:41" ht="17.25" customHeight="1" x14ac:dyDescent="0.45">
      <c r="A530" s="12" t="s">
        <v>15</v>
      </c>
      <c r="B530" s="12" t="s">
        <v>43</v>
      </c>
      <c r="C530" s="25">
        <v>31</v>
      </c>
      <c r="D530" s="10">
        <v>29</v>
      </c>
      <c r="E530" s="10">
        <v>31</v>
      </c>
      <c r="F530" s="10">
        <v>33</v>
      </c>
      <c r="G530" s="10">
        <v>35</v>
      </c>
      <c r="H530" s="10">
        <v>35</v>
      </c>
      <c r="I530" s="10">
        <v>35</v>
      </c>
      <c r="J530" s="10">
        <v>35</v>
      </c>
      <c r="K530" s="10">
        <v>34</v>
      </c>
      <c r="L530" s="10">
        <v>35</v>
      </c>
      <c r="M530" s="10">
        <v>34</v>
      </c>
      <c r="N530" s="10">
        <v>39</v>
      </c>
      <c r="O530" s="26">
        <f t="shared" si="24"/>
        <v>406</v>
      </c>
      <c r="P530" s="25">
        <v>4671</v>
      </c>
      <c r="Q530" s="10">
        <v>4806</v>
      </c>
      <c r="R530" s="10">
        <v>5182</v>
      </c>
      <c r="S530" s="10">
        <v>4536</v>
      </c>
      <c r="T530" s="10">
        <v>4943</v>
      </c>
      <c r="U530" s="10">
        <v>4554</v>
      </c>
      <c r="V530" s="10">
        <v>4541</v>
      </c>
      <c r="W530" s="10">
        <v>4884</v>
      </c>
      <c r="X530" s="10">
        <v>4707</v>
      </c>
      <c r="Y530" s="10">
        <v>5760</v>
      </c>
      <c r="Z530" s="10">
        <v>6145</v>
      </c>
      <c r="AA530" s="10">
        <v>7087</v>
      </c>
      <c r="AB530" s="26">
        <f t="shared" si="25"/>
        <v>61816</v>
      </c>
      <c r="AC530" s="25">
        <v>0</v>
      </c>
      <c r="AD530" s="10">
        <v>0</v>
      </c>
      <c r="AE530" s="10">
        <v>0</v>
      </c>
      <c r="AF530" s="10">
        <v>0</v>
      </c>
      <c r="AG530" s="10">
        <v>0</v>
      </c>
      <c r="AH530" s="10">
        <v>0</v>
      </c>
      <c r="AI530" s="10">
        <v>0</v>
      </c>
      <c r="AJ530" s="10">
        <v>0</v>
      </c>
      <c r="AK530" s="10">
        <v>0</v>
      </c>
      <c r="AL530" s="10">
        <v>0</v>
      </c>
      <c r="AM530" s="10">
        <v>0</v>
      </c>
      <c r="AN530" s="10">
        <v>0</v>
      </c>
      <c r="AO530" s="26">
        <f t="shared" si="26"/>
        <v>0</v>
      </c>
    </row>
    <row r="531" spans="1:41" ht="17.25" customHeight="1" x14ac:dyDescent="0.45">
      <c r="A531" s="2" t="s">
        <v>15</v>
      </c>
      <c r="B531" s="2" t="s">
        <v>45</v>
      </c>
      <c r="C531" s="23">
        <v>53</v>
      </c>
      <c r="D531" s="1">
        <v>50</v>
      </c>
      <c r="E531" s="1">
        <v>53</v>
      </c>
      <c r="F531" s="1">
        <v>35</v>
      </c>
      <c r="G531" s="1">
        <v>44</v>
      </c>
      <c r="H531" s="1">
        <v>37</v>
      </c>
      <c r="I531" s="1">
        <v>42</v>
      </c>
      <c r="J531" s="1">
        <v>42</v>
      </c>
      <c r="K531" s="1">
        <v>30</v>
      </c>
      <c r="L531" s="1">
        <v>44</v>
      </c>
      <c r="M531" s="1">
        <v>44</v>
      </c>
      <c r="N531" s="1">
        <v>44</v>
      </c>
      <c r="O531" s="24">
        <f t="shared" si="24"/>
        <v>518</v>
      </c>
      <c r="P531" s="23">
        <v>7129</v>
      </c>
      <c r="Q531" s="1">
        <v>6551</v>
      </c>
      <c r="R531" s="1">
        <v>7656</v>
      </c>
      <c r="S531" s="1">
        <v>5344</v>
      </c>
      <c r="T531" s="1">
        <v>5910</v>
      </c>
      <c r="U531" s="1">
        <v>5904</v>
      </c>
      <c r="V531" s="1">
        <v>6298</v>
      </c>
      <c r="W531" s="1">
        <v>5918</v>
      </c>
      <c r="X531" s="1">
        <v>4526</v>
      </c>
      <c r="Y531" s="1">
        <v>7132</v>
      </c>
      <c r="Z531" s="1">
        <v>7447</v>
      </c>
      <c r="AA531" s="1">
        <v>7464</v>
      </c>
      <c r="AB531" s="24">
        <f t="shared" si="25"/>
        <v>77279</v>
      </c>
      <c r="AC531" s="23">
        <v>0</v>
      </c>
      <c r="AD531" s="1">
        <v>0</v>
      </c>
      <c r="AE531" s="1">
        <v>0</v>
      </c>
      <c r="AF531" s="1">
        <v>0</v>
      </c>
      <c r="AG531" s="1">
        <v>0</v>
      </c>
      <c r="AH531" s="1">
        <v>0</v>
      </c>
      <c r="AI531" s="1">
        <v>0</v>
      </c>
      <c r="AJ531" s="1">
        <v>0</v>
      </c>
      <c r="AK531" s="1">
        <v>0</v>
      </c>
      <c r="AL531" s="1">
        <v>0</v>
      </c>
      <c r="AM531" s="1">
        <v>0</v>
      </c>
      <c r="AN531" s="1">
        <v>0</v>
      </c>
      <c r="AO531" s="24">
        <f t="shared" si="26"/>
        <v>0</v>
      </c>
    </row>
    <row r="532" spans="1:41" ht="17.25" customHeight="1" x14ac:dyDescent="0.45">
      <c r="A532" s="12" t="s">
        <v>15</v>
      </c>
      <c r="B532" s="12" t="s">
        <v>21</v>
      </c>
      <c r="C532" s="25">
        <v>151</v>
      </c>
      <c r="D532" s="10">
        <v>116</v>
      </c>
      <c r="E532" s="10">
        <v>136</v>
      </c>
      <c r="F532" s="10">
        <v>204</v>
      </c>
      <c r="G532" s="10">
        <v>222</v>
      </c>
      <c r="H532" s="10">
        <v>213</v>
      </c>
      <c r="I532" s="10">
        <v>238</v>
      </c>
      <c r="J532" s="10">
        <v>224</v>
      </c>
      <c r="K532" s="10">
        <v>199</v>
      </c>
      <c r="L532" s="10">
        <v>218</v>
      </c>
      <c r="M532" s="10">
        <v>218</v>
      </c>
      <c r="N532" s="10">
        <v>219</v>
      </c>
      <c r="O532" s="26">
        <f t="shared" si="24"/>
        <v>2358</v>
      </c>
      <c r="P532" s="25">
        <v>26907</v>
      </c>
      <c r="Q532" s="10">
        <v>24542</v>
      </c>
      <c r="R532" s="10">
        <v>28193</v>
      </c>
      <c r="S532" s="10">
        <v>33516</v>
      </c>
      <c r="T532" s="10">
        <v>37986</v>
      </c>
      <c r="U532" s="10">
        <v>38291</v>
      </c>
      <c r="V532" s="10">
        <v>39171</v>
      </c>
      <c r="W532" s="10">
        <v>40098</v>
      </c>
      <c r="X532" s="10">
        <v>27800</v>
      </c>
      <c r="Y532" s="10">
        <v>33965</v>
      </c>
      <c r="Z532" s="10">
        <v>36302</v>
      </c>
      <c r="AA532" s="10">
        <v>40134</v>
      </c>
      <c r="AB532" s="26">
        <f t="shared" si="25"/>
        <v>406905</v>
      </c>
      <c r="AC532" s="25">
        <v>11572.800000000001</v>
      </c>
      <c r="AD532" s="10">
        <v>7145.8000000000011</v>
      </c>
      <c r="AE532" s="10">
        <v>10148</v>
      </c>
      <c r="AF532" s="10">
        <v>15416</v>
      </c>
      <c r="AG532" s="10">
        <v>13096.899999999998</v>
      </c>
      <c r="AH532" s="10">
        <v>16395.3</v>
      </c>
      <c r="AI532" s="10">
        <v>22964.9</v>
      </c>
      <c r="AJ532" s="10">
        <v>12324.7</v>
      </c>
      <c r="AK532" s="10">
        <v>11684</v>
      </c>
      <c r="AL532" s="10">
        <v>7804.3</v>
      </c>
      <c r="AM532" s="10">
        <v>6692.5</v>
      </c>
      <c r="AN532" s="10">
        <v>6934</v>
      </c>
      <c r="AO532" s="26">
        <f t="shared" si="26"/>
        <v>142179.20000000001</v>
      </c>
    </row>
    <row r="533" spans="1:41" ht="17.25" customHeight="1" x14ac:dyDescent="0.45">
      <c r="A533" s="2" t="s">
        <v>15</v>
      </c>
      <c r="B533" s="2" t="s">
        <v>22</v>
      </c>
      <c r="C533" s="23">
        <v>150</v>
      </c>
      <c r="D533" s="1">
        <v>116</v>
      </c>
      <c r="E533" s="1">
        <v>124</v>
      </c>
      <c r="F533" s="1">
        <v>119</v>
      </c>
      <c r="G533" s="1">
        <v>140</v>
      </c>
      <c r="H533" s="1">
        <v>171</v>
      </c>
      <c r="I533" s="1">
        <v>188</v>
      </c>
      <c r="J533" s="1">
        <v>202</v>
      </c>
      <c r="K533" s="1">
        <v>158</v>
      </c>
      <c r="L533" s="1">
        <v>179</v>
      </c>
      <c r="M533" s="1">
        <v>166</v>
      </c>
      <c r="N533" s="1">
        <v>170</v>
      </c>
      <c r="O533" s="24">
        <f t="shared" si="24"/>
        <v>1883</v>
      </c>
      <c r="P533" s="23">
        <v>23953</v>
      </c>
      <c r="Q533" s="1">
        <v>19510</v>
      </c>
      <c r="R533" s="1">
        <v>21254</v>
      </c>
      <c r="S533" s="1">
        <v>20640</v>
      </c>
      <c r="T533" s="1">
        <v>24517</v>
      </c>
      <c r="U533" s="1">
        <v>30378</v>
      </c>
      <c r="V533" s="1">
        <v>33111</v>
      </c>
      <c r="W533" s="1">
        <v>29671</v>
      </c>
      <c r="X533" s="1">
        <v>27023</v>
      </c>
      <c r="Y533" s="1">
        <v>31344</v>
      </c>
      <c r="Z533" s="1">
        <v>28859</v>
      </c>
      <c r="AA533" s="1">
        <v>30072</v>
      </c>
      <c r="AB533" s="24">
        <f t="shared" si="25"/>
        <v>320332</v>
      </c>
      <c r="AC533" s="23">
        <v>17119.470000000005</v>
      </c>
      <c r="AD533" s="1">
        <v>15288.329999999998</v>
      </c>
      <c r="AE533" s="1">
        <v>19780.719999999998</v>
      </c>
      <c r="AF533" s="1">
        <v>17426.179999999997</v>
      </c>
      <c r="AG533" s="1">
        <v>20215</v>
      </c>
      <c r="AH533" s="1">
        <v>13892.369999999999</v>
      </c>
      <c r="AI533" s="1">
        <v>20014.710000000003</v>
      </c>
      <c r="AJ533" s="1">
        <v>16502.27</v>
      </c>
      <c r="AK533" s="1">
        <v>13953.499999999998</v>
      </c>
      <c r="AL533" s="1">
        <v>15714</v>
      </c>
      <c r="AM533" s="1">
        <v>19013.75</v>
      </c>
      <c r="AN533" s="1">
        <v>26927.13</v>
      </c>
      <c r="AO533" s="24">
        <f t="shared" si="26"/>
        <v>215847.43</v>
      </c>
    </row>
    <row r="534" spans="1:41" ht="17.25" customHeight="1" x14ac:dyDescent="0.45">
      <c r="A534" s="12" t="s">
        <v>15</v>
      </c>
      <c r="B534" s="12" t="s">
        <v>42</v>
      </c>
      <c r="C534" s="25">
        <v>50</v>
      </c>
      <c r="D534" s="10">
        <v>45</v>
      </c>
      <c r="E534" s="10">
        <v>49</v>
      </c>
      <c r="F534" s="10">
        <v>43</v>
      </c>
      <c r="G534" s="10">
        <v>41</v>
      </c>
      <c r="H534" s="10">
        <v>43</v>
      </c>
      <c r="I534" s="10">
        <v>51</v>
      </c>
      <c r="J534" s="10">
        <v>45</v>
      </c>
      <c r="K534" s="10">
        <v>37</v>
      </c>
      <c r="L534" s="10">
        <v>44</v>
      </c>
      <c r="M534" s="10">
        <v>38</v>
      </c>
      <c r="N534" s="10">
        <v>39</v>
      </c>
      <c r="O534" s="26">
        <f t="shared" si="24"/>
        <v>525</v>
      </c>
      <c r="P534" s="25">
        <v>5645</v>
      </c>
      <c r="Q534" s="10">
        <v>5149</v>
      </c>
      <c r="R534" s="10">
        <v>6723</v>
      </c>
      <c r="S534" s="10">
        <v>6211</v>
      </c>
      <c r="T534" s="10">
        <v>5450</v>
      </c>
      <c r="U534" s="10">
        <v>6974</v>
      </c>
      <c r="V534" s="10">
        <v>8645</v>
      </c>
      <c r="W534" s="10">
        <v>6636</v>
      </c>
      <c r="X534" s="10">
        <v>5787</v>
      </c>
      <c r="Y534" s="10">
        <v>7136</v>
      </c>
      <c r="Z534" s="10">
        <v>6935</v>
      </c>
      <c r="AA534" s="10">
        <v>8161</v>
      </c>
      <c r="AB534" s="26">
        <f t="shared" si="25"/>
        <v>79452</v>
      </c>
      <c r="AC534" s="25">
        <v>0</v>
      </c>
      <c r="AD534" s="10">
        <v>0</v>
      </c>
      <c r="AE534" s="10">
        <v>0</v>
      </c>
      <c r="AF534" s="10">
        <v>0</v>
      </c>
      <c r="AG534" s="10">
        <v>0</v>
      </c>
      <c r="AH534" s="10">
        <v>0</v>
      </c>
      <c r="AI534" s="10">
        <v>0</v>
      </c>
      <c r="AJ534" s="10">
        <v>0</v>
      </c>
      <c r="AK534" s="10">
        <v>0</v>
      </c>
      <c r="AL534" s="10">
        <v>0</v>
      </c>
      <c r="AM534" s="10">
        <v>0</v>
      </c>
      <c r="AN534" s="10">
        <v>0</v>
      </c>
      <c r="AO534" s="26">
        <f t="shared" si="26"/>
        <v>0</v>
      </c>
    </row>
    <row r="535" spans="1:41" ht="17.25" customHeight="1" x14ac:dyDescent="0.45">
      <c r="A535" s="2" t="s">
        <v>15</v>
      </c>
      <c r="B535" s="2" t="s">
        <v>11</v>
      </c>
      <c r="C535" s="23">
        <v>419</v>
      </c>
      <c r="D535" s="1">
        <v>351</v>
      </c>
      <c r="E535" s="1">
        <v>397</v>
      </c>
      <c r="F535" s="1">
        <v>422</v>
      </c>
      <c r="G535" s="1">
        <v>459</v>
      </c>
      <c r="H535" s="1">
        <v>461</v>
      </c>
      <c r="I535" s="1">
        <v>534</v>
      </c>
      <c r="J535" s="1">
        <v>521</v>
      </c>
      <c r="K535" s="1">
        <v>401</v>
      </c>
      <c r="L535" s="1">
        <v>441</v>
      </c>
      <c r="M535" s="1">
        <v>445</v>
      </c>
      <c r="N535" s="1">
        <v>461</v>
      </c>
      <c r="O535" s="24">
        <f t="shared" si="24"/>
        <v>5312</v>
      </c>
      <c r="P535" s="23">
        <v>68757</v>
      </c>
      <c r="Q535" s="1">
        <v>59537</v>
      </c>
      <c r="R535" s="1">
        <v>68328</v>
      </c>
      <c r="S535" s="1">
        <v>65430</v>
      </c>
      <c r="T535" s="1">
        <v>75164</v>
      </c>
      <c r="U535" s="1">
        <v>83366</v>
      </c>
      <c r="V535" s="1">
        <v>86741</v>
      </c>
      <c r="W535" s="1">
        <v>77938</v>
      </c>
      <c r="X535" s="1">
        <v>68015</v>
      </c>
      <c r="Y535" s="1">
        <v>75505</v>
      </c>
      <c r="Z535" s="1">
        <v>80410</v>
      </c>
      <c r="AA535" s="1">
        <v>89436</v>
      </c>
      <c r="AB535" s="24">
        <f t="shared" si="25"/>
        <v>898627</v>
      </c>
      <c r="AC535" s="23">
        <v>218984.53</v>
      </c>
      <c r="AD535" s="1">
        <v>218543.39</v>
      </c>
      <c r="AE535" s="1">
        <v>218879.75</v>
      </c>
      <c r="AF535" s="1">
        <v>236827.44000000003</v>
      </c>
      <c r="AG535" s="1">
        <v>233711.80000000002</v>
      </c>
      <c r="AH535" s="1">
        <v>191209.41</v>
      </c>
      <c r="AI535" s="1">
        <v>245271.36</v>
      </c>
      <c r="AJ535" s="1">
        <v>232443.58000000007</v>
      </c>
      <c r="AK535" s="1">
        <v>193925.08000000005</v>
      </c>
      <c r="AL535" s="1">
        <v>234169.90000000002</v>
      </c>
      <c r="AM535" s="1">
        <v>234852.02</v>
      </c>
      <c r="AN535" s="1">
        <v>124301.79999999999</v>
      </c>
      <c r="AO535" s="24">
        <f t="shared" si="26"/>
        <v>2583120.06</v>
      </c>
    </row>
    <row r="536" spans="1:41" ht="17.25" customHeight="1" x14ac:dyDescent="0.45">
      <c r="A536" s="12" t="s">
        <v>15</v>
      </c>
      <c r="B536" s="12" t="s">
        <v>38</v>
      </c>
      <c r="C536" s="25">
        <v>71</v>
      </c>
      <c r="D536" s="10">
        <v>62</v>
      </c>
      <c r="E536" s="10">
        <v>71</v>
      </c>
      <c r="F536" s="10">
        <v>94</v>
      </c>
      <c r="G536" s="10">
        <v>97</v>
      </c>
      <c r="H536" s="10">
        <v>89</v>
      </c>
      <c r="I536" s="10">
        <v>94</v>
      </c>
      <c r="J536" s="10">
        <v>93</v>
      </c>
      <c r="K536" s="10">
        <v>98</v>
      </c>
      <c r="L536" s="10">
        <v>103</v>
      </c>
      <c r="M536" s="10">
        <v>106</v>
      </c>
      <c r="N536" s="10">
        <v>102</v>
      </c>
      <c r="O536" s="26">
        <f t="shared" si="24"/>
        <v>1080</v>
      </c>
      <c r="P536" s="25">
        <v>8893</v>
      </c>
      <c r="Q536" s="10">
        <v>10956</v>
      </c>
      <c r="R536" s="10">
        <v>12429</v>
      </c>
      <c r="S536" s="10">
        <v>10850</v>
      </c>
      <c r="T536" s="10">
        <v>11418</v>
      </c>
      <c r="U536" s="10">
        <v>10272</v>
      </c>
      <c r="V536" s="10">
        <v>10066</v>
      </c>
      <c r="W536" s="10">
        <v>11362</v>
      </c>
      <c r="X536" s="10">
        <v>10911</v>
      </c>
      <c r="Y536" s="10">
        <v>13726</v>
      </c>
      <c r="Z536" s="10">
        <v>14052</v>
      </c>
      <c r="AA536" s="10">
        <v>12983</v>
      </c>
      <c r="AB536" s="26">
        <f t="shared" si="25"/>
        <v>137918</v>
      </c>
      <c r="AC536" s="25">
        <v>50291.94</v>
      </c>
      <c r="AD536" s="10">
        <v>47905.479999999996</v>
      </c>
      <c r="AE536" s="10">
        <v>50340.409999999996</v>
      </c>
      <c r="AF536" s="10">
        <v>45612.250000000007</v>
      </c>
      <c r="AG536" s="10">
        <v>43908</v>
      </c>
      <c r="AH536" s="10">
        <v>52837.95</v>
      </c>
      <c r="AI536" s="10">
        <v>51968.59</v>
      </c>
      <c r="AJ536" s="10">
        <v>55593.26</v>
      </c>
      <c r="AK536" s="10">
        <v>36476.29</v>
      </c>
      <c r="AL536" s="10">
        <v>41075</v>
      </c>
      <c r="AM536" s="10">
        <v>56417.94</v>
      </c>
      <c r="AN536" s="10">
        <v>35380.060000000005</v>
      </c>
      <c r="AO536" s="26">
        <f t="shared" si="26"/>
        <v>567807.17000000004</v>
      </c>
    </row>
    <row r="537" spans="1:41" ht="17.25" customHeight="1" x14ac:dyDescent="0.45">
      <c r="A537" s="2" t="s">
        <v>15</v>
      </c>
      <c r="B537" s="2" t="s">
        <v>51</v>
      </c>
      <c r="C537" s="23">
        <v>3</v>
      </c>
      <c r="D537" s="1">
        <v>0</v>
      </c>
      <c r="E537" s="1">
        <v>0</v>
      </c>
      <c r="F537" s="1">
        <v>0</v>
      </c>
      <c r="G537" s="1">
        <v>0</v>
      </c>
      <c r="H537" s="1">
        <v>0</v>
      </c>
      <c r="I537" s="1">
        <v>0</v>
      </c>
      <c r="J537" s="1">
        <v>0</v>
      </c>
      <c r="K537" s="1">
        <v>0</v>
      </c>
      <c r="L537" s="1">
        <v>0</v>
      </c>
      <c r="M537" s="1">
        <v>0</v>
      </c>
      <c r="N537" s="1">
        <v>0</v>
      </c>
      <c r="O537" s="24">
        <f t="shared" si="24"/>
        <v>3</v>
      </c>
      <c r="P537" s="23">
        <v>369</v>
      </c>
      <c r="Q537" s="1">
        <v>0</v>
      </c>
      <c r="R537" s="1">
        <v>0</v>
      </c>
      <c r="S537" s="1">
        <v>0</v>
      </c>
      <c r="T537" s="1">
        <v>0</v>
      </c>
      <c r="U537" s="1">
        <v>0</v>
      </c>
      <c r="V537" s="1">
        <v>0</v>
      </c>
      <c r="W537" s="1">
        <v>0</v>
      </c>
      <c r="X537" s="1">
        <v>0</v>
      </c>
      <c r="Y537" s="1">
        <v>0</v>
      </c>
      <c r="Z537" s="1">
        <v>0</v>
      </c>
      <c r="AA537" s="1">
        <v>0</v>
      </c>
      <c r="AB537" s="24">
        <f t="shared" si="25"/>
        <v>369</v>
      </c>
      <c r="AC537" s="23">
        <v>0</v>
      </c>
      <c r="AD537" s="1">
        <v>0</v>
      </c>
      <c r="AE537" s="1">
        <v>0</v>
      </c>
      <c r="AF537" s="1">
        <v>0</v>
      </c>
      <c r="AG537" s="1">
        <v>0</v>
      </c>
      <c r="AH537" s="1">
        <v>0</v>
      </c>
      <c r="AI537" s="1">
        <v>0</v>
      </c>
      <c r="AJ537" s="1">
        <v>0</v>
      </c>
      <c r="AK537" s="1">
        <v>0</v>
      </c>
      <c r="AL537" s="1">
        <v>0</v>
      </c>
      <c r="AM537" s="1">
        <v>0</v>
      </c>
      <c r="AN537" s="1">
        <v>0</v>
      </c>
      <c r="AO537" s="24">
        <f t="shared" si="26"/>
        <v>0</v>
      </c>
    </row>
    <row r="538" spans="1:41" ht="17.25" customHeight="1" x14ac:dyDescent="0.45">
      <c r="A538" s="12" t="s">
        <v>15</v>
      </c>
      <c r="B538" s="12" t="s">
        <v>52</v>
      </c>
      <c r="C538" s="25">
        <v>18</v>
      </c>
      <c r="D538" s="10">
        <v>17</v>
      </c>
      <c r="E538" s="10">
        <v>18</v>
      </c>
      <c r="F538" s="10">
        <v>16</v>
      </c>
      <c r="G538" s="10">
        <v>17</v>
      </c>
      <c r="H538" s="10">
        <v>18</v>
      </c>
      <c r="I538" s="10">
        <v>17</v>
      </c>
      <c r="J538" s="10">
        <v>18</v>
      </c>
      <c r="K538" s="10">
        <v>16</v>
      </c>
      <c r="L538" s="10">
        <v>19</v>
      </c>
      <c r="M538" s="10">
        <v>19</v>
      </c>
      <c r="N538" s="10">
        <v>21</v>
      </c>
      <c r="O538" s="26">
        <f t="shared" si="24"/>
        <v>214</v>
      </c>
      <c r="P538" s="25">
        <v>2405</v>
      </c>
      <c r="Q538" s="10">
        <v>2544</v>
      </c>
      <c r="R538" s="10">
        <v>3021</v>
      </c>
      <c r="S538" s="10">
        <v>2293</v>
      </c>
      <c r="T538" s="10">
        <v>2237</v>
      </c>
      <c r="U538" s="10">
        <v>2756</v>
      </c>
      <c r="V538" s="10">
        <v>2551</v>
      </c>
      <c r="W538" s="10">
        <v>2556</v>
      </c>
      <c r="X538" s="10">
        <v>2069</v>
      </c>
      <c r="Y538" s="10">
        <v>2732</v>
      </c>
      <c r="Z538" s="10">
        <v>2849</v>
      </c>
      <c r="AA538" s="10">
        <v>3583</v>
      </c>
      <c r="AB538" s="26">
        <f t="shared" si="25"/>
        <v>31596</v>
      </c>
      <c r="AC538" s="25">
        <v>0</v>
      </c>
      <c r="AD538" s="10">
        <v>0</v>
      </c>
      <c r="AE538" s="10">
        <v>0</v>
      </c>
      <c r="AF538" s="10">
        <v>0</v>
      </c>
      <c r="AG538" s="10">
        <v>0</v>
      </c>
      <c r="AH538" s="10">
        <v>0</v>
      </c>
      <c r="AI538" s="10">
        <v>0</v>
      </c>
      <c r="AJ538" s="10">
        <v>0</v>
      </c>
      <c r="AK538" s="10">
        <v>0</v>
      </c>
      <c r="AL538" s="10">
        <v>0</v>
      </c>
      <c r="AM538" s="10">
        <v>0</v>
      </c>
      <c r="AN538" s="10">
        <v>0</v>
      </c>
      <c r="AO538" s="26">
        <f t="shared" si="26"/>
        <v>0</v>
      </c>
    </row>
    <row r="539" spans="1:41" ht="17.25" customHeight="1" x14ac:dyDescent="0.45">
      <c r="A539" s="2" t="s">
        <v>15</v>
      </c>
      <c r="B539" s="2" t="s">
        <v>47</v>
      </c>
      <c r="C539" s="23">
        <v>51</v>
      </c>
      <c r="D539" s="1">
        <v>41</v>
      </c>
      <c r="E539" s="1">
        <v>50</v>
      </c>
      <c r="F539" s="1">
        <v>68</v>
      </c>
      <c r="G539" s="1">
        <v>75</v>
      </c>
      <c r="H539" s="1">
        <v>69</v>
      </c>
      <c r="I539" s="1">
        <v>75</v>
      </c>
      <c r="J539" s="1">
        <v>76</v>
      </c>
      <c r="K539" s="1">
        <v>69</v>
      </c>
      <c r="L539" s="1">
        <v>73</v>
      </c>
      <c r="M539" s="1">
        <v>72</v>
      </c>
      <c r="N539" s="1">
        <v>77</v>
      </c>
      <c r="O539" s="24">
        <f t="shared" si="24"/>
        <v>796</v>
      </c>
      <c r="P539" s="23">
        <v>6245</v>
      </c>
      <c r="Q539" s="1">
        <v>6155</v>
      </c>
      <c r="R539" s="1">
        <v>8339</v>
      </c>
      <c r="S539" s="1">
        <v>9878</v>
      </c>
      <c r="T539" s="1">
        <v>10916</v>
      </c>
      <c r="U539" s="1">
        <v>11254</v>
      </c>
      <c r="V539" s="1">
        <v>11761</v>
      </c>
      <c r="W539" s="1">
        <v>11806</v>
      </c>
      <c r="X539" s="1">
        <v>9469</v>
      </c>
      <c r="Y539" s="1">
        <v>11003</v>
      </c>
      <c r="Z539" s="1">
        <v>12157</v>
      </c>
      <c r="AA539" s="1">
        <v>12822</v>
      </c>
      <c r="AB539" s="24">
        <f t="shared" si="25"/>
        <v>121805</v>
      </c>
      <c r="AC539" s="23">
        <v>4890.95</v>
      </c>
      <c r="AD539" s="1">
        <v>3690.4999999999995</v>
      </c>
      <c r="AE539" s="1">
        <v>5913.2800000000007</v>
      </c>
      <c r="AF539" s="1">
        <v>6653.35</v>
      </c>
      <c r="AG539" s="1">
        <v>9506</v>
      </c>
      <c r="AH539" s="1">
        <v>11573.3</v>
      </c>
      <c r="AI539" s="1">
        <v>9141.0500000000047</v>
      </c>
      <c r="AJ539" s="1">
        <v>11061.790000000005</v>
      </c>
      <c r="AK539" s="1">
        <v>6424.2800000000007</v>
      </c>
      <c r="AL539" s="1">
        <v>7010</v>
      </c>
      <c r="AM539" s="1">
        <v>8829.9500000000007</v>
      </c>
      <c r="AN539" s="1">
        <v>8875.6900000000023</v>
      </c>
      <c r="AO539" s="24">
        <f t="shared" si="26"/>
        <v>93570.140000000014</v>
      </c>
    </row>
    <row r="540" spans="1:41" ht="17.25" customHeight="1" x14ac:dyDescent="0.45">
      <c r="A540" s="12" t="s">
        <v>15</v>
      </c>
      <c r="B540" s="12" t="s">
        <v>54</v>
      </c>
      <c r="C540" s="25">
        <v>17</v>
      </c>
      <c r="D540" s="10">
        <v>17</v>
      </c>
      <c r="E540" s="10">
        <v>20</v>
      </c>
      <c r="F540" s="10">
        <v>19</v>
      </c>
      <c r="G540" s="10">
        <v>16</v>
      </c>
      <c r="H540" s="10">
        <v>17</v>
      </c>
      <c r="I540" s="10">
        <v>23</v>
      </c>
      <c r="J540" s="10">
        <v>19</v>
      </c>
      <c r="K540" s="10">
        <v>17</v>
      </c>
      <c r="L540" s="10">
        <v>17</v>
      </c>
      <c r="M540" s="10">
        <v>18</v>
      </c>
      <c r="N540" s="10">
        <v>19</v>
      </c>
      <c r="O540" s="26">
        <f t="shared" si="24"/>
        <v>219</v>
      </c>
      <c r="P540" s="25">
        <v>1359</v>
      </c>
      <c r="Q540" s="10">
        <v>2037</v>
      </c>
      <c r="R540" s="10">
        <v>2905</v>
      </c>
      <c r="S540" s="10">
        <v>2307</v>
      </c>
      <c r="T540" s="10">
        <v>2240</v>
      </c>
      <c r="U540" s="10">
        <v>2653</v>
      </c>
      <c r="V540" s="10">
        <v>3136</v>
      </c>
      <c r="W540" s="10">
        <v>2664</v>
      </c>
      <c r="X540" s="10">
        <v>2217</v>
      </c>
      <c r="Y540" s="10">
        <v>2511</v>
      </c>
      <c r="Z540" s="10">
        <v>2450</v>
      </c>
      <c r="AA540" s="10">
        <v>2257</v>
      </c>
      <c r="AB540" s="26">
        <f t="shared" si="25"/>
        <v>28736</v>
      </c>
      <c r="AC540" s="25">
        <v>0</v>
      </c>
      <c r="AD540" s="10">
        <v>0</v>
      </c>
      <c r="AE540" s="10">
        <v>0</v>
      </c>
      <c r="AF540" s="10">
        <v>0</v>
      </c>
      <c r="AG540" s="10">
        <v>0</v>
      </c>
      <c r="AH540" s="10">
        <v>0</v>
      </c>
      <c r="AI540" s="10">
        <v>0</v>
      </c>
      <c r="AJ540" s="10">
        <v>0</v>
      </c>
      <c r="AK540" s="10">
        <v>0</v>
      </c>
      <c r="AL540" s="10">
        <v>0</v>
      </c>
      <c r="AM540" s="10">
        <v>0</v>
      </c>
      <c r="AN540" s="10">
        <v>0</v>
      </c>
      <c r="AO540" s="26">
        <f t="shared" si="26"/>
        <v>0</v>
      </c>
    </row>
    <row r="541" spans="1:41" ht="17.25" customHeight="1" x14ac:dyDescent="0.45">
      <c r="A541" s="2" t="s">
        <v>15</v>
      </c>
      <c r="B541" s="2" t="s">
        <v>39</v>
      </c>
      <c r="C541" s="23">
        <v>50</v>
      </c>
      <c r="D541" s="1">
        <v>45</v>
      </c>
      <c r="E541" s="1">
        <v>50</v>
      </c>
      <c r="F541" s="1">
        <v>58</v>
      </c>
      <c r="G541" s="1">
        <v>62</v>
      </c>
      <c r="H541" s="1">
        <v>47</v>
      </c>
      <c r="I541" s="1">
        <v>61</v>
      </c>
      <c r="J541" s="1">
        <v>62</v>
      </c>
      <c r="K541" s="1">
        <v>55</v>
      </c>
      <c r="L541" s="1">
        <v>61</v>
      </c>
      <c r="M541" s="1">
        <v>60</v>
      </c>
      <c r="N541" s="1">
        <v>64</v>
      </c>
      <c r="O541" s="24">
        <f t="shared" si="24"/>
        <v>675</v>
      </c>
      <c r="P541" s="23">
        <v>6719</v>
      </c>
      <c r="Q541" s="1">
        <v>6732</v>
      </c>
      <c r="R541" s="1">
        <v>7860</v>
      </c>
      <c r="S541" s="1">
        <v>7906</v>
      </c>
      <c r="T541" s="1">
        <v>7939</v>
      </c>
      <c r="U541" s="1">
        <v>6738</v>
      </c>
      <c r="V541" s="1">
        <v>8217</v>
      </c>
      <c r="W541" s="1">
        <v>8386</v>
      </c>
      <c r="X541" s="1">
        <v>7110</v>
      </c>
      <c r="Y541" s="1">
        <v>9529</v>
      </c>
      <c r="Z541" s="1">
        <v>9391</v>
      </c>
      <c r="AA541" s="1">
        <v>10225</v>
      </c>
      <c r="AB541" s="24">
        <f t="shared" si="25"/>
        <v>96752</v>
      </c>
      <c r="AC541" s="23">
        <v>0</v>
      </c>
      <c r="AD541" s="1">
        <v>0</v>
      </c>
      <c r="AE541" s="1">
        <v>0</v>
      </c>
      <c r="AF541" s="1">
        <v>0</v>
      </c>
      <c r="AG541" s="1">
        <v>0</v>
      </c>
      <c r="AH541" s="1">
        <v>0</v>
      </c>
      <c r="AI541" s="1">
        <v>0</v>
      </c>
      <c r="AJ541" s="1">
        <v>0</v>
      </c>
      <c r="AK541" s="1">
        <v>0</v>
      </c>
      <c r="AL541" s="1">
        <v>0</v>
      </c>
      <c r="AM541" s="1">
        <v>0</v>
      </c>
      <c r="AN541" s="1">
        <v>0</v>
      </c>
      <c r="AO541" s="24">
        <f t="shared" si="26"/>
        <v>0</v>
      </c>
    </row>
    <row r="542" spans="1:41" ht="17.25" customHeight="1" x14ac:dyDescent="0.45">
      <c r="A542" s="12" t="s">
        <v>15</v>
      </c>
      <c r="B542" s="12" t="s">
        <v>40</v>
      </c>
      <c r="C542" s="25">
        <v>94</v>
      </c>
      <c r="D542" s="10">
        <v>79</v>
      </c>
      <c r="E542" s="10">
        <v>88</v>
      </c>
      <c r="F542" s="10">
        <v>103</v>
      </c>
      <c r="G542" s="10">
        <v>101</v>
      </c>
      <c r="H542" s="10">
        <v>97</v>
      </c>
      <c r="I542" s="10">
        <v>118</v>
      </c>
      <c r="J542" s="10">
        <v>115</v>
      </c>
      <c r="K542" s="10">
        <v>90</v>
      </c>
      <c r="L542" s="10">
        <v>100</v>
      </c>
      <c r="M542" s="10">
        <v>91</v>
      </c>
      <c r="N542" s="10">
        <v>94</v>
      </c>
      <c r="O542" s="26">
        <f t="shared" si="24"/>
        <v>1170</v>
      </c>
      <c r="P542" s="25">
        <v>14917</v>
      </c>
      <c r="Q542" s="10">
        <v>15263</v>
      </c>
      <c r="R542" s="10">
        <v>17378</v>
      </c>
      <c r="S542" s="10">
        <v>17031</v>
      </c>
      <c r="T542" s="10">
        <v>17962</v>
      </c>
      <c r="U542" s="10">
        <v>17774</v>
      </c>
      <c r="V542" s="10">
        <v>20612</v>
      </c>
      <c r="W542" s="10">
        <v>19590</v>
      </c>
      <c r="X542" s="10">
        <v>15155</v>
      </c>
      <c r="Y542" s="10">
        <v>16509</v>
      </c>
      <c r="Z542" s="10">
        <v>17683</v>
      </c>
      <c r="AA542" s="10">
        <v>19787</v>
      </c>
      <c r="AB542" s="26">
        <f t="shared" si="25"/>
        <v>209661</v>
      </c>
      <c r="AC542" s="25">
        <v>7679.3</v>
      </c>
      <c r="AD542" s="10">
        <v>4848.0599999999995</v>
      </c>
      <c r="AE542" s="10">
        <v>0</v>
      </c>
      <c r="AF542" s="10">
        <v>0</v>
      </c>
      <c r="AG542" s="10">
        <v>0</v>
      </c>
      <c r="AH542" s="10">
        <v>0</v>
      </c>
      <c r="AI542" s="10">
        <v>0</v>
      </c>
      <c r="AJ542" s="10">
        <v>0</v>
      </c>
      <c r="AK542" s="10">
        <v>0</v>
      </c>
      <c r="AL542" s="10">
        <v>0</v>
      </c>
      <c r="AM542" s="10">
        <v>0</v>
      </c>
      <c r="AN542" s="10">
        <v>0</v>
      </c>
      <c r="AO542" s="26">
        <f t="shared" si="26"/>
        <v>12527.36</v>
      </c>
    </row>
    <row r="543" spans="1:41" ht="17.25" customHeight="1" x14ac:dyDescent="0.45">
      <c r="A543" s="2" t="s">
        <v>15</v>
      </c>
      <c r="B543" s="2" t="s">
        <v>23</v>
      </c>
      <c r="C543" s="23">
        <v>4</v>
      </c>
      <c r="D543" s="1">
        <v>0</v>
      </c>
      <c r="E543" s="1">
        <v>0</v>
      </c>
      <c r="F543" s="1">
        <v>0</v>
      </c>
      <c r="G543" s="1">
        <v>0</v>
      </c>
      <c r="H543" s="1">
        <v>0</v>
      </c>
      <c r="I543" s="1">
        <v>0</v>
      </c>
      <c r="J543" s="1">
        <v>0</v>
      </c>
      <c r="K543" s="1">
        <v>0</v>
      </c>
      <c r="L543" s="1">
        <v>0</v>
      </c>
      <c r="M543" s="1">
        <v>13</v>
      </c>
      <c r="N543" s="1">
        <v>15</v>
      </c>
      <c r="O543" s="24">
        <f t="shared" si="24"/>
        <v>32</v>
      </c>
      <c r="P543" s="23">
        <v>598</v>
      </c>
      <c r="Q543" s="1">
        <v>0</v>
      </c>
      <c r="R543" s="1">
        <v>0</v>
      </c>
      <c r="S543" s="1">
        <v>0</v>
      </c>
      <c r="T543" s="1">
        <v>0</v>
      </c>
      <c r="U543" s="1">
        <v>0</v>
      </c>
      <c r="V543" s="1">
        <v>0</v>
      </c>
      <c r="W543" s="1">
        <v>0</v>
      </c>
      <c r="X543" s="1">
        <v>0</v>
      </c>
      <c r="Y543" s="1">
        <v>0</v>
      </c>
      <c r="Z543" s="1">
        <v>416</v>
      </c>
      <c r="AA543" s="1">
        <v>595</v>
      </c>
      <c r="AB543" s="24">
        <f t="shared" si="25"/>
        <v>1609</v>
      </c>
      <c r="AC543" s="23">
        <v>0</v>
      </c>
      <c r="AD543" s="1">
        <v>0</v>
      </c>
      <c r="AE543" s="1">
        <v>0</v>
      </c>
      <c r="AF543" s="1">
        <v>0</v>
      </c>
      <c r="AG543" s="1">
        <v>0</v>
      </c>
      <c r="AH543" s="1">
        <v>0</v>
      </c>
      <c r="AI543" s="1">
        <v>0</v>
      </c>
      <c r="AJ543" s="1">
        <v>0</v>
      </c>
      <c r="AK543" s="1">
        <v>0</v>
      </c>
      <c r="AL543" s="1">
        <v>0</v>
      </c>
      <c r="AM543" s="1">
        <v>0</v>
      </c>
      <c r="AN543" s="1">
        <v>0</v>
      </c>
      <c r="AO543" s="24">
        <f t="shared" si="26"/>
        <v>0</v>
      </c>
    </row>
    <row r="544" spans="1:41" ht="17.25" customHeight="1" x14ac:dyDescent="0.45">
      <c r="A544" s="12" t="s">
        <v>15</v>
      </c>
      <c r="B544" s="12" t="s">
        <v>12</v>
      </c>
      <c r="C544" s="25">
        <v>516</v>
      </c>
      <c r="D544" s="10">
        <v>479</v>
      </c>
      <c r="E544" s="10">
        <v>503</v>
      </c>
      <c r="F544" s="10">
        <v>492</v>
      </c>
      <c r="G544" s="10">
        <v>521</v>
      </c>
      <c r="H544" s="10">
        <v>525</v>
      </c>
      <c r="I544" s="10">
        <v>541</v>
      </c>
      <c r="J544" s="10">
        <v>536</v>
      </c>
      <c r="K544" s="10">
        <v>484</v>
      </c>
      <c r="L544" s="10">
        <v>486</v>
      </c>
      <c r="M544" s="10">
        <v>498</v>
      </c>
      <c r="N544" s="10">
        <v>547</v>
      </c>
      <c r="O544" s="26">
        <f t="shared" si="24"/>
        <v>6128</v>
      </c>
      <c r="P544" s="25">
        <v>79685</v>
      </c>
      <c r="Q544" s="10">
        <v>73849</v>
      </c>
      <c r="R544" s="10">
        <v>79695</v>
      </c>
      <c r="S544" s="10">
        <v>72664</v>
      </c>
      <c r="T544" s="10">
        <v>78124</v>
      </c>
      <c r="U544" s="10">
        <v>84642</v>
      </c>
      <c r="V544" s="10">
        <v>88671</v>
      </c>
      <c r="W544" s="10">
        <v>81554</v>
      </c>
      <c r="X544" s="10">
        <v>74583</v>
      </c>
      <c r="Y544" s="10">
        <v>74236</v>
      </c>
      <c r="Z544" s="10">
        <v>78809</v>
      </c>
      <c r="AA544" s="10">
        <v>95049</v>
      </c>
      <c r="AB544" s="26">
        <f t="shared" si="25"/>
        <v>961561</v>
      </c>
      <c r="AC544" s="25">
        <v>341218.24999999994</v>
      </c>
      <c r="AD544" s="10">
        <v>329290.8</v>
      </c>
      <c r="AE544" s="10">
        <v>368937.12</v>
      </c>
      <c r="AF544" s="10">
        <v>317895</v>
      </c>
      <c r="AG544" s="10">
        <v>354865.6</v>
      </c>
      <c r="AH544" s="10">
        <v>349605.06</v>
      </c>
      <c r="AI544" s="10">
        <v>291922.66000000003</v>
      </c>
      <c r="AJ544" s="10">
        <v>307458.64999999997</v>
      </c>
      <c r="AK544" s="10">
        <v>256539.41000000006</v>
      </c>
      <c r="AL544" s="10">
        <v>335656</v>
      </c>
      <c r="AM544" s="10">
        <v>416596.30999999982</v>
      </c>
      <c r="AN544" s="10">
        <v>435958.85000000009</v>
      </c>
      <c r="AO544" s="26">
        <f t="shared" si="26"/>
        <v>4105943.7100000004</v>
      </c>
    </row>
    <row r="545" spans="1:41" ht="17.25" customHeight="1" x14ac:dyDescent="0.45">
      <c r="A545" s="2" t="s">
        <v>15</v>
      </c>
      <c r="B545" s="2" t="s">
        <v>13</v>
      </c>
      <c r="C545" s="23">
        <v>131</v>
      </c>
      <c r="D545" s="1">
        <v>107</v>
      </c>
      <c r="E545" s="1">
        <v>116</v>
      </c>
      <c r="F545" s="1">
        <v>122</v>
      </c>
      <c r="G545" s="1">
        <v>123</v>
      </c>
      <c r="H545" s="1">
        <v>116</v>
      </c>
      <c r="I545" s="1">
        <v>116</v>
      </c>
      <c r="J545" s="1">
        <v>122</v>
      </c>
      <c r="K545" s="1">
        <v>120</v>
      </c>
      <c r="L545" s="1">
        <v>122</v>
      </c>
      <c r="M545" s="1">
        <v>118</v>
      </c>
      <c r="N545" s="1">
        <v>116</v>
      </c>
      <c r="O545" s="24">
        <f t="shared" si="24"/>
        <v>1429</v>
      </c>
      <c r="P545" s="23">
        <v>18879</v>
      </c>
      <c r="Q545" s="1">
        <v>16087</v>
      </c>
      <c r="R545" s="1">
        <v>18685</v>
      </c>
      <c r="S545" s="1">
        <v>18401</v>
      </c>
      <c r="T545" s="1">
        <v>17608</v>
      </c>
      <c r="U545" s="1">
        <v>17203</v>
      </c>
      <c r="V545" s="1">
        <v>19898</v>
      </c>
      <c r="W545" s="1">
        <v>20162</v>
      </c>
      <c r="X545" s="1">
        <v>18496</v>
      </c>
      <c r="Y545" s="1">
        <v>19506</v>
      </c>
      <c r="Z545" s="1">
        <v>19546</v>
      </c>
      <c r="AA545" s="1">
        <v>19832</v>
      </c>
      <c r="AB545" s="24">
        <f t="shared" si="25"/>
        <v>224303</v>
      </c>
      <c r="AC545" s="23">
        <v>30895.950000000004</v>
      </c>
      <c r="AD545" s="1">
        <v>27533.629999999997</v>
      </c>
      <c r="AE545" s="1">
        <v>38854.729999999996</v>
      </c>
      <c r="AF545" s="1">
        <v>52469.5</v>
      </c>
      <c r="AG545" s="1">
        <v>55959.399999999994</v>
      </c>
      <c r="AH545" s="1">
        <v>49303.719999999994</v>
      </c>
      <c r="AI545" s="1">
        <v>51332.94</v>
      </c>
      <c r="AJ545" s="1">
        <v>38814.539999999994</v>
      </c>
      <c r="AK545" s="1">
        <v>34893.129999999997</v>
      </c>
      <c r="AL545" s="1">
        <v>38818.800000000003</v>
      </c>
      <c r="AM545" s="1">
        <v>59545.57</v>
      </c>
      <c r="AN545" s="1">
        <v>61556.520000000011</v>
      </c>
      <c r="AO545" s="24">
        <f t="shared" si="26"/>
        <v>539978.42999999993</v>
      </c>
    </row>
    <row r="546" spans="1:41" ht="17.25" customHeight="1" x14ac:dyDescent="0.45">
      <c r="A546" s="12" t="s">
        <v>15</v>
      </c>
      <c r="B546" s="12" t="s">
        <v>25</v>
      </c>
      <c r="C546" s="25">
        <v>117</v>
      </c>
      <c r="D546" s="10">
        <v>80</v>
      </c>
      <c r="E546" s="10">
        <v>88</v>
      </c>
      <c r="F546" s="10">
        <v>117</v>
      </c>
      <c r="G546" s="10">
        <v>120</v>
      </c>
      <c r="H546" s="10">
        <v>115</v>
      </c>
      <c r="I546" s="10">
        <v>119</v>
      </c>
      <c r="J546" s="10">
        <v>120</v>
      </c>
      <c r="K546" s="10">
        <v>115</v>
      </c>
      <c r="L546" s="10">
        <v>119</v>
      </c>
      <c r="M546" s="10">
        <v>114</v>
      </c>
      <c r="N546" s="10">
        <v>118</v>
      </c>
      <c r="O546" s="26">
        <f t="shared" si="24"/>
        <v>1342</v>
      </c>
      <c r="P546" s="25">
        <v>18427</v>
      </c>
      <c r="Q546" s="10">
        <v>14004</v>
      </c>
      <c r="R546" s="10">
        <v>15547</v>
      </c>
      <c r="S546" s="10">
        <v>16730</v>
      </c>
      <c r="T546" s="10">
        <v>18440</v>
      </c>
      <c r="U546" s="10">
        <v>19400</v>
      </c>
      <c r="V546" s="10">
        <v>20088</v>
      </c>
      <c r="W546" s="10">
        <v>18799</v>
      </c>
      <c r="X546" s="10">
        <v>18470</v>
      </c>
      <c r="Y546" s="10">
        <v>20170</v>
      </c>
      <c r="Z546" s="10">
        <v>21145</v>
      </c>
      <c r="AA546" s="10">
        <v>22185</v>
      </c>
      <c r="AB546" s="26">
        <f t="shared" si="25"/>
        <v>223405</v>
      </c>
      <c r="AC546" s="25">
        <v>0</v>
      </c>
      <c r="AD546" s="10">
        <v>0</v>
      </c>
      <c r="AE546" s="10">
        <v>0</v>
      </c>
      <c r="AF546" s="10">
        <v>0</v>
      </c>
      <c r="AG546" s="10">
        <v>0</v>
      </c>
      <c r="AH546" s="10">
        <v>0</v>
      </c>
      <c r="AI546" s="10">
        <v>0</v>
      </c>
      <c r="AJ546" s="10">
        <v>0</v>
      </c>
      <c r="AK546" s="10">
        <v>0</v>
      </c>
      <c r="AL546" s="10">
        <v>0</v>
      </c>
      <c r="AM546" s="10">
        <v>0</v>
      </c>
      <c r="AN546" s="10">
        <v>0</v>
      </c>
      <c r="AO546" s="26">
        <f t="shared" si="26"/>
        <v>0</v>
      </c>
    </row>
    <row r="547" spans="1:41" ht="17.25" customHeight="1" x14ac:dyDescent="0.45">
      <c r="A547" s="2" t="s">
        <v>15</v>
      </c>
      <c r="B547" s="2" t="s">
        <v>26</v>
      </c>
      <c r="C547" s="23">
        <v>100</v>
      </c>
      <c r="D547" s="1">
        <v>91</v>
      </c>
      <c r="E547" s="1">
        <v>100</v>
      </c>
      <c r="F547" s="1">
        <v>92</v>
      </c>
      <c r="G547" s="1">
        <v>97</v>
      </c>
      <c r="H547" s="1">
        <v>89</v>
      </c>
      <c r="I547" s="1">
        <v>96</v>
      </c>
      <c r="J547" s="1">
        <v>97</v>
      </c>
      <c r="K547" s="1">
        <v>81</v>
      </c>
      <c r="L547" s="1">
        <v>93</v>
      </c>
      <c r="M547" s="1">
        <v>94</v>
      </c>
      <c r="N547" s="1">
        <v>96</v>
      </c>
      <c r="O547" s="24">
        <f t="shared" si="24"/>
        <v>1126</v>
      </c>
      <c r="P547" s="23">
        <v>13165</v>
      </c>
      <c r="Q547" s="1">
        <v>11406</v>
      </c>
      <c r="R547" s="1">
        <v>13999</v>
      </c>
      <c r="S547" s="1">
        <v>12303</v>
      </c>
      <c r="T547" s="1">
        <v>12632</v>
      </c>
      <c r="U547" s="1">
        <v>14542</v>
      </c>
      <c r="V547" s="1">
        <v>16995</v>
      </c>
      <c r="W547" s="1">
        <v>14234</v>
      </c>
      <c r="X547" s="1">
        <v>12528</v>
      </c>
      <c r="Y547" s="1">
        <v>15857</v>
      </c>
      <c r="Z547" s="1">
        <v>16478</v>
      </c>
      <c r="AA547" s="1">
        <v>18126</v>
      </c>
      <c r="AB547" s="24">
        <f t="shared" si="25"/>
        <v>172265</v>
      </c>
      <c r="AC547" s="23">
        <v>20450.600000000002</v>
      </c>
      <c r="AD547" s="1">
        <v>15205.750000000002</v>
      </c>
      <c r="AE547" s="1">
        <v>22148.799999999992</v>
      </c>
      <c r="AF547" s="1">
        <v>17213.7</v>
      </c>
      <c r="AG547" s="1">
        <v>18923.3</v>
      </c>
      <c r="AH547" s="1">
        <v>16034.119999999997</v>
      </c>
      <c r="AI547" s="1">
        <v>18472.150000000001</v>
      </c>
      <c r="AJ547" s="1">
        <v>20337.93</v>
      </c>
      <c r="AK547" s="1">
        <v>16327.350000000002</v>
      </c>
      <c r="AL547" s="1">
        <v>21973.5</v>
      </c>
      <c r="AM547" s="1">
        <v>24732.720000000001</v>
      </c>
      <c r="AN547" s="1">
        <v>26323.170000000002</v>
      </c>
      <c r="AO547" s="24">
        <f t="shared" si="26"/>
        <v>238143.09</v>
      </c>
    </row>
    <row r="548" spans="1:41" ht="17.25" customHeight="1" x14ac:dyDescent="0.45">
      <c r="A548" s="12" t="s">
        <v>15</v>
      </c>
      <c r="B548" s="12" t="s">
        <v>27</v>
      </c>
      <c r="C548" s="25">
        <v>87</v>
      </c>
      <c r="D548" s="10">
        <v>85</v>
      </c>
      <c r="E548" s="10">
        <v>90</v>
      </c>
      <c r="F548" s="10">
        <v>88</v>
      </c>
      <c r="G548" s="10">
        <v>93</v>
      </c>
      <c r="H548" s="10">
        <v>86</v>
      </c>
      <c r="I548" s="10">
        <v>91</v>
      </c>
      <c r="J548" s="10">
        <v>93</v>
      </c>
      <c r="K548" s="10">
        <v>85</v>
      </c>
      <c r="L548" s="10">
        <v>82</v>
      </c>
      <c r="M548" s="10">
        <v>89</v>
      </c>
      <c r="N548" s="10">
        <v>91</v>
      </c>
      <c r="O548" s="26">
        <f t="shared" si="24"/>
        <v>1060</v>
      </c>
      <c r="P548" s="25">
        <v>12128</v>
      </c>
      <c r="Q548" s="10">
        <v>11457</v>
      </c>
      <c r="R548" s="10">
        <v>13193</v>
      </c>
      <c r="S548" s="10">
        <v>12404</v>
      </c>
      <c r="T548" s="10">
        <v>13610</v>
      </c>
      <c r="U548" s="10">
        <v>14873</v>
      </c>
      <c r="V548" s="10">
        <v>16093</v>
      </c>
      <c r="W548" s="10">
        <v>14812</v>
      </c>
      <c r="X548" s="10">
        <v>14455</v>
      </c>
      <c r="Y548" s="10">
        <v>13933</v>
      </c>
      <c r="Z548" s="10">
        <v>14887</v>
      </c>
      <c r="AA548" s="10">
        <v>16761</v>
      </c>
      <c r="AB548" s="26">
        <f t="shared" si="25"/>
        <v>168606</v>
      </c>
      <c r="AC548" s="25">
        <v>8671.9499999999989</v>
      </c>
      <c r="AD548" s="10">
        <v>9010.4499999999971</v>
      </c>
      <c r="AE548" s="10">
        <v>11192.679999999998</v>
      </c>
      <c r="AF548" s="10">
        <v>9561.15</v>
      </c>
      <c r="AG548" s="10">
        <v>11121</v>
      </c>
      <c r="AH548" s="10">
        <v>11488.260000000002</v>
      </c>
      <c r="AI548" s="10">
        <v>9535.94</v>
      </c>
      <c r="AJ548" s="10">
        <v>12239.529999999999</v>
      </c>
      <c r="AK548" s="10">
        <v>8132.4900000000007</v>
      </c>
      <c r="AL548" s="10">
        <v>12362</v>
      </c>
      <c r="AM548" s="10">
        <v>14369.75</v>
      </c>
      <c r="AN548" s="10">
        <v>16685.18</v>
      </c>
      <c r="AO548" s="26">
        <f t="shared" si="26"/>
        <v>134370.38</v>
      </c>
    </row>
    <row r="549" spans="1:41" ht="17.25" customHeight="1" x14ac:dyDescent="0.45">
      <c r="A549" s="2" t="s">
        <v>15</v>
      </c>
      <c r="B549" s="2" t="s">
        <v>49</v>
      </c>
      <c r="C549" s="23">
        <v>2</v>
      </c>
      <c r="D549" s="1">
        <v>0</v>
      </c>
      <c r="E549" s="1">
        <v>0</v>
      </c>
      <c r="F549" s="1">
        <v>0</v>
      </c>
      <c r="G549" s="1">
        <v>0</v>
      </c>
      <c r="H549" s="1">
        <v>0</v>
      </c>
      <c r="I549" s="1">
        <v>0</v>
      </c>
      <c r="J549" s="1">
        <v>0</v>
      </c>
      <c r="K549" s="1">
        <v>0</v>
      </c>
      <c r="L549" s="1">
        <v>0</v>
      </c>
      <c r="M549" s="1">
        <v>0</v>
      </c>
      <c r="N549" s="1">
        <v>0</v>
      </c>
      <c r="O549" s="24">
        <f t="shared" si="24"/>
        <v>2</v>
      </c>
      <c r="P549" s="23">
        <v>244</v>
      </c>
      <c r="Q549" s="1">
        <v>0</v>
      </c>
      <c r="R549" s="1">
        <v>0</v>
      </c>
      <c r="S549" s="1">
        <v>0</v>
      </c>
      <c r="T549" s="1">
        <v>0</v>
      </c>
      <c r="U549" s="1">
        <v>0</v>
      </c>
      <c r="V549" s="1">
        <v>0</v>
      </c>
      <c r="W549" s="1">
        <v>0</v>
      </c>
      <c r="X549" s="1">
        <v>0</v>
      </c>
      <c r="Y549" s="1">
        <v>0</v>
      </c>
      <c r="Z549" s="1">
        <v>0</v>
      </c>
      <c r="AA549" s="1">
        <v>0</v>
      </c>
      <c r="AB549" s="24">
        <f t="shared" si="25"/>
        <v>244</v>
      </c>
      <c r="AC549" s="23">
        <v>0</v>
      </c>
      <c r="AD549" s="1">
        <v>0</v>
      </c>
      <c r="AE549" s="1">
        <v>0</v>
      </c>
      <c r="AF549" s="1">
        <v>0</v>
      </c>
      <c r="AG549" s="1">
        <v>0</v>
      </c>
      <c r="AH549" s="1">
        <v>0</v>
      </c>
      <c r="AI549" s="1">
        <v>0</v>
      </c>
      <c r="AJ549" s="1">
        <v>0</v>
      </c>
      <c r="AK549" s="1">
        <v>0</v>
      </c>
      <c r="AL549" s="1">
        <v>0</v>
      </c>
      <c r="AM549" s="1">
        <v>0</v>
      </c>
      <c r="AN549" s="1">
        <v>0</v>
      </c>
      <c r="AO549" s="24">
        <f t="shared" si="26"/>
        <v>0</v>
      </c>
    </row>
    <row r="550" spans="1:41" ht="17.25" customHeight="1" x14ac:dyDescent="0.45">
      <c r="A550" s="12" t="s">
        <v>15</v>
      </c>
      <c r="B550" s="12" t="s">
        <v>17</v>
      </c>
      <c r="C550" s="25">
        <v>84</v>
      </c>
      <c r="D550" s="10">
        <v>59</v>
      </c>
      <c r="E550" s="10">
        <v>77</v>
      </c>
      <c r="F550" s="10">
        <v>103</v>
      </c>
      <c r="G550" s="10">
        <v>100</v>
      </c>
      <c r="H550" s="10">
        <v>108</v>
      </c>
      <c r="I550" s="10">
        <v>119</v>
      </c>
      <c r="J550" s="10">
        <v>107</v>
      </c>
      <c r="K550" s="10">
        <v>97</v>
      </c>
      <c r="L550" s="10">
        <v>102</v>
      </c>
      <c r="M550" s="10">
        <v>126</v>
      </c>
      <c r="N550" s="10">
        <v>126</v>
      </c>
      <c r="O550" s="26">
        <f t="shared" si="24"/>
        <v>1208</v>
      </c>
      <c r="P550" s="25">
        <v>11333</v>
      </c>
      <c r="Q550" s="10">
        <v>9471</v>
      </c>
      <c r="R550" s="10">
        <v>13790</v>
      </c>
      <c r="S550" s="10">
        <v>16342</v>
      </c>
      <c r="T550" s="10">
        <v>17507</v>
      </c>
      <c r="U550" s="10">
        <v>20689</v>
      </c>
      <c r="V550" s="10">
        <v>22110</v>
      </c>
      <c r="W550" s="10">
        <v>18127</v>
      </c>
      <c r="X550" s="10">
        <v>16517</v>
      </c>
      <c r="Y550" s="10">
        <v>18788</v>
      </c>
      <c r="Z550" s="10">
        <v>20393</v>
      </c>
      <c r="AA550" s="10">
        <v>21133</v>
      </c>
      <c r="AB550" s="26">
        <f t="shared" si="25"/>
        <v>206200</v>
      </c>
      <c r="AC550" s="25">
        <v>7783.9999999999991</v>
      </c>
      <c r="AD550" s="10">
        <v>6537.84</v>
      </c>
      <c r="AE550" s="10">
        <v>9255.1</v>
      </c>
      <c r="AF550" s="10">
        <v>16540.260000000002</v>
      </c>
      <c r="AG550" s="10">
        <v>14526</v>
      </c>
      <c r="AH550" s="10">
        <v>10959.189999999999</v>
      </c>
      <c r="AI550" s="10">
        <v>16369.600000000002</v>
      </c>
      <c r="AJ550" s="10">
        <v>12819.600000000002</v>
      </c>
      <c r="AK550" s="10">
        <v>10397.67</v>
      </c>
      <c r="AL550" s="10">
        <v>16954</v>
      </c>
      <c r="AM550" s="10">
        <v>23352.38</v>
      </c>
      <c r="AN550" s="10">
        <v>26577.64</v>
      </c>
      <c r="AO550" s="26">
        <f t="shared" si="26"/>
        <v>172073.28000000003</v>
      </c>
    </row>
    <row r="551" spans="1:41" ht="17.25" customHeight="1" x14ac:dyDescent="0.45">
      <c r="A551" s="2" t="s">
        <v>15</v>
      </c>
      <c r="B551" s="2" t="s">
        <v>28</v>
      </c>
      <c r="C551" s="23">
        <v>26</v>
      </c>
      <c r="D551" s="1">
        <v>25</v>
      </c>
      <c r="E551" s="1">
        <v>28</v>
      </c>
      <c r="F551" s="1">
        <v>34</v>
      </c>
      <c r="G551" s="1">
        <v>36</v>
      </c>
      <c r="H551" s="1">
        <v>34</v>
      </c>
      <c r="I551" s="1">
        <v>34</v>
      </c>
      <c r="J551" s="1">
        <v>36</v>
      </c>
      <c r="K551" s="1">
        <v>47</v>
      </c>
      <c r="L551" s="1">
        <v>48</v>
      </c>
      <c r="M551" s="1">
        <v>46</v>
      </c>
      <c r="N551" s="1">
        <v>46</v>
      </c>
      <c r="O551" s="24">
        <f t="shared" si="24"/>
        <v>440</v>
      </c>
      <c r="P551" s="23">
        <v>3909</v>
      </c>
      <c r="Q551" s="1">
        <v>4084</v>
      </c>
      <c r="R551" s="1">
        <v>4526</v>
      </c>
      <c r="S551" s="1">
        <v>5628</v>
      </c>
      <c r="T551" s="1">
        <v>5522</v>
      </c>
      <c r="U551" s="1">
        <v>5805</v>
      </c>
      <c r="V551" s="1">
        <v>5987</v>
      </c>
      <c r="W551" s="1">
        <v>5881</v>
      </c>
      <c r="X551" s="1">
        <v>6101</v>
      </c>
      <c r="Y551" s="1">
        <v>6274</v>
      </c>
      <c r="Z551" s="1">
        <v>6653</v>
      </c>
      <c r="AA551" s="1">
        <v>8088</v>
      </c>
      <c r="AB551" s="24">
        <f t="shared" si="25"/>
        <v>68458</v>
      </c>
      <c r="AC551" s="23">
        <v>1630.6999999999998</v>
      </c>
      <c r="AD551" s="1">
        <v>3341.3</v>
      </c>
      <c r="AE551" s="1">
        <v>1634.3000000000002</v>
      </c>
      <c r="AF551" s="1">
        <v>1415.95</v>
      </c>
      <c r="AG551" s="1">
        <v>676</v>
      </c>
      <c r="AH551" s="1">
        <v>396.5</v>
      </c>
      <c r="AI551" s="1">
        <v>676.37</v>
      </c>
      <c r="AJ551" s="1">
        <v>543.35</v>
      </c>
      <c r="AK551" s="1">
        <v>499.7</v>
      </c>
      <c r="AL551" s="1">
        <v>525</v>
      </c>
      <c r="AM551" s="1">
        <v>1748.3999999999999</v>
      </c>
      <c r="AN551" s="1">
        <v>778.8</v>
      </c>
      <c r="AO551" s="24">
        <f t="shared" si="26"/>
        <v>13866.37</v>
      </c>
    </row>
    <row r="552" spans="1:41" ht="17.25" customHeight="1" x14ac:dyDescent="0.45">
      <c r="A552" s="12" t="s">
        <v>15</v>
      </c>
      <c r="B552" s="12" t="s">
        <v>48</v>
      </c>
      <c r="C552" s="25">
        <v>109</v>
      </c>
      <c r="D552" s="10">
        <v>96</v>
      </c>
      <c r="E552" s="10">
        <v>113</v>
      </c>
      <c r="F552" s="10">
        <v>114</v>
      </c>
      <c r="G552" s="10">
        <v>111</v>
      </c>
      <c r="H552" s="10">
        <v>109</v>
      </c>
      <c r="I552" s="10">
        <v>126</v>
      </c>
      <c r="J552" s="10">
        <v>121</v>
      </c>
      <c r="K552" s="10">
        <v>125</v>
      </c>
      <c r="L552" s="10">
        <v>141</v>
      </c>
      <c r="M552" s="10">
        <v>148</v>
      </c>
      <c r="N552" s="10">
        <v>155</v>
      </c>
      <c r="O552" s="26">
        <f t="shared" si="24"/>
        <v>1468</v>
      </c>
      <c r="P552" s="25">
        <v>13188</v>
      </c>
      <c r="Q552" s="10">
        <v>15326</v>
      </c>
      <c r="R552" s="10">
        <v>20152</v>
      </c>
      <c r="S552" s="10">
        <v>17273</v>
      </c>
      <c r="T552" s="10">
        <v>18040</v>
      </c>
      <c r="U552" s="10">
        <v>20645</v>
      </c>
      <c r="V552" s="10">
        <v>22555</v>
      </c>
      <c r="W552" s="10">
        <v>20953</v>
      </c>
      <c r="X552" s="10">
        <v>16179</v>
      </c>
      <c r="Y552" s="10">
        <v>18573</v>
      </c>
      <c r="Z552" s="10">
        <v>21717</v>
      </c>
      <c r="AA552" s="10">
        <v>21413</v>
      </c>
      <c r="AB552" s="26">
        <f t="shared" si="25"/>
        <v>226014</v>
      </c>
      <c r="AC552" s="25">
        <v>30296.730000000003</v>
      </c>
      <c r="AD552" s="10">
        <v>30139.43</v>
      </c>
      <c r="AE552" s="10">
        <v>30522.260000000002</v>
      </c>
      <c r="AF552" s="10">
        <v>33128.860000000008</v>
      </c>
      <c r="AG552" s="10">
        <v>27132</v>
      </c>
      <c r="AH552" s="10">
        <v>22565.94</v>
      </c>
      <c r="AI552" s="10">
        <v>22224.9</v>
      </c>
      <c r="AJ552" s="10">
        <v>19060.48</v>
      </c>
      <c r="AK552" s="10">
        <v>15106.549999999997</v>
      </c>
      <c r="AL552" s="10">
        <v>31235.5</v>
      </c>
      <c r="AM552" s="10">
        <v>42773.13</v>
      </c>
      <c r="AN552" s="10">
        <v>42028.229999999996</v>
      </c>
      <c r="AO552" s="26">
        <f t="shared" si="26"/>
        <v>346214.01</v>
      </c>
    </row>
    <row r="553" spans="1:41" ht="17.25" customHeight="1" x14ac:dyDescent="0.45">
      <c r="A553" s="2" t="s">
        <v>15</v>
      </c>
      <c r="B553" s="2" t="s">
        <v>30</v>
      </c>
      <c r="C553" s="23">
        <v>18</v>
      </c>
      <c r="D553" s="1">
        <v>16</v>
      </c>
      <c r="E553" s="1">
        <v>19</v>
      </c>
      <c r="F553" s="1">
        <v>18</v>
      </c>
      <c r="G553" s="1">
        <v>17</v>
      </c>
      <c r="H553" s="1">
        <v>17</v>
      </c>
      <c r="I553" s="1">
        <v>18</v>
      </c>
      <c r="J553" s="1">
        <v>19</v>
      </c>
      <c r="K553" s="1">
        <v>17</v>
      </c>
      <c r="L553" s="1">
        <v>18</v>
      </c>
      <c r="M553" s="1">
        <v>18</v>
      </c>
      <c r="N553" s="1">
        <v>19</v>
      </c>
      <c r="O553" s="24">
        <f t="shared" si="24"/>
        <v>214</v>
      </c>
      <c r="P553" s="23">
        <v>2767</v>
      </c>
      <c r="Q553" s="1">
        <v>2286</v>
      </c>
      <c r="R553" s="1">
        <v>2830</v>
      </c>
      <c r="S553" s="1">
        <v>2496</v>
      </c>
      <c r="T553" s="1">
        <v>2374</v>
      </c>
      <c r="U553" s="1">
        <v>2549</v>
      </c>
      <c r="V553" s="1">
        <v>2890</v>
      </c>
      <c r="W553" s="1">
        <v>2721</v>
      </c>
      <c r="X553" s="1">
        <v>2391</v>
      </c>
      <c r="Y553" s="1">
        <v>2904</v>
      </c>
      <c r="Z553" s="1">
        <v>2939</v>
      </c>
      <c r="AA553" s="1">
        <v>3498</v>
      </c>
      <c r="AB553" s="24">
        <f t="shared" si="25"/>
        <v>32645</v>
      </c>
      <c r="AC553" s="23">
        <v>0</v>
      </c>
      <c r="AD553" s="1">
        <v>0</v>
      </c>
      <c r="AE553" s="1">
        <v>0</v>
      </c>
      <c r="AF553" s="1">
        <v>0</v>
      </c>
      <c r="AG553" s="1">
        <v>0</v>
      </c>
      <c r="AH553" s="1">
        <v>0</v>
      </c>
      <c r="AI553" s="1">
        <v>0</v>
      </c>
      <c r="AJ553" s="1">
        <v>11964</v>
      </c>
      <c r="AK553" s="1">
        <v>0</v>
      </c>
      <c r="AL553" s="1">
        <v>0</v>
      </c>
      <c r="AM553" s="1">
        <v>11807</v>
      </c>
      <c r="AN553" s="1">
        <v>15278</v>
      </c>
      <c r="AO553" s="24">
        <f t="shared" si="26"/>
        <v>39049</v>
      </c>
    </row>
    <row r="554" spans="1:41" ht="17.25" customHeight="1" x14ac:dyDescent="0.45">
      <c r="A554" s="12" t="s">
        <v>15</v>
      </c>
      <c r="B554" s="12" t="s">
        <v>14</v>
      </c>
      <c r="C554" s="25">
        <v>98</v>
      </c>
      <c r="D554" s="10">
        <v>87</v>
      </c>
      <c r="E554" s="10">
        <v>104</v>
      </c>
      <c r="F554" s="10">
        <v>153</v>
      </c>
      <c r="G554" s="10">
        <v>137</v>
      </c>
      <c r="H554" s="10">
        <v>162</v>
      </c>
      <c r="I554" s="10">
        <v>190</v>
      </c>
      <c r="J554" s="10">
        <v>185</v>
      </c>
      <c r="K554" s="10">
        <v>164</v>
      </c>
      <c r="L554" s="10">
        <v>179</v>
      </c>
      <c r="M554" s="10">
        <v>170</v>
      </c>
      <c r="N554" s="10">
        <v>195</v>
      </c>
      <c r="O554" s="26">
        <f t="shared" si="24"/>
        <v>1824</v>
      </c>
      <c r="P554" s="25">
        <v>11503</v>
      </c>
      <c r="Q554" s="10">
        <v>12099</v>
      </c>
      <c r="R554" s="10">
        <v>15961</v>
      </c>
      <c r="S554" s="10">
        <v>17448</v>
      </c>
      <c r="T554" s="10">
        <v>16363</v>
      </c>
      <c r="U554" s="10">
        <v>23061</v>
      </c>
      <c r="V554" s="10">
        <v>25968</v>
      </c>
      <c r="W554" s="10">
        <v>23252</v>
      </c>
      <c r="X554" s="10">
        <v>20672</v>
      </c>
      <c r="Y554" s="10">
        <v>23907</v>
      </c>
      <c r="Z554" s="10">
        <v>21832</v>
      </c>
      <c r="AA554" s="10">
        <v>29755</v>
      </c>
      <c r="AB554" s="26">
        <f t="shared" si="25"/>
        <v>241821</v>
      </c>
      <c r="AC554" s="25">
        <v>1589.8999999999999</v>
      </c>
      <c r="AD554" s="10">
        <v>91.66</v>
      </c>
      <c r="AE554" s="10">
        <v>1447.4</v>
      </c>
      <c r="AF554" s="10">
        <v>320.35000000000002</v>
      </c>
      <c r="AG554" s="10">
        <v>3164</v>
      </c>
      <c r="AH554" s="10">
        <v>7652.75</v>
      </c>
      <c r="AI554" s="10">
        <v>4524</v>
      </c>
      <c r="AJ554" s="10">
        <v>6002.5499999999993</v>
      </c>
      <c r="AK554" s="10">
        <v>9710.3500000000022</v>
      </c>
      <c r="AL554" s="10">
        <v>37532</v>
      </c>
      <c r="AM554" s="10">
        <v>55573.63</v>
      </c>
      <c r="AN554" s="10">
        <v>45989.240000000013</v>
      </c>
      <c r="AO554" s="26">
        <f t="shared" si="26"/>
        <v>173597.83000000002</v>
      </c>
    </row>
    <row r="555" spans="1:41" ht="17.25" customHeight="1" x14ac:dyDescent="0.45">
      <c r="A555" s="2" t="s">
        <v>15</v>
      </c>
      <c r="B555" s="2" t="s">
        <v>50</v>
      </c>
      <c r="C555" s="23">
        <v>22</v>
      </c>
      <c r="D555" s="1">
        <v>21</v>
      </c>
      <c r="E555" s="1">
        <v>23</v>
      </c>
      <c r="F555" s="1">
        <v>25</v>
      </c>
      <c r="G555" s="1">
        <v>21</v>
      </c>
      <c r="H555" s="1">
        <v>25</v>
      </c>
      <c r="I555" s="1">
        <v>27</v>
      </c>
      <c r="J555" s="1">
        <v>24</v>
      </c>
      <c r="K555" s="1">
        <v>18</v>
      </c>
      <c r="L555" s="1">
        <v>22</v>
      </c>
      <c r="M555" s="1">
        <v>22</v>
      </c>
      <c r="N555" s="1">
        <v>26</v>
      </c>
      <c r="O555" s="24">
        <f t="shared" si="24"/>
        <v>276</v>
      </c>
      <c r="P555" s="23">
        <v>3498</v>
      </c>
      <c r="Q555" s="1">
        <v>3478</v>
      </c>
      <c r="R555" s="1">
        <v>3858</v>
      </c>
      <c r="S555" s="1">
        <v>3700</v>
      </c>
      <c r="T555" s="1">
        <v>3211</v>
      </c>
      <c r="U555" s="1">
        <v>3647</v>
      </c>
      <c r="V555" s="1">
        <v>4549</v>
      </c>
      <c r="W555" s="1">
        <v>3437</v>
      </c>
      <c r="X555" s="1">
        <v>2519</v>
      </c>
      <c r="Y555" s="1">
        <v>3238</v>
      </c>
      <c r="Z555" s="1">
        <v>3430</v>
      </c>
      <c r="AA555" s="1">
        <v>4460</v>
      </c>
      <c r="AB555" s="24">
        <f t="shared" si="25"/>
        <v>43025</v>
      </c>
      <c r="AC555" s="23">
        <v>2022.6</v>
      </c>
      <c r="AD555" s="1">
        <v>2055.8999999999996</v>
      </c>
      <c r="AE555" s="1">
        <v>1434.9</v>
      </c>
      <c r="AF555" s="1">
        <v>341.2</v>
      </c>
      <c r="AG555" s="1">
        <v>45</v>
      </c>
      <c r="AH555" s="1">
        <v>850.1</v>
      </c>
      <c r="AI555" s="1">
        <v>785.65</v>
      </c>
      <c r="AJ555" s="1">
        <v>1058.2</v>
      </c>
      <c r="AK555" s="1">
        <v>1259.2</v>
      </c>
      <c r="AL555" s="1">
        <v>1236</v>
      </c>
      <c r="AM555" s="1">
        <v>662.5</v>
      </c>
      <c r="AN555" s="1">
        <v>1361.1</v>
      </c>
      <c r="AO555" s="24">
        <f t="shared" si="26"/>
        <v>13112.35</v>
      </c>
    </row>
    <row r="556" spans="1:41" ht="17.25" customHeight="1" x14ac:dyDescent="0.45">
      <c r="A556" s="12" t="s">
        <v>15</v>
      </c>
      <c r="B556" s="12" t="s">
        <v>61</v>
      </c>
      <c r="C556" s="25">
        <v>54</v>
      </c>
      <c r="D556" s="10">
        <v>50</v>
      </c>
      <c r="E556" s="10">
        <v>54</v>
      </c>
      <c r="F556" s="10">
        <v>31</v>
      </c>
      <c r="G556" s="10">
        <v>31</v>
      </c>
      <c r="H556" s="10">
        <v>28</v>
      </c>
      <c r="I556" s="10">
        <v>44</v>
      </c>
      <c r="J556" s="10">
        <v>44</v>
      </c>
      <c r="K556" s="10">
        <v>30</v>
      </c>
      <c r="L556" s="10">
        <v>31</v>
      </c>
      <c r="M556" s="10">
        <v>31</v>
      </c>
      <c r="N556" s="10">
        <v>32</v>
      </c>
      <c r="O556" s="26">
        <f t="shared" si="24"/>
        <v>460</v>
      </c>
      <c r="P556" s="25">
        <v>8099</v>
      </c>
      <c r="Q556" s="10">
        <v>7805</v>
      </c>
      <c r="R556" s="10">
        <v>8952</v>
      </c>
      <c r="S556" s="10">
        <v>4996</v>
      </c>
      <c r="T556" s="10">
        <v>4686</v>
      </c>
      <c r="U556" s="10">
        <v>4291</v>
      </c>
      <c r="V556" s="10">
        <v>6496</v>
      </c>
      <c r="W556" s="10">
        <v>6463</v>
      </c>
      <c r="X556" s="10">
        <v>4831</v>
      </c>
      <c r="Y556" s="10">
        <v>5266</v>
      </c>
      <c r="Z556" s="10">
        <v>5050</v>
      </c>
      <c r="AA556" s="10">
        <v>5536</v>
      </c>
      <c r="AB556" s="26">
        <f t="shared" si="25"/>
        <v>72471</v>
      </c>
      <c r="AC556" s="25">
        <v>0</v>
      </c>
      <c r="AD556" s="10">
        <v>0</v>
      </c>
      <c r="AE556" s="10">
        <v>0</v>
      </c>
      <c r="AF556" s="10">
        <v>0</v>
      </c>
      <c r="AG556" s="10">
        <v>0</v>
      </c>
      <c r="AH556" s="10">
        <v>0</v>
      </c>
      <c r="AI556" s="10">
        <v>0</v>
      </c>
      <c r="AJ556" s="10">
        <v>36.5</v>
      </c>
      <c r="AK556" s="10">
        <v>0</v>
      </c>
      <c r="AL556" s="10">
        <v>0</v>
      </c>
      <c r="AM556" s="10">
        <v>0</v>
      </c>
      <c r="AN556" s="10">
        <v>0</v>
      </c>
      <c r="AO556" s="26">
        <f t="shared" si="26"/>
        <v>36.5</v>
      </c>
    </row>
    <row r="557" spans="1:41" ht="17.25" customHeight="1" x14ac:dyDescent="0.45">
      <c r="A557" s="2" t="s">
        <v>15</v>
      </c>
      <c r="B557" s="2" t="s">
        <v>32</v>
      </c>
      <c r="C557" s="23">
        <v>31</v>
      </c>
      <c r="D557" s="1">
        <v>29</v>
      </c>
      <c r="E557" s="1">
        <v>33</v>
      </c>
      <c r="F557" s="1">
        <v>30</v>
      </c>
      <c r="G557" s="1">
        <v>31</v>
      </c>
      <c r="H557" s="1">
        <v>30</v>
      </c>
      <c r="I557" s="1">
        <v>31</v>
      </c>
      <c r="J557" s="1">
        <v>31</v>
      </c>
      <c r="K557" s="1">
        <v>30</v>
      </c>
      <c r="L557" s="1">
        <v>31</v>
      </c>
      <c r="M557" s="1">
        <v>29</v>
      </c>
      <c r="N557" s="1">
        <v>31</v>
      </c>
      <c r="O557" s="24">
        <f t="shared" si="24"/>
        <v>367</v>
      </c>
      <c r="P557" s="23">
        <v>3981</v>
      </c>
      <c r="Q557" s="1">
        <v>3488</v>
      </c>
      <c r="R557" s="1">
        <v>4484</v>
      </c>
      <c r="S557" s="1">
        <v>3962</v>
      </c>
      <c r="T557" s="1">
        <v>3964</v>
      </c>
      <c r="U557" s="1">
        <v>4022</v>
      </c>
      <c r="V557" s="1">
        <v>4297</v>
      </c>
      <c r="W557" s="1">
        <v>4283</v>
      </c>
      <c r="X557" s="1">
        <v>3916</v>
      </c>
      <c r="Y557" s="1">
        <v>4395</v>
      </c>
      <c r="Z557" s="1">
        <v>4249</v>
      </c>
      <c r="AA557" s="1">
        <v>5004</v>
      </c>
      <c r="AB557" s="24">
        <f t="shared" si="25"/>
        <v>50045</v>
      </c>
      <c r="AC557" s="23">
        <v>749.51</v>
      </c>
      <c r="AD557" s="1">
        <v>469.2</v>
      </c>
      <c r="AE557" s="1">
        <v>28.3</v>
      </c>
      <c r="AF557" s="1">
        <v>543.70000000000005</v>
      </c>
      <c r="AG557" s="1">
        <v>5367</v>
      </c>
      <c r="AH557" s="1">
        <v>791.9</v>
      </c>
      <c r="AI557" s="1">
        <v>926.2</v>
      </c>
      <c r="AJ557" s="1">
        <v>493</v>
      </c>
      <c r="AK557" s="1">
        <v>407.95</v>
      </c>
      <c r="AL557" s="1">
        <v>1105</v>
      </c>
      <c r="AM557" s="1">
        <v>1125.55</v>
      </c>
      <c r="AN557" s="1">
        <v>4394.0999999999995</v>
      </c>
      <c r="AO557" s="24">
        <f t="shared" si="26"/>
        <v>16401.41</v>
      </c>
    </row>
    <row r="558" spans="1:41" ht="17.25" customHeight="1" x14ac:dyDescent="0.45">
      <c r="A558" s="12" t="s">
        <v>15</v>
      </c>
      <c r="B558" s="12" t="s">
        <v>33</v>
      </c>
      <c r="C558" s="25">
        <v>12</v>
      </c>
      <c r="D558" s="10">
        <v>12</v>
      </c>
      <c r="E558" s="10">
        <v>14</v>
      </c>
      <c r="F558" s="10">
        <v>14</v>
      </c>
      <c r="G558" s="10">
        <v>13</v>
      </c>
      <c r="H558" s="10">
        <v>13</v>
      </c>
      <c r="I558" s="10">
        <v>13</v>
      </c>
      <c r="J558" s="10">
        <v>15</v>
      </c>
      <c r="K558" s="10">
        <v>21</v>
      </c>
      <c r="L558" s="10">
        <v>22</v>
      </c>
      <c r="M558" s="10">
        <v>22</v>
      </c>
      <c r="N558" s="10">
        <v>22</v>
      </c>
      <c r="O558" s="26">
        <f t="shared" si="24"/>
        <v>193</v>
      </c>
      <c r="P558" s="25">
        <v>1443</v>
      </c>
      <c r="Q558" s="10">
        <v>1246</v>
      </c>
      <c r="R558" s="10">
        <v>2064</v>
      </c>
      <c r="S558" s="10">
        <v>2118</v>
      </c>
      <c r="T558" s="10">
        <v>1614</v>
      </c>
      <c r="U558" s="10">
        <v>1903</v>
      </c>
      <c r="V558" s="10">
        <v>2112</v>
      </c>
      <c r="W558" s="10">
        <v>2197</v>
      </c>
      <c r="X558" s="10">
        <v>2001</v>
      </c>
      <c r="Y558" s="10">
        <v>2576</v>
      </c>
      <c r="Z558" s="10">
        <v>2438</v>
      </c>
      <c r="AA558" s="10">
        <v>2704</v>
      </c>
      <c r="AB558" s="26">
        <f t="shared" si="25"/>
        <v>24416</v>
      </c>
      <c r="AC558" s="25">
        <v>0</v>
      </c>
      <c r="AD558" s="10">
        <v>0</v>
      </c>
      <c r="AE558" s="10">
        <v>89.05</v>
      </c>
      <c r="AF558" s="10">
        <v>594.70000000000005</v>
      </c>
      <c r="AG558" s="10">
        <v>632</v>
      </c>
      <c r="AH558" s="10">
        <v>803.69999999999993</v>
      </c>
      <c r="AI558" s="10">
        <v>770.95</v>
      </c>
      <c r="AJ558" s="10">
        <v>884.35</v>
      </c>
      <c r="AK558" s="10">
        <v>385</v>
      </c>
      <c r="AL558" s="10">
        <v>1049</v>
      </c>
      <c r="AM558" s="10">
        <v>753.59999999999991</v>
      </c>
      <c r="AN558" s="10">
        <v>889.30000000000007</v>
      </c>
      <c r="AO558" s="26">
        <f t="shared" si="26"/>
        <v>6851.6500000000005</v>
      </c>
    </row>
    <row r="559" spans="1:41" ht="17.25" customHeight="1" x14ac:dyDescent="0.45">
      <c r="A559" s="2" t="s">
        <v>15</v>
      </c>
      <c r="B559" s="2" t="s">
        <v>247</v>
      </c>
      <c r="C559" s="23">
        <v>3</v>
      </c>
      <c r="D559" s="1">
        <v>0</v>
      </c>
      <c r="E559" s="1">
        <v>4</v>
      </c>
      <c r="F559" s="1">
        <v>2</v>
      </c>
      <c r="G559" s="1">
        <v>0</v>
      </c>
      <c r="H559" s="1">
        <v>0</v>
      </c>
      <c r="I559" s="1">
        <v>0</v>
      </c>
      <c r="J559" s="1">
        <v>0</v>
      </c>
      <c r="K559" s="1">
        <v>29</v>
      </c>
      <c r="L559" s="1">
        <v>31</v>
      </c>
      <c r="M559" s="1">
        <v>29</v>
      </c>
      <c r="N559" s="1">
        <v>31</v>
      </c>
      <c r="O559" s="24">
        <f t="shared" si="24"/>
        <v>129</v>
      </c>
      <c r="P559" s="23">
        <v>345</v>
      </c>
      <c r="Q559" s="1">
        <v>0</v>
      </c>
      <c r="R559" s="1">
        <v>650</v>
      </c>
      <c r="S559" s="1">
        <v>296</v>
      </c>
      <c r="T559" s="1">
        <v>0</v>
      </c>
      <c r="U559" s="1">
        <v>0</v>
      </c>
      <c r="V559" s="1">
        <v>0</v>
      </c>
      <c r="W559" s="1">
        <v>0</v>
      </c>
      <c r="X559" s="1">
        <v>1275</v>
      </c>
      <c r="Y559" s="1">
        <v>1490</v>
      </c>
      <c r="Z559" s="1">
        <v>1736</v>
      </c>
      <c r="AA559" s="1">
        <v>869</v>
      </c>
      <c r="AB559" s="24">
        <f t="shared" si="25"/>
        <v>6661</v>
      </c>
      <c r="AC559" s="23">
        <v>0</v>
      </c>
      <c r="AD559" s="1">
        <v>0</v>
      </c>
      <c r="AE559" s="1">
        <v>0</v>
      </c>
      <c r="AF559" s="1">
        <v>0</v>
      </c>
      <c r="AG559" s="1">
        <v>0</v>
      </c>
      <c r="AH559" s="1">
        <v>0</v>
      </c>
      <c r="AI559" s="1">
        <v>0</v>
      </c>
      <c r="AJ559" s="1">
        <v>0</v>
      </c>
      <c r="AK559" s="1">
        <v>0</v>
      </c>
      <c r="AL559" s="1">
        <v>0</v>
      </c>
      <c r="AM559" s="1">
        <v>0</v>
      </c>
      <c r="AN559" s="1">
        <v>0</v>
      </c>
      <c r="AO559" s="24">
        <f t="shared" si="26"/>
        <v>0</v>
      </c>
    </row>
    <row r="560" spans="1:41" ht="17.25" customHeight="1" x14ac:dyDescent="0.45">
      <c r="A560" s="12" t="s">
        <v>15</v>
      </c>
      <c r="B560" s="12" t="s">
        <v>34</v>
      </c>
      <c r="C560" s="25">
        <v>22</v>
      </c>
      <c r="D560" s="10">
        <v>20</v>
      </c>
      <c r="E560" s="10">
        <v>26</v>
      </c>
      <c r="F560" s="10">
        <v>21</v>
      </c>
      <c r="G560" s="10">
        <v>18</v>
      </c>
      <c r="H560" s="10">
        <v>19</v>
      </c>
      <c r="I560" s="10">
        <v>28</v>
      </c>
      <c r="J560" s="10">
        <v>20</v>
      </c>
      <c r="K560" s="10">
        <v>18</v>
      </c>
      <c r="L560" s="10">
        <v>17</v>
      </c>
      <c r="M560" s="10">
        <v>17</v>
      </c>
      <c r="N560" s="10">
        <v>18</v>
      </c>
      <c r="O560" s="26">
        <f t="shared" si="24"/>
        <v>244</v>
      </c>
      <c r="P560" s="25">
        <v>3807</v>
      </c>
      <c r="Q560" s="10">
        <v>3373</v>
      </c>
      <c r="R560" s="10">
        <v>4722</v>
      </c>
      <c r="S560" s="10">
        <v>3168</v>
      </c>
      <c r="T560" s="10">
        <v>2606</v>
      </c>
      <c r="U560" s="10">
        <v>2820</v>
      </c>
      <c r="V560" s="10">
        <v>4369</v>
      </c>
      <c r="W560" s="10">
        <v>3181</v>
      </c>
      <c r="X560" s="10">
        <v>2483</v>
      </c>
      <c r="Y560" s="10">
        <v>2653</v>
      </c>
      <c r="Z560" s="10">
        <v>2793</v>
      </c>
      <c r="AA560" s="10">
        <v>3019</v>
      </c>
      <c r="AB560" s="26">
        <f t="shared" si="25"/>
        <v>38994</v>
      </c>
      <c r="AC560" s="25">
        <v>0</v>
      </c>
      <c r="AD560" s="10">
        <v>0</v>
      </c>
      <c r="AE560" s="10">
        <v>0</v>
      </c>
      <c r="AF560" s="10">
        <v>239.7</v>
      </c>
      <c r="AG560" s="10">
        <v>257</v>
      </c>
      <c r="AH560" s="10">
        <v>189.7</v>
      </c>
      <c r="AI560" s="10">
        <v>261.7</v>
      </c>
      <c r="AJ560" s="10">
        <v>429.3</v>
      </c>
      <c r="AK560" s="10">
        <v>242.89999999999998</v>
      </c>
      <c r="AL560" s="10">
        <v>171</v>
      </c>
      <c r="AM560" s="10">
        <v>824.34999999999991</v>
      </c>
      <c r="AN560" s="10">
        <v>452.4</v>
      </c>
      <c r="AO560" s="26">
        <f t="shared" si="26"/>
        <v>3068.0499999999997</v>
      </c>
    </row>
    <row r="561" spans="1:41" ht="17.25" customHeight="1" x14ac:dyDescent="0.45">
      <c r="A561" s="2" t="s">
        <v>15</v>
      </c>
      <c r="B561" s="2" t="s">
        <v>63</v>
      </c>
      <c r="C561" s="23">
        <v>37</v>
      </c>
      <c r="D561" s="1">
        <v>33</v>
      </c>
      <c r="E561" s="1">
        <v>36</v>
      </c>
      <c r="F561" s="1">
        <v>38</v>
      </c>
      <c r="G561" s="1">
        <v>39</v>
      </c>
      <c r="H561" s="1">
        <v>36</v>
      </c>
      <c r="I561" s="1">
        <v>43</v>
      </c>
      <c r="J561" s="1">
        <v>41</v>
      </c>
      <c r="K561" s="1">
        <v>36</v>
      </c>
      <c r="L561" s="1">
        <v>41</v>
      </c>
      <c r="M561" s="1">
        <v>38</v>
      </c>
      <c r="N561" s="1">
        <v>39</v>
      </c>
      <c r="O561" s="24">
        <f t="shared" si="24"/>
        <v>457</v>
      </c>
      <c r="P561" s="23">
        <v>5229</v>
      </c>
      <c r="Q561" s="1">
        <v>4827</v>
      </c>
      <c r="R561" s="1">
        <v>5416</v>
      </c>
      <c r="S561" s="1">
        <v>5003</v>
      </c>
      <c r="T561" s="1">
        <v>4826</v>
      </c>
      <c r="U561" s="1">
        <v>4945</v>
      </c>
      <c r="V561" s="1">
        <v>6266</v>
      </c>
      <c r="W561" s="1">
        <v>5380</v>
      </c>
      <c r="X561" s="1">
        <v>4908</v>
      </c>
      <c r="Y561" s="1">
        <v>6128</v>
      </c>
      <c r="Z561" s="1">
        <v>6094</v>
      </c>
      <c r="AA561" s="1">
        <v>6652</v>
      </c>
      <c r="AB561" s="24">
        <f t="shared" si="25"/>
        <v>65674</v>
      </c>
      <c r="AC561" s="23">
        <v>0</v>
      </c>
      <c r="AD561" s="1">
        <v>0</v>
      </c>
      <c r="AE561" s="1">
        <v>0</v>
      </c>
      <c r="AF561" s="1">
        <v>0</v>
      </c>
      <c r="AG561" s="1">
        <v>0</v>
      </c>
      <c r="AH561" s="1">
        <v>0</v>
      </c>
      <c r="AI561" s="1">
        <v>0</v>
      </c>
      <c r="AJ561" s="1">
        <v>0</v>
      </c>
      <c r="AK561" s="1">
        <v>0</v>
      </c>
      <c r="AL561" s="1">
        <v>0</v>
      </c>
      <c r="AM561" s="1">
        <v>0</v>
      </c>
      <c r="AN561" s="1">
        <v>0</v>
      </c>
      <c r="AO561" s="24">
        <f t="shared" si="26"/>
        <v>0</v>
      </c>
    </row>
    <row r="562" spans="1:41" ht="17.25" customHeight="1" x14ac:dyDescent="0.45">
      <c r="A562" s="12" t="s">
        <v>15</v>
      </c>
      <c r="B562" s="12" t="s">
        <v>35</v>
      </c>
      <c r="C562" s="25">
        <v>18</v>
      </c>
      <c r="D562" s="10">
        <v>16</v>
      </c>
      <c r="E562" s="10">
        <v>19</v>
      </c>
      <c r="F562" s="10">
        <v>17</v>
      </c>
      <c r="G562" s="10">
        <v>18</v>
      </c>
      <c r="H562" s="10">
        <v>16</v>
      </c>
      <c r="I562" s="10">
        <v>24</v>
      </c>
      <c r="J562" s="10">
        <v>18</v>
      </c>
      <c r="K562" s="10">
        <v>18</v>
      </c>
      <c r="L562" s="10">
        <v>16</v>
      </c>
      <c r="M562" s="10">
        <v>17</v>
      </c>
      <c r="N562" s="10">
        <v>18</v>
      </c>
      <c r="O562" s="26">
        <f t="shared" si="24"/>
        <v>215</v>
      </c>
      <c r="P562" s="25">
        <v>2819</v>
      </c>
      <c r="Q562" s="10">
        <v>2495</v>
      </c>
      <c r="R562" s="10">
        <v>3034</v>
      </c>
      <c r="S562" s="10">
        <v>2655</v>
      </c>
      <c r="T562" s="10">
        <v>2589</v>
      </c>
      <c r="U562" s="10">
        <v>2414</v>
      </c>
      <c r="V562" s="10">
        <v>3637</v>
      </c>
      <c r="W562" s="10">
        <v>2823</v>
      </c>
      <c r="X562" s="10">
        <v>2734</v>
      </c>
      <c r="Y562" s="10">
        <v>2582</v>
      </c>
      <c r="Z562" s="10">
        <v>3245</v>
      </c>
      <c r="AA562" s="10">
        <v>3916</v>
      </c>
      <c r="AB562" s="26">
        <f t="shared" si="25"/>
        <v>34943</v>
      </c>
      <c r="AC562" s="25">
        <v>7326.0999999999995</v>
      </c>
      <c r="AD562" s="10">
        <v>902.3</v>
      </c>
      <c r="AE562" s="10">
        <v>944</v>
      </c>
      <c r="AF562" s="10">
        <v>880</v>
      </c>
      <c r="AG562" s="10">
        <v>366</v>
      </c>
      <c r="AH562" s="10">
        <v>631.04999999999995</v>
      </c>
      <c r="AI562" s="10">
        <v>1707.6200000000001</v>
      </c>
      <c r="AJ562" s="10">
        <v>1048.8</v>
      </c>
      <c r="AK562" s="10">
        <v>533.75</v>
      </c>
      <c r="AL562" s="10">
        <v>753</v>
      </c>
      <c r="AM562" s="10">
        <v>524</v>
      </c>
      <c r="AN562" s="10">
        <v>3</v>
      </c>
      <c r="AO562" s="26">
        <f t="shared" si="26"/>
        <v>15619.619999999999</v>
      </c>
    </row>
    <row r="563" spans="1:41" ht="17.25" customHeight="1" x14ac:dyDescent="0.45">
      <c r="A563" s="2" t="s">
        <v>15</v>
      </c>
      <c r="B563" s="2" t="s">
        <v>36</v>
      </c>
      <c r="C563" s="23">
        <v>10</v>
      </c>
      <c r="D563" s="1">
        <v>8</v>
      </c>
      <c r="E563" s="1">
        <v>8</v>
      </c>
      <c r="F563" s="1">
        <v>0</v>
      </c>
      <c r="G563" s="1">
        <v>0</v>
      </c>
      <c r="H563" s="1">
        <v>0</v>
      </c>
      <c r="I563" s="1">
        <v>0</v>
      </c>
      <c r="J563" s="1">
        <v>0</v>
      </c>
      <c r="K563" s="1">
        <v>0</v>
      </c>
      <c r="L563" s="1">
        <v>0</v>
      </c>
      <c r="M563" s="1">
        <v>0</v>
      </c>
      <c r="N563" s="1">
        <v>0</v>
      </c>
      <c r="O563" s="24">
        <f t="shared" si="24"/>
        <v>26</v>
      </c>
      <c r="P563" s="23">
        <v>1124</v>
      </c>
      <c r="Q563" s="1">
        <v>1048</v>
      </c>
      <c r="R563" s="1">
        <v>1112</v>
      </c>
      <c r="S563" s="1">
        <v>0</v>
      </c>
      <c r="T563" s="1">
        <v>0</v>
      </c>
      <c r="U563" s="1">
        <v>0</v>
      </c>
      <c r="V563" s="1">
        <v>0</v>
      </c>
      <c r="W563" s="1">
        <v>0</v>
      </c>
      <c r="X563" s="1">
        <v>0</v>
      </c>
      <c r="Y563" s="1">
        <v>0</v>
      </c>
      <c r="Z563" s="1">
        <v>0</v>
      </c>
      <c r="AA563" s="1">
        <v>0</v>
      </c>
      <c r="AB563" s="24">
        <f t="shared" si="25"/>
        <v>3284</v>
      </c>
      <c r="AC563" s="23">
        <v>165.1</v>
      </c>
      <c r="AD563" s="1">
        <v>262.60000000000002</v>
      </c>
      <c r="AE563" s="1">
        <v>110.2</v>
      </c>
      <c r="AF563" s="1">
        <v>0</v>
      </c>
      <c r="AG563" s="1">
        <v>0</v>
      </c>
      <c r="AH563" s="1">
        <v>0</v>
      </c>
      <c r="AI563" s="1">
        <v>0</v>
      </c>
      <c r="AJ563" s="1">
        <v>0</v>
      </c>
      <c r="AK563" s="1">
        <v>0</v>
      </c>
      <c r="AL563" s="1">
        <v>0</v>
      </c>
      <c r="AM563" s="1">
        <v>0</v>
      </c>
      <c r="AN563" s="1">
        <v>0</v>
      </c>
      <c r="AO563" s="24">
        <f t="shared" si="26"/>
        <v>537.90000000000009</v>
      </c>
    </row>
    <row r="564" spans="1:41" ht="17.25" customHeight="1" x14ac:dyDescent="0.45">
      <c r="A564" s="12" t="s">
        <v>15</v>
      </c>
      <c r="B564" s="12" t="s">
        <v>62</v>
      </c>
      <c r="C564" s="25">
        <v>49</v>
      </c>
      <c r="D564" s="10">
        <v>46</v>
      </c>
      <c r="E564" s="10">
        <v>49</v>
      </c>
      <c r="F564" s="10">
        <v>21</v>
      </c>
      <c r="G564" s="10">
        <v>23</v>
      </c>
      <c r="H564" s="10">
        <v>21</v>
      </c>
      <c r="I564" s="10">
        <v>22</v>
      </c>
      <c r="J564" s="10">
        <v>22</v>
      </c>
      <c r="K564" s="10">
        <v>21</v>
      </c>
      <c r="L564" s="10">
        <v>22</v>
      </c>
      <c r="M564" s="10">
        <v>20</v>
      </c>
      <c r="N564" s="10">
        <v>22</v>
      </c>
      <c r="O564" s="26">
        <f t="shared" si="24"/>
        <v>338</v>
      </c>
      <c r="P564" s="25">
        <v>5617</v>
      </c>
      <c r="Q564" s="10">
        <v>4633</v>
      </c>
      <c r="R564" s="10">
        <v>7035</v>
      </c>
      <c r="S564" s="10">
        <v>3241</v>
      </c>
      <c r="T564" s="10">
        <v>3297</v>
      </c>
      <c r="U564" s="10">
        <v>3435</v>
      </c>
      <c r="V564" s="10">
        <v>3708</v>
      </c>
      <c r="W564" s="10">
        <v>3252</v>
      </c>
      <c r="X564" s="10">
        <v>3189</v>
      </c>
      <c r="Y564" s="10">
        <v>3583</v>
      </c>
      <c r="Z564" s="10">
        <v>2956</v>
      </c>
      <c r="AA564" s="10">
        <v>3710</v>
      </c>
      <c r="AB564" s="26">
        <f t="shared" si="25"/>
        <v>47656</v>
      </c>
      <c r="AC564" s="25">
        <v>0</v>
      </c>
      <c r="AD564" s="10">
        <v>0</v>
      </c>
      <c r="AE564" s="10">
        <v>0</v>
      </c>
      <c r="AF564" s="10">
        <v>0</v>
      </c>
      <c r="AG564" s="10">
        <v>0</v>
      </c>
      <c r="AH564" s="10">
        <v>0</v>
      </c>
      <c r="AI564" s="10">
        <v>0</v>
      </c>
      <c r="AJ564" s="10">
        <v>0</v>
      </c>
      <c r="AK564" s="10">
        <v>0</v>
      </c>
      <c r="AL564" s="10">
        <v>0</v>
      </c>
      <c r="AM564" s="10">
        <v>0</v>
      </c>
      <c r="AN564" s="10">
        <v>0</v>
      </c>
      <c r="AO564" s="26">
        <f t="shared" si="26"/>
        <v>0</v>
      </c>
    </row>
    <row r="565" spans="1:41" ht="17.25" customHeight="1" x14ac:dyDescent="0.45">
      <c r="A565" s="2" t="s">
        <v>32</v>
      </c>
      <c r="B565" s="2" t="s">
        <v>10</v>
      </c>
      <c r="C565" s="23">
        <v>95</v>
      </c>
      <c r="D565" s="1">
        <v>87</v>
      </c>
      <c r="E565" s="1">
        <v>94</v>
      </c>
      <c r="F565" s="1">
        <v>121</v>
      </c>
      <c r="G565" s="1">
        <v>122</v>
      </c>
      <c r="H565" s="1">
        <v>139</v>
      </c>
      <c r="I565" s="1">
        <v>147</v>
      </c>
      <c r="J565" s="1">
        <v>155</v>
      </c>
      <c r="K565" s="1">
        <v>126</v>
      </c>
      <c r="L565" s="1">
        <v>107</v>
      </c>
      <c r="M565" s="1">
        <v>119</v>
      </c>
      <c r="N565" s="1">
        <v>122</v>
      </c>
      <c r="O565" s="24">
        <f t="shared" si="24"/>
        <v>1434</v>
      </c>
      <c r="P565" s="23">
        <v>16168</v>
      </c>
      <c r="Q565" s="1">
        <v>13558</v>
      </c>
      <c r="R565" s="1">
        <v>14426</v>
      </c>
      <c r="S565" s="1">
        <v>18979</v>
      </c>
      <c r="T565" s="1">
        <v>20218</v>
      </c>
      <c r="U565" s="1">
        <v>22094</v>
      </c>
      <c r="V565" s="1">
        <v>23014</v>
      </c>
      <c r="W565" s="1">
        <v>24785</v>
      </c>
      <c r="X565" s="1">
        <v>20245</v>
      </c>
      <c r="Y565" s="1">
        <v>16701</v>
      </c>
      <c r="Z565" s="1">
        <v>19325</v>
      </c>
      <c r="AA565" s="1">
        <v>21100</v>
      </c>
      <c r="AB565" s="24">
        <f t="shared" si="25"/>
        <v>230613</v>
      </c>
      <c r="AC565" s="23">
        <v>10501.2</v>
      </c>
      <c r="AD565" s="1">
        <v>13022.06</v>
      </c>
      <c r="AE565" s="1">
        <v>13015</v>
      </c>
      <c r="AF565" s="1">
        <v>15229.6</v>
      </c>
      <c r="AG565" s="1">
        <v>25896</v>
      </c>
      <c r="AH565" s="1">
        <v>12693.900000000001</v>
      </c>
      <c r="AI565" s="1">
        <v>16160.400000000001</v>
      </c>
      <c r="AJ565" s="1">
        <v>17896.8</v>
      </c>
      <c r="AK565" s="1">
        <v>16922.400000000001</v>
      </c>
      <c r="AL565" s="1">
        <v>28840</v>
      </c>
      <c r="AM565" s="1">
        <v>21819</v>
      </c>
      <c r="AN565" s="1">
        <v>22784</v>
      </c>
      <c r="AO565" s="24">
        <f t="shared" si="26"/>
        <v>214780.36000000002</v>
      </c>
    </row>
    <row r="566" spans="1:41" ht="17.25" customHeight="1" x14ac:dyDescent="0.45">
      <c r="A566" s="12" t="s">
        <v>32</v>
      </c>
      <c r="B566" s="12" t="s">
        <v>11</v>
      </c>
      <c r="C566" s="25">
        <v>15</v>
      </c>
      <c r="D566" s="10">
        <v>8</v>
      </c>
      <c r="E566" s="10">
        <v>8</v>
      </c>
      <c r="F566" s="10">
        <v>36</v>
      </c>
      <c r="G566" s="10">
        <v>31</v>
      </c>
      <c r="H566" s="10">
        <v>30</v>
      </c>
      <c r="I566" s="10">
        <v>31</v>
      </c>
      <c r="J566" s="10">
        <v>31</v>
      </c>
      <c r="K566" s="10">
        <v>31</v>
      </c>
      <c r="L566" s="10">
        <v>31</v>
      </c>
      <c r="M566" s="10">
        <v>36</v>
      </c>
      <c r="N566" s="10">
        <v>38</v>
      </c>
      <c r="O566" s="26">
        <f t="shared" si="24"/>
        <v>326</v>
      </c>
      <c r="P566" s="25">
        <v>1801</v>
      </c>
      <c r="Q566" s="10">
        <v>1169</v>
      </c>
      <c r="R566" s="10">
        <v>1122</v>
      </c>
      <c r="S566" s="10">
        <v>4471</v>
      </c>
      <c r="T566" s="10">
        <v>4340</v>
      </c>
      <c r="U566" s="10">
        <v>4081</v>
      </c>
      <c r="V566" s="10">
        <v>4136</v>
      </c>
      <c r="W566" s="10">
        <v>3920</v>
      </c>
      <c r="X566" s="10">
        <v>4638</v>
      </c>
      <c r="Y566" s="10">
        <v>4975</v>
      </c>
      <c r="Z566" s="10">
        <v>5743</v>
      </c>
      <c r="AA566" s="10">
        <v>5521</v>
      </c>
      <c r="AB566" s="26">
        <f t="shared" si="25"/>
        <v>45917</v>
      </c>
      <c r="AC566" s="25">
        <v>61.5</v>
      </c>
      <c r="AD566" s="10">
        <v>0</v>
      </c>
      <c r="AE566" s="10">
        <v>31.5</v>
      </c>
      <c r="AF566" s="10">
        <v>2482.5</v>
      </c>
      <c r="AG566" s="10">
        <v>5154</v>
      </c>
      <c r="AH566" s="10">
        <v>4686.3999999999996</v>
      </c>
      <c r="AI566" s="10">
        <v>3268.5</v>
      </c>
      <c r="AJ566" s="10">
        <v>7015</v>
      </c>
      <c r="AK566" s="10">
        <v>4618</v>
      </c>
      <c r="AL566" s="10">
        <v>5371</v>
      </c>
      <c r="AM566" s="10">
        <v>6549</v>
      </c>
      <c r="AN566" s="10">
        <v>8436</v>
      </c>
      <c r="AO566" s="26">
        <f t="shared" si="26"/>
        <v>47673.4</v>
      </c>
    </row>
    <row r="567" spans="1:41" ht="17.25" customHeight="1" x14ac:dyDescent="0.45">
      <c r="A567" s="2" t="s">
        <v>32</v>
      </c>
      <c r="B567" s="2" t="s">
        <v>23</v>
      </c>
      <c r="C567" s="23">
        <v>31</v>
      </c>
      <c r="D567" s="1">
        <v>29</v>
      </c>
      <c r="E567" s="1">
        <v>31</v>
      </c>
      <c r="F567" s="1">
        <v>30</v>
      </c>
      <c r="G567" s="1">
        <v>31</v>
      </c>
      <c r="H567" s="1">
        <v>57</v>
      </c>
      <c r="I567" s="1">
        <v>27</v>
      </c>
      <c r="J567" s="1">
        <v>31</v>
      </c>
      <c r="K567" s="1">
        <v>52</v>
      </c>
      <c r="L567" s="1">
        <v>30</v>
      </c>
      <c r="M567" s="1">
        <v>30</v>
      </c>
      <c r="N567" s="1">
        <v>31</v>
      </c>
      <c r="O567" s="24">
        <f t="shared" si="24"/>
        <v>410</v>
      </c>
      <c r="P567" s="23">
        <v>5208</v>
      </c>
      <c r="Q567" s="1">
        <v>4700</v>
      </c>
      <c r="R567" s="1">
        <v>4836</v>
      </c>
      <c r="S567" s="1">
        <v>5023</v>
      </c>
      <c r="T567" s="1">
        <v>5138</v>
      </c>
      <c r="U567" s="1">
        <v>6180</v>
      </c>
      <c r="V567" s="1">
        <v>5314</v>
      </c>
      <c r="W567" s="1">
        <v>5770</v>
      </c>
      <c r="X567" s="1">
        <v>7403</v>
      </c>
      <c r="Y567" s="1">
        <v>5273</v>
      </c>
      <c r="Z567" s="1">
        <v>6133</v>
      </c>
      <c r="AA567" s="1">
        <v>6314</v>
      </c>
      <c r="AB567" s="24">
        <f t="shared" si="25"/>
        <v>67292</v>
      </c>
      <c r="AC567" s="23">
        <v>0</v>
      </c>
      <c r="AD567" s="1">
        <v>0</v>
      </c>
      <c r="AE567" s="1">
        <v>0</v>
      </c>
      <c r="AF567" s="1">
        <v>0</v>
      </c>
      <c r="AG567" s="1">
        <v>0</v>
      </c>
      <c r="AH567" s="1">
        <v>0</v>
      </c>
      <c r="AI567" s="1">
        <v>0</v>
      </c>
      <c r="AJ567" s="1">
        <v>0</v>
      </c>
      <c r="AK567" s="1">
        <v>0</v>
      </c>
      <c r="AL567" s="1">
        <v>0</v>
      </c>
      <c r="AM567" s="1">
        <v>0</v>
      </c>
      <c r="AN567" s="1">
        <v>0</v>
      </c>
      <c r="AO567" s="24">
        <f t="shared" si="26"/>
        <v>0</v>
      </c>
    </row>
    <row r="568" spans="1:41" ht="17.25" customHeight="1" x14ac:dyDescent="0.45">
      <c r="A568" s="12" t="s">
        <v>32</v>
      </c>
      <c r="B568" s="12" t="s">
        <v>13</v>
      </c>
      <c r="C568" s="25">
        <v>62</v>
      </c>
      <c r="D568" s="10">
        <v>71</v>
      </c>
      <c r="E568" s="10">
        <v>94</v>
      </c>
      <c r="F568" s="10">
        <v>90</v>
      </c>
      <c r="G568" s="10">
        <v>92</v>
      </c>
      <c r="H568" s="10">
        <v>113</v>
      </c>
      <c r="I568" s="10">
        <v>58</v>
      </c>
      <c r="J568" s="10">
        <v>60</v>
      </c>
      <c r="K568" s="10">
        <v>111</v>
      </c>
      <c r="L568" s="10">
        <v>93</v>
      </c>
      <c r="M568" s="10">
        <v>90</v>
      </c>
      <c r="N568" s="10">
        <v>90</v>
      </c>
      <c r="O568" s="26">
        <f t="shared" si="24"/>
        <v>1024</v>
      </c>
      <c r="P568" s="25">
        <v>10210</v>
      </c>
      <c r="Q568" s="10">
        <v>11507</v>
      </c>
      <c r="R568" s="10">
        <v>14902</v>
      </c>
      <c r="S568" s="10">
        <v>16384</v>
      </c>
      <c r="T568" s="10">
        <v>15930</v>
      </c>
      <c r="U568" s="10">
        <v>18907</v>
      </c>
      <c r="V568" s="10">
        <v>11613</v>
      </c>
      <c r="W568" s="10">
        <v>11929</v>
      </c>
      <c r="X568" s="10">
        <v>20543</v>
      </c>
      <c r="Y568" s="10">
        <v>18866</v>
      </c>
      <c r="Z568" s="10">
        <v>18615</v>
      </c>
      <c r="AA568" s="10">
        <v>18077</v>
      </c>
      <c r="AB568" s="26">
        <f t="shared" si="25"/>
        <v>187483</v>
      </c>
      <c r="AC568" s="25">
        <v>0</v>
      </c>
      <c r="AD568" s="10">
        <v>0</v>
      </c>
      <c r="AE568" s="10">
        <v>0</v>
      </c>
      <c r="AF568" s="10">
        <v>0</v>
      </c>
      <c r="AG568" s="10">
        <v>0</v>
      </c>
      <c r="AH568" s="10">
        <v>0</v>
      </c>
      <c r="AI568" s="10">
        <v>0</v>
      </c>
      <c r="AJ568" s="10">
        <v>0</v>
      </c>
      <c r="AK568" s="10">
        <v>0</v>
      </c>
      <c r="AL568" s="10">
        <v>0</v>
      </c>
      <c r="AM568" s="10">
        <v>0</v>
      </c>
      <c r="AN568" s="10">
        <v>0</v>
      </c>
      <c r="AO568" s="26">
        <f t="shared" si="26"/>
        <v>0</v>
      </c>
    </row>
    <row r="569" spans="1:41" ht="17.25" customHeight="1" x14ac:dyDescent="0.45">
      <c r="A569" s="2" t="s">
        <v>32</v>
      </c>
      <c r="B569" s="2" t="s">
        <v>17</v>
      </c>
      <c r="C569" s="23">
        <v>40</v>
      </c>
      <c r="D569" s="1">
        <v>37</v>
      </c>
      <c r="E569" s="1">
        <v>40</v>
      </c>
      <c r="F569" s="1">
        <v>39</v>
      </c>
      <c r="G569" s="1">
        <v>40</v>
      </c>
      <c r="H569" s="1">
        <v>38</v>
      </c>
      <c r="I569" s="1">
        <v>40</v>
      </c>
      <c r="J569" s="1">
        <v>40</v>
      </c>
      <c r="K569" s="1">
        <v>39</v>
      </c>
      <c r="L569" s="1">
        <v>39</v>
      </c>
      <c r="M569" s="1">
        <v>39</v>
      </c>
      <c r="N569" s="1">
        <v>38</v>
      </c>
      <c r="O569" s="24">
        <f t="shared" si="24"/>
        <v>469</v>
      </c>
      <c r="P569" s="23">
        <v>6265</v>
      </c>
      <c r="Q569" s="1">
        <v>5665</v>
      </c>
      <c r="R569" s="1">
        <v>6254</v>
      </c>
      <c r="S569" s="1">
        <v>6813</v>
      </c>
      <c r="T569" s="1">
        <v>7133</v>
      </c>
      <c r="U569" s="1">
        <v>6685</v>
      </c>
      <c r="V569" s="1">
        <v>7524</v>
      </c>
      <c r="W569" s="1">
        <v>7030</v>
      </c>
      <c r="X569" s="1">
        <v>6243</v>
      </c>
      <c r="Y569" s="1">
        <v>6665</v>
      </c>
      <c r="Z569" s="1">
        <v>7110</v>
      </c>
      <c r="AA569" s="1">
        <v>6985</v>
      </c>
      <c r="AB569" s="24">
        <f t="shared" si="25"/>
        <v>80372</v>
      </c>
      <c r="AC569" s="23">
        <v>228.9</v>
      </c>
      <c r="AD569" s="1">
        <v>739.8</v>
      </c>
      <c r="AE569" s="1">
        <v>159</v>
      </c>
      <c r="AF569" s="1">
        <v>121.5</v>
      </c>
      <c r="AG569" s="1">
        <v>0</v>
      </c>
      <c r="AH569" s="1">
        <v>428.79999999999995</v>
      </c>
      <c r="AI569" s="1">
        <v>15.5</v>
      </c>
      <c r="AJ569" s="1">
        <v>241</v>
      </c>
      <c r="AK569" s="1">
        <v>138</v>
      </c>
      <c r="AL569" s="1">
        <v>66</v>
      </c>
      <c r="AM569" s="1">
        <v>1247.5</v>
      </c>
      <c r="AN569" s="1">
        <v>25.5</v>
      </c>
      <c r="AO569" s="24">
        <f t="shared" si="26"/>
        <v>3411.5</v>
      </c>
    </row>
    <row r="570" spans="1:41" ht="17.25" customHeight="1" x14ac:dyDescent="0.45">
      <c r="A570" s="12" t="s">
        <v>32</v>
      </c>
      <c r="B570" s="12" t="s">
        <v>48</v>
      </c>
      <c r="C570" s="25">
        <v>53</v>
      </c>
      <c r="D570" s="10">
        <v>50</v>
      </c>
      <c r="E570" s="10">
        <v>53</v>
      </c>
      <c r="F570" s="10">
        <v>51</v>
      </c>
      <c r="G570" s="10">
        <v>52</v>
      </c>
      <c r="H570" s="10">
        <v>47</v>
      </c>
      <c r="I570" s="10">
        <v>53</v>
      </c>
      <c r="J570" s="10">
        <v>53</v>
      </c>
      <c r="K570" s="10">
        <v>50</v>
      </c>
      <c r="L570" s="10">
        <v>53</v>
      </c>
      <c r="M570" s="10">
        <v>51</v>
      </c>
      <c r="N570" s="10">
        <v>53</v>
      </c>
      <c r="O570" s="26">
        <f t="shared" si="24"/>
        <v>619</v>
      </c>
      <c r="P570" s="25">
        <v>9157</v>
      </c>
      <c r="Q570" s="10">
        <v>8446</v>
      </c>
      <c r="R570" s="10">
        <v>8894</v>
      </c>
      <c r="S570" s="10">
        <v>9067</v>
      </c>
      <c r="T570" s="10">
        <v>9734</v>
      </c>
      <c r="U570" s="10">
        <v>8370</v>
      </c>
      <c r="V570" s="10">
        <v>9654</v>
      </c>
      <c r="W570" s="10">
        <v>9340</v>
      </c>
      <c r="X570" s="10">
        <v>7748</v>
      </c>
      <c r="Y570" s="10">
        <v>8098</v>
      </c>
      <c r="Z570" s="10">
        <v>7672</v>
      </c>
      <c r="AA570" s="10">
        <v>7804</v>
      </c>
      <c r="AB570" s="26">
        <f t="shared" si="25"/>
        <v>103984</v>
      </c>
      <c r="AC570" s="25">
        <v>12387.800000000001</v>
      </c>
      <c r="AD570" s="10">
        <v>8621.7000000000007</v>
      </c>
      <c r="AE570" s="10">
        <v>9713.4</v>
      </c>
      <c r="AF570" s="10">
        <v>9748.9</v>
      </c>
      <c r="AG570" s="10">
        <v>9866</v>
      </c>
      <c r="AH570" s="10">
        <v>6858</v>
      </c>
      <c r="AI570" s="10">
        <v>6438.5</v>
      </c>
      <c r="AJ570" s="10">
        <v>6045</v>
      </c>
      <c r="AK570" s="10">
        <v>4984</v>
      </c>
      <c r="AL570" s="10">
        <v>14893</v>
      </c>
      <c r="AM570" s="10">
        <v>10842.5</v>
      </c>
      <c r="AN570" s="10">
        <v>8054</v>
      </c>
      <c r="AO570" s="26">
        <f t="shared" si="26"/>
        <v>108452.8</v>
      </c>
    </row>
    <row r="571" spans="1:41" ht="17.25" customHeight="1" x14ac:dyDescent="0.45">
      <c r="A571" s="2" t="s">
        <v>32</v>
      </c>
      <c r="B571" s="2" t="s">
        <v>15</v>
      </c>
      <c r="C571" s="23">
        <v>31</v>
      </c>
      <c r="D571" s="1">
        <v>29</v>
      </c>
      <c r="E571" s="1">
        <v>33</v>
      </c>
      <c r="F571" s="1">
        <v>30</v>
      </c>
      <c r="G571" s="1">
        <v>31</v>
      </c>
      <c r="H571" s="1">
        <v>30</v>
      </c>
      <c r="I571" s="1">
        <v>31</v>
      </c>
      <c r="J571" s="1">
        <v>31</v>
      </c>
      <c r="K571" s="1">
        <v>30</v>
      </c>
      <c r="L571" s="1">
        <v>31</v>
      </c>
      <c r="M571" s="1">
        <v>29</v>
      </c>
      <c r="N571" s="1">
        <v>31</v>
      </c>
      <c r="O571" s="24">
        <f t="shared" si="24"/>
        <v>367</v>
      </c>
      <c r="P571" s="23">
        <v>5420</v>
      </c>
      <c r="Q571" s="1">
        <v>4921</v>
      </c>
      <c r="R571" s="1">
        <v>5676</v>
      </c>
      <c r="S571" s="1">
        <v>5055</v>
      </c>
      <c r="T571" s="1">
        <v>5223</v>
      </c>
      <c r="U571" s="1">
        <v>4701</v>
      </c>
      <c r="V571" s="1">
        <v>5136</v>
      </c>
      <c r="W571" s="1">
        <v>5249</v>
      </c>
      <c r="X571" s="1">
        <v>4809</v>
      </c>
      <c r="Y571" s="1">
        <v>5104</v>
      </c>
      <c r="Z571" s="1">
        <v>4830</v>
      </c>
      <c r="AA571" s="1">
        <v>5018</v>
      </c>
      <c r="AB571" s="24">
        <f t="shared" si="25"/>
        <v>61142</v>
      </c>
      <c r="AC571" s="23">
        <v>11540</v>
      </c>
      <c r="AD571" s="1">
        <v>20811.34</v>
      </c>
      <c r="AE571" s="1">
        <v>11663.2</v>
      </c>
      <c r="AF571" s="1">
        <v>16015.6</v>
      </c>
      <c r="AG571" s="1">
        <v>22295</v>
      </c>
      <c r="AH571" s="1">
        <v>12592.3</v>
      </c>
      <c r="AI571" s="1">
        <v>10329</v>
      </c>
      <c r="AJ571" s="1">
        <v>11167</v>
      </c>
      <c r="AK571" s="1">
        <v>11397</v>
      </c>
      <c r="AL571" s="1">
        <v>12387</v>
      </c>
      <c r="AM571" s="1">
        <v>18297</v>
      </c>
      <c r="AN571" s="1">
        <v>16902.5</v>
      </c>
      <c r="AO571" s="24">
        <f t="shared" si="26"/>
        <v>175396.94</v>
      </c>
    </row>
    <row r="572" spans="1:41" ht="17.25" customHeight="1" x14ac:dyDescent="0.45">
      <c r="A572" s="12" t="s">
        <v>33</v>
      </c>
      <c r="B572" s="12" t="s">
        <v>10</v>
      </c>
      <c r="C572" s="25">
        <v>9</v>
      </c>
      <c r="D572" s="10">
        <v>8</v>
      </c>
      <c r="E572" s="10">
        <v>9</v>
      </c>
      <c r="F572" s="10">
        <v>9</v>
      </c>
      <c r="G572" s="10">
        <v>8</v>
      </c>
      <c r="H572" s="10">
        <v>9</v>
      </c>
      <c r="I572" s="10">
        <v>12</v>
      </c>
      <c r="J572" s="10">
        <v>14</v>
      </c>
      <c r="K572" s="10">
        <v>7</v>
      </c>
      <c r="L572" s="10">
        <v>9</v>
      </c>
      <c r="M572" s="10">
        <v>12</v>
      </c>
      <c r="N572" s="10">
        <v>12</v>
      </c>
      <c r="O572" s="26">
        <f t="shared" si="24"/>
        <v>118</v>
      </c>
      <c r="P572" s="25">
        <v>1431</v>
      </c>
      <c r="Q572" s="10">
        <v>1254</v>
      </c>
      <c r="R572" s="10">
        <v>1467</v>
      </c>
      <c r="S572" s="10">
        <v>1328</v>
      </c>
      <c r="T572" s="10">
        <v>1059</v>
      </c>
      <c r="U572" s="10">
        <v>1340</v>
      </c>
      <c r="V572" s="10">
        <v>1902</v>
      </c>
      <c r="W572" s="10">
        <v>2069</v>
      </c>
      <c r="X572" s="10">
        <v>984</v>
      </c>
      <c r="Y572" s="10">
        <v>1260</v>
      </c>
      <c r="Z572" s="10">
        <v>1851</v>
      </c>
      <c r="AA572" s="10">
        <v>1990</v>
      </c>
      <c r="AB572" s="26">
        <f t="shared" si="25"/>
        <v>17935</v>
      </c>
      <c r="AC572" s="25">
        <v>0</v>
      </c>
      <c r="AD572" s="10">
        <v>0</v>
      </c>
      <c r="AE572" s="10">
        <v>0</v>
      </c>
      <c r="AF572" s="10">
        <v>0</v>
      </c>
      <c r="AG572" s="10">
        <v>0</v>
      </c>
      <c r="AH572" s="10">
        <v>0</v>
      </c>
      <c r="AI572" s="10">
        <v>0</v>
      </c>
      <c r="AJ572" s="10">
        <v>0</v>
      </c>
      <c r="AK572" s="10">
        <v>0</v>
      </c>
      <c r="AL572" s="10">
        <v>0</v>
      </c>
      <c r="AM572" s="10">
        <v>0</v>
      </c>
      <c r="AN572" s="10">
        <v>0</v>
      </c>
      <c r="AO572" s="26">
        <f t="shared" si="26"/>
        <v>0</v>
      </c>
    </row>
    <row r="573" spans="1:41" ht="17.25" customHeight="1" x14ac:dyDescent="0.45">
      <c r="A573" s="2" t="s">
        <v>33</v>
      </c>
      <c r="B573" s="2" t="s">
        <v>20</v>
      </c>
      <c r="C573" s="23">
        <v>10</v>
      </c>
      <c r="D573" s="1">
        <v>12</v>
      </c>
      <c r="E573" s="1">
        <v>9</v>
      </c>
      <c r="F573" s="1">
        <v>12</v>
      </c>
      <c r="G573" s="1">
        <v>12</v>
      </c>
      <c r="H573" s="1">
        <v>11</v>
      </c>
      <c r="I573" s="1">
        <v>6</v>
      </c>
      <c r="J573" s="1">
        <v>12</v>
      </c>
      <c r="K573" s="1">
        <v>3</v>
      </c>
      <c r="L573" s="1">
        <v>5</v>
      </c>
      <c r="M573" s="1">
        <v>13</v>
      </c>
      <c r="N573" s="1">
        <v>18</v>
      </c>
      <c r="O573" s="24">
        <f t="shared" si="24"/>
        <v>123</v>
      </c>
      <c r="P573" s="23">
        <v>385</v>
      </c>
      <c r="Q573" s="1">
        <v>356</v>
      </c>
      <c r="R573" s="1">
        <v>259</v>
      </c>
      <c r="S573" s="1">
        <v>368</v>
      </c>
      <c r="T573" s="1">
        <v>380</v>
      </c>
      <c r="U573" s="1">
        <v>331</v>
      </c>
      <c r="V573" s="1">
        <v>213</v>
      </c>
      <c r="W573" s="1">
        <v>340</v>
      </c>
      <c r="X573" s="1">
        <v>75</v>
      </c>
      <c r="Y573" s="1">
        <v>150</v>
      </c>
      <c r="Z573" s="1">
        <v>268</v>
      </c>
      <c r="AA573" s="1">
        <v>418</v>
      </c>
      <c r="AB573" s="24">
        <f t="shared" si="25"/>
        <v>3543</v>
      </c>
      <c r="AC573" s="23">
        <v>0</v>
      </c>
      <c r="AD573" s="1">
        <v>0</v>
      </c>
      <c r="AE573" s="1">
        <v>0</v>
      </c>
      <c r="AF573" s="1">
        <v>0</v>
      </c>
      <c r="AG573" s="1">
        <v>0</v>
      </c>
      <c r="AH573" s="1">
        <v>0</v>
      </c>
      <c r="AI573" s="1">
        <v>0</v>
      </c>
      <c r="AJ573" s="1">
        <v>0</v>
      </c>
      <c r="AK573" s="1">
        <v>0</v>
      </c>
      <c r="AL573" s="1">
        <v>0</v>
      </c>
      <c r="AM573" s="1">
        <v>0</v>
      </c>
      <c r="AN573" s="1">
        <v>0</v>
      </c>
      <c r="AO573" s="24">
        <f t="shared" si="26"/>
        <v>0</v>
      </c>
    </row>
    <row r="574" spans="1:41" ht="17.25" customHeight="1" x14ac:dyDescent="0.45">
      <c r="A574" s="12" t="s">
        <v>33</v>
      </c>
      <c r="B574" s="12" t="s">
        <v>11</v>
      </c>
      <c r="C574" s="25">
        <v>25</v>
      </c>
      <c r="D574" s="10">
        <v>21</v>
      </c>
      <c r="E574" s="10">
        <v>22</v>
      </c>
      <c r="F574" s="10">
        <v>24</v>
      </c>
      <c r="G574" s="10">
        <v>22</v>
      </c>
      <c r="H574" s="10">
        <v>21</v>
      </c>
      <c r="I574" s="10">
        <v>23</v>
      </c>
      <c r="J574" s="10">
        <v>22</v>
      </c>
      <c r="K574" s="10">
        <v>17</v>
      </c>
      <c r="L574" s="10">
        <v>22</v>
      </c>
      <c r="M574" s="10">
        <v>22</v>
      </c>
      <c r="N574" s="10">
        <v>37</v>
      </c>
      <c r="O574" s="26">
        <f t="shared" si="24"/>
        <v>278</v>
      </c>
      <c r="P574" s="25">
        <v>2857</v>
      </c>
      <c r="Q574" s="10">
        <v>2485</v>
      </c>
      <c r="R574" s="10">
        <v>2956</v>
      </c>
      <c r="S574" s="10">
        <v>3181</v>
      </c>
      <c r="T574" s="10">
        <v>2642</v>
      </c>
      <c r="U574" s="10">
        <v>2637</v>
      </c>
      <c r="V574" s="10">
        <v>3473</v>
      </c>
      <c r="W574" s="10">
        <v>3191</v>
      </c>
      <c r="X574" s="10">
        <v>2756</v>
      </c>
      <c r="Y574" s="10">
        <v>3566</v>
      </c>
      <c r="Z574" s="10">
        <v>3481</v>
      </c>
      <c r="AA574" s="10">
        <v>4805</v>
      </c>
      <c r="AB574" s="26">
        <f t="shared" si="25"/>
        <v>38030</v>
      </c>
      <c r="AC574" s="25">
        <v>298.8</v>
      </c>
      <c r="AD574" s="10">
        <v>66.5</v>
      </c>
      <c r="AE574" s="10">
        <v>222.29999999999998</v>
      </c>
      <c r="AF574" s="10">
        <v>608</v>
      </c>
      <c r="AG574" s="10">
        <v>163</v>
      </c>
      <c r="AH574" s="10">
        <v>95.7</v>
      </c>
      <c r="AI574" s="10">
        <v>167.90000000000003</v>
      </c>
      <c r="AJ574" s="10">
        <v>676.1</v>
      </c>
      <c r="AK574" s="10">
        <v>356.30000000000007</v>
      </c>
      <c r="AL574" s="10">
        <v>98</v>
      </c>
      <c r="AM574" s="10">
        <v>276.2</v>
      </c>
      <c r="AN574" s="10">
        <v>1612.1</v>
      </c>
      <c r="AO574" s="26">
        <f t="shared" si="26"/>
        <v>4640.8999999999996</v>
      </c>
    </row>
    <row r="575" spans="1:41" ht="17.25" customHeight="1" x14ac:dyDescent="0.45">
      <c r="A575" s="2" t="s">
        <v>33</v>
      </c>
      <c r="B575" s="2" t="s">
        <v>12</v>
      </c>
      <c r="C575" s="23">
        <v>138</v>
      </c>
      <c r="D575" s="1">
        <v>139</v>
      </c>
      <c r="E575" s="1">
        <v>148</v>
      </c>
      <c r="F575" s="1">
        <v>174</v>
      </c>
      <c r="G575" s="1">
        <v>181</v>
      </c>
      <c r="H575" s="1">
        <v>165</v>
      </c>
      <c r="I575" s="1">
        <v>155</v>
      </c>
      <c r="J575" s="1">
        <v>155</v>
      </c>
      <c r="K575" s="1">
        <v>138</v>
      </c>
      <c r="L575" s="1">
        <v>142</v>
      </c>
      <c r="M575" s="1">
        <v>134</v>
      </c>
      <c r="N575" s="1">
        <v>137</v>
      </c>
      <c r="O575" s="24">
        <f t="shared" si="24"/>
        <v>1806</v>
      </c>
      <c r="P575" s="23">
        <v>17541</v>
      </c>
      <c r="Q575" s="1">
        <v>17033</v>
      </c>
      <c r="R575" s="1">
        <v>20163</v>
      </c>
      <c r="S575" s="1">
        <v>23167</v>
      </c>
      <c r="T575" s="1">
        <v>23914</v>
      </c>
      <c r="U575" s="1">
        <v>23254</v>
      </c>
      <c r="V575" s="1">
        <v>24652</v>
      </c>
      <c r="W575" s="1">
        <v>23546</v>
      </c>
      <c r="X575" s="1">
        <v>22185</v>
      </c>
      <c r="Y575" s="1">
        <v>22108</v>
      </c>
      <c r="Z575" s="1">
        <v>19449</v>
      </c>
      <c r="AA575" s="1">
        <v>18633</v>
      </c>
      <c r="AB575" s="24">
        <f t="shared" si="25"/>
        <v>255645</v>
      </c>
      <c r="AC575" s="23">
        <v>14076</v>
      </c>
      <c r="AD575" s="1">
        <v>11267</v>
      </c>
      <c r="AE575" s="1">
        <v>13273</v>
      </c>
      <c r="AF575" s="1">
        <v>15071</v>
      </c>
      <c r="AG575" s="1">
        <v>15382</v>
      </c>
      <c r="AH575" s="1">
        <v>15287</v>
      </c>
      <c r="AI575" s="1">
        <v>15137</v>
      </c>
      <c r="AJ575" s="1">
        <v>15102</v>
      </c>
      <c r="AK575" s="1">
        <v>17499</v>
      </c>
      <c r="AL575" s="1">
        <v>16369</v>
      </c>
      <c r="AM575" s="1">
        <v>16557</v>
      </c>
      <c r="AN575" s="1">
        <v>17819</v>
      </c>
      <c r="AO575" s="24">
        <f t="shared" si="26"/>
        <v>182839</v>
      </c>
    </row>
    <row r="576" spans="1:41" ht="17.25" customHeight="1" x14ac:dyDescent="0.45">
      <c r="A576" s="12" t="s">
        <v>33</v>
      </c>
      <c r="B576" s="12" t="s">
        <v>13</v>
      </c>
      <c r="C576" s="25">
        <v>6</v>
      </c>
      <c r="D576" s="10">
        <v>0</v>
      </c>
      <c r="E576" s="10">
        <v>0</v>
      </c>
      <c r="F576" s="10">
        <v>0</v>
      </c>
      <c r="G576" s="10">
        <v>0</v>
      </c>
      <c r="H576" s="10">
        <v>0</v>
      </c>
      <c r="I576" s="10">
        <v>0</v>
      </c>
      <c r="J576" s="10">
        <v>0</v>
      </c>
      <c r="K576" s="10">
        <v>0</v>
      </c>
      <c r="L576" s="10">
        <v>0</v>
      </c>
      <c r="M576" s="10">
        <v>0</v>
      </c>
      <c r="N576" s="10">
        <v>0</v>
      </c>
      <c r="O576" s="26">
        <f t="shared" si="24"/>
        <v>6</v>
      </c>
      <c r="P576" s="25">
        <v>16</v>
      </c>
      <c r="Q576" s="10">
        <v>0</v>
      </c>
      <c r="R576" s="10">
        <v>0</v>
      </c>
      <c r="S576" s="10">
        <v>0</v>
      </c>
      <c r="T576" s="10">
        <v>0</v>
      </c>
      <c r="U576" s="10">
        <v>0</v>
      </c>
      <c r="V576" s="10">
        <v>0</v>
      </c>
      <c r="W576" s="10">
        <v>0</v>
      </c>
      <c r="X576" s="10">
        <v>0</v>
      </c>
      <c r="Y576" s="10">
        <v>0</v>
      </c>
      <c r="Z576" s="10">
        <v>0</v>
      </c>
      <c r="AA576" s="10">
        <v>0</v>
      </c>
      <c r="AB576" s="26">
        <f t="shared" si="25"/>
        <v>16</v>
      </c>
      <c r="AC576" s="25">
        <v>0</v>
      </c>
      <c r="AD576" s="10">
        <v>0</v>
      </c>
      <c r="AE576" s="10">
        <v>0</v>
      </c>
      <c r="AF576" s="10">
        <v>0</v>
      </c>
      <c r="AG576" s="10">
        <v>0</v>
      </c>
      <c r="AH576" s="10">
        <v>0</v>
      </c>
      <c r="AI576" s="10">
        <v>0</v>
      </c>
      <c r="AJ576" s="10">
        <v>0</v>
      </c>
      <c r="AK576" s="10">
        <v>0</v>
      </c>
      <c r="AL576" s="10">
        <v>0</v>
      </c>
      <c r="AM576" s="10">
        <v>0</v>
      </c>
      <c r="AN576" s="10">
        <v>0</v>
      </c>
      <c r="AO576" s="26">
        <f t="shared" si="26"/>
        <v>0</v>
      </c>
    </row>
    <row r="577" spans="1:41" ht="17.25" customHeight="1" x14ac:dyDescent="0.45">
      <c r="A577" s="2" t="s">
        <v>33</v>
      </c>
      <c r="B577" s="2" t="s">
        <v>28</v>
      </c>
      <c r="C577" s="23">
        <v>10</v>
      </c>
      <c r="D577" s="1">
        <v>11</v>
      </c>
      <c r="E577" s="1">
        <v>8</v>
      </c>
      <c r="F577" s="1">
        <v>10</v>
      </c>
      <c r="G577" s="1">
        <v>9</v>
      </c>
      <c r="H577" s="1">
        <v>9</v>
      </c>
      <c r="I577" s="1">
        <v>5</v>
      </c>
      <c r="J577" s="1">
        <v>14</v>
      </c>
      <c r="K577" s="1">
        <v>6</v>
      </c>
      <c r="L577" s="1">
        <v>5</v>
      </c>
      <c r="M577" s="1">
        <v>17</v>
      </c>
      <c r="N577" s="1">
        <v>22</v>
      </c>
      <c r="O577" s="24">
        <f t="shared" si="24"/>
        <v>126</v>
      </c>
      <c r="P577" s="23">
        <v>341</v>
      </c>
      <c r="Q577" s="1">
        <v>358</v>
      </c>
      <c r="R577" s="1">
        <v>287</v>
      </c>
      <c r="S577" s="1">
        <v>343</v>
      </c>
      <c r="T577" s="1">
        <v>266</v>
      </c>
      <c r="U577" s="1">
        <v>260</v>
      </c>
      <c r="V577" s="1">
        <v>204</v>
      </c>
      <c r="W577" s="1">
        <v>322</v>
      </c>
      <c r="X577" s="1">
        <v>142</v>
      </c>
      <c r="Y577" s="1">
        <v>167</v>
      </c>
      <c r="Z577" s="1">
        <v>413</v>
      </c>
      <c r="AA577" s="1">
        <v>543</v>
      </c>
      <c r="AB577" s="24">
        <f t="shared" si="25"/>
        <v>3646</v>
      </c>
      <c r="AC577" s="23">
        <v>0</v>
      </c>
      <c r="AD577" s="1">
        <v>0</v>
      </c>
      <c r="AE577" s="1">
        <v>0</v>
      </c>
      <c r="AF577" s="1">
        <v>0</v>
      </c>
      <c r="AG577" s="1">
        <v>0</v>
      </c>
      <c r="AH577" s="1">
        <v>0</v>
      </c>
      <c r="AI577" s="1">
        <v>0</v>
      </c>
      <c r="AJ577" s="1">
        <v>0</v>
      </c>
      <c r="AK577" s="1">
        <v>0</v>
      </c>
      <c r="AL577" s="1">
        <v>0</v>
      </c>
      <c r="AM577" s="1">
        <v>0</v>
      </c>
      <c r="AN577" s="1">
        <v>0</v>
      </c>
      <c r="AO577" s="24">
        <f t="shared" si="26"/>
        <v>0</v>
      </c>
    </row>
    <row r="578" spans="1:41" ht="17.25" customHeight="1" x14ac:dyDescent="0.45">
      <c r="A578" s="12" t="s">
        <v>33</v>
      </c>
      <c r="B578" s="12" t="s">
        <v>48</v>
      </c>
      <c r="C578" s="25">
        <v>9</v>
      </c>
      <c r="D578" s="10">
        <v>8</v>
      </c>
      <c r="E578" s="10">
        <v>9</v>
      </c>
      <c r="F578" s="10">
        <v>9</v>
      </c>
      <c r="G578" s="10">
        <v>9</v>
      </c>
      <c r="H578" s="10">
        <v>8</v>
      </c>
      <c r="I578" s="10">
        <v>9</v>
      </c>
      <c r="J578" s="10">
        <v>9</v>
      </c>
      <c r="K578" s="10">
        <v>9</v>
      </c>
      <c r="L578" s="10">
        <v>8</v>
      </c>
      <c r="M578" s="10">
        <v>9</v>
      </c>
      <c r="N578" s="10">
        <v>9</v>
      </c>
      <c r="O578" s="26">
        <f t="shared" si="24"/>
        <v>105</v>
      </c>
      <c r="P578" s="25">
        <v>1298</v>
      </c>
      <c r="Q578" s="10">
        <v>1045</v>
      </c>
      <c r="R578" s="10">
        <v>1364</v>
      </c>
      <c r="S578" s="10">
        <v>1483</v>
      </c>
      <c r="T578" s="10">
        <v>1550</v>
      </c>
      <c r="U578" s="10">
        <v>1332</v>
      </c>
      <c r="V578" s="10">
        <v>1911</v>
      </c>
      <c r="W578" s="10">
        <v>1855</v>
      </c>
      <c r="X578" s="10">
        <v>1210</v>
      </c>
      <c r="Y578" s="10">
        <v>1040</v>
      </c>
      <c r="Z578" s="10">
        <v>1176</v>
      </c>
      <c r="AA578" s="10">
        <v>1023</v>
      </c>
      <c r="AB578" s="26">
        <f t="shared" si="25"/>
        <v>16287</v>
      </c>
      <c r="AC578" s="25">
        <v>0</v>
      </c>
      <c r="AD578" s="10">
        <v>0</v>
      </c>
      <c r="AE578" s="10">
        <v>0</v>
      </c>
      <c r="AF578" s="10">
        <v>0</v>
      </c>
      <c r="AG578" s="10">
        <v>0</v>
      </c>
      <c r="AH578" s="10">
        <v>0</v>
      </c>
      <c r="AI578" s="10">
        <v>0</v>
      </c>
      <c r="AJ578" s="10">
        <v>0</v>
      </c>
      <c r="AK578" s="10">
        <v>0</v>
      </c>
      <c r="AL578" s="10">
        <v>0</v>
      </c>
      <c r="AM578" s="10">
        <v>0</v>
      </c>
      <c r="AN578" s="10">
        <v>0</v>
      </c>
      <c r="AO578" s="26">
        <f t="shared" si="26"/>
        <v>0</v>
      </c>
    </row>
    <row r="579" spans="1:41" ht="17.25" customHeight="1" x14ac:dyDescent="0.45">
      <c r="A579" s="2" t="s">
        <v>33</v>
      </c>
      <c r="B579" s="2" t="s">
        <v>15</v>
      </c>
      <c r="C579" s="23">
        <v>12</v>
      </c>
      <c r="D579" s="1">
        <v>12</v>
      </c>
      <c r="E579" s="1">
        <v>14</v>
      </c>
      <c r="F579" s="1">
        <v>14</v>
      </c>
      <c r="G579" s="1">
        <v>13</v>
      </c>
      <c r="H579" s="1">
        <v>13</v>
      </c>
      <c r="I579" s="1">
        <v>13</v>
      </c>
      <c r="J579" s="1">
        <v>15</v>
      </c>
      <c r="K579" s="1">
        <v>21</v>
      </c>
      <c r="L579" s="1">
        <v>22</v>
      </c>
      <c r="M579" s="1">
        <v>22</v>
      </c>
      <c r="N579" s="1">
        <v>22</v>
      </c>
      <c r="O579" s="24">
        <f t="shared" si="24"/>
        <v>193</v>
      </c>
      <c r="P579" s="23">
        <v>2295</v>
      </c>
      <c r="Q579" s="1">
        <v>1746</v>
      </c>
      <c r="R579" s="1">
        <v>2413</v>
      </c>
      <c r="S579" s="1">
        <v>2289</v>
      </c>
      <c r="T579" s="1">
        <v>1900</v>
      </c>
      <c r="U579" s="1">
        <v>1815</v>
      </c>
      <c r="V579" s="1">
        <v>2133</v>
      </c>
      <c r="W579" s="1">
        <v>2400</v>
      </c>
      <c r="X579" s="1">
        <v>2167</v>
      </c>
      <c r="Y579" s="1">
        <v>2623</v>
      </c>
      <c r="Z579" s="1">
        <v>2539</v>
      </c>
      <c r="AA579" s="1">
        <v>2240</v>
      </c>
      <c r="AB579" s="24">
        <f t="shared" si="25"/>
        <v>26560</v>
      </c>
      <c r="AC579" s="23">
        <v>40.6</v>
      </c>
      <c r="AD579" s="1">
        <v>39.299999999999997</v>
      </c>
      <c r="AE579" s="1">
        <v>4.0999999999999996</v>
      </c>
      <c r="AF579" s="1">
        <v>68.900000000000006</v>
      </c>
      <c r="AG579" s="1">
        <v>317</v>
      </c>
      <c r="AH579" s="1">
        <v>84.699999999999989</v>
      </c>
      <c r="AI579" s="1">
        <v>1</v>
      </c>
      <c r="AJ579" s="1">
        <v>23.900000000000002</v>
      </c>
      <c r="AK579" s="1">
        <v>175.85</v>
      </c>
      <c r="AL579" s="1">
        <v>151</v>
      </c>
      <c r="AM579" s="1">
        <v>185.09999999999997</v>
      </c>
      <c r="AN579" s="1">
        <v>10.199999999999999</v>
      </c>
      <c r="AO579" s="24">
        <f t="shared" si="26"/>
        <v>1101.6499999999999</v>
      </c>
    </row>
    <row r="580" spans="1:41" ht="17.25" customHeight="1" x14ac:dyDescent="0.45">
      <c r="A580" s="12" t="s">
        <v>247</v>
      </c>
      <c r="B580" s="12" t="s">
        <v>11</v>
      </c>
      <c r="C580" s="25">
        <v>13</v>
      </c>
      <c r="D580" s="10">
        <v>13</v>
      </c>
      <c r="E580" s="10">
        <v>13</v>
      </c>
      <c r="F580" s="10">
        <v>13</v>
      </c>
      <c r="G580" s="10">
        <v>13</v>
      </c>
      <c r="H580" s="10">
        <v>13</v>
      </c>
      <c r="I580" s="10">
        <v>18</v>
      </c>
      <c r="J580" s="10">
        <v>18</v>
      </c>
      <c r="K580" s="10">
        <v>12</v>
      </c>
      <c r="L580" s="10">
        <v>14</v>
      </c>
      <c r="M580" s="10">
        <v>30</v>
      </c>
      <c r="N580" s="10">
        <v>56</v>
      </c>
      <c r="O580" s="26">
        <f t="shared" si="24"/>
        <v>226</v>
      </c>
      <c r="P580" s="25">
        <v>1922</v>
      </c>
      <c r="Q580" s="10">
        <v>1692</v>
      </c>
      <c r="R580" s="10">
        <v>1694</v>
      </c>
      <c r="S580" s="10">
        <v>1761</v>
      </c>
      <c r="T580" s="10">
        <v>1680</v>
      </c>
      <c r="U580" s="10">
        <v>1821</v>
      </c>
      <c r="V580" s="10">
        <v>2650</v>
      </c>
      <c r="W580" s="10">
        <v>2831</v>
      </c>
      <c r="X580" s="10">
        <v>1852</v>
      </c>
      <c r="Y580" s="10">
        <v>2126</v>
      </c>
      <c r="Z580" s="10">
        <v>4444</v>
      </c>
      <c r="AA580" s="10">
        <v>7690</v>
      </c>
      <c r="AB580" s="26">
        <f t="shared" si="25"/>
        <v>32163</v>
      </c>
      <c r="AC580" s="25">
        <v>0</v>
      </c>
      <c r="AD580" s="10">
        <v>0</v>
      </c>
      <c r="AE580" s="10">
        <v>0</v>
      </c>
      <c r="AF580" s="10">
        <v>0</v>
      </c>
      <c r="AG580" s="10">
        <v>0</v>
      </c>
      <c r="AH580" s="10">
        <v>0</v>
      </c>
      <c r="AI580" s="10">
        <v>0</v>
      </c>
      <c r="AJ580" s="10">
        <v>0</v>
      </c>
      <c r="AK580" s="10">
        <v>0</v>
      </c>
      <c r="AL580" s="10">
        <v>0</v>
      </c>
      <c r="AM580" s="10">
        <v>0</v>
      </c>
      <c r="AN580" s="10">
        <v>0</v>
      </c>
      <c r="AO580" s="26">
        <f t="shared" si="26"/>
        <v>0</v>
      </c>
    </row>
    <row r="581" spans="1:41" ht="17.25" customHeight="1" x14ac:dyDescent="0.45">
      <c r="A581" s="2" t="s">
        <v>247</v>
      </c>
      <c r="B581" s="2" t="s">
        <v>12</v>
      </c>
      <c r="C581" s="23">
        <v>93</v>
      </c>
      <c r="D581" s="1">
        <v>74</v>
      </c>
      <c r="E581" s="1">
        <v>62</v>
      </c>
      <c r="F581" s="1">
        <v>14</v>
      </c>
      <c r="G581" s="1">
        <v>0</v>
      </c>
      <c r="H581" s="1">
        <v>0</v>
      </c>
      <c r="I581" s="1">
        <v>0</v>
      </c>
      <c r="J581" s="1">
        <v>0</v>
      </c>
      <c r="K581" s="1">
        <v>0</v>
      </c>
      <c r="L581" s="1">
        <v>0</v>
      </c>
      <c r="M581" s="1">
        <v>0</v>
      </c>
      <c r="N581" s="1">
        <v>0</v>
      </c>
      <c r="O581" s="24">
        <f t="shared" si="24"/>
        <v>243</v>
      </c>
      <c r="P581" s="23">
        <v>12128</v>
      </c>
      <c r="Q581" s="1">
        <v>8366</v>
      </c>
      <c r="R581" s="1">
        <v>5079</v>
      </c>
      <c r="S581" s="1">
        <v>1432</v>
      </c>
      <c r="T581" s="1">
        <v>0</v>
      </c>
      <c r="U581" s="1">
        <v>0</v>
      </c>
      <c r="V581" s="1">
        <v>0</v>
      </c>
      <c r="W581" s="1">
        <v>0</v>
      </c>
      <c r="X581" s="1">
        <v>0</v>
      </c>
      <c r="Y581" s="1">
        <v>0</v>
      </c>
      <c r="Z581" s="1">
        <v>0</v>
      </c>
      <c r="AA581" s="1">
        <v>0</v>
      </c>
      <c r="AB581" s="24">
        <f t="shared" si="25"/>
        <v>27005</v>
      </c>
      <c r="AC581" s="23">
        <v>0</v>
      </c>
      <c r="AD581" s="1">
        <v>0</v>
      </c>
      <c r="AE581" s="1">
        <v>0</v>
      </c>
      <c r="AF581" s="1">
        <v>0</v>
      </c>
      <c r="AG581" s="1">
        <v>0</v>
      </c>
      <c r="AH581" s="1">
        <v>0</v>
      </c>
      <c r="AI581" s="1">
        <v>0</v>
      </c>
      <c r="AJ581" s="1">
        <v>0</v>
      </c>
      <c r="AK581" s="1">
        <v>0</v>
      </c>
      <c r="AL581" s="1">
        <v>0</v>
      </c>
      <c r="AM581" s="1">
        <v>0</v>
      </c>
      <c r="AN581" s="1">
        <v>0</v>
      </c>
      <c r="AO581" s="24">
        <f t="shared" si="26"/>
        <v>0</v>
      </c>
    </row>
    <row r="582" spans="1:41" ht="17.25" customHeight="1" x14ac:dyDescent="0.45">
      <c r="A582" s="12" t="s">
        <v>247</v>
      </c>
      <c r="B582" s="12" t="s">
        <v>13</v>
      </c>
      <c r="C582" s="25">
        <v>30</v>
      </c>
      <c r="D582" s="10">
        <v>23</v>
      </c>
      <c r="E582" s="10">
        <v>27</v>
      </c>
      <c r="F582" s="10">
        <v>30</v>
      </c>
      <c r="G582" s="10">
        <v>31</v>
      </c>
      <c r="H582" s="10">
        <v>30</v>
      </c>
      <c r="I582" s="10">
        <v>29</v>
      </c>
      <c r="J582" s="10">
        <v>31</v>
      </c>
      <c r="K582" s="10">
        <v>30</v>
      </c>
      <c r="L582" s="10">
        <v>31</v>
      </c>
      <c r="M582" s="10">
        <v>30</v>
      </c>
      <c r="N582" s="10">
        <v>31</v>
      </c>
      <c r="O582" s="26">
        <f t="shared" si="24"/>
        <v>353</v>
      </c>
      <c r="P582" s="25">
        <v>5432</v>
      </c>
      <c r="Q582" s="10">
        <v>3316</v>
      </c>
      <c r="R582" s="10">
        <v>4107</v>
      </c>
      <c r="S582" s="10">
        <v>4771</v>
      </c>
      <c r="T582" s="10">
        <v>4827</v>
      </c>
      <c r="U582" s="10">
        <v>4621</v>
      </c>
      <c r="V582" s="10">
        <v>4634</v>
      </c>
      <c r="W582" s="10">
        <v>5225</v>
      </c>
      <c r="X582" s="10">
        <v>4665</v>
      </c>
      <c r="Y582" s="10">
        <v>4760</v>
      </c>
      <c r="Z582" s="10">
        <v>4577</v>
      </c>
      <c r="AA582" s="10">
        <v>4277</v>
      </c>
      <c r="AB582" s="26">
        <f t="shared" si="25"/>
        <v>55212</v>
      </c>
      <c r="AC582" s="25">
        <v>0</v>
      </c>
      <c r="AD582" s="10">
        <v>0</v>
      </c>
      <c r="AE582" s="10">
        <v>0</v>
      </c>
      <c r="AF582" s="10">
        <v>0</v>
      </c>
      <c r="AG582" s="10">
        <v>0</v>
      </c>
      <c r="AH582" s="10">
        <v>0</v>
      </c>
      <c r="AI582" s="10">
        <v>0</v>
      </c>
      <c r="AJ582" s="10">
        <v>0</v>
      </c>
      <c r="AK582" s="10">
        <v>0</v>
      </c>
      <c r="AL582" s="10">
        <v>0</v>
      </c>
      <c r="AM582" s="10">
        <v>0</v>
      </c>
      <c r="AN582" s="10">
        <v>0</v>
      </c>
      <c r="AO582" s="26">
        <f t="shared" si="26"/>
        <v>0</v>
      </c>
    </row>
    <row r="583" spans="1:41" ht="17.25" customHeight="1" x14ac:dyDescent="0.45">
      <c r="A583" s="2" t="s">
        <v>247</v>
      </c>
      <c r="B583" s="2" t="s">
        <v>14</v>
      </c>
      <c r="C583" s="23">
        <v>34</v>
      </c>
      <c r="D583" s="1">
        <v>58</v>
      </c>
      <c r="E583" s="1">
        <v>84</v>
      </c>
      <c r="F583" s="1">
        <v>89</v>
      </c>
      <c r="G583" s="1">
        <v>153</v>
      </c>
      <c r="H583" s="1">
        <v>149</v>
      </c>
      <c r="I583" s="1">
        <v>158</v>
      </c>
      <c r="J583" s="1">
        <v>167</v>
      </c>
      <c r="K583" s="1">
        <v>150</v>
      </c>
      <c r="L583" s="1">
        <v>155</v>
      </c>
      <c r="M583" s="1">
        <v>148</v>
      </c>
      <c r="N583" s="1">
        <v>167</v>
      </c>
      <c r="O583" s="24">
        <f t="shared" si="24"/>
        <v>1512</v>
      </c>
      <c r="P583" s="23">
        <v>5114</v>
      </c>
      <c r="Q583" s="1">
        <v>7246</v>
      </c>
      <c r="R583" s="1">
        <v>11757</v>
      </c>
      <c r="S583" s="1">
        <v>14026</v>
      </c>
      <c r="T583" s="1">
        <v>17596</v>
      </c>
      <c r="U583" s="1">
        <v>16381</v>
      </c>
      <c r="V583" s="1">
        <v>17913</v>
      </c>
      <c r="W583" s="1">
        <v>20902</v>
      </c>
      <c r="X583" s="1">
        <v>15672</v>
      </c>
      <c r="Y583" s="1">
        <v>15484</v>
      </c>
      <c r="Z583" s="1">
        <v>14818</v>
      </c>
      <c r="AA583" s="1">
        <v>19700</v>
      </c>
      <c r="AB583" s="24">
        <f t="shared" si="25"/>
        <v>176609</v>
      </c>
      <c r="AC583" s="23">
        <v>0</v>
      </c>
      <c r="AD583" s="1">
        <v>0</v>
      </c>
      <c r="AE583" s="1">
        <v>0</v>
      </c>
      <c r="AF583" s="1">
        <v>0</v>
      </c>
      <c r="AG583" s="1">
        <v>2</v>
      </c>
      <c r="AH583" s="1">
        <v>0</v>
      </c>
      <c r="AI583" s="1">
        <v>0</v>
      </c>
      <c r="AJ583" s="1">
        <v>0</v>
      </c>
      <c r="AK583" s="1">
        <v>18</v>
      </c>
      <c r="AL583" s="1">
        <v>17</v>
      </c>
      <c r="AM583" s="1">
        <v>0</v>
      </c>
      <c r="AN583" s="1">
        <v>0</v>
      </c>
      <c r="AO583" s="24">
        <f t="shared" si="26"/>
        <v>37</v>
      </c>
    </row>
    <row r="584" spans="1:41" ht="17.25" customHeight="1" x14ac:dyDescent="0.45">
      <c r="A584" s="12" t="s">
        <v>247</v>
      </c>
      <c r="B584" s="12" t="s">
        <v>15</v>
      </c>
      <c r="C584" s="25">
        <v>3</v>
      </c>
      <c r="D584" s="10">
        <v>0</v>
      </c>
      <c r="E584" s="10">
        <v>4</v>
      </c>
      <c r="F584" s="10">
        <v>2</v>
      </c>
      <c r="G584" s="10">
        <v>0</v>
      </c>
      <c r="H584" s="10">
        <v>0</v>
      </c>
      <c r="I584" s="10">
        <v>0</v>
      </c>
      <c r="J584" s="10">
        <v>0</v>
      </c>
      <c r="K584" s="10">
        <v>29</v>
      </c>
      <c r="L584" s="10">
        <v>31</v>
      </c>
      <c r="M584" s="10">
        <v>29</v>
      </c>
      <c r="N584" s="10">
        <v>28</v>
      </c>
      <c r="O584" s="26">
        <f t="shared" ref="O584:O621" si="27">SUM(C584:N584)</f>
        <v>126</v>
      </c>
      <c r="P584" s="25">
        <v>665</v>
      </c>
      <c r="Q584" s="10">
        <v>0</v>
      </c>
      <c r="R584" s="10">
        <v>789</v>
      </c>
      <c r="S584" s="10">
        <v>463</v>
      </c>
      <c r="T584" s="10">
        <v>0</v>
      </c>
      <c r="U584" s="10">
        <v>0</v>
      </c>
      <c r="V584" s="10">
        <v>0</v>
      </c>
      <c r="W584" s="10">
        <v>0</v>
      </c>
      <c r="X584" s="10">
        <v>1636</v>
      </c>
      <c r="Y584" s="10">
        <v>2033</v>
      </c>
      <c r="Z584" s="10">
        <v>1705</v>
      </c>
      <c r="AA584" s="10">
        <v>1355</v>
      </c>
      <c r="AB584" s="26">
        <f t="shared" ref="AB584:AB621" si="28">SUM(P584:AA584)</f>
        <v>8646</v>
      </c>
      <c r="AC584" s="25">
        <v>0</v>
      </c>
      <c r="AD584" s="10">
        <v>0</v>
      </c>
      <c r="AE584" s="10">
        <v>0</v>
      </c>
      <c r="AF584" s="10">
        <v>0</v>
      </c>
      <c r="AG584" s="10">
        <v>0</v>
      </c>
      <c r="AH584" s="10">
        <v>0</v>
      </c>
      <c r="AI584" s="10">
        <v>0</v>
      </c>
      <c r="AJ584" s="10">
        <v>0</v>
      </c>
      <c r="AK584" s="10">
        <v>0</v>
      </c>
      <c r="AL584" s="10">
        <v>0</v>
      </c>
      <c r="AM584" s="10">
        <v>0</v>
      </c>
      <c r="AN584" s="10">
        <v>0</v>
      </c>
      <c r="AO584" s="26">
        <f t="shared" ref="AO584:AO621" si="29">SUM(AC584:AN584)</f>
        <v>0</v>
      </c>
    </row>
    <row r="585" spans="1:41" ht="17.25" customHeight="1" x14ac:dyDescent="0.45">
      <c r="A585" s="2" t="s">
        <v>34</v>
      </c>
      <c r="B585" s="2" t="s">
        <v>10</v>
      </c>
      <c r="C585" s="23">
        <v>66</v>
      </c>
      <c r="D585" s="1">
        <v>54</v>
      </c>
      <c r="E585" s="1">
        <v>59</v>
      </c>
      <c r="F585" s="1">
        <v>62</v>
      </c>
      <c r="G585" s="1">
        <v>62</v>
      </c>
      <c r="H585" s="1">
        <v>59</v>
      </c>
      <c r="I585" s="1">
        <v>60</v>
      </c>
      <c r="J585" s="1">
        <v>62</v>
      </c>
      <c r="K585" s="1">
        <v>60</v>
      </c>
      <c r="L585" s="1">
        <v>62</v>
      </c>
      <c r="M585" s="1">
        <v>60</v>
      </c>
      <c r="N585" s="1">
        <v>64</v>
      </c>
      <c r="O585" s="24">
        <f t="shared" si="27"/>
        <v>730</v>
      </c>
      <c r="P585" s="23">
        <v>11960</v>
      </c>
      <c r="Q585" s="1">
        <v>9406</v>
      </c>
      <c r="R585" s="1">
        <v>10172</v>
      </c>
      <c r="S585" s="1">
        <v>10525</v>
      </c>
      <c r="T585" s="1">
        <v>10766</v>
      </c>
      <c r="U585" s="1">
        <v>9180</v>
      </c>
      <c r="V585" s="1">
        <v>10416</v>
      </c>
      <c r="W585" s="1">
        <v>10805</v>
      </c>
      <c r="X585" s="1">
        <v>9553</v>
      </c>
      <c r="Y585" s="1">
        <v>9450</v>
      </c>
      <c r="Z585" s="1">
        <v>9710</v>
      </c>
      <c r="AA585" s="1">
        <v>10086</v>
      </c>
      <c r="AB585" s="24">
        <f t="shared" si="28"/>
        <v>122029</v>
      </c>
      <c r="AC585" s="23">
        <v>22</v>
      </c>
      <c r="AD585" s="1">
        <v>19</v>
      </c>
      <c r="AE585" s="1">
        <v>1263.5</v>
      </c>
      <c r="AF585" s="1">
        <v>0</v>
      </c>
      <c r="AG585" s="1">
        <v>62</v>
      </c>
      <c r="AH585" s="1">
        <v>1.5</v>
      </c>
      <c r="AI585" s="1">
        <v>3</v>
      </c>
      <c r="AJ585" s="1">
        <v>63.5</v>
      </c>
      <c r="AK585" s="1">
        <v>30.5</v>
      </c>
      <c r="AL585" s="1">
        <v>164</v>
      </c>
      <c r="AM585" s="1">
        <v>33</v>
      </c>
      <c r="AN585" s="1">
        <v>36</v>
      </c>
      <c r="AO585" s="24">
        <f t="shared" si="29"/>
        <v>1698</v>
      </c>
    </row>
    <row r="586" spans="1:41" ht="17.25" customHeight="1" x14ac:dyDescent="0.45">
      <c r="A586" s="12" t="s">
        <v>34</v>
      </c>
      <c r="B586" s="12" t="s">
        <v>22</v>
      </c>
      <c r="C586" s="25">
        <v>2</v>
      </c>
      <c r="D586" s="10">
        <v>0</v>
      </c>
      <c r="E586" s="10">
        <v>0</v>
      </c>
      <c r="F586" s="10">
        <v>9</v>
      </c>
      <c r="G586" s="10">
        <v>9</v>
      </c>
      <c r="H586" s="10">
        <v>8</v>
      </c>
      <c r="I586" s="10">
        <v>9</v>
      </c>
      <c r="J586" s="10">
        <v>9</v>
      </c>
      <c r="K586" s="10">
        <v>8</v>
      </c>
      <c r="L586" s="10">
        <v>8</v>
      </c>
      <c r="M586" s="10">
        <v>0</v>
      </c>
      <c r="N586" s="10">
        <v>0</v>
      </c>
      <c r="O586" s="26">
        <f t="shared" si="27"/>
        <v>62</v>
      </c>
      <c r="P586" s="25">
        <v>321</v>
      </c>
      <c r="Q586" s="10">
        <v>0</v>
      </c>
      <c r="R586" s="10">
        <v>0</v>
      </c>
      <c r="S586" s="10">
        <v>1159</v>
      </c>
      <c r="T586" s="10">
        <v>1311</v>
      </c>
      <c r="U586" s="10">
        <v>1129</v>
      </c>
      <c r="V586" s="10">
        <v>1174</v>
      </c>
      <c r="W586" s="10">
        <v>1356</v>
      </c>
      <c r="X586" s="10">
        <v>1035</v>
      </c>
      <c r="Y586" s="10">
        <v>1064</v>
      </c>
      <c r="Z586" s="10">
        <v>0</v>
      </c>
      <c r="AA586" s="10">
        <v>0</v>
      </c>
      <c r="AB586" s="26">
        <f t="shared" si="28"/>
        <v>8549</v>
      </c>
      <c r="AC586" s="25">
        <v>0</v>
      </c>
      <c r="AD586" s="10">
        <v>0</v>
      </c>
      <c r="AE586" s="10">
        <v>0</v>
      </c>
      <c r="AF586" s="10">
        <v>1.5</v>
      </c>
      <c r="AG586" s="10">
        <v>0</v>
      </c>
      <c r="AH586" s="10">
        <v>0</v>
      </c>
      <c r="AI586" s="10">
        <v>0</v>
      </c>
      <c r="AJ586" s="10">
        <v>0</v>
      </c>
      <c r="AK586" s="10">
        <v>0</v>
      </c>
      <c r="AL586" s="10">
        <v>0</v>
      </c>
      <c r="AM586" s="10">
        <v>0</v>
      </c>
      <c r="AN586" s="10">
        <v>0</v>
      </c>
      <c r="AO586" s="26">
        <f t="shared" si="29"/>
        <v>1.5</v>
      </c>
    </row>
    <row r="587" spans="1:41" ht="17.25" customHeight="1" x14ac:dyDescent="0.45">
      <c r="A587" s="2" t="s">
        <v>34</v>
      </c>
      <c r="B587" s="2" t="s">
        <v>11</v>
      </c>
      <c r="C587" s="23">
        <v>55</v>
      </c>
      <c r="D587" s="1">
        <v>50</v>
      </c>
      <c r="E587" s="1">
        <v>62</v>
      </c>
      <c r="F587" s="1">
        <v>63</v>
      </c>
      <c r="G587" s="1">
        <v>62</v>
      </c>
      <c r="H587" s="1">
        <v>60</v>
      </c>
      <c r="I587" s="1">
        <v>61</v>
      </c>
      <c r="J587" s="1">
        <v>62</v>
      </c>
      <c r="K587" s="1">
        <v>60</v>
      </c>
      <c r="L587" s="1">
        <v>62</v>
      </c>
      <c r="M587" s="1">
        <v>60</v>
      </c>
      <c r="N587" s="1">
        <v>60</v>
      </c>
      <c r="O587" s="24">
        <f t="shared" si="27"/>
        <v>717</v>
      </c>
      <c r="P587" s="23">
        <v>11098</v>
      </c>
      <c r="Q587" s="1">
        <v>9559</v>
      </c>
      <c r="R587" s="1">
        <v>11098</v>
      </c>
      <c r="S587" s="1">
        <v>10309</v>
      </c>
      <c r="T587" s="1">
        <v>9735</v>
      </c>
      <c r="U587" s="1">
        <v>9450</v>
      </c>
      <c r="V587" s="1">
        <v>9776</v>
      </c>
      <c r="W587" s="1">
        <v>10172</v>
      </c>
      <c r="X587" s="1">
        <v>9477</v>
      </c>
      <c r="Y587" s="1">
        <v>9892</v>
      </c>
      <c r="Z587" s="1">
        <v>10231</v>
      </c>
      <c r="AA587" s="1">
        <v>10372</v>
      </c>
      <c r="AB587" s="24">
        <f t="shared" si="28"/>
        <v>121169</v>
      </c>
      <c r="AC587" s="23">
        <v>82</v>
      </c>
      <c r="AD587" s="1">
        <v>92</v>
      </c>
      <c r="AE587" s="1">
        <v>1</v>
      </c>
      <c r="AF587" s="1">
        <v>185.5</v>
      </c>
      <c r="AG587" s="1">
        <v>7</v>
      </c>
      <c r="AH587" s="1">
        <v>194</v>
      </c>
      <c r="AI587" s="1">
        <v>17.5</v>
      </c>
      <c r="AJ587" s="1">
        <v>190.5</v>
      </c>
      <c r="AK587" s="1">
        <v>107</v>
      </c>
      <c r="AL587" s="1">
        <v>286</v>
      </c>
      <c r="AM587" s="1">
        <v>1210.5</v>
      </c>
      <c r="AN587" s="1">
        <v>91.5</v>
      </c>
      <c r="AO587" s="24">
        <f t="shared" si="29"/>
        <v>2464.5</v>
      </c>
    </row>
    <row r="588" spans="1:41" ht="17.25" customHeight="1" x14ac:dyDescent="0.45">
      <c r="A588" s="12" t="s">
        <v>34</v>
      </c>
      <c r="B588" s="12" t="s">
        <v>23</v>
      </c>
      <c r="C588" s="25">
        <v>13</v>
      </c>
      <c r="D588" s="10">
        <v>8</v>
      </c>
      <c r="E588" s="10">
        <v>17</v>
      </c>
      <c r="F588" s="10">
        <v>17</v>
      </c>
      <c r="G588" s="10">
        <v>17</v>
      </c>
      <c r="H588" s="10">
        <v>21</v>
      </c>
      <c r="I588" s="10">
        <v>22</v>
      </c>
      <c r="J588" s="10">
        <v>22</v>
      </c>
      <c r="K588" s="10">
        <v>17</v>
      </c>
      <c r="L588" s="10">
        <v>18</v>
      </c>
      <c r="M588" s="10">
        <v>17</v>
      </c>
      <c r="N588" s="10">
        <v>19</v>
      </c>
      <c r="O588" s="26">
        <f t="shared" si="27"/>
        <v>208</v>
      </c>
      <c r="P588" s="25">
        <v>2681</v>
      </c>
      <c r="Q588" s="10">
        <v>1618</v>
      </c>
      <c r="R588" s="10">
        <v>3102</v>
      </c>
      <c r="S588" s="10">
        <v>2794</v>
      </c>
      <c r="T588" s="10">
        <v>2723</v>
      </c>
      <c r="U588" s="10">
        <v>3255</v>
      </c>
      <c r="V588" s="10">
        <v>3432</v>
      </c>
      <c r="W588" s="10">
        <v>3603</v>
      </c>
      <c r="X588" s="10">
        <v>2599</v>
      </c>
      <c r="Y588" s="10">
        <v>2820</v>
      </c>
      <c r="Z588" s="10">
        <v>2785</v>
      </c>
      <c r="AA588" s="10">
        <v>2739</v>
      </c>
      <c r="AB588" s="26">
        <f t="shared" si="28"/>
        <v>34151</v>
      </c>
      <c r="AC588" s="25">
        <v>0</v>
      </c>
      <c r="AD588" s="10">
        <v>0</v>
      </c>
      <c r="AE588" s="10">
        <v>0</v>
      </c>
      <c r="AF588" s="10">
        <v>0</v>
      </c>
      <c r="AG588" s="10">
        <v>0</v>
      </c>
      <c r="AH588" s="10">
        <v>0</v>
      </c>
      <c r="AI588" s="10">
        <v>0</v>
      </c>
      <c r="AJ588" s="10">
        <v>0</v>
      </c>
      <c r="AK588" s="10">
        <v>0</v>
      </c>
      <c r="AL588" s="10">
        <v>0</v>
      </c>
      <c r="AM588" s="10">
        <v>0</v>
      </c>
      <c r="AN588" s="10">
        <v>0</v>
      </c>
      <c r="AO588" s="26">
        <f t="shared" si="29"/>
        <v>0</v>
      </c>
    </row>
    <row r="589" spans="1:41" ht="17.25" customHeight="1" x14ac:dyDescent="0.45">
      <c r="A589" s="2" t="s">
        <v>34</v>
      </c>
      <c r="B589" s="2" t="s">
        <v>24</v>
      </c>
      <c r="C589" s="23">
        <v>9</v>
      </c>
      <c r="D589" s="1">
        <v>8</v>
      </c>
      <c r="E589" s="1">
        <v>9</v>
      </c>
      <c r="F589" s="1">
        <v>0</v>
      </c>
      <c r="G589" s="1">
        <v>0</v>
      </c>
      <c r="H589" s="1">
        <v>0</v>
      </c>
      <c r="I589" s="1">
        <v>0</v>
      </c>
      <c r="J589" s="1">
        <v>0</v>
      </c>
      <c r="K589" s="1">
        <v>0</v>
      </c>
      <c r="L589" s="1">
        <v>0</v>
      </c>
      <c r="M589" s="1">
        <v>0</v>
      </c>
      <c r="N589" s="1">
        <v>0</v>
      </c>
      <c r="O589" s="24">
        <f t="shared" si="27"/>
        <v>26</v>
      </c>
      <c r="P589" s="23">
        <v>1905</v>
      </c>
      <c r="Q589" s="1">
        <v>1794</v>
      </c>
      <c r="R589" s="1">
        <v>1647</v>
      </c>
      <c r="S589" s="1">
        <v>0</v>
      </c>
      <c r="T589" s="1">
        <v>0</v>
      </c>
      <c r="U589" s="1">
        <v>0</v>
      </c>
      <c r="V589" s="1">
        <v>0</v>
      </c>
      <c r="W589" s="1">
        <v>0</v>
      </c>
      <c r="X589" s="1">
        <v>0</v>
      </c>
      <c r="Y589" s="1">
        <v>0</v>
      </c>
      <c r="Z589" s="1">
        <v>0</v>
      </c>
      <c r="AA589" s="1">
        <v>0</v>
      </c>
      <c r="AB589" s="24">
        <f t="shared" si="28"/>
        <v>5346</v>
      </c>
      <c r="AC589" s="23">
        <v>0</v>
      </c>
      <c r="AD589" s="1">
        <v>0</v>
      </c>
      <c r="AE589" s="1">
        <v>1886.3</v>
      </c>
      <c r="AF589" s="1">
        <v>0</v>
      </c>
      <c r="AG589" s="1">
        <v>0</v>
      </c>
      <c r="AH589" s="1">
        <v>0</v>
      </c>
      <c r="AI589" s="1">
        <v>0</v>
      </c>
      <c r="AJ589" s="1">
        <v>0</v>
      </c>
      <c r="AK589" s="1">
        <v>0</v>
      </c>
      <c r="AL589" s="1">
        <v>0</v>
      </c>
      <c r="AM589" s="1">
        <v>0</v>
      </c>
      <c r="AN589" s="1">
        <v>0</v>
      </c>
      <c r="AO589" s="24">
        <f t="shared" si="29"/>
        <v>1886.3</v>
      </c>
    </row>
    <row r="590" spans="1:41" ht="17.25" customHeight="1" x14ac:dyDescent="0.45">
      <c r="A590" s="12" t="s">
        <v>34</v>
      </c>
      <c r="B590" s="12" t="s">
        <v>12</v>
      </c>
      <c r="C590" s="25">
        <v>211</v>
      </c>
      <c r="D590" s="10">
        <v>194</v>
      </c>
      <c r="E590" s="10">
        <v>207</v>
      </c>
      <c r="F590" s="10">
        <v>215</v>
      </c>
      <c r="G590" s="10">
        <v>220</v>
      </c>
      <c r="H590" s="10">
        <v>214</v>
      </c>
      <c r="I590" s="10">
        <v>210</v>
      </c>
      <c r="J590" s="10">
        <v>212</v>
      </c>
      <c r="K590" s="10">
        <v>224</v>
      </c>
      <c r="L590" s="10">
        <v>229</v>
      </c>
      <c r="M590" s="10">
        <v>209</v>
      </c>
      <c r="N590" s="10">
        <v>200</v>
      </c>
      <c r="O590" s="26">
        <f t="shared" si="27"/>
        <v>2545</v>
      </c>
      <c r="P590" s="25">
        <v>32718</v>
      </c>
      <c r="Q590" s="10">
        <v>32085</v>
      </c>
      <c r="R590" s="10">
        <v>32460</v>
      </c>
      <c r="S590" s="10">
        <v>34401</v>
      </c>
      <c r="T590" s="10">
        <v>34743</v>
      </c>
      <c r="U590" s="10">
        <v>30336</v>
      </c>
      <c r="V590" s="10">
        <v>34512</v>
      </c>
      <c r="W590" s="10">
        <v>35061</v>
      </c>
      <c r="X590" s="10">
        <v>34807</v>
      </c>
      <c r="Y590" s="10">
        <v>33709</v>
      </c>
      <c r="Z590" s="10">
        <v>34064</v>
      </c>
      <c r="AA590" s="10">
        <v>32538</v>
      </c>
      <c r="AB590" s="26">
        <f t="shared" si="28"/>
        <v>401434</v>
      </c>
      <c r="AC590" s="25">
        <v>6623.5</v>
      </c>
      <c r="AD590" s="10">
        <v>12892.5</v>
      </c>
      <c r="AE590" s="10">
        <v>14045</v>
      </c>
      <c r="AF590" s="10">
        <v>14403.5</v>
      </c>
      <c r="AG590" s="10">
        <v>13182</v>
      </c>
      <c r="AH590" s="10">
        <v>10216.5</v>
      </c>
      <c r="AI590" s="10">
        <v>11982.75</v>
      </c>
      <c r="AJ590" s="10">
        <v>8961.5</v>
      </c>
      <c r="AK590" s="10">
        <v>7685</v>
      </c>
      <c r="AL590" s="10">
        <v>9006</v>
      </c>
      <c r="AM590" s="10">
        <v>11560.5</v>
      </c>
      <c r="AN590" s="10">
        <v>9402.5</v>
      </c>
      <c r="AO590" s="26">
        <f t="shared" si="29"/>
        <v>129961.25</v>
      </c>
    </row>
    <row r="591" spans="1:41" ht="17.25" customHeight="1" x14ac:dyDescent="0.45">
      <c r="A591" s="2" t="s">
        <v>34</v>
      </c>
      <c r="B591" s="2" t="s">
        <v>13</v>
      </c>
      <c r="C591" s="23">
        <v>36</v>
      </c>
      <c r="D591" s="1">
        <v>29</v>
      </c>
      <c r="E591" s="1">
        <v>39</v>
      </c>
      <c r="F591" s="1">
        <v>37</v>
      </c>
      <c r="G591" s="1">
        <v>44</v>
      </c>
      <c r="H591" s="1">
        <v>38</v>
      </c>
      <c r="I591" s="1">
        <v>34</v>
      </c>
      <c r="J591" s="1">
        <v>36</v>
      </c>
      <c r="K591" s="1">
        <v>47</v>
      </c>
      <c r="L591" s="1">
        <v>52</v>
      </c>
      <c r="M591" s="1">
        <v>38</v>
      </c>
      <c r="N591" s="1">
        <v>42</v>
      </c>
      <c r="O591" s="24">
        <f t="shared" si="27"/>
        <v>472</v>
      </c>
      <c r="P591" s="23">
        <v>7270</v>
      </c>
      <c r="Q591" s="1">
        <v>4958</v>
      </c>
      <c r="R591" s="1">
        <v>6282</v>
      </c>
      <c r="S591" s="1">
        <v>6453</v>
      </c>
      <c r="T591" s="1">
        <v>7533</v>
      </c>
      <c r="U591" s="1">
        <v>6673</v>
      </c>
      <c r="V591" s="1">
        <v>6966</v>
      </c>
      <c r="W591" s="1">
        <v>7098</v>
      </c>
      <c r="X591" s="1">
        <v>7023</v>
      </c>
      <c r="Y591" s="1">
        <v>7740</v>
      </c>
      <c r="Z591" s="1">
        <v>7491</v>
      </c>
      <c r="AA591" s="1">
        <v>7874</v>
      </c>
      <c r="AB591" s="24">
        <f t="shared" si="28"/>
        <v>83361</v>
      </c>
      <c r="AC591" s="23">
        <v>0</v>
      </c>
      <c r="AD591" s="1">
        <v>0</v>
      </c>
      <c r="AE591" s="1">
        <v>0</v>
      </c>
      <c r="AF591" s="1">
        <v>0</v>
      </c>
      <c r="AG591" s="1">
        <v>0</v>
      </c>
      <c r="AH591" s="1">
        <v>0</v>
      </c>
      <c r="AI591" s="1">
        <v>0</v>
      </c>
      <c r="AJ591" s="1">
        <v>0</v>
      </c>
      <c r="AK591" s="1">
        <v>0</v>
      </c>
      <c r="AL591" s="1">
        <v>0</v>
      </c>
      <c r="AM591" s="1">
        <v>0</v>
      </c>
      <c r="AN591" s="1">
        <v>0</v>
      </c>
      <c r="AO591" s="24">
        <f t="shared" si="29"/>
        <v>0</v>
      </c>
    </row>
    <row r="592" spans="1:41" ht="17.25" customHeight="1" x14ac:dyDescent="0.45">
      <c r="A592" s="12" t="s">
        <v>34</v>
      </c>
      <c r="B592" s="12" t="s">
        <v>14</v>
      </c>
      <c r="C592" s="25">
        <v>0</v>
      </c>
      <c r="D592" s="10">
        <v>0</v>
      </c>
      <c r="E592" s="10">
        <v>0</v>
      </c>
      <c r="F592" s="10">
        <v>16</v>
      </c>
      <c r="G592" s="10">
        <v>18</v>
      </c>
      <c r="H592" s="10">
        <v>17</v>
      </c>
      <c r="I592" s="10">
        <v>18</v>
      </c>
      <c r="J592" s="10">
        <v>18</v>
      </c>
      <c r="K592" s="10">
        <v>20</v>
      </c>
      <c r="L592" s="10">
        <v>31</v>
      </c>
      <c r="M592" s="10">
        <v>30</v>
      </c>
      <c r="N592" s="10">
        <v>32</v>
      </c>
      <c r="O592" s="26">
        <f t="shared" si="27"/>
        <v>200</v>
      </c>
      <c r="P592" s="25">
        <v>0</v>
      </c>
      <c r="Q592" s="10">
        <v>0</v>
      </c>
      <c r="R592" s="10">
        <v>0</v>
      </c>
      <c r="S592" s="10">
        <v>2594</v>
      </c>
      <c r="T592" s="10">
        <v>2902</v>
      </c>
      <c r="U592" s="10">
        <v>2559</v>
      </c>
      <c r="V592" s="10">
        <v>2997</v>
      </c>
      <c r="W592" s="10">
        <v>3062</v>
      </c>
      <c r="X592" s="10">
        <v>2720</v>
      </c>
      <c r="Y592" s="10">
        <v>4523</v>
      </c>
      <c r="Z592" s="10">
        <v>5209</v>
      </c>
      <c r="AA592" s="10">
        <v>5544</v>
      </c>
      <c r="AB592" s="26">
        <f t="shared" si="28"/>
        <v>32110</v>
      </c>
      <c r="AC592" s="25">
        <v>0</v>
      </c>
      <c r="AD592" s="10">
        <v>0</v>
      </c>
      <c r="AE592" s="10">
        <v>0</v>
      </c>
      <c r="AF592" s="10">
        <v>0</v>
      </c>
      <c r="AG592" s="10">
        <v>0</v>
      </c>
      <c r="AH592" s="10">
        <v>0</v>
      </c>
      <c r="AI592" s="10">
        <v>0</v>
      </c>
      <c r="AJ592" s="10">
        <v>0</v>
      </c>
      <c r="AK592" s="10">
        <v>0</v>
      </c>
      <c r="AL592" s="10">
        <v>0</v>
      </c>
      <c r="AM592" s="10">
        <v>0</v>
      </c>
      <c r="AN592" s="10">
        <v>0</v>
      </c>
      <c r="AO592" s="26">
        <f t="shared" si="29"/>
        <v>0</v>
      </c>
    </row>
    <row r="593" spans="1:41" ht="17.25" customHeight="1" x14ac:dyDescent="0.45">
      <c r="A593" s="2" t="s">
        <v>34</v>
      </c>
      <c r="B593" s="2" t="s">
        <v>15</v>
      </c>
      <c r="C593" s="23">
        <v>22</v>
      </c>
      <c r="D593" s="1">
        <v>20</v>
      </c>
      <c r="E593" s="1">
        <v>26</v>
      </c>
      <c r="F593" s="1">
        <v>21</v>
      </c>
      <c r="G593" s="1">
        <v>18</v>
      </c>
      <c r="H593" s="1">
        <v>19</v>
      </c>
      <c r="I593" s="1">
        <v>28</v>
      </c>
      <c r="J593" s="1">
        <v>20</v>
      </c>
      <c r="K593" s="1">
        <v>18</v>
      </c>
      <c r="L593" s="1">
        <v>17</v>
      </c>
      <c r="M593" s="1">
        <v>17</v>
      </c>
      <c r="N593" s="1">
        <v>18</v>
      </c>
      <c r="O593" s="24">
        <f t="shared" si="27"/>
        <v>244</v>
      </c>
      <c r="P593" s="23">
        <v>4541</v>
      </c>
      <c r="Q593" s="1">
        <v>4148</v>
      </c>
      <c r="R593" s="1">
        <v>4939</v>
      </c>
      <c r="S593" s="1">
        <v>3677</v>
      </c>
      <c r="T593" s="1">
        <v>3108</v>
      </c>
      <c r="U593" s="1">
        <v>2970</v>
      </c>
      <c r="V593" s="1">
        <v>4888</v>
      </c>
      <c r="W593" s="1">
        <v>3653</v>
      </c>
      <c r="X593" s="1">
        <v>3006</v>
      </c>
      <c r="Y593" s="1">
        <v>2925</v>
      </c>
      <c r="Z593" s="1">
        <v>2945</v>
      </c>
      <c r="AA593" s="1">
        <v>3028</v>
      </c>
      <c r="AB593" s="24">
        <f t="shared" si="28"/>
        <v>43828</v>
      </c>
      <c r="AC593" s="23">
        <v>5486.5</v>
      </c>
      <c r="AD593" s="1">
        <v>2015.5</v>
      </c>
      <c r="AE593" s="1">
        <v>438</v>
      </c>
      <c r="AF593" s="1">
        <v>1580.5</v>
      </c>
      <c r="AG593" s="1">
        <v>4448</v>
      </c>
      <c r="AH593" s="1">
        <v>7693</v>
      </c>
      <c r="AI593" s="1">
        <v>9495</v>
      </c>
      <c r="AJ593" s="1">
        <v>10072</v>
      </c>
      <c r="AK593" s="1">
        <v>7502.5</v>
      </c>
      <c r="AL593" s="1">
        <v>9928</v>
      </c>
      <c r="AM593" s="1">
        <v>8546.5</v>
      </c>
      <c r="AN593" s="1">
        <v>3683.5</v>
      </c>
      <c r="AO593" s="24">
        <f t="shared" si="29"/>
        <v>70889</v>
      </c>
    </row>
    <row r="594" spans="1:41" ht="17.25" customHeight="1" x14ac:dyDescent="0.45">
      <c r="A594" s="12" t="s">
        <v>63</v>
      </c>
      <c r="B594" s="12" t="s">
        <v>15</v>
      </c>
      <c r="C594" s="25">
        <v>37</v>
      </c>
      <c r="D594" s="10">
        <v>33</v>
      </c>
      <c r="E594" s="10">
        <v>36</v>
      </c>
      <c r="F594" s="10">
        <v>39</v>
      </c>
      <c r="G594" s="10">
        <v>39</v>
      </c>
      <c r="H594" s="10">
        <v>34</v>
      </c>
      <c r="I594" s="10">
        <v>38</v>
      </c>
      <c r="J594" s="10">
        <v>41</v>
      </c>
      <c r="K594" s="10">
        <v>34</v>
      </c>
      <c r="L594" s="10">
        <v>40</v>
      </c>
      <c r="M594" s="10">
        <v>38</v>
      </c>
      <c r="N594" s="10">
        <v>39</v>
      </c>
      <c r="O594" s="26">
        <f t="shared" si="27"/>
        <v>448</v>
      </c>
      <c r="P594" s="25">
        <v>6582</v>
      </c>
      <c r="Q594" s="10">
        <v>5722</v>
      </c>
      <c r="R594" s="10">
        <v>5981</v>
      </c>
      <c r="S594" s="10">
        <v>6477</v>
      </c>
      <c r="T594" s="10">
        <v>5524</v>
      </c>
      <c r="U594" s="10">
        <v>4993</v>
      </c>
      <c r="V594" s="10">
        <v>6567</v>
      </c>
      <c r="W594" s="10">
        <v>6660</v>
      </c>
      <c r="X594" s="10">
        <v>5220</v>
      </c>
      <c r="Y594" s="10">
        <v>5989</v>
      </c>
      <c r="Z594" s="10">
        <v>6128</v>
      </c>
      <c r="AA594" s="10">
        <v>5871</v>
      </c>
      <c r="AB594" s="26">
        <f t="shared" si="28"/>
        <v>71714</v>
      </c>
      <c r="AC594" s="25">
        <v>0</v>
      </c>
      <c r="AD594" s="10">
        <v>0</v>
      </c>
      <c r="AE594" s="10">
        <v>0</v>
      </c>
      <c r="AF594" s="10">
        <v>0</v>
      </c>
      <c r="AG594" s="10">
        <v>0</v>
      </c>
      <c r="AH594" s="10">
        <v>0</v>
      </c>
      <c r="AI594" s="10">
        <v>0</v>
      </c>
      <c r="AJ594" s="10">
        <v>0</v>
      </c>
      <c r="AK594" s="10">
        <v>0</v>
      </c>
      <c r="AL594" s="10">
        <v>0</v>
      </c>
      <c r="AM594" s="10">
        <v>0</v>
      </c>
      <c r="AN594" s="10">
        <v>0</v>
      </c>
      <c r="AO594" s="26">
        <f t="shared" si="29"/>
        <v>0</v>
      </c>
    </row>
    <row r="595" spans="1:41" ht="17.25" customHeight="1" x14ac:dyDescent="0.45">
      <c r="A595" s="2" t="s">
        <v>35</v>
      </c>
      <c r="B595" s="2" t="s">
        <v>10</v>
      </c>
      <c r="C595" s="23">
        <v>63</v>
      </c>
      <c r="D595" s="1">
        <v>50</v>
      </c>
      <c r="E595" s="1">
        <v>47</v>
      </c>
      <c r="F595" s="1">
        <v>58</v>
      </c>
      <c r="G595" s="1">
        <v>61</v>
      </c>
      <c r="H595" s="1">
        <v>64</v>
      </c>
      <c r="I595" s="1">
        <v>60</v>
      </c>
      <c r="J595" s="1">
        <v>60</v>
      </c>
      <c r="K595" s="1">
        <v>59</v>
      </c>
      <c r="L595" s="1">
        <v>61</v>
      </c>
      <c r="M595" s="1">
        <v>60</v>
      </c>
      <c r="N595" s="1">
        <v>62</v>
      </c>
      <c r="O595" s="24">
        <f t="shared" si="27"/>
        <v>705</v>
      </c>
      <c r="P595" s="23">
        <v>10624</v>
      </c>
      <c r="Q595" s="1">
        <v>8319</v>
      </c>
      <c r="R595" s="1">
        <v>7732</v>
      </c>
      <c r="S595" s="1">
        <v>9085</v>
      </c>
      <c r="T595" s="1">
        <v>9840</v>
      </c>
      <c r="U595" s="1">
        <v>10065</v>
      </c>
      <c r="V595" s="1">
        <v>10193</v>
      </c>
      <c r="W595" s="1">
        <v>10265</v>
      </c>
      <c r="X595" s="1">
        <v>9438</v>
      </c>
      <c r="Y595" s="1">
        <v>9813</v>
      </c>
      <c r="Z595" s="1">
        <v>9428</v>
      </c>
      <c r="AA595" s="1">
        <v>9516</v>
      </c>
      <c r="AB595" s="24">
        <f t="shared" si="28"/>
        <v>114318</v>
      </c>
      <c r="AC595" s="23">
        <v>0</v>
      </c>
      <c r="AD595" s="1">
        <v>0</v>
      </c>
      <c r="AE595" s="1">
        <v>0</v>
      </c>
      <c r="AF595" s="1">
        <v>0</v>
      </c>
      <c r="AG595" s="1">
        <v>0</v>
      </c>
      <c r="AH595" s="1">
        <v>0</v>
      </c>
      <c r="AI595" s="1">
        <v>0</v>
      </c>
      <c r="AJ595" s="1">
        <v>0</v>
      </c>
      <c r="AK595" s="1">
        <v>0</v>
      </c>
      <c r="AL595" s="1">
        <v>0</v>
      </c>
      <c r="AM595" s="1">
        <v>0</v>
      </c>
      <c r="AN595" s="1">
        <v>0</v>
      </c>
      <c r="AO595" s="24">
        <f t="shared" si="29"/>
        <v>0</v>
      </c>
    </row>
    <row r="596" spans="1:41" ht="17.25" customHeight="1" x14ac:dyDescent="0.45">
      <c r="A596" s="12" t="s">
        <v>35</v>
      </c>
      <c r="B596" s="12" t="s">
        <v>22</v>
      </c>
      <c r="C596" s="25">
        <v>2</v>
      </c>
      <c r="D596" s="10">
        <v>0</v>
      </c>
      <c r="E596" s="10">
        <v>0</v>
      </c>
      <c r="F596" s="10">
        <v>0</v>
      </c>
      <c r="G596" s="10">
        <v>0</v>
      </c>
      <c r="H596" s="10">
        <v>0</v>
      </c>
      <c r="I596" s="10">
        <v>0</v>
      </c>
      <c r="J596" s="10">
        <v>0</v>
      </c>
      <c r="K596" s="10">
        <v>0</v>
      </c>
      <c r="L596" s="10">
        <v>0</v>
      </c>
      <c r="M596" s="10">
        <v>0</v>
      </c>
      <c r="N596" s="10">
        <v>0</v>
      </c>
      <c r="O596" s="26">
        <f t="shared" si="27"/>
        <v>2</v>
      </c>
      <c r="P596" s="25">
        <v>194</v>
      </c>
      <c r="Q596" s="10">
        <v>0</v>
      </c>
      <c r="R596" s="10">
        <v>0</v>
      </c>
      <c r="S596" s="10">
        <v>0</v>
      </c>
      <c r="T596" s="10">
        <v>0</v>
      </c>
      <c r="U596" s="10">
        <v>0</v>
      </c>
      <c r="V596" s="10">
        <v>0</v>
      </c>
      <c r="W596" s="10">
        <v>0</v>
      </c>
      <c r="X596" s="10">
        <v>0</v>
      </c>
      <c r="Y596" s="10">
        <v>0</v>
      </c>
      <c r="Z596" s="10">
        <v>0</v>
      </c>
      <c r="AA596" s="10">
        <v>0</v>
      </c>
      <c r="AB596" s="26">
        <f t="shared" si="28"/>
        <v>194</v>
      </c>
      <c r="AC596" s="25">
        <v>0</v>
      </c>
      <c r="AD596" s="10">
        <v>0</v>
      </c>
      <c r="AE596" s="10">
        <v>0</v>
      </c>
      <c r="AF596" s="10">
        <v>0</v>
      </c>
      <c r="AG596" s="10">
        <v>0</v>
      </c>
      <c r="AH596" s="10">
        <v>0</v>
      </c>
      <c r="AI596" s="10">
        <v>0</v>
      </c>
      <c r="AJ596" s="10">
        <v>0</v>
      </c>
      <c r="AK596" s="10">
        <v>0</v>
      </c>
      <c r="AL596" s="10">
        <v>0</v>
      </c>
      <c r="AM596" s="10">
        <v>0</v>
      </c>
      <c r="AN596" s="10">
        <v>0</v>
      </c>
      <c r="AO596" s="26">
        <f t="shared" si="29"/>
        <v>0</v>
      </c>
    </row>
    <row r="597" spans="1:41" ht="17.25" customHeight="1" x14ac:dyDescent="0.45">
      <c r="A597" s="2" t="s">
        <v>35</v>
      </c>
      <c r="B597" s="2" t="s">
        <v>11</v>
      </c>
      <c r="C597" s="23">
        <v>77</v>
      </c>
      <c r="D597" s="1">
        <v>70</v>
      </c>
      <c r="E597" s="1">
        <v>76</v>
      </c>
      <c r="F597" s="1">
        <v>74</v>
      </c>
      <c r="G597" s="1">
        <v>82</v>
      </c>
      <c r="H597" s="1">
        <v>64</v>
      </c>
      <c r="I597" s="1">
        <v>71</v>
      </c>
      <c r="J597" s="1">
        <v>75</v>
      </c>
      <c r="K597" s="1">
        <v>72</v>
      </c>
      <c r="L597" s="1">
        <v>76</v>
      </c>
      <c r="M597" s="1">
        <v>72</v>
      </c>
      <c r="N597" s="1">
        <v>78</v>
      </c>
      <c r="O597" s="24">
        <f t="shared" si="27"/>
        <v>887</v>
      </c>
      <c r="P597" s="23">
        <v>11488</v>
      </c>
      <c r="Q597" s="1">
        <v>9206</v>
      </c>
      <c r="R597" s="1">
        <v>10802</v>
      </c>
      <c r="S597" s="1">
        <v>10780</v>
      </c>
      <c r="T597" s="1">
        <v>11585</v>
      </c>
      <c r="U597" s="1">
        <v>10079</v>
      </c>
      <c r="V597" s="1">
        <v>10900</v>
      </c>
      <c r="W597" s="1">
        <v>12156</v>
      </c>
      <c r="X597" s="1">
        <v>10551</v>
      </c>
      <c r="Y597" s="1">
        <v>11433</v>
      </c>
      <c r="Z597" s="1">
        <v>10779</v>
      </c>
      <c r="AA597" s="1">
        <v>11120</v>
      </c>
      <c r="AB597" s="24">
        <f t="shared" si="28"/>
        <v>130879</v>
      </c>
      <c r="AC597" s="23">
        <v>375</v>
      </c>
      <c r="AD597" s="1">
        <v>328.5</v>
      </c>
      <c r="AE597" s="1">
        <v>389.5</v>
      </c>
      <c r="AF597" s="1">
        <v>877.7</v>
      </c>
      <c r="AG597" s="1">
        <v>520</v>
      </c>
      <c r="AH597" s="1">
        <v>89.4</v>
      </c>
      <c r="AI597" s="1">
        <v>652.70000000000005</v>
      </c>
      <c r="AJ597" s="1">
        <v>763.8</v>
      </c>
      <c r="AK597" s="1">
        <v>144</v>
      </c>
      <c r="AL597" s="1">
        <v>393</v>
      </c>
      <c r="AM597" s="1">
        <v>36.5</v>
      </c>
      <c r="AN597" s="1">
        <v>0</v>
      </c>
      <c r="AO597" s="24">
        <f t="shared" si="29"/>
        <v>4570.1000000000004</v>
      </c>
    </row>
    <row r="598" spans="1:41" ht="17.25" customHeight="1" x14ac:dyDescent="0.45">
      <c r="A598" s="12" t="s">
        <v>35</v>
      </c>
      <c r="B598" s="12" t="s">
        <v>23</v>
      </c>
      <c r="C598" s="25">
        <v>21</v>
      </c>
      <c r="D598" s="10">
        <v>16</v>
      </c>
      <c r="E598" s="10">
        <v>19</v>
      </c>
      <c r="F598" s="10">
        <v>21</v>
      </c>
      <c r="G598" s="10">
        <v>27</v>
      </c>
      <c r="H598" s="10">
        <v>29</v>
      </c>
      <c r="I598" s="10">
        <v>24</v>
      </c>
      <c r="J598" s="10">
        <v>27</v>
      </c>
      <c r="K598" s="10">
        <v>26</v>
      </c>
      <c r="L598" s="10">
        <v>25</v>
      </c>
      <c r="M598" s="10">
        <v>25</v>
      </c>
      <c r="N598" s="10">
        <v>27</v>
      </c>
      <c r="O598" s="26">
        <f t="shared" si="27"/>
        <v>287</v>
      </c>
      <c r="P598" s="25">
        <v>4282</v>
      </c>
      <c r="Q598" s="10">
        <v>3223</v>
      </c>
      <c r="R598" s="10">
        <v>3723</v>
      </c>
      <c r="S598" s="10">
        <v>3591</v>
      </c>
      <c r="T598" s="10">
        <v>4447</v>
      </c>
      <c r="U598" s="10">
        <v>4395</v>
      </c>
      <c r="V598" s="10">
        <v>3977</v>
      </c>
      <c r="W598" s="10">
        <v>4343</v>
      </c>
      <c r="X598" s="10">
        <v>3997</v>
      </c>
      <c r="Y598" s="10">
        <v>4160</v>
      </c>
      <c r="Z598" s="10">
        <v>4282</v>
      </c>
      <c r="AA598" s="10">
        <v>4338</v>
      </c>
      <c r="AB598" s="26">
        <f t="shared" si="28"/>
        <v>48758</v>
      </c>
      <c r="AC598" s="25">
        <v>0</v>
      </c>
      <c r="AD598" s="10">
        <v>0</v>
      </c>
      <c r="AE598" s="10">
        <v>0</v>
      </c>
      <c r="AF598" s="10">
        <v>0</v>
      </c>
      <c r="AG598" s="10">
        <v>0</v>
      </c>
      <c r="AH598" s="10">
        <v>0</v>
      </c>
      <c r="AI598" s="10">
        <v>0</v>
      </c>
      <c r="AJ598" s="10">
        <v>0</v>
      </c>
      <c r="AK598" s="10">
        <v>0</v>
      </c>
      <c r="AL598" s="10">
        <v>0</v>
      </c>
      <c r="AM598" s="10">
        <v>0</v>
      </c>
      <c r="AN598" s="10">
        <v>0</v>
      </c>
      <c r="AO598" s="26">
        <f t="shared" si="29"/>
        <v>0</v>
      </c>
    </row>
    <row r="599" spans="1:41" ht="17.25" customHeight="1" x14ac:dyDescent="0.45">
      <c r="A599" s="2" t="s">
        <v>35</v>
      </c>
      <c r="B599" s="2" t="s">
        <v>12</v>
      </c>
      <c r="C599" s="23">
        <v>199</v>
      </c>
      <c r="D599" s="1">
        <v>192</v>
      </c>
      <c r="E599" s="1">
        <v>198</v>
      </c>
      <c r="F599" s="1">
        <v>231</v>
      </c>
      <c r="G599" s="1">
        <v>238</v>
      </c>
      <c r="H599" s="1">
        <v>222</v>
      </c>
      <c r="I599" s="1">
        <v>198</v>
      </c>
      <c r="J599" s="1">
        <v>203</v>
      </c>
      <c r="K599" s="1">
        <v>197</v>
      </c>
      <c r="L599" s="1">
        <v>207</v>
      </c>
      <c r="M599" s="1">
        <v>205</v>
      </c>
      <c r="N599" s="1">
        <v>198</v>
      </c>
      <c r="O599" s="24">
        <f t="shared" si="27"/>
        <v>2488</v>
      </c>
      <c r="P599" s="23">
        <v>20430</v>
      </c>
      <c r="Q599" s="1">
        <v>19927</v>
      </c>
      <c r="R599" s="1">
        <v>22681</v>
      </c>
      <c r="S599" s="1">
        <v>26374</v>
      </c>
      <c r="T599" s="1">
        <v>26260</v>
      </c>
      <c r="U599" s="1">
        <v>23999</v>
      </c>
      <c r="V599" s="1">
        <v>22839</v>
      </c>
      <c r="W599" s="1">
        <v>24726</v>
      </c>
      <c r="X599" s="1">
        <v>24826</v>
      </c>
      <c r="Y599" s="1">
        <v>25252</v>
      </c>
      <c r="Z599" s="1">
        <v>25522</v>
      </c>
      <c r="AA599" s="1">
        <v>24039</v>
      </c>
      <c r="AB599" s="24">
        <f t="shared" si="28"/>
        <v>286875</v>
      </c>
      <c r="AC599" s="23">
        <v>9038</v>
      </c>
      <c r="AD599" s="1">
        <v>9975</v>
      </c>
      <c r="AE599" s="1">
        <v>14529</v>
      </c>
      <c r="AF599" s="1">
        <v>12876</v>
      </c>
      <c r="AG599" s="1">
        <v>12311</v>
      </c>
      <c r="AH599" s="1">
        <v>10563</v>
      </c>
      <c r="AI599" s="1">
        <v>14836</v>
      </c>
      <c r="AJ599" s="1">
        <v>13021</v>
      </c>
      <c r="AK599" s="1">
        <v>10466</v>
      </c>
      <c r="AL599" s="1">
        <v>14382</v>
      </c>
      <c r="AM599" s="1">
        <v>13110</v>
      </c>
      <c r="AN599" s="1">
        <v>13088</v>
      </c>
      <c r="AO599" s="24">
        <f t="shared" si="29"/>
        <v>148195</v>
      </c>
    </row>
    <row r="600" spans="1:41" ht="17.25" customHeight="1" x14ac:dyDescent="0.45">
      <c r="A600" s="12" t="s">
        <v>35</v>
      </c>
      <c r="B600" s="12" t="s">
        <v>58</v>
      </c>
      <c r="C600" s="25">
        <v>0</v>
      </c>
      <c r="D600" s="10">
        <v>0</v>
      </c>
      <c r="E600" s="10">
        <v>0</v>
      </c>
      <c r="F600" s="10">
        <v>0</v>
      </c>
      <c r="G600" s="10">
        <v>0</v>
      </c>
      <c r="H600" s="10">
        <v>0</v>
      </c>
      <c r="I600" s="10">
        <v>0</v>
      </c>
      <c r="J600" s="10">
        <v>0</v>
      </c>
      <c r="K600" s="10">
        <v>0</v>
      </c>
      <c r="L600" s="10">
        <v>0</v>
      </c>
      <c r="M600" s="10">
        <v>22</v>
      </c>
      <c r="N600" s="10">
        <v>26</v>
      </c>
      <c r="O600" s="26">
        <f t="shared" si="27"/>
        <v>48</v>
      </c>
      <c r="P600" s="25">
        <v>0</v>
      </c>
      <c r="Q600" s="10">
        <v>0</v>
      </c>
      <c r="R600" s="10">
        <v>0</v>
      </c>
      <c r="S600" s="10">
        <v>0</v>
      </c>
      <c r="T600" s="10">
        <v>0</v>
      </c>
      <c r="U600" s="10">
        <v>0</v>
      </c>
      <c r="V600" s="10">
        <v>0</v>
      </c>
      <c r="W600" s="10">
        <v>0</v>
      </c>
      <c r="X600" s="10">
        <v>0</v>
      </c>
      <c r="Y600" s="10">
        <v>0</v>
      </c>
      <c r="Z600" s="10">
        <v>124</v>
      </c>
      <c r="AA600" s="10">
        <v>114</v>
      </c>
      <c r="AB600" s="26">
        <f t="shared" si="28"/>
        <v>238</v>
      </c>
      <c r="AC600" s="25">
        <v>0</v>
      </c>
      <c r="AD600" s="10">
        <v>0</v>
      </c>
      <c r="AE600" s="10">
        <v>0</v>
      </c>
      <c r="AF600" s="10">
        <v>0</v>
      </c>
      <c r="AG600" s="10">
        <v>0</v>
      </c>
      <c r="AH600" s="10">
        <v>0</v>
      </c>
      <c r="AI600" s="10">
        <v>0</v>
      </c>
      <c r="AJ600" s="10">
        <v>0</v>
      </c>
      <c r="AK600" s="10">
        <v>0</v>
      </c>
      <c r="AL600" s="10">
        <v>0</v>
      </c>
      <c r="AM600" s="10">
        <v>0</v>
      </c>
      <c r="AN600" s="10">
        <v>0</v>
      </c>
      <c r="AO600" s="26">
        <f t="shared" si="29"/>
        <v>0</v>
      </c>
    </row>
    <row r="601" spans="1:41" ht="17.25" customHeight="1" x14ac:dyDescent="0.45">
      <c r="A601" s="2" t="s">
        <v>35</v>
      </c>
      <c r="B601" s="2" t="s">
        <v>13</v>
      </c>
      <c r="C601" s="23">
        <v>64</v>
      </c>
      <c r="D601" s="1">
        <v>58</v>
      </c>
      <c r="E601" s="1">
        <v>63</v>
      </c>
      <c r="F601" s="1">
        <v>60</v>
      </c>
      <c r="G601" s="1">
        <v>64</v>
      </c>
      <c r="H601" s="1">
        <v>56</v>
      </c>
      <c r="I601" s="1">
        <v>78</v>
      </c>
      <c r="J601" s="1">
        <v>64</v>
      </c>
      <c r="K601" s="1">
        <v>60</v>
      </c>
      <c r="L601" s="1">
        <v>62</v>
      </c>
      <c r="M601" s="1">
        <v>60</v>
      </c>
      <c r="N601" s="1">
        <v>65</v>
      </c>
      <c r="O601" s="24">
        <f t="shared" si="27"/>
        <v>754</v>
      </c>
      <c r="P601" s="23">
        <v>11572</v>
      </c>
      <c r="Q601" s="1">
        <v>9698</v>
      </c>
      <c r="R601" s="1">
        <v>9916</v>
      </c>
      <c r="S601" s="1">
        <v>9679</v>
      </c>
      <c r="T601" s="1">
        <v>10231</v>
      </c>
      <c r="U601" s="1">
        <v>9302</v>
      </c>
      <c r="V601" s="1">
        <v>14182</v>
      </c>
      <c r="W601" s="1">
        <v>12050</v>
      </c>
      <c r="X601" s="1">
        <v>10336</v>
      </c>
      <c r="Y601" s="1">
        <v>10519</v>
      </c>
      <c r="Z601" s="1">
        <v>11240</v>
      </c>
      <c r="AA601" s="1">
        <v>10647</v>
      </c>
      <c r="AB601" s="24">
        <f t="shared" si="28"/>
        <v>129372</v>
      </c>
      <c r="AC601" s="23">
        <v>0</v>
      </c>
      <c r="AD601" s="1">
        <v>0</v>
      </c>
      <c r="AE601" s="1">
        <v>0</v>
      </c>
      <c r="AF601" s="1">
        <v>0</v>
      </c>
      <c r="AG601" s="1">
        <v>0</v>
      </c>
      <c r="AH601" s="1">
        <v>0</v>
      </c>
      <c r="AI601" s="1">
        <v>0</v>
      </c>
      <c r="AJ601" s="1">
        <v>0</v>
      </c>
      <c r="AK601" s="1">
        <v>0</v>
      </c>
      <c r="AL601" s="1">
        <v>0</v>
      </c>
      <c r="AM601" s="1">
        <v>0</v>
      </c>
      <c r="AN601" s="1">
        <v>0</v>
      </c>
      <c r="AO601" s="24">
        <f t="shared" si="29"/>
        <v>0</v>
      </c>
    </row>
    <row r="602" spans="1:41" ht="17.25" customHeight="1" x14ac:dyDescent="0.45">
      <c r="A602" s="12" t="s">
        <v>35</v>
      </c>
      <c r="B602" s="12" t="s">
        <v>248</v>
      </c>
      <c r="C602" s="25">
        <v>15</v>
      </c>
      <c r="D602" s="10">
        <v>0</v>
      </c>
      <c r="E602" s="10">
        <v>0</v>
      </c>
      <c r="F602" s="10">
        <v>0</v>
      </c>
      <c r="G602" s="10">
        <v>0</v>
      </c>
      <c r="H602" s="10">
        <v>0</v>
      </c>
      <c r="I602" s="10">
        <v>0</v>
      </c>
      <c r="J602" s="10">
        <v>0</v>
      </c>
      <c r="K602" s="10">
        <v>0</v>
      </c>
      <c r="L602" s="10">
        <v>0</v>
      </c>
      <c r="M602" s="10">
        <v>0</v>
      </c>
      <c r="N602" s="10">
        <v>0</v>
      </c>
      <c r="O602" s="26">
        <f t="shared" si="27"/>
        <v>15</v>
      </c>
      <c r="P602" s="25">
        <v>42</v>
      </c>
      <c r="Q602" s="10">
        <v>0</v>
      </c>
      <c r="R602" s="10">
        <v>0</v>
      </c>
      <c r="S602" s="10">
        <v>0</v>
      </c>
      <c r="T602" s="10">
        <v>0</v>
      </c>
      <c r="U602" s="10">
        <v>0</v>
      </c>
      <c r="V602" s="10">
        <v>0</v>
      </c>
      <c r="W602" s="10">
        <v>0</v>
      </c>
      <c r="X602" s="10">
        <v>0</v>
      </c>
      <c r="Y602" s="10">
        <v>0</v>
      </c>
      <c r="Z602" s="10">
        <v>0</v>
      </c>
      <c r="AA602" s="10">
        <v>0</v>
      </c>
      <c r="AB602" s="26">
        <f t="shared" si="28"/>
        <v>42</v>
      </c>
      <c r="AC602" s="25">
        <v>0</v>
      </c>
      <c r="AD602" s="10">
        <v>0</v>
      </c>
      <c r="AE602" s="10">
        <v>0</v>
      </c>
      <c r="AF602" s="10">
        <v>0</v>
      </c>
      <c r="AG602" s="10">
        <v>0</v>
      </c>
      <c r="AH602" s="10">
        <v>0</v>
      </c>
      <c r="AI602" s="10">
        <v>0</v>
      </c>
      <c r="AJ602" s="10">
        <v>0</v>
      </c>
      <c r="AK602" s="10">
        <v>0</v>
      </c>
      <c r="AL602" s="10">
        <v>0</v>
      </c>
      <c r="AM602" s="10">
        <v>0</v>
      </c>
      <c r="AN602" s="10">
        <v>0</v>
      </c>
      <c r="AO602" s="26">
        <f t="shared" si="29"/>
        <v>0</v>
      </c>
    </row>
    <row r="603" spans="1:41" ht="17.25" customHeight="1" x14ac:dyDescent="0.45">
      <c r="A603" s="2" t="s">
        <v>35</v>
      </c>
      <c r="B603" s="2" t="s">
        <v>29</v>
      </c>
      <c r="C603" s="23">
        <v>11</v>
      </c>
      <c r="D603" s="1">
        <v>8</v>
      </c>
      <c r="E603" s="1">
        <v>10</v>
      </c>
      <c r="F603" s="1">
        <v>13</v>
      </c>
      <c r="G603" s="1">
        <v>13</v>
      </c>
      <c r="H603" s="1">
        <v>15</v>
      </c>
      <c r="I603" s="1">
        <v>18</v>
      </c>
      <c r="J603" s="1">
        <v>18</v>
      </c>
      <c r="K603" s="1">
        <v>17</v>
      </c>
      <c r="L603" s="1">
        <v>18</v>
      </c>
      <c r="M603" s="1">
        <v>18</v>
      </c>
      <c r="N603" s="1">
        <v>16</v>
      </c>
      <c r="O603" s="24">
        <f t="shared" si="27"/>
        <v>175</v>
      </c>
      <c r="P603" s="23">
        <v>1879</v>
      </c>
      <c r="Q603" s="1">
        <v>1380</v>
      </c>
      <c r="R603" s="1">
        <v>1456</v>
      </c>
      <c r="S603" s="1">
        <v>1913</v>
      </c>
      <c r="T603" s="1">
        <v>1984</v>
      </c>
      <c r="U603" s="1">
        <v>2306</v>
      </c>
      <c r="V603" s="1">
        <v>2900</v>
      </c>
      <c r="W603" s="1">
        <v>3002</v>
      </c>
      <c r="X603" s="1">
        <v>2435</v>
      </c>
      <c r="Y603" s="1">
        <v>2545</v>
      </c>
      <c r="Z603" s="1">
        <v>2816</v>
      </c>
      <c r="AA603" s="1">
        <v>2583</v>
      </c>
      <c r="AB603" s="24">
        <f t="shared" si="28"/>
        <v>27199</v>
      </c>
      <c r="AC603" s="23">
        <v>0</v>
      </c>
      <c r="AD603" s="1">
        <v>0</v>
      </c>
      <c r="AE603" s="1">
        <v>0</v>
      </c>
      <c r="AF603" s="1">
        <v>0</v>
      </c>
      <c r="AG603" s="1">
        <v>0</v>
      </c>
      <c r="AH603" s="1">
        <v>0</v>
      </c>
      <c r="AI603" s="1">
        <v>0</v>
      </c>
      <c r="AJ603" s="1">
        <v>0</v>
      </c>
      <c r="AK603" s="1">
        <v>0</v>
      </c>
      <c r="AL603" s="1">
        <v>0</v>
      </c>
      <c r="AM603" s="1">
        <v>0</v>
      </c>
      <c r="AN603" s="1">
        <v>0</v>
      </c>
      <c r="AO603" s="24">
        <f t="shared" si="29"/>
        <v>0</v>
      </c>
    </row>
    <row r="604" spans="1:41" ht="17.25" customHeight="1" x14ac:dyDescent="0.45">
      <c r="A604" s="12" t="s">
        <v>35</v>
      </c>
      <c r="B604" s="12" t="s">
        <v>14</v>
      </c>
      <c r="C604" s="25">
        <v>57</v>
      </c>
      <c r="D604" s="10">
        <v>30</v>
      </c>
      <c r="E604" s="10">
        <v>30</v>
      </c>
      <c r="F604" s="10">
        <v>30</v>
      </c>
      <c r="G604" s="10">
        <v>30</v>
      </c>
      <c r="H604" s="10">
        <v>30</v>
      </c>
      <c r="I604" s="10">
        <v>31</v>
      </c>
      <c r="J604" s="10">
        <v>31</v>
      </c>
      <c r="K604" s="10">
        <v>30</v>
      </c>
      <c r="L604" s="10">
        <v>31</v>
      </c>
      <c r="M604" s="10">
        <v>30</v>
      </c>
      <c r="N604" s="10">
        <v>30</v>
      </c>
      <c r="O604" s="26">
        <f t="shared" si="27"/>
        <v>390</v>
      </c>
      <c r="P604" s="25">
        <v>3166</v>
      </c>
      <c r="Q604" s="10">
        <v>1704</v>
      </c>
      <c r="R604" s="10">
        <v>1967</v>
      </c>
      <c r="S604" s="10">
        <v>1271</v>
      </c>
      <c r="T604" s="10">
        <v>1407</v>
      </c>
      <c r="U604" s="10">
        <v>1370</v>
      </c>
      <c r="V604" s="10">
        <v>2143</v>
      </c>
      <c r="W604" s="10">
        <v>1968</v>
      </c>
      <c r="X604" s="10">
        <v>1293</v>
      </c>
      <c r="Y604" s="10">
        <v>1360</v>
      </c>
      <c r="Z604" s="10">
        <v>1847</v>
      </c>
      <c r="AA604" s="10">
        <v>1968</v>
      </c>
      <c r="AB604" s="26">
        <f t="shared" si="28"/>
        <v>21464</v>
      </c>
      <c r="AC604" s="25">
        <v>0</v>
      </c>
      <c r="AD604" s="10">
        <v>0</v>
      </c>
      <c r="AE604" s="10">
        <v>0</v>
      </c>
      <c r="AF604" s="10">
        <v>0</v>
      </c>
      <c r="AG604" s="10">
        <v>0</v>
      </c>
      <c r="AH604" s="10">
        <v>0</v>
      </c>
      <c r="AI604" s="10">
        <v>0</v>
      </c>
      <c r="AJ604" s="10">
        <v>0</v>
      </c>
      <c r="AK604" s="10">
        <v>0</v>
      </c>
      <c r="AL604" s="10">
        <v>0</v>
      </c>
      <c r="AM604" s="10">
        <v>0</v>
      </c>
      <c r="AN604" s="10">
        <v>0</v>
      </c>
      <c r="AO604" s="26">
        <f t="shared" si="29"/>
        <v>0</v>
      </c>
    </row>
    <row r="605" spans="1:41" ht="17.25" customHeight="1" x14ac:dyDescent="0.45">
      <c r="A605" s="2" t="s">
        <v>35</v>
      </c>
      <c r="B605" s="2" t="s">
        <v>31</v>
      </c>
      <c r="C605" s="23">
        <v>9</v>
      </c>
      <c r="D605" s="1">
        <v>8</v>
      </c>
      <c r="E605" s="1">
        <v>6</v>
      </c>
      <c r="F605" s="1">
        <v>7</v>
      </c>
      <c r="G605" s="1">
        <v>4</v>
      </c>
      <c r="H605" s="1">
        <v>5</v>
      </c>
      <c r="I605" s="1">
        <v>2</v>
      </c>
      <c r="J605" s="1">
        <v>3</v>
      </c>
      <c r="K605" s="1">
        <v>3</v>
      </c>
      <c r="L605" s="1">
        <v>4</v>
      </c>
      <c r="M605" s="1">
        <v>0</v>
      </c>
      <c r="N605" s="1">
        <v>0</v>
      </c>
      <c r="O605" s="24">
        <f t="shared" si="27"/>
        <v>51</v>
      </c>
      <c r="P605" s="23">
        <v>23</v>
      </c>
      <c r="Q605" s="1">
        <v>27</v>
      </c>
      <c r="R605" s="1">
        <v>21</v>
      </c>
      <c r="S605" s="1">
        <v>21</v>
      </c>
      <c r="T605" s="1">
        <v>12</v>
      </c>
      <c r="U605" s="1">
        <v>14</v>
      </c>
      <c r="V605" s="1">
        <v>5</v>
      </c>
      <c r="W605" s="1">
        <v>17</v>
      </c>
      <c r="X605" s="1">
        <v>14</v>
      </c>
      <c r="Y605" s="1">
        <v>30</v>
      </c>
      <c r="Z605" s="1">
        <v>0</v>
      </c>
      <c r="AA605" s="1">
        <v>0</v>
      </c>
      <c r="AB605" s="24">
        <f t="shared" si="28"/>
        <v>184</v>
      </c>
      <c r="AC605" s="23">
        <v>0</v>
      </c>
      <c r="AD605" s="1">
        <v>0</v>
      </c>
      <c r="AE605" s="1">
        <v>0</v>
      </c>
      <c r="AF605" s="1">
        <v>0</v>
      </c>
      <c r="AG605" s="1">
        <v>0</v>
      </c>
      <c r="AH605" s="1">
        <v>0</v>
      </c>
      <c r="AI605" s="1">
        <v>0</v>
      </c>
      <c r="AJ605" s="1">
        <v>0</v>
      </c>
      <c r="AK605" s="1">
        <v>0</v>
      </c>
      <c r="AL605" s="1">
        <v>0</v>
      </c>
      <c r="AM605" s="1">
        <v>0</v>
      </c>
      <c r="AN605" s="1">
        <v>0</v>
      </c>
      <c r="AO605" s="24">
        <f t="shared" si="29"/>
        <v>0</v>
      </c>
    </row>
    <row r="606" spans="1:41" ht="17.25" customHeight="1" x14ac:dyDescent="0.45">
      <c r="A606" s="12" t="s">
        <v>35</v>
      </c>
      <c r="B606" s="12" t="s">
        <v>15</v>
      </c>
      <c r="C606" s="25">
        <v>18</v>
      </c>
      <c r="D606" s="10">
        <v>16</v>
      </c>
      <c r="E606" s="10">
        <v>19</v>
      </c>
      <c r="F606" s="10">
        <v>17</v>
      </c>
      <c r="G606" s="10">
        <v>18</v>
      </c>
      <c r="H606" s="10">
        <v>16</v>
      </c>
      <c r="I606" s="10">
        <v>24</v>
      </c>
      <c r="J606" s="10">
        <v>18</v>
      </c>
      <c r="K606" s="10">
        <v>18</v>
      </c>
      <c r="L606" s="10">
        <v>16</v>
      </c>
      <c r="M606" s="10">
        <v>17</v>
      </c>
      <c r="N606" s="10">
        <v>18</v>
      </c>
      <c r="O606" s="26">
        <f t="shared" si="27"/>
        <v>215</v>
      </c>
      <c r="P606" s="25">
        <v>3166</v>
      </c>
      <c r="Q606" s="10">
        <v>2637</v>
      </c>
      <c r="R606" s="10">
        <v>3202</v>
      </c>
      <c r="S606" s="10">
        <v>2925</v>
      </c>
      <c r="T606" s="10">
        <v>2792</v>
      </c>
      <c r="U606" s="10">
        <v>2560</v>
      </c>
      <c r="V606" s="10">
        <v>3986</v>
      </c>
      <c r="W606" s="10">
        <v>3128</v>
      </c>
      <c r="X606" s="10">
        <v>2918</v>
      </c>
      <c r="Y606" s="10">
        <v>2660</v>
      </c>
      <c r="Z606" s="10">
        <v>3410</v>
      </c>
      <c r="AA606" s="10">
        <v>3605</v>
      </c>
      <c r="AB606" s="26">
        <f t="shared" si="28"/>
        <v>36989</v>
      </c>
      <c r="AC606" s="25">
        <v>276.5</v>
      </c>
      <c r="AD606" s="10">
        <v>2583</v>
      </c>
      <c r="AE606" s="10">
        <v>87</v>
      </c>
      <c r="AF606" s="10">
        <v>680</v>
      </c>
      <c r="AG606" s="10">
        <v>0</v>
      </c>
      <c r="AH606" s="10">
        <v>74.3</v>
      </c>
      <c r="AI606" s="10">
        <v>100.2</v>
      </c>
      <c r="AJ606" s="10">
        <v>161</v>
      </c>
      <c r="AK606" s="10">
        <v>57</v>
      </c>
      <c r="AL606" s="10">
        <v>165</v>
      </c>
      <c r="AM606" s="10">
        <v>270.8</v>
      </c>
      <c r="AN606" s="10">
        <v>0</v>
      </c>
      <c r="AO606" s="26">
        <f t="shared" si="29"/>
        <v>4454.8</v>
      </c>
    </row>
    <row r="607" spans="1:41" ht="17.25" customHeight="1" x14ac:dyDescent="0.45">
      <c r="A607" s="2" t="s">
        <v>35</v>
      </c>
      <c r="B607" s="2" t="s">
        <v>36</v>
      </c>
      <c r="C607" s="23">
        <v>31</v>
      </c>
      <c r="D607" s="1">
        <v>41</v>
      </c>
      <c r="E607" s="1">
        <v>39</v>
      </c>
      <c r="F607" s="1">
        <v>41</v>
      </c>
      <c r="G607" s="1">
        <v>36</v>
      </c>
      <c r="H607" s="1">
        <v>30</v>
      </c>
      <c r="I607" s="1">
        <v>31</v>
      </c>
      <c r="J607" s="1">
        <v>30</v>
      </c>
      <c r="K607" s="1">
        <v>30</v>
      </c>
      <c r="L607" s="1">
        <v>31</v>
      </c>
      <c r="M607" s="1">
        <v>30</v>
      </c>
      <c r="N607" s="1">
        <v>32</v>
      </c>
      <c r="O607" s="24">
        <f t="shared" si="27"/>
        <v>402</v>
      </c>
      <c r="P607" s="23">
        <v>185</v>
      </c>
      <c r="Q607" s="1">
        <v>167</v>
      </c>
      <c r="R607" s="1">
        <v>174</v>
      </c>
      <c r="S607" s="1">
        <v>184</v>
      </c>
      <c r="T607" s="1">
        <v>185</v>
      </c>
      <c r="U607" s="1">
        <v>140</v>
      </c>
      <c r="V607" s="1">
        <v>132</v>
      </c>
      <c r="W607" s="1">
        <v>144</v>
      </c>
      <c r="X607" s="1">
        <v>145</v>
      </c>
      <c r="Y607" s="1">
        <v>124</v>
      </c>
      <c r="Z607" s="1">
        <v>169</v>
      </c>
      <c r="AA607" s="1">
        <v>194</v>
      </c>
      <c r="AB607" s="24">
        <f t="shared" si="28"/>
        <v>1943</v>
      </c>
      <c r="AC607" s="23">
        <v>0</v>
      </c>
      <c r="AD607" s="1">
        <v>0</v>
      </c>
      <c r="AE607" s="1">
        <v>0</v>
      </c>
      <c r="AF607" s="1">
        <v>0</v>
      </c>
      <c r="AG607" s="1">
        <v>0</v>
      </c>
      <c r="AH607" s="1">
        <v>0</v>
      </c>
      <c r="AI607" s="1">
        <v>0</v>
      </c>
      <c r="AJ607" s="1">
        <v>0</v>
      </c>
      <c r="AK607" s="1">
        <v>0</v>
      </c>
      <c r="AL607" s="1">
        <v>0</v>
      </c>
      <c r="AM607" s="1">
        <v>0</v>
      </c>
      <c r="AN607" s="1">
        <v>0</v>
      </c>
      <c r="AO607" s="24">
        <f t="shared" si="29"/>
        <v>0</v>
      </c>
    </row>
    <row r="608" spans="1:41" ht="17.25" customHeight="1" x14ac:dyDescent="0.45">
      <c r="A608" s="12" t="s">
        <v>36</v>
      </c>
      <c r="B608" s="12" t="s">
        <v>18</v>
      </c>
      <c r="C608" s="25">
        <v>0</v>
      </c>
      <c r="D608" s="10">
        <v>0</v>
      </c>
      <c r="E608" s="10">
        <v>0</v>
      </c>
      <c r="F608" s="10">
        <v>0</v>
      </c>
      <c r="G608" s="10">
        <v>0</v>
      </c>
      <c r="H608" s="10">
        <v>0</v>
      </c>
      <c r="I608" s="10">
        <v>0</v>
      </c>
      <c r="J608" s="10">
        <v>1</v>
      </c>
      <c r="K608" s="10">
        <v>0</v>
      </c>
      <c r="L608" s="10">
        <v>0</v>
      </c>
      <c r="M608" s="10">
        <v>0</v>
      </c>
      <c r="N608" s="10">
        <v>0</v>
      </c>
      <c r="O608" s="26">
        <f t="shared" si="27"/>
        <v>1</v>
      </c>
      <c r="P608" s="25">
        <v>0</v>
      </c>
      <c r="Q608" s="10">
        <v>0</v>
      </c>
      <c r="R608" s="10">
        <v>0</v>
      </c>
      <c r="S608" s="10">
        <v>0</v>
      </c>
      <c r="T608" s="10">
        <v>0</v>
      </c>
      <c r="U608" s="10">
        <v>0</v>
      </c>
      <c r="V608" s="10">
        <v>0</v>
      </c>
      <c r="W608" s="10">
        <v>30</v>
      </c>
      <c r="X608" s="10">
        <v>0</v>
      </c>
      <c r="Y608" s="10">
        <v>0</v>
      </c>
      <c r="Z608" s="10">
        <v>0</v>
      </c>
      <c r="AA608" s="10">
        <v>0</v>
      </c>
      <c r="AB608" s="26">
        <f t="shared" si="28"/>
        <v>30</v>
      </c>
      <c r="AC608" s="25">
        <v>0</v>
      </c>
      <c r="AD608" s="10">
        <v>0</v>
      </c>
      <c r="AE608" s="10">
        <v>0</v>
      </c>
      <c r="AF608" s="10">
        <v>0</v>
      </c>
      <c r="AG608" s="10">
        <v>0</v>
      </c>
      <c r="AH608" s="10">
        <v>0</v>
      </c>
      <c r="AI608" s="10">
        <v>0</v>
      </c>
      <c r="AJ608" s="10">
        <v>0</v>
      </c>
      <c r="AK608" s="10">
        <v>0</v>
      </c>
      <c r="AL608" s="10">
        <v>0</v>
      </c>
      <c r="AM608" s="10">
        <v>0</v>
      </c>
      <c r="AN608" s="10">
        <v>0</v>
      </c>
      <c r="AO608" s="26">
        <f t="shared" si="29"/>
        <v>0</v>
      </c>
    </row>
    <row r="609" spans="1:41" ht="17.25" customHeight="1" x14ac:dyDescent="0.45">
      <c r="A609" s="2" t="s">
        <v>36</v>
      </c>
      <c r="B609" s="2" t="s">
        <v>10</v>
      </c>
      <c r="C609" s="23">
        <v>32</v>
      </c>
      <c r="D609" s="1">
        <v>29</v>
      </c>
      <c r="E609" s="1">
        <v>33</v>
      </c>
      <c r="F609" s="1">
        <v>32</v>
      </c>
      <c r="G609" s="1">
        <v>34</v>
      </c>
      <c r="H609" s="1">
        <v>30</v>
      </c>
      <c r="I609" s="1">
        <v>31</v>
      </c>
      <c r="J609" s="1">
        <v>33</v>
      </c>
      <c r="K609" s="1">
        <v>34</v>
      </c>
      <c r="L609" s="1">
        <v>35</v>
      </c>
      <c r="M609" s="1">
        <v>30</v>
      </c>
      <c r="N609" s="1">
        <v>32</v>
      </c>
      <c r="O609" s="24">
        <f t="shared" si="27"/>
        <v>385</v>
      </c>
      <c r="P609" s="23">
        <v>4781</v>
      </c>
      <c r="Q609" s="1">
        <v>4469</v>
      </c>
      <c r="R609" s="1">
        <v>4880</v>
      </c>
      <c r="S609" s="1">
        <v>4804</v>
      </c>
      <c r="T609" s="1">
        <v>5206</v>
      </c>
      <c r="U609" s="1">
        <v>4782</v>
      </c>
      <c r="V609" s="1">
        <v>5059</v>
      </c>
      <c r="W609" s="1">
        <v>5573</v>
      </c>
      <c r="X609" s="1">
        <v>5379</v>
      </c>
      <c r="Y609" s="1">
        <v>5062</v>
      </c>
      <c r="Z609" s="1">
        <v>4543</v>
      </c>
      <c r="AA609" s="1">
        <v>4720</v>
      </c>
      <c r="AB609" s="24">
        <f t="shared" si="28"/>
        <v>59258</v>
      </c>
      <c r="AC609" s="23">
        <v>215</v>
      </c>
      <c r="AD609" s="1">
        <v>0</v>
      </c>
      <c r="AE609" s="1">
        <v>101</v>
      </c>
      <c r="AF609" s="1">
        <v>0</v>
      </c>
      <c r="AG609" s="1">
        <v>0</v>
      </c>
      <c r="AH609" s="1">
        <v>11</v>
      </c>
      <c r="AI609" s="1">
        <v>102</v>
      </c>
      <c r="AJ609" s="1">
        <v>0</v>
      </c>
      <c r="AK609" s="1">
        <v>1</v>
      </c>
      <c r="AL609" s="1">
        <v>0</v>
      </c>
      <c r="AM609" s="1">
        <v>0</v>
      </c>
      <c r="AN609" s="1">
        <v>0</v>
      </c>
      <c r="AO609" s="24">
        <f t="shared" si="29"/>
        <v>430</v>
      </c>
    </row>
    <row r="610" spans="1:41" ht="17.25" customHeight="1" x14ac:dyDescent="0.45">
      <c r="A610" s="12" t="s">
        <v>36</v>
      </c>
      <c r="B610" s="12" t="s">
        <v>11</v>
      </c>
      <c r="C610" s="25">
        <v>38</v>
      </c>
      <c r="D610" s="10">
        <v>29</v>
      </c>
      <c r="E610" s="10">
        <v>32</v>
      </c>
      <c r="F610" s="10">
        <v>30</v>
      </c>
      <c r="G610" s="10">
        <v>31</v>
      </c>
      <c r="H610" s="10">
        <v>29</v>
      </c>
      <c r="I610" s="10">
        <v>27</v>
      </c>
      <c r="J610" s="10">
        <v>26</v>
      </c>
      <c r="K610" s="10">
        <v>22</v>
      </c>
      <c r="L610" s="10">
        <v>21</v>
      </c>
      <c r="M610" s="10">
        <v>21</v>
      </c>
      <c r="N610" s="10">
        <v>22</v>
      </c>
      <c r="O610" s="26">
        <f t="shared" si="27"/>
        <v>328</v>
      </c>
      <c r="P610" s="25">
        <v>6526</v>
      </c>
      <c r="Q610" s="10">
        <v>4701</v>
      </c>
      <c r="R610" s="10">
        <v>5092</v>
      </c>
      <c r="S610" s="10">
        <v>4973</v>
      </c>
      <c r="T610" s="10">
        <v>5172</v>
      </c>
      <c r="U610" s="10">
        <v>4876</v>
      </c>
      <c r="V610" s="10">
        <v>4630</v>
      </c>
      <c r="W610" s="10">
        <v>4523</v>
      </c>
      <c r="X610" s="10">
        <v>3582</v>
      </c>
      <c r="Y610" s="10">
        <v>3483</v>
      </c>
      <c r="Z610" s="10">
        <v>3483</v>
      </c>
      <c r="AA610" s="10">
        <v>3661</v>
      </c>
      <c r="AB610" s="26">
        <f t="shared" si="28"/>
        <v>54702</v>
      </c>
      <c r="AC610" s="25">
        <v>10</v>
      </c>
      <c r="AD610" s="10">
        <v>0</v>
      </c>
      <c r="AE610" s="10">
        <v>0</v>
      </c>
      <c r="AF610" s="10">
        <v>0</v>
      </c>
      <c r="AG610" s="10">
        <v>72</v>
      </c>
      <c r="AH610" s="10">
        <v>0</v>
      </c>
      <c r="AI610" s="10">
        <v>46</v>
      </c>
      <c r="AJ610" s="10">
        <v>0</v>
      </c>
      <c r="AK610" s="10">
        <v>0</v>
      </c>
      <c r="AL610" s="10">
        <v>26</v>
      </c>
      <c r="AM610" s="10">
        <v>0</v>
      </c>
      <c r="AN610" s="10">
        <v>20</v>
      </c>
      <c r="AO610" s="26">
        <f t="shared" si="29"/>
        <v>174</v>
      </c>
    </row>
    <row r="611" spans="1:41" ht="17.25" customHeight="1" x14ac:dyDescent="0.45">
      <c r="A611" s="2" t="s">
        <v>36</v>
      </c>
      <c r="B611" s="2" t="s">
        <v>23</v>
      </c>
      <c r="C611" s="23">
        <v>36</v>
      </c>
      <c r="D611" s="1">
        <v>30</v>
      </c>
      <c r="E611" s="1">
        <v>18</v>
      </c>
      <c r="F611" s="1">
        <v>17</v>
      </c>
      <c r="G611" s="1">
        <v>34</v>
      </c>
      <c r="H611" s="1">
        <v>45</v>
      </c>
      <c r="I611" s="1">
        <v>48</v>
      </c>
      <c r="J611" s="1">
        <v>50</v>
      </c>
      <c r="K611" s="1">
        <v>47</v>
      </c>
      <c r="L611" s="1">
        <v>47</v>
      </c>
      <c r="M611" s="1">
        <v>26</v>
      </c>
      <c r="N611" s="1">
        <v>27</v>
      </c>
      <c r="O611" s="24">
        <f t="shared" si="27"/>
        <v>425</v>
      </c>
      <c r="P611" s="23">
        <v>2950</v>
      </c>
      <c r="Q611" s="1">
        <v>2248</v>
      </c>
      <c r="R611" s="1">
        <v>2496</v>
      </c>
      <c r="S611" s="1">
        <v>2091</v>
      </c>
      <c r="T611" s="1">
        <v>2307</v>
      </c>
      <c r="U611" s="1">
        <v>2056</v>
      </c>
      <c r="V611" s="1">
        <v>2547</v>
      </c>
      <c r="W611" s="1">
        <v>3036</v>
      </c>
      <c r="X611" s="1">
        <v>2410</v>
      </c>
      <c r="Y611" s="1">
        <v>2214</v>
      </c>
      <c r="Z611" s="1">
        <v>2351</v>
      </c>
      <c r="AA611" s="1">
        <v>2242</v>
      </c>
      <c r="AB611" s="24">
        <f t="shared" si="28"/>
        <v>28948</v>
      </c>
      <c r="AC611" s="23">
        <v>3057</v>
      </c>
      <c r="AD611" s="1">
        <v>2551</v>
      </c>
      <c r="AE611" s="1">
        <v>303</v>
      </c>
      <c r="AF611" s="1">
        <v>202</v>
      </c>
      <c r="AG611" s="1">
        <v>404</v>
      </c>
      <c r="AH611" s="1">
        <v>8411</v>
      </c>
      <c r="AI611" s="1">
        <v>206</v>
      </c>
      <c r="AJ611" s="1">
        <v>202</v>
      </c>
      <c r="AK611" s="1">
        <v>404</v>
      </c>
      <c r="AL611" s="1">
        <v>202</v>
      </c>
      <c r="AM611" s="1">
        <v>707</v>
      </c>
      <c r="AN611" s="1">
        <v>415</v>
      </c>
      <c r="AO611" s="24">
        <f t="shared" si="29"/>
        <v>17064</v>
      </c>
    </row>
    <row r="612" spans="1:41" ht="17.25" customHeight="1" x14ac:dyDescent="0.45">
      <c r="A612" s="12" t="s">
        <v>36</v>
      </c>
      <c r="B612" s="12" t="s">
        <v>12</v>
      </c>
      <c r="C612" s="25">
        <v>229</v>
      </c>
      <c r="D612" s="10">
        <v>243</v>
      </c>
      <c r="E612" s="10">
        <v>247</v>
      </c>
      <c r="F612" s="10">
        <v>264</v>
      </c>
      <c r="G612" s="10">
        <v>272</v>
      </c>
      <c r="H612" s="10">
        <v>252</v>
      </c>
      <c r="I612" s="10">
        <v>242</v>
      </c>
      <c r="J612" s="10">
        <v>252</v>
      </c>
      <c r="K612" s="10">
        <v>253</v>
      </c>
      <c r="L612" s="10">
        <v>269</v>
      </c>
      <c r="M612" s="10">
        <v>248</v>
      </c>
      <c r="N612" s="10">
        <v>253</v>
      </c>
      <c r="O612" s="26">
        <f t="shared" si="27"/>
        <v>3024</v>
      </c>
      <c r="P612" s="25">
        <v>36055</v>
      </c>
      <c r="Q612" s="10">
        <v>35709</v>
      </c>
      <c r="R612" s="10">
        <v>36787</v>
      </c>
      <c r="S612" s="10">
        <v>38283</v>
      </c>
      <c r="T612" s="10">
        <v>40460</v>
      </c>
      <c r="U612" s="10">
        <v>35620</v>
      </c>
      <c r="V612" s="10">
        <v>40934</v>
      </c>
      <c r="W612" s="10">
        <v>40579</v>
      </c>
      <c r="X612" s="10">
        <v>38306</v>
      </c>
      <c r="Y612" s="10">
        <v>38437</v>
      </c>
      <c r="Z612" s="10">
        <v>36000</v>
      </c>
      <c r="AA612" s="10">
        <v>37139</v>
      </c>
      <c r="AB612" s="26">
        <f t="shared" si="28"/>
        <v>454309</v>
      </c>
      <c r="AC612" s="25">
        <v>22398.2</v>
      </c>
      <c r="AD612" s="10">
        <v>26202</v>
      </c>
      <c r="AE612" s="10">
        <v>26689.7</v>
      </c>
      <c r="AF612" s="10">
        <v>26983.599999999999</v>
      </c>
      <c r="AG612" s="10">
        <v>26109.4</v>
      </c>
      <c r="AH612" s="10">
        <v>29448.400000000001</v>
      </c>
      <c r="AI612" s="10">
        <v>30214.6</v>
      </c>
      <c r="AJ612" s="10">
        <v>25065.099999999995</v>
      </c>
      <c r="AK612" s="10">
        <v>25772.199999999993</v>
      </c>
      <c r="AL612" s="10">
        <v>26272.3</v>
      </c>
      <c r="AM612" s="10">
        <v>26026.799999999999</v>
      </c>
      <c r="AN612" s="10">
        <v>30712.800000000007</v>
      </c>
      <c r="AO612" s="26">
        <f t="shared" si="29"/>
        <v>321895.09999999998</v>
      </c>
    </row>
    <row r="613" spans="1:41" ht="17.25" customHeight="1" x14ac:dyDescent="0.45">
      <c r="A613" s="2" t="s">
        <v>36</v>
      </c>
      <c r="B613" s="2" t="s">
        <v>58</v>
      </c>
      <c r="C613" s="23">
        <v>0</v>
      </c>
      <c r="D613" s="1">
        <v>0</v>
      </c>
      <c r="E613" s="1">
        <v>0</v>
      </c>
      <c r="F613" s="1">
        <v>0</v>
      </c>
      <c r="G613" s="1">
        <v>0</v>
      </c>
      <c r="H613" s="1">
        <v>0</v>
      </c>
      <c r="I613" s="1">
        <v>0</v>
      </c>
      <c r="J613" s="1">
        <v>0</v>
      </c>
      <c r="K613" s="1">
        <v>0</v>
      </c>
      <c r="L613" s="1">
        <v>0</v>
      </c>
      <c r="M613" s="1">
        <v>4</v>
      </c>
      <c r="N613" s="1">
        <v>0</v>
      </c>
      <c r="O613" s="24">
        <f t="shared" si="27"/>
        <v>4</v>
      </c>
      <c r="P613" s="23">
        <v>0</v>
      </c>
      <c r="Q613" s="1">
        <v>0</v>
      </c>
      <c r="R613" s="1">
        <v>0</v>
      </c>
      <c r="S613" s="1">
        <v>0</v>
      </c>
      <c r="T613" s="1">
        <v>0</v>
      </c>
      <c r="U613" s="1">
        <v>0</v>
      </c>
      <c r="V613" s="1">
        <v>0</v>
      </c>
      <c r="W613" s="1">
        <v>0</v>
      </c>
      <c r="X613" s="1">
        <v>0</v>
      </c>
      <c r="Y613" s="1">
        <v>0</v>
      </c>
      <c r="Z613" s="1">
        <v>12</v>
      </c>
      <c r="AA613" s="1">
        <v>0</v>
      </c>
      <c r="AB613" s="24">
        <f t="shared" si="28"/>
        <v>12</v>
      </c>
      <c r="AC613" s="23">
        <v>0</v>
      </c>
      <c r="AD613" s="1">
        <v>0</v>
      </c>
      <c r="AE613" s="1">
        <v>0</v>
      </c>
      <c r="AF613" s="1">
        <v>0</v>
      </c>
      <c r="AG613" s="1">
        <v>0</v>
      </c>
      <c r="AH613" s="1">
        <v>0</v>
      </c>
      <c r="AI613" s="1">
        <v>0</v>
      </c>
      <c r="AJ613" s="1">
        <v>0</v>
      </c>
      <c r="AK613" s="1">
        <v>0</v>
      </c>
      <c r="AL613" s="1">
        <v>0</v>
      </c>
      <c r="AM613" s="1">
        <v>0</v>
      </c>
      <c r="AN613" s="1">
        <v>0</v>
      </c>
      <c r="AO613" s="24">
        <f t="shared" si="29"/>
        <v>0</v>
      </c>
    </row>
    <row r="614" spans="1:41" ht="17.25" customHeight="1" x14ac:dyDescent="0.45">
      <c r="A614" s="12" t="s">
        <v>36</v>
      </c>
      <c r="B614" s="12" t="s">
        <v>13</v>
      </c>
      <c r="C614" s="25">
        <v>38</v>
      </c>
      <c r="D614" s="10">
        <v>29</v>
      </c>
      <c r="E614" s="10">
        <v>49</v>
      </c>
      <c r="F614" s="10">
        <v>37</v>
      </c>
      <c r="G614" s="10">
        <v>47</v>
      </c>
      <c r="H614" s="10">
        <v>40</v>
      </c>
      <c r="I614" s="10">
        <v>50</v>
      </c>
      <c r="J614" s="10">
        <v>34</v>
      </c>
      <c r="K614" s="10">
        <v>38</v>
      </c>
      <c r="L614" s="10">
        <v>39</v>
      </c>
      <c r="M614" s="10">
        <v>52</v>
      </c>
      <c r="N614" s="10">
        <v>69</v>
      </c>
      <c r="O614" s="26">
        <f t="shared" si="27"/>
        <v>522</v>
      </c>
      <c r="P614" s="25">
        <v>7912</v>
      </c>
      <c r="Q614" s="10">
        <v>5171</v>
      </c>
      <c r="R614" s="10">
        <v>7779</v>
      </c>
      <c r="S614" s="10">
        <v>6090</v>
      </c>
      <c r="T614" s="10">
        <v>8244</v>
      </c>
      <c r="U614" s="10">
        <v>7043</v>
      </c>
      <c r="V614" s="10">
        <v>9143</v>
      </c>
      <c r="W614" s="10">
        <v>6928</v>
      </c>
      <c r="X614" s="10">
        <v>5935</v>
      </c>
      <c r="Y614" s="10">
        <v>5848</v>
      </c>
      <c r="Z614" s="10">
        <v>6472</v>
      </c>
      <c r="AA614" s="10">
        <v>8145</v>
      </c>
      <c r="AB614" s="26">
        <f t="shared" si="28"/>
        <v>84710</v>
      </c>
      <c r="AC614" s="25">
        <v>69.5</v>
      </c>
      <c r="AD614" s="10">
        <v>103</v>
      </c>
      <c r="AE614" s="10">
        <v>2</v>
      </c>
      <c r="AF614" s="10">
        <v>128</v>
      </c>
      <c r="AG614" s="10">
        <v>209</v>
      </c>
      <c r="AH614" s="10">
        <v>113</v>
      </c>
      <c r="AI614" s="10">
        <v>1698</v>
      </c>
      <c r="AJ614" s="10">
        <v>150</v>
      </c>
      <c r="AK614" s="10">
        <v>10</v>
      </c>
      <c r="AL614" s="10">
        <v>41.5</v>
      </c>
      <c r="AM614" s="10">
        <v>259</v>
      </c>
      <c r="AN614" s="10">
        <v>30</v>
      </c>
      <c r="AO614" s="26">
        <f t="shared" si="29"/>
        <v>2813</v>
      </c>
    </row>
    <row r="615" spans="1:41" ht="17.25" customHeight="1" x14ac:dyDescent="0.45">
      <c r="A615" s="2" t="s">
        <v>36</v>
      </c>
      <c r="B615" s="2" t="s">
        <v>27</v>
      </c>
      <c r="C615" s="23">
        <v>0</v>
      </c>
      <c r="D615" s="1">
        <v>0</v>
      </c>
      <c r="E615" s="1">
        <v>0</v>
      </c>
      <c r="F615" s="1">
        <v>0</v>
      </c>
      <c r="G615" s="1">
        <v>0</v>
      </c>
      <c r="H615" s="1">
        <v>0</v>
      </c>
      <c r="I615" s="1">
        <v>0</v>
      </c>
      <c r="J615" s="1">
        <v>1</v>
      </c>
      <c r="K615" s="1">
        <v>0</v>
      </c>
      <c r="L615" s="1">
        <v>0</v>
      </c>
      <c r="M615" s="1">
        <v>0</v>
      </c>
      <c r="N615" s="1">
        <v>0</v>
      </c>
      <c r="O615" s="24">
        <f t="shared" si="27"/>
        <v>1</v>
      </c>
      <c r="P615" s="23">
        <v>0</v>
      </c>
      <c r="Q615" s="1">
        <v>0</v>
      </c>
      <c r="R615" s="1">
        <v>0</v>
      </c>
      <c r="S615" s="1">
        <v>0</v>
      </c>
      <c r="T615" s="1">
        <v>0</v>
      </c>
      <c r="U615" s="1">
        <v>0</v>
      </c>
      <c r="V615" s="1">
        <v>0</v>
      </c>
      <c r="W615" s="1">
        <v>0</v>
      </c>
      <c r="X615" s="1">
        <v>0</v>
      </c>
      <c r="Y615" s="1">
        <v>0</v>
      </c>
      <c r="Z615" s="1">
        <v>0</v>
      </c>
      <c r="AA615" s="1">
        <v>0</v>
      </c>
      <c r="AB615" s="24">
        <f t="shared" si="28"/>
        <v>0</v>
      </c>
      <c r="AC615" s="23">
        <v>0</v>
      </c>
      <c r="AD615" s="1">
        <v>0</v>
      </c>
      <c r="AE615" s="1">
        <v>0</v>
      </c>
      <c r="AF615" s="1">
        <v>0</v>
      </c>
      <c r="AG615" s="1">
        <v>0</v>
      </c>
      <c r="AH615" s="1">
        <v>0</v>
      </c>
      <c r="AI615" s="1">
        <v>0</v>
      </c>
      <c r="AJ615" s="1">
        <v>1145</v>
      </c>
      <c r="AK615" s="1">
        <v>0</v>
      </c>
      <c r="AL615" s="1">
        <v>0</v>
      </c>
      <c r="AM615" s="1">
        <v>0</v>
      </c>
      <c r="AN615" s="1">
        <v>0</v>
      </c>
      <c r="AO615" s="24">
        <f t="shared" si="29"/>
        <v>1145</v>
      </c>
    </row>
    <row r="616" spans="1:41" ht="17.25" customHeight="1" x14ac:dyDescent="0.45">
      <c r="A616" s="12" t="s">
        <v>36</v>
      </c>
      <c r="B616" s="12" t="s">
        <v>30</v>
      </c>
      <c r="C616" s="25">
        <v>8</v>
      </c>
      <c r="D616" s="10">
        <v>14</v>
      </c>
      <c r="E616" s="10">
        <v>0</v>
      </c>
      <c r="F616" s="10">
        <v>0</v>
      </c>
      <c r="G616" s="10">
        <v>0</v>
      </c>
      <c r="H616" s="10">
        <v>0</v>
      </c>
      <c r="I616" s="10">
        <v>7</v>
      </c>
      <c r="J616" s="10">
        <v>16</v>
      </c>
      <c r="K616" s="10">
        <v>17</v>
      </c>
      <c r="L616" s="10">
        <v>14</v>
      </c>
      <c r="M616" s="10">
        <v>13</v>
      </c>
      <c r="N616" s="10">
        <v>13</v>
      </c>
      <c r="O616" s="26">
        <f t="shared" si="27"/>
        <v>102</v>
      </c>
      <c r="P616" s="25">
        <v>0</v>
      </c>
      <c r="Q616" s="10">
        <v>0</v>
      </c>
      <c r="R616" s="10">
        <v>0</v>
      </c>
      <c r="S616" s="10">
        <v>0</v>
      </c>
      <c r="T616" s="10">
        <v>0</v>
      </c>
      <c r="U616" s="10">
        <v>0</v>
      </c>
      <c r="V616" s="10">
        <v>0</v>
      </c>
      <c r="W616" s="10">
        <v>0</v>
      </c>
      <c r="X616" s="10">
        <v>0</v>
      </c>
      <c r="Y616" s="10">
        <v>0</v>
      </c>
      <c r="Z616" s="10">
        <v>0</v>
      </c>
      <c r="AA616" s="10">
        <v>0</v>
      </c>
      <c r="AB616" s="26">
        <f t="shared" si="28"/>
        <v>0</v>
      </c>
      <c r="AC616" s="25">
        <v>505</v>
      </c>
      <c r="AD616" s="10">
        <v>1414</v>
      </c>
      <c r="AE616" s="10">
        <v>0</v>
      </c>
      <c r="AF616" s="10">
        <v>0</v>
      </c>
      <c r="AG616" s="10">
        <v>0</v>
      </c>
      <c r="AH616" s="10">
        <v>0</v>
      </c>
      <c r="AI616" s="10">
        <v>10419</v>
      </c>
      <c r="AJ616" s="10">
        <v>16409</v>
      </c>
      <c r="AK616" s="10">
        <v>17038</v>
      </c>
      <c r="AL616" s="10">
        <v>18343</v>
      </c>
      <c r="AM616" s="10">
        <v>23027</v>
      </c>
      <c r="AN616" s="10">
        <v>13474</v>
      </c>
      <c r="AO616" s="26">
        <f t="shared" si="29"/>
        <v>100629</v>
      </c>
    </row>
    <row r="617" spans="1:41" ht="17.25" customHeight="1" x14ac:dyDescent="0.45">
      <c r="A617" s="2" t="s">
        <v>36</v>
      </c>
      <c r="B617" s="2" t="s">
        <v>14</v>
      </c>
      <c r="C617" s="23">
        <v>17</v>
      </c>
      <c r="D617" s="1">
        <v>16</v>
      </c>
      <c r="E617" s="1">
        <v>2</v>
      </c>
      <c r="F617" s="1">
        <v>13</v>
      </c>
      <c r="G617" s="1">
        <v>13</v>
      </c>
      <c r="H617" s="1">
        <v>12</v>
      </c>
      <c r="I617" s="1">
        <v>12</v>
      </c>
      <c r="J617" s="1">
        <v>15</v>
      </c>
      <c r="K617" s="1">
        <v>21</v>
      </c>
      <c r="L617" s="1">
        <v>28</v>
      </c>
      <c r="M617" s="1">
        <v>27</v>
      </c>
      <c r="N617" s="1">
        <v>22</v>
      </c>
      <c r="O617" s="24">
        <f t="shared" si="27"/>
        <v>198</v>
      </c>
      <c r="P617" s="23">
        <v>0</v>
      </c>
      <c r="Q617" s="1">
        <v>0</v>
      </c>
      <c r="R617" s="1">
        <v>0</v>
      </c>
      <c r="S617" s="1">
        <v>1759</v>
      </c>
      <c r="T617" s="1">
        <v>1842</v>
      </c>
      <c r="U617" s="1">
        <v>1723</v>
      </c>
      <c r="V617" s="1">
        <v>1659</v>
      </c>
      <c r="W617" s="1">
        <v>1997</v>
      </c>
      <c r="X617" s="1">
        <v>2085</v>
      </c>
      <c r="Y617" s="1">
        <v>2556</v>
      </c>
      <c r="Z617" s="1">
        <v>1911</v>
      </c>
      <c r="AA617" s="1">
        <v>2142</v>
      </c>
      <c r="AB617" s="24">
        <f t="shared" si="28"/>
        <v>17674</v>
      </c>
      <c r="AC617" s="23">
        <v>20538</v>
      </c>
      <c r="AD617" s="1">
        <v>22350</v>
      </c>
      <c r="AE617" s="1">
        <v>1185</v>
      </c>
      <c r="AF617" s="1">
        <v>0</v>
      </c>
      <c r="AG617" s="1">
        <v>0</v>
      </c>
      <c r="AH617" s="1">
        <v>0</v>
      </c>
      <c r="AI617" s="1">
        <v>2540</v>
      </c>
      <c r="AJ617" s="1">
        <v>1801</v>
      </c>
      <c r="AK617" s="1">
        <v>3245</v>
      </c>
      <c r="AL617" s="1">
        <v>7286</v>
      </c>
      <c r="AM617" s="1">
        <v>6403</v>
      </c>
      <c r="AN617" s="1">
        <v>2025</v>
      </c>
      <c r="AO617" s="24">
        <f t="shared" si="29"/>
        <v>67373</v>
      </c>
    </row>
    <row r="618" spans="1:41" ht="17.25" customHeight="1" x14ac:dyDescent="0.45">
      <c r="A618" s="12" t="s">
        <v>36</v>
      </c>
      <c r="B618" s="12" t="s">
        <v>15</v>
      </c>
      <c r="C618" s="25">
        <v>10</v>
      </c>
      <c r="D618" s="10">
        <v>8</v>
      </c>
      <c r="E618" s="10">
        <v>8</v>
      </c>
      <c r="F618" s="10">
        <v>0</v>
      </c>
      <c r="G618" s="10">
        <v>0</v>
      </c>
      <c r="H618" s="10">
        <v>0</v>
      </c>
      <c r="I618" s="10">
        <v>0</v>
      </c>
      <c r="J618" s="10">
        <v>0</v>
      </c>
      <c r="K618" s="10">
        <v>0</v>
      </c>
      <c r="L618" s="10">
        <v>0</v>
      </c>
      <c r="M618" s="10">
        <v>0</v>
      </c>
      <c r="N618" s="10">
        <v>0</v>
      </c>
      <c r="O618" s="26">
        <f t="shared" si="27"/>
        <v>26</v>
      </c>
      <c r="P618" s="25">
        <v>1673</v>
      </c>
      <c r="Q618" s="10">
        <v>1319</v>
      </c>
      <c r="R618" s="10">
        <v>1311</v>
      </c>
      <c r="S618" s="10">
        <v>0</v>
      </c>
      <c r="T618" s="10">
        <v>0</v>
      </c>
      <c r="U618" s="10">
        <v>0</v>
      </c>
      <c r="V618" s="10">
        <v>0</v>
      </c>
      <c r="W618" s="10">
        <v>0</v>
      </c>
      <c r="X618" s="10">
        <v>0</v>
      </c>
      <c r="Y618" s="10">
        <v>0</v>
      </c>
      <c r="Z618" s="10">
        <v>0</v>
      </c>
      <c r="AA618" s="10">
        <v>0</v>
      </c>
      <c r="AB618" s="26">
        <f t="shared" si="28"/>
        <v>4303</v>
      </c>
      <c r="AC618" s="25">
        <v>0</v>
      </c>
      <c r="AD618" s="10">
        <v>40.200000000000003</v>
      </c>
      <c r="AE618" s="10">
        <v>212.6</v>
      </c>
      <c r="AF618" s="10">
        <v>0</v>
      </c>
      <c r="AG618" s="10">
        <v>0</v>
      </c>
      <c r="AH618" s="10">
        <v>0</v>
      </c>
      <c r="AI618" s="10">
        <v>0</v>
      </c>
      <c r="AJ618" s="10">
        <v>0</v>
      </c>
      <c r="AK618" s="10">
        <v>0</v>
      </c>
      <c r="AL618" s="10">
        <v>0</v>
      </c>
      <c r="AM618" s="10">
        <v>0</v>
      </c>
      <c r="AN618" s="10">
        <v>0</v>
      </c>
      <c r="AO618" s="26">
        <f t="shared" si="29"/>
        <v>252.8</v>
      </c>
    </row>
    <row r="619" spans="1:41" ht="17.25" customHeight="1" x14ac:dyDescent="0.45">
      <c r="A619" s="2" t="s">
        <v>36</v>
      </c>
      <c r="B619" s="2" t="s">
        <v>35</v>
      </c>
      <c r="C619" s="23">
        <v>31</v>
      </c>
      <c r="D619" s="1">
        <v>41</v>
      </c>
      <c r="E619" s="1">
        <v>39</v>
      </c>
      <c r="F619" s="1">
        <v>41</v>
      </c>
      <c r="G619" s="1">
        <v>35</v>
      </c>
      <c r="H619" s="1">
        <v>30</v>
      </c>
      <c r="I619" s="1">
        <v>31</v>
      </c>
      <c r="J619" s="1">
        <v>31</v>
      </c>
      <c r="K619" s="1">
        <v>30</v>
      </c>
      <c r="L619" s="1">
        <v>31</v>
      </c>
      <c r="M619" s="1">
        <v>29</v>
      </c>
      <c r="N619" s="1">
        <v>32</v>
      </c>
      <c r="O619" s="24">
        <f t="shared" si="27"/>
        <v>401</v>
      </c>
      <c r="P619" s="23">
        <v>157</v>
      </c>
      <c r="Q619" s="1">
        <v>180</v>
      </c>
      <c r="R619" s="1">
        <v>180</v>
      </c>
      <c r="S619" s="1">
        <v>166</v>
      </c>
      <c r="T619" s="1">
        <v>180</v>
      </c>
      <c r="U619" s="1">
        <v>148</v>
      </c>
      <c r="V619" s="1">
        <v>148</v>
      </c>
      <c r="W619" s="1">
        <v>164</v>
      </c>
      <c r="X619" s="1">
        <v>164</v>
      </c>
      <c r="Y619" s="1">
        <v>146</v>
      </c>
      <c r="Z619" s="1">
        <v>160</v>
      </c>
      <c r="AA619" s="1">
        <v>201</v>
      </c>
      <c r="AB619" s="24">
        <f t="shared" si="28"/>
        <v>1994</v>
      </c>
      <c r="AC619" s="23">
        <v>0</v>
      </c>
      <c r="AD619" s="1">
        <v>0</v>
      </c>
      <c r="AE619" s="1">
        <v>0</v>
      </c>
      <c r="AF619" s="1">
        <v>0</v>
      </c>
      <c r="AG619" s="1">
        <v>0</v>
      </c>
      <c r="AH619" s="1">
        <v>0</v>
      </c>
      <c r="AI619" s="1">
        <v>0</v>
      </c>
      <c r="AJ619" s="1">
        <v>0</v>
      </c>
      <c r="AK619" s="1">
        <v>0</v>
      </c>
      <c r="AL619" s="1">
        <v>0</v>
      </c>
      <c r="AM619" s="1">
        <v>0</v>
      </c>
      <c r="AN619" s="1">
        <v>0</v>
      </c>
      <c r="AO619" s="24">
        <f t="shared" si="29"/>
        <v>0</v>
      </c>
    </row>
    <row r="620" spans="1:41" ht="17.25" customHeight="1" x14ac:dyDescent="0.45">
      <c r="A620" s="12" t="s">
        <v>62</v>
      </c>
      <c r="B620" s="12" t="s">
        <v>12</v>
      </c>
      <c r="C620" s="25">
        <v>49</v>
      </c>
      <c r="D620" s="10">
        <v>49</v>
      </c>
      <c r="E620" s="10">
        <v>52</v>
      </c>
      <c r="F620" s="10">
        <v>56</v>
      </c>
      <c r="G620" s="10">
        <v>58</v>
      </c>
      <c r="H620" s="10">
        <v>53</v>
      </c>
      <c r="I620" s="10">
        <v>54</v>
      </c>
      <c r="J620" s="10">
        <v>53</v>
      </c>
      <c r="K620" s="10">
        <v>50</v>
      </c>
      <c r="L620" s="10">
        <v>53</v>
      </c>
      <c r="M620" s="10">
        <v>50</v>
      </c>
      <c r="N620" s="10">
        <v>48</v>
      </c>
      <c r="O620" s="26">
        <f t="shared" si="27"/>
        <v>625</v>
      </c>
      <c r="P620" s="25">
        <v>3765</v>
      </c>
      <c r="Q620" s="10">
        <v>3678</v>
      </c>
      <c r="R620" s="10">
        <v>4085</v>
      </c>
      <c r="S620" s="10">
        <v>4693</v>
      </c>
      <c r="T620" s="10">
        <v>4589</v>
      </c>
      <c r="U620" s="10">
        <v>4236</v>
      </c>
      <c r="V620" s="10">
        <v>4361</v>
      </c>
      <c r="W620" s="10">
        <v>4545</v>
      </c>
      <c r="X620" s="10">
        <v>4169</v>
      </c>
      <c r="Y620" s="10">
        <v>4278</v>
      </c>
      <c r="Z620" s="10">
        <v>4216</v>
      </c>
      <c r="AA620" s="10">
        <v>3976</v>
      </c>
      <c r="AB620" s="26">
        <f t="shared" si="28"/>
        <v>50591</v>
      </c>
      <c r="AC620" s="25">
        <v>23</v>
      </c>
      <c r="AD620" s="10">
        <v>6</v>
      </c>
      <c r="AE620" s="10">
        <v>0</v>
      </c>
      <c r="AF620" s="10">
        <v>0</v>
      </c>
      <c r="AG620" s="10">
        <v>1</v>
      </c>
      <c r="AH620" s="10">
        <v>1</v>
      </c>
      <c r="AI620" s="10">
        <v>0</v>
      </c>
      <c r="AJ620" s="10">
        <v>0</v>
      </c>
      <c r="AK620" s="10">
        <v>20</v>
      </c>
      <c r="AL620" s="10">
        <v>0</v>
      </c>
      <c r="AM620" s="10">
        <v>0</v>
      </c>
      <c r="AN620" s="10">
        <v>8</v>
      </c>
      <c r="AO620" s="26">
        <f t="shared" si="29"/>
        <v>59</v>
      </c>
    </row>
    <row r="621" spans="1:41" ht="17.25" customHeight="1" x14ac:dyDescent="0.45">
      <c r="A621" s="2" t="s">
        <v>62</v>
      </c>
      <c r="B621" s="2" t="s">
        <v>15</v>
      </c>
      <c r="C621" s="23">
        <v>49</v>
      </c>
      <c r="D621" s="1">
        <v>46</v>
      </c>
      <c r="E621" s="1">
        <v>49</v>
      </c>
      <c r="F621" s="1">
        <v>21</v>
      </c>
      <c r="G621" s="1">
        <v>23</v>
      </c>
      <c r="H621" s="1">
        <v>21</v>
      </c>
      <c r="I621" s="1">
        <v>22</v>
      </c>
      <c r="J621" s="1">
        <v>22</v>
      </c>
      <c r="K621" s="1">
        <v>21</v>
      </c>
      <c r="L621" s="1">
        <v>22</v>
      </c>
      <c r="M621" s="1">
        <v>21</v>
      </c>
      <c r="N621" s="1">
        <v>22</v>
      </c>
      <c r="O621" s="24">
        <f t="shared" si="27"/>
        <v>339</v>
      </c>
      <c r="P621" s="23">
        <v>7962</v>
      </c>
      <c r="Q621" s="1">
        <v>5530</v>
      </c>
      <c r="R621" s="1">
        <v>6923</v>
      </c>
      <c r="S621" s="1">
        <v>3643</v>
      </c>
      <c r="T621" s="1">
        <v>3608</v>
      </c>
      <c r="U621" s="1">
        <v>3129</v>
      </c>
      <c r="V621" s="1">
        <v>3817</v>
      </c>
      <c r="W621" s="1">
        <v>3685</v>
      </c>
      <c r="X621" s="1">
        <v>3380</v>
      </c>
      <c r="Y621" s="1">
        <v>3662</v>
      </c>
      <c r="Z621" s="1">
        <v>3450</v>
      </c>
      <c r="AA621" s="1">
        <v>3517</v>
      </c>
      <c r="AB621" s="24">
        <f t="shared" si="28"/>
        <v>52306</v>
      </c>
      <c r="AC621" s="23">
        <v>0</v>
      </c>
      <c r="AD621" s="1">
        <v>0</v>
      </c>
      <c r="AE621" s="1">
        <v>0</v>
      </c>
      <c r="AF621" s="1">
        <v>0</v>
      </c>
      <c r="AG621" s="1">
        <v>0</v>
      </c>
      <c r="AH621" s="1">
        <v>0</v>
      </c>
      <c r="AI621" s="1">
        <v>0</v>
      </c>
      <c r="AJ621" s="1">
        <v>0</v>
      </c>
      <c r="AK621" s="1">
        <v>0</v>
      </c>
      <c r="AL621" s="1">
        <v>0</v>
      </c>
      <c r="AM621" s="1">
        <v>0</v>
      </c>
      <c r="AN621" s="1">
        <v>0</v>
      </c>
      <c r="AO621" s="24">
        <f t="shared" si="29"/>
        <v>0</v>
      </c>
    </row>
    <row r="622" spans="1:41" ht="17.25" customHeight="1" x14ac:dyDescent="0.45">
      <c r="C622" s="23"/>
      <c r="D622" s="1"/>
      <c r="E622" s="1"/>
      <c r="F622" s="1"/>
      <c r="G622" s="1"/>
      <c r="H622" s="1"/>
      <c r="I622" s="1"/>
      <c r="J622" s="1"/>
      <c r="K622" s="1"/>
      <c r="L622" s="1"/>
      <c r="M622" s="1"/>
      <c r="N622" s="1"/>
      <c r="O622" s="24"/>
      <c r="P622" s="23"/>
      <c r="Q622" s="1"/>
      <c r="R622" s="1"/>
      <c r="S622" s="1"/>
      <c r="T622" s="1"/>
      <c r="U622" s="1"/>
      <c r="V622" s="1"/>
      <c r="W622" s="1"/>
      <c r="X622" s="1"/>
      <c r="Y622" s="1"/>
      <c r="Z622" s="1"/>
      <c r="AA622" s="1"/>
      <c r="AB622" s="24"/>
      <c r="AC622" s="23"/>
      <c r="AD622" s="1"/>
      <c r="AE622" s="1"/>
      <c r="AF622" s="1"/>
      <c r="AG622" s="1"/>
      <c r="AH622" s="1"/>
      <c r="AI622" s="1"/>
      <c r="AJ622" s="1"/>
      <c r="AK622" s="1"/>
      <c r="AL622" s="1"/>
      <c r="AM622" s="1"/>
      <c r="AN622" s="1"/>
      <c r="AO622" s="24"/>
    </row>
    <row r="623" spans="1:41" ht="17.25" customHeight="1" thickBot="1" x14ac:dyDescent="0.5">
      <c r="A623" s="63" t="s">
        <v>3</v>
      </c>
      <c r="B623" s="63"/>
      <c r="C623" s="27">
        <f t="shared" ref="C623:AO623" si="30">SUM(C7:C621)</f>
        <v>33077</v>
      </c>
      <c r="D623" s="28">
        <f t="shared" si="30"/>
        <v>30313</v>
      </c>
      <c r="E623" s="28">
        <f t="shared" si="30"/>
        <v>32774</v>
      </c>
      <c r="F623" s="28">
        <f t="shared" si="30"/>
        <v>35040</v>
      </c>
      <c r="G623" s="28">
        <f t="shared" si="30"/>
        <v>36587</v>
      </c>
      <c r="H623" s="28">
        <f t="shared" si="30"/>
        <v>35816</v>
      </c>
      <c r="I623" s="28">
        <f t="shared" si="30"/>
        <v>37862</v>
      </c>
      <c r="J623" s="28">
        <f t="shared" si="30"/>
        <v>37949</v>
      </c>
      <c r="K623" s="28">
        <f t="shared" si="30"/>
        <v>35017</v>
      </c>
      <c r="L623" s="28">
        <f t="shared" si="30"/>
        <v>36464</v>
      </c>
      <c r="M623" s="28">
        <f t="shared" si="30"/>
        <v>36810</v>
      </c>
      <c r="N623" s="28">
        <f t="shared" si="30"/>
        <v>38119</v>
      </c>
      <c r="O623" s="29">
        <f t="shared" si="30"/>
        <v>425828</v>
      </c>
      <c r="P623" s="30">
        <f t="shared" si="30"/>
        <v>4807023</v>
      </c>
      <c r="Q623" s="31">
        <f t="shared" si="30"/>
        <v>4389622</v>
      </c>
      <c r="R623" s="31">
        <f t="shared" si="30"/>
        <v>4861359</v>
      </c>
      <c r="S623" s="31">
        <f t="shared" si="30"/>
        <v>4979579</v>
      </c>
      <c r="T623" s="31">
        <f t="shared" si="30"/>
        <v>5234844</v>
      </c>
      <c r="U623" s="31">
        <f t="shared" si="30"/>
        <v>5133415</v>
      </c>
      <c r="V623" s="31">
        <f t="shared" si="30"/>
        <v>5690114</v>
      </c>
      <c r="W623" s="31">
        <f t="shared" si="30"/>
        <v>5591895</v>
      </c>
      <c r="X623" s="31">
        <f t="shared" si="30"/>
        <v>4936321</v>
      </c>
      <c r="Y623" s="31">
        <f t="shared" si="30"/>
        <v>5190073</v>
      </c>
      <c r="Z623" s="31">
        <f t="shared" si="30"/>
        <v>5251682</v>
      </c>
      <c r="AA623" s="31">
        <f t="shared" si="30"/>
        <v>5467889</v>
      </c>
      <c r="AB623" s="32">
        <f t="shared" si="30"/>
        <v>61533816</v>
      </c>
      <c r="AC623" s="33">
        <f t="shared" si="30"/>
        <v>9707322.8200000003</v>
      </c>
      <c r="AD623" s="34">
        <f t="shared" si="30"/>
        <v>9254367.6000000052</v>
      </c>
      <c r="AE623" s="34">
        <f t="shared" si="30"/>
        <v>9290817.0099999998</v>
      </c>
      <c r="AF623" s="34">
        <f t="shared" si="30"/>
        <v>9979476.4199999962</v>
      </c>
      <c r="AG623" s="34">
        <f t="shared" si="30"/>
        <v>10696546.900000002</v>
      </c>
      <c r="AH623" s="34">
        <f t="shared" si="30"/>
        <v>9471299.8500000015</v>
      </c>
      <c r="AI623" s="34">
        <f t="shared" si="30"/>
        <v>10090788.336235832</v>
      </c>
      <c r="AJ623" s="34">
        <f t="shared" si="30"/>
        <v>10656196.579999998</v>
      </c>
      <c r="AK623" s="34">
        <f t="shared" si="30"/>
        <v>9752989.7599999979</v>
      </c>
      <c r="AL623" s="34">
        <f t="shared" si="30"/>
        <v>11457687.500000006</v>
      </c>
      <c r="AM623" s="34">
        <f t="shared" si="30"/>
        <v>11494171.070000006</v>
      </c>
      <c r="AN623" s="34">
        <f t="shared" si="30"/>
        <v>10701994.850000003</v>
      </c>
      <c r="AO623" s="35">
        <f t="shared" si="30"/>
        <v>122553658.69623585</v>
      </c>
    </row>
    <row r="624" spans="1:41" ht="17.25" customHeight="1" x14ac:dyDescent="0.45"/>
    <row r="625" spans="1:1" ht="17.25" customHeight="1" x14ac:dyDescent="0.45">
      <c r="A625" s="19" t="s">
        <v>319</v>
      </c>
    </row>
  </sheetData>
  <mergeCells count="7">
    <mergeCell ref="G2:P2"/>
    <mergeCell ref="G3:P3"/>
    <mergeCell ref="AC5:AO5"/>
    <mergeCell ref="C5:O5"/>
    <mergeCell ref="A623:B623"/>
    <mergeCell ref="A5:B5"/>
    <mergeCell ref="P5:AB5"/>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D2449"/>
  </sheetPr>
  <dimension ref="A1:AQ939"/>
  <sheetViews>
    <sheetView showGridLines="0" zoomScale="80" zoomScaleNormal="80" workbookViewId="0">
      <pane ySplit="6" topLeftCell="A7" activePane="bottomLeft" state="frozen"/>
      <selection activeCell="D13" sqref="D13"/>
      <selection pane="bottomLeft" activeCell="A7" sqref="A7"/>
    </sheetView>
  </sheetViews>
  <sheetFormatPr baseColWidth="10" defaultRowHeight="17.25" x14ac:dyDescent="0.45"/>
  <cols>
    <col min="1" max="1" width="23.88671875" style="2" customWidth="1"/>
    <col min="2" max="2" width="25.6640625" style="2" customWidth="1"/>
    <col min="3" max="3" width="23.88671875" style="2" customWidth="1"/>
    <col min="4" max="4" width="25.6640625" style="2" customWidth="1"/>
    <col min="5" max="5" width="7.21875" style="2" bestFit="1" customWidth="1"/>
    <col min="6" max="6" width="7.33203125" style="2" bestFit="1" customWidth="1"/>
    <col min="7" max="7" width="8" style="2" bestFit="1" customWidth="1"/>
    <col min="8" max="8" width="7.33203125" style="2" bestFit="1" customWidth="1"/>
    <col min="9" max="9" width="8.33203125" style="2" bestFit="1" customWidth="1"/>
    <col min="10" max="10" width="6.88671875" style="2" bestFit="1" customWidth="1"/>
    <col min="11" max="11" width="6.6640625" style="2" bestFit="1" customWidth="1"/>
    <col min="12" max="12" width="7.88671875" style="2" bestFit="1" customWidth="1"/>
    <col min="13" max="13" width="7.33203125" style="2" bestFit="1" customWidth="1"/>
    <col min="14" max="14" width="7.21875" style="2" bestFit="1" customWidth="1"/>
    <col min="15" max="15" width="7.77734375" style="2" bestFit="1" customWidth="1"/>
    <col min="16" max="16" width="6.77734375" style="2" bestFit="1" customWidth="1"/>
    <col min="17" max="17" width="7.44140625" style="2" bestFit="1" customWidth="1"/>
    <col min="18" max="29" width="8.77734375" style="2" bestFit="1" customWidth="1"/>
    <col min="30" max="42" width="9.5546875" style="2" bestFit="1" customWidth="1"/>
    <col min="43" max="43" width="10.44140625" style="2" bestFit="1" customWidth="1"/>
    <col min="44" max="16384" width="11.5546875" style="2"/>
  </cols>
  <sheetData>
    <row r="1" spans="1:43" ht="15" customHeight="1" x14ac:dyDescent="0.45"/>
    <row r="2" spans="1:43" ht="15" customHeight="1" x14ac:dyDescent="0.45">
      <c r="C2" s="3"/>
      <c r="D2" s="56" t="s">
        <v>341</v>
      </c>
      <c r="E2" s="56"/>
      <c r="F2" s="56"/>
      <c r="G2" s="56"/>
      <c r="H2" s="56"/>
      <c r="I2" s="56"/>
      <c r="J2" s="56"/>
      <c r="K2" s="56"/>
      <c r="L2" s="56"/>
      <c r="M2" s="56"/>
      <c r="N2" s="56"/>
    </row>
    <row r="3" spans="1:43" ht="15" customHeight="1" x14ac:dyDescent="0.45">
      <c r="C3" s="3"/>
      <c r="D3" s="56" t="s">
        <v>376</v>
      </c>
      <c r="E3" s="56"/>
      <c r="F3" s="56"/>
      <c r="G3" s="56"/>
      <c r="H3" s="56"/>
      <c r="I3" s="56"/>
      <c r="J3" s="56"/>
      <c r="K3" s="56"/>
      <c r="L3" s="56"/>
      <c r="M3" s="56"/>
      <c r="N3" s="56"/>
    </row>
    <row r="4" spans="1:43" ht="15" customHeight="1" thickBot="1" x14ac:dyDescent="0.5">
      <c r="C4" s="3"/>
      <c r="D4" s="3"/>
    </row>
    <row r="5" spans="1:43" ht="15" customHeight="1" x14ac:dyDescent="0.45">
      <c r="A5" s="64" t="s">
        <v>343</v>
      </c>
      <c r="B5" s="64"/>
      <c r="C5" s="64"/>
      <c r="D5" s="64"/>
      <c r="E5" s="60" t="s">
        <v>344</v>
      </c>
      <c r="F5" s="61"/>
      <c r="G5" s="61"/>
      <c r="H5" s="61"/>
      <c r="I5" s="61"/>
      <c r="J5" s="61"/>
      <c r="K5" s="61"/>
      <c r="L5" s="61"/>
      <c r="M5" s="61"/>
      <c r="N5" s="61"/>
      <c r="O5" s="61"/>
      <c r="P5" s="61"/>
      <c r="Q5" s="62"/>
      <c r="R5" s="65" t="s">
        <v>345</v>
      </c>
      <c r="S5" s="66"/>
      <c r="T5" s="66"/>
      <c r="U5" s="66"/>
      <c r="V5" s="66"/>
      <c r="W5" s="66"/>
      <c r="X5" s="66"/>
      <c r="Y5" s="66"/>
      <c r="Z5" s="66"/>
      <c r="AA5" s="66"/>
      <c r="AB5" s="66"/>
      <c r="AC5" s="66"/>
      <c r="AD5" s="67"/>
      <c r="AE5" s="57" t="s">
        <v>346</v>
      </c>
      <c r="AF5" s="58"/>
      <c r="AG5" s="58"/>
      <c r="AH5" s="58"/>
      <c r="AI5" s="58"/>
      <c r="AJ5" s="58"/>
      <c r="AK5" s="58"/>
      <c r="AL5" s="58"/>
      <c r="AM5" s="58"/>
      <c r="AN5" s="58"/>
      <c r="AO5" s="58"/>
      <c r="AP5" s="58"/>
      <c r="AQ5" s="59"/>
    </row>
    <row r="6" spans="1:43" x14ac:dyDescent="0.45">
      <c r="A6" s="36" t="s">
        <v>347</v>
      </c>
      <c r="B6" s="36" t="s">
        <v>348</v>
      </c>
      <c r="C6" s="36" t="s">
        <v>349</v>
      </c>
      <c r="D6" s="36" t="s">
        <v>350</v>
      </c>
      <c r="E6" s="37" t="s">
        <v>351</v>
      </c>
      <c r="F6" s="38" t="s">
        <v>352</v>
      </c>
      <c r="G6" s="38" t="s">
        <v>353</v>
      </c>
      <c r="H6" s="38" t="s">
        <v>354</v>
      </c>
      <c r="I6" s="38" t="s">
        <v>355</v>
      </c>
      <c r="J6" s="38" t="s">
        <v>356</v>
      </c>
      <c r="K6" s="38" t="s">
        <v>357</v>
      </c>
      <c r="L6" s="38" t="s">
        <v>358</v>
      </c>
      <c r="M6" s="38" t="s">
        <v>359</v>
      </c>
      <c r="N6" s="38" t="s">
        <v>360</v>
      </c>
      <c r="O6" s="38" t="s">
        <v>361</v>
      </c>
      <c r="P6" s="38" t="s">
        <v>362</v>
      </c>
      <c r="Q6" s="39" t="s">
        <v>0</v>
      </c>
      <c r="R6" s="40" t="s">
        <v>363</v>
      </c>
      <c r="S6" s="41" t="s">
        <v>364</v>
      </c>
      <c r="T6" s="41" t="s">
        <v>365</v>
      </c>
      <c r="U6" s="41" t="s">
        <v>366</v>
      </c>
      <c r="V6" s="41" t="s">
        <v>367</v>
      </c>
      <c r="W6" s="41" t="s">
        <v>368</v>
      </c>
      <c r="X6" s="41" t="s">
        <v>369</v>
      </c>
      <c r="Y6" s="41" t="s">
        <v>370</v>
      </c>
      <c r="Z6" s="41" t="s">
        <v>371</v>
      </c>
      <c r="AA6" s="41" t="s">
        <v>372</v>
      </c>
      <c r="AB6" s="41" t="s">
        <v>373</v>
      </c>
      <c r="AC6" s="41" t="s">
        <v>374</v>
      </c>
      <c r="AD6" s="42" t="s">
        <v>0</v>
      </c>
      <c r="AE6" s="43" t="s">
        <v>363</v>
      </c>
      <c r="AF6" s="44" t="s">
        <v>364</v>
      </c>
      <c r="AG6" s="44" t="s">
        <v>365</v>
      </c>
      <c r="AH6" s="44" t="s">
        <v>366</v>
      </c>
      <c r="AI6" s="44" t="s">
        <v>367</v>
      </c>
      <c r="AJ6" s="44" t="s">
        <v>368</v>
      </c>
      <c r="AK6" s="44" t="s">
        <v>369</v>
      </c>
      <c r="AL6" s="44" t="s">
        <v>370</v>
      </c>
      <c r="AM6" s="44" t="s">
        <v>371</v>
      </c>
      <c r="AN6" s="44" t="s">
        <v>372</v>
      </c>
      <c r="AO6" s="44" t="s">
        <v>373</v>
      </c>
      <c r="AP6" s="44" t="s">
        <v>374</v>
      </c>
      <c r="AQ6" s="45" t="s">
        <v>0</v>
      </c>
    </row>
    <row r="7" spans="1:43" ht="17.25" customHeight="1" x14ac:dyDescent="0.45">
      <c r="A7" s="2" t="s">
        <v>64</v>
      </c>
      <c r="B7" s="2" t="s">
        <v>65</v>
      </c>
      <c r="C7" s="2" t="s">
        <v>17</v>
      </c>
      <c r="D7" s="2" t="s">
        <v>66</v>
      </c>
      <c r="E7" s="23">
        <v>9</v>
      </c>
      <c r="F7" s="1">
        <v>8</v>
      </c>
      <c r="G7" s="1">
        <v>9</v>
      </c>
      <c r="H7" s="1">
        <v>7</v>
      </c>
      <c r="I7" s="1">
        <v>0</v>
      </c>
      <c r="J7" s="1">
        <v>0</v>
      </c>
      <c r="K7" s="1">
        <v>0</v>
      </c>
      <c r="L7" s="1">
        <v>0</v>
      </c>
      <c r="M7" s="1">
        <v>0</v>
      </c>
      <c r="N7" s="1">
        <v>0</v>
      </c>
      <c r="O7" s="1">
        <v>0</v>
      </c>
      <c r="P7" s="1">
        <v>3</v>
      </c>
      <c r="Q7" s="24">
        <f>SUM(E7:P7)</f>
        <v>36</v>
      </c>
      <c r="R7" s="23">
        <v>1289</v>
      </c>
      <c r="S7" s="1">
        <v>1003</v>
      </c>
      <c r="T7" s="1">
        <v>1049</v>
      </c>
      <c r="U7" s="1">
        <v>667</v>
      </c>
      <c r="V7" s="1">
        <v>0</v>
      </c>
      <c r="W7" s="1">
        <v>0</v>
      </c>
      <c r="X7" s="1">
        <v>0</v>
      </c>
      <c r="Y7" s="1">
        <v>0</v>
      </c>
      <c r="Z7" s="1">
        <v>0</v>
      </c>
      <c r="AA7" s="1">
        <v>0</v>
      </c>
      <c r="AB7" s="1">
        <v>0</v>
      </c>
      <c r="AC7" s="1">
        <v>383</v>
      </c>
      <c r="AD7" s="24">
        <f>SUM(R7:AC7)</f>
        <v>4391</v>
      </c>
      <c r="AE7" s="23">
        <v>0</v>
      </c>
      <c r="AF7" s="1">
        <v>0</v>
      </c>
      <c r="AG7" s="1">
        <v>0</v>
      </c>
      <c r="AH7" s="1">
        <v>0</v>
      </c>
      <c r="AI7" s="1">
        <v>0</v>
      </c>
      <c r="AJ7" s="1">
        <v>0</v>
      </c>
      <c r="AK7" s="1">
        <v>0</v>
      </c>
      <c r="AL7" s="1">
        <v>0</v>
      </c>
      <c r="AM7" s="1">
        <v>0</v>
      </c>
      <c r="AN7" s="1">
        <v>0</v>
      </c>
      <c r="AO7" s="1">
        <v>0</v>
      </c>
      <c r="AP7" s="1">
        <v>0</v>
      </c>
      <c r="AQ7" s="24">
        <f>SUM(AE7:AP7)</f>
        <v>0</v>
      </c>
    </row>
    <row r="8" spans="1:43" ht="17.25" customHeight="1" x14ac:dyDescent="0.45">
      <c r="A8" s="12" t="s">
        <v>64</v>
      </c>
      <c r="B8" s="12" t="s">
        <v>65</v>
      </c>
      <c r="C8" s="12" t="s">
        <v>48</v>
      </c>
      <c r="D8" s="12" t="s">
        <v>66</v>
      </c>
      <c r="E8" s="25">
        <v>5</v>
      </c>
      <c r="F8" s="10">
        <v>4</v>
      </c>
      <c r="G8" s="10">
        <v>4</v>
      </c>
      <c r="H8" s="10">
        <v>1</v>
      </c>
      <c r="I8" s="10">
        <v>0</v>
      </c>
      <c r="J8" s="10">
        <v>0</v>
      </c>
      <c r="K8" s="10">
        <v>0</v>
      </c>
      <c r="L8" s="10">
        <v>0</v>
      </c>
      <c r="M8" s="10">
        <v>0</v>
      </c>
      <c r="N8" s="10">
        <v>0</v>
      </c>
      <c r="O8" s="10">
        <v>0</v>
      </c>
      <c r="P8" s="10">
        <v>0</v>
      </c>
      <c r="Q8" s="26">
        <f t="shared" ref="Q8:Q71" si="0">SUM(E8:P8)</f>
        <v>14</v>
      </c>
      <c r="R8" s="25">
        <v>527</v>
      </c>
      <c r="S8" s="10">
        <v>486</v>
      </c>
      <c r="T8" s="10">
        <v>459</v>
      </c>
      <c r="U8" s="10">
        <v>85</v>
      </c>
      <c r="V8" s="10">
        <v>0</v>
      </c>
      <c r="W8" s="10">
        <v>0</v>
      </c>
      <c r="X8" s="10">
        <v>0</v>
      </c>
      <c r="Y8" s="10">
        <v>0</v>
      </c>
      <c r="Z8" s="10">
        <v>0</v>
      </c>
      <c r="AA8" s="10">
        <v>0</v>
      </c>
      <c r="AB8" s="10">
        <v>0</v>
      </c>
      <c r="AC8" s="10">
        <v>0</v>
      </c>
      <c r="AD8" s="26">
        <f t="shared" ref="AD8:AD71" si="1">SUM(R8:AC8)</f>
        <v>1557</v>
      </c>
      <c r="AE8" s="25">
        <v>0</v>
      </c>
      <c r="AF8" s="10">
        <v>0</v>
      </c>
      <c r="AG8" s="10">
        <v>0</v>
      </c>
      <c r="AH8" s="10">
        <v>0</v>
      </c>
      <c r="AI8" s="10">
        <v>0</v>
      </c>
      <c r="AJ8" s="10">
        <v>0</v>
      </c>
      <c r="AK8" s="10">
        <v>0</v>
      </c>
      <c r="AL8" s="10">
        <v>0</v>
      </c>
      <c r="AM8" s="10">
        <v>0</v>
      </c>
      <c r="AN8" s="10">
        <v>0</v>
      </c>
      <c r="AO8" s="10">
        <v>0</v>
      </c>
      <c r="AP8" s="10">
        <v>0</v>
      </c>
      <c r="AQ8" s="26">
        <f t="shared" ref="AQ8:AQ71" si="2">SUM(AE8:AP8)</f>
        <v>0</v>
      </c>
    </row>
    <row r="9" spans="1:43" ht="17.25" customHeight="1" x14ac:dyDescent="0.45">
      <c r="A9" s="2" t="s">
        <v>9</v>
      </c>
      <c r="B9" s="2" t="s">
        <v>66</v>
      </c>
      <c r="C9" s="2" t="s">
        <v>67</v>
      </c>
      <c r="D9" s="2" t="s">
        <v>68</v>
      </c>
      <c r="E9" s="23">
        <v>0</v>
      </c>
      <c r="F9" s="1">
        <v>0</v>
      </c>
      <c r="G9" s="1">
        <v>0</v>
      </c>
      <c r="H9" s="1">
        <v>0</v>
      </c>
      <c r="I9" s="1">
        <v>0</v>
      </c>
      <c r="J9" s="1">
        <v>0</v>
      </c>
      <c r="K9" s="1">
        <v>0</v>
      </c>
      <c r="L9" s="1">
        <v>0</v>
      </c>
      <c r="M9" s="1">
        <v>0</v>
      </c>
      <c r="N9" s="1">
        <v>0</v>
      </c>
      <c r="O9" s="1">
        <v>5</v>
      </c>
      <c r="P9" s="1">
        <v>8</v>
      </c>
      <c r="Q9" s="24">
        <f t="shared" si="0"/>
        <v>13</v>
      </c>
      <c r="R9" s="23">
        <v>0</v>
      </c>
      <c r="S9" s="1">
        <v>0</v>
      </c>
      <c r="T9" s="1">
        <v>0</v>
      </c>
      <c r="U9" s="1">
        <v>0</v>
      </c>
      <c r="V9" s="1">
        <v>0</v>
      </c>
      <c r="W9" s="1">
        <v>0</v>
      </c>
      <c r="X9" s="1">
        <v>0</v>
      </c>
      <c r="Y9" s="1">
        <v>0</v>
      </c>
      <c r="Z9" s="1">
        <v>0</v>
      </c>
      <c r="AA9" s="1">
        <v>0</v>
      </c>
      <c r="AB9" s="1">
        <v>265</v>
      </c>
      <c r="AC9" s="1">
        <v>419</v>
      </c>
      <c r="AD9" s="24">
        <f t="shared" si="1"/>
        <v>684</v>
      </c>
      <c r="AE9" s="23">
        <v>0</v>
      </c>
      <c r="AF9" s="1">
        <v>0</v>
      </c>
      <c r="AG9" s="1">
        <v>0</v>
      </c>
      <c r="AH9" s="1">
        <v>0</v>
      </c>
      <c r="AI9" s="1">
        <v>0</v>
      </c>
      <c r="AJ9" s="1">
        <v>0</v>
      </c>
      <c r="AK9" s="1">
        <v>0</v>
      </c>
      <c r="AL9" s="1">
        <v>0</v>
      </c>
      <c r="AM9" s="1">
        <v>0</v>
      </c>
      <c r="AN9" s="1">
        <v>0</v>
      </c>
      <c r="AO9" s="1">
        <v>0</v>
      </c>
      <c r="AP9" s="1">
        <v>0</v>
      </c>
      <c r="AQ9" s="24">
        <f t="shared" si="2"/>
        <v>0</v>
      </c>
    </row>
    <row r="10" spans="1:43" ht="17.25" customHeight="1" x14ac:dyDescent="0.45">
      <c r="A10" s="12" t="s">
        <v>9</v>
      </c>
      <c r="B10" s="12" t="s">
        <v>66</v>
      </c>
      <c r="C10" s="12" t="s">
        <v>69</v>
      </c>
      <c r="D10" s="12" t="s">
        <v>68</v>
      </c>
      <c r="E10" s="25">
        <v>0</v>
      </c>
      <c r="F10" s="10">
        <v>0</v>
      </c>
      <c r="G10" s="10">
        <v>0</v>
      </c>
      <c r="H10" s="10">
        <v>0</v>
      </c>
      <c r="I10" s="10">
        <v>1</v>
      </c>
      <c r="J10" s="10">
        <v>5</v>
      </c>
      <c r="K10" s="10">
        <v>4</v>
      </c>
      <c r="L10" s="10">
        <v>5</v>
      </c>
      <c r="M10" s="10">
        <v>3</v>
      </c>
      <c r="N10" s="10">
        <v>3</v>
      </c>
      <c r="O10" s="10">
        <v>5</v>
      </c>
      <c r="P10" s="10">
        <v>4</v>
      </c>
      <c r="Q10" s="26">
        <f t="shared" si="0"/>
        <v>30</v>
      </c>
      <c r="R10" s="25">
        <v>0</v>
      </c>
      <c r="S10" s="10">
        <v>0</v>
      </c>
      <c r="T10" s="10">
        <v>0</v>
      </c>
      <c r="U10" s="10">
        <v>0</v>
      </c>
      <c r="V10" s="10">
        <v>62</v>
      </c>
      <c r="W10" s="10">
        <v>310</v>
      </c>
      <c r="X10" s="10">
        <v>290</v>
      </c>
      <c r="Y10" s="10">
        <v>315</v>
      </c>
      <c r="Z10" s="10">
        <v>185</v>
      </c>
      <c r="AA10" s="10">
        <v>176</v>
      </c>
      <c r="AB10" s="10">
        <v>318</v>
      </c>
      <c r="AC10" s="10">
        <v>217</v>
      </c>
      <c r="AD10" s="26">
        <f t="shared" si="1"/>
        <v>1873</v>
      </c>
      <c r="AE10" s="25">
        <v>0</v>
      </c>
      <c r="AF10" s="10">
        <v>0</v>
      </c>
      <c r="AG10" s="10">
        <v>0</v>
      </c>
      <c r="AH10" s="10">
        <v>0</v>
      </c>
      <c r="AI10" s="10">
        <v>0</v>
      </c>
      <c r="AJ10" s="10">
        <v>0</v>
      </c>
      <c r="AK10" s="10">
        <v>0</v>
      </c>
      <c r="AL10" s="10">
        <v>0</v>
      </c>
      <c r="AM10" s="10">
        <v>0</v>
      </c>
      <c r="AN10" s="10">
        <v>0</v>
      </c>
      <c r="AO10" s="10">
        <v>0</v>
      </c>
      <c r="AP10" s="10">
        <v>0</v>
      </c>
      <c r="AQ10" s="26">
        <f t="shared" si="2"/>
        <v>0</v>
      </c>
    </row>
    <row r="11" spans="1:43" ht="17.25" customHeight="1" x14ac:dyDescent="0.45">
      <c r="A11" s="2" t="s">
        <v>9</v>
      </c>
      <c r="B11" s="2" t="s">
        <v>66</v>
      </c>
      <c r="C11" s="2" t="s">
        <v>70</v>
      </c>
      <c r="D11" s="2" t="s">
        <v>65</v>
      </c>
      <c r="E11" s="23">
        <v>0</v>
      </c>
      <c r="F11" s="1">
        <v>0</v>
      </c>
      <c r="G11" s="1">
        <v>0</v>
      </c>
      <c r="H11" s="1">
        <v>0</v>
      </c>
      <c r="I11" s="1">
        <v>0</v>
      </c>
      <c r="J11" s="1">
        <v>0</v>
      </c>
      <c r="K11" s="1">
        <v>0</v>
      </c>
      <c r="L11" s="1">
        <v>0</v>
      </c>
      <c r="M11" s="1">
        <v>0</v>
      </c>
      <c r="N11" s="1">
        <v>0</v>
      </c>
      <c r="O11" s="1">
        <v>0</v>
      </c>
      <c r="P11" s="1">
        <v>4</v>
      </c>
      <c r="Q11" s="24">
        <f t="shared" si="0"/>
        <v>4</v>
      </c>
      <c r="R11" s="23">
        <v>0</v>
      </c>
      <c r="S11" s="1">
        <v>0</v>
      </c>
      <c r="T11" s="1">
        <v>0</v>
      </c>
      <c r="U11" s="1">
        <v>0</v>
      </c>
      <c r="V11" s="1">
        <v>0</v>
      </c>
      <c r="W11" s="1">
        <v>0</v>
      </c>
      <c r="X11" s="1">
        <v>0</v>
      </c>
      <c r="Y11" s="1">
        <v>0</v>
      </c>
      <c r="Z11" s="1">
        <v>0</v>
      </c>
      <c r="AA11" s="1">
        <v>0</v>
      </c>
      <c r="AB11" s="1">
        <v>0</v>
      </c>
      <c r="AC11" s="1">
        <v>191</v>
      </c>
      <c r="AD11" s="24">
        <f t="shared" si="1"/>
        <v>191</v>
      </c>
      <c r="AE11" s="23">
        <v>0</v>
      </c>
      <c r="AF11" s="1">
        <v>0</v>
      </c>
      <c r="AG11" s="1">
        <v>0</v>
      </c>
      <c r="AH11" s="1">
        <v>0</v>
      </c>
      <c r="AI11" s="1">
        <v>0</v>
      </c>
      <c r="AJ11" s="1">
        <v>0</v>
      </c>
      <c r="AK11" s="1">
        <v>0</v>
      </c>
      <c r="AL11" s="1">
        <v>0</v>
      </c>
      <c r="AM11" s="1">
        <v>0</v>
      </c>
      <c r="AN11" s="1">
        <v>0</v>
      </c>
      <c r="AO11" s="1">
        <v>0</v>
      </c>
      <c r="AP11" s="1">
        <v>0</v>
      </c>
      <c r="AQ11" s="24">
        <f t="shared" si="2"/>
        <v>0</v>
      </c>
    </row>
    <row r="12" spans="1:43" ht="17.25" customHeight="1" x14ac:dyDescent="0.45">
      <c r="A12" s="12" t="s">
        <v>16</v>
      </c>
      <c r="B12" s="12" t="s">
        <v>66</v>
      </c>
      <c r="C12" s="12" t="s">
        <v>72</v>
      </c>
      <c r="D12" s="12" t="s">
        <v>68</v>
      </c>
      <c r="E12" s="25">
        <v>18</v>
      </c>
      <c r="F12" s="10">
        <v>16</v>
      </c>
      <c r="G12" s="10">
        <v>18</v>
      </c>
      <c r="H12" s="10">
        <v>21</v>
      </c>
      <c r="I12" s="10">
        <v>22</v>
      </c>
      <c r="J12" s="10">
        <v>22</v>
      </c>
      <c r="K12" s="10">
        <v>22</v>
      </c>
      <c r="L12" s="10">
        <v>22</v>
      </c>
      <c r="M12" s="10">
        <v>21</v>
      </c>
      <c r="N12" s="10">
        <v>21</v>
      </c>
      <c r="O12" s="10">
        <v>22</v>
      </c>
      <c r="P12" s="10">
        <v>22</v>
      </c>
      <c r="Q12" s="26">
        <f t="shared" si="0"/>
        <v>247</v>
      </c>
      <c r="R12" s="25">
        <v>3104</v>
      </c>
      <c r="S12" s="10">
        <v>2451</v>
      </c>
      <c r="T12" s="10">
        <v>2686</v>
      </c>
      <c r="U12" s="10">
        <v>3271</v>
      </c>
      <c r="V12" s="10">
        <v>3341</v>
      </c>
      <c r="W12" s="10">
        <v>2938</v>
      </c>
      <c r="X12" s="10">
        <v>3712</v>
      </c>
      <c r="Y12" s="10">
        <v>3877</v>
      </c>
      <c r="Z12" s="10">
        <v>3069</v>
      </c>
      <c r="AA12" s="10">
        <v>2939</v>
      </c>
      <c r="AB12" s="10">
        <v>2844</v>
      </c>
      <c r="AC12" s="10">
        <v>3045</v>
      </c>
      <c r="AD12" s="26">
        <f t="shared" si="1"/>
        <v>37277</v>
      </c>
      <c r="AE12" s="25">
        <v>0</v>
      </c>
      <c r="AF12" s="10">
        <v>0</v>
      </c>
      <c r="AG12" s="10">
        <v>0</v>
      </c>
      <c r="AH12" s="10">
        <v>0</v>
      </c>
      <c r="AI12" s="10">
        <v>0</v>
      </c>
      <c r="AJ12" s="10">
        <v>0</v>
      </c>
      <c r="AK12" s="10">
        <v>0</v>
      </c>
      <c r="AL12" s="10">
        <v>0</v>
      </c>
      <c r="AM12" s="10">
        <v>0</v>
      </c>
      <c r="AN12" s="10">
        <v>0</v>
      </c>
      <c r="AO12" s="10">
        <v>0</v>
      </c>
      <c r="AP12" s="10">
        <v>0</v>
      </c>
      <c r="AQ12" s="26">
        <f t="shared" si="2"/>
        <v>0</v>
      </c>
    </row>
    <row r="13" spans="1:43" ht="17.25" customHeight="1" x14ac:dyDescent="0.45">
      <c r="A13" s="2" t="s">
        <v>16</v>
      </c>
      <c r="B13" s="2" t="s">
        <v>66</v>
      </c>
      <c r="C13" s="2" t="s">
        <v>67</v>
      </c>
      <c r="D13" s="2" t="s">
        <v>68</v>
      </c>
      <c r="E13" s="23">
        <v>62</v>
      </c>
      <c r="F13" s="1">
        <v>58</v>
      </c>
      <c r="G13" s="1">
        <v>62</v>
      </c>
      <c r="H13" s="1">
        <v>59</v>
      </c>
      <c r="I13" s="1">
        <v>61</v>
      </c>
      <c r="J13" s="1">
        <v>59</v>
      </c>
      <c r="K13" s="1">
        <v>61</v>
      </c>
      <c r="L13" s="1">
        <v>62</v>
      </c>
      <c r="M13" s="1">
        <v>60</v>
      </c>
      <c r="N13" s="1">
        <v>61</v>
      </c>
      <c r="O13" s="1">
        <v>59</v>
      </c>
      <c r="P13" s="1">
        <v>61</v>
      </c>
      <c r="Q13" s="24">
        <f t="shared" si="0"/>
        <v>725</v>
      </c>
      <c r="R13" s="23">
        <v>3823</v>
      </c>
      <c r="S13" s="1">
        <v>3112</v>
      </c>
      <c r="T13" s="1">
        <v>3353</v>
      </c>
      <c r="U13" s="1">
        <v>3492</v>
      </c>
      <c r="V13" s="1">
        <v>3110</v>
      </c>
      <c r="W13" s="1">
        <v>2875</v>
      </c>
      <c r="X13" s="1">
        <v>3709</v>
      </c>
      <c r="Y13" s="1">
        <v>3563</v>
      </c>
      <c r="Z13" s="1">
        <v>3290</v>
      </c>
      <c r="AA13" s="1">
        <v>2951</v>
      </c>
      <c r="AB13" s="1">
        <v>2984</v>
      </c>
      <c r="AC13" s="1">
        <v>3078</v>
      </c>
      <c r="AD13" s="24">
        <f t="shared" si="1"/>
        <v>39340</v>
      </c>
      <c r="AE13" s="23">
        <v>0</v>
      </c>
      <c r="AF13" s="1">
        <v>0</v>
      </c>
      <c r="AG13" s="1">
        <v>0</v>
      </c>
      <c r="AH13" s="1">
        <v>0</v>
      </c>
      <c r="AI13" s="1">
        <v>0</v>
      </c>
      <c r="AJ13" s="1">
        <v>0</v>
      </c>
      <c r="AK13" s="1">
        <v>0</v>
      </c>
      <c r="AL13" s="1">
        <v>0</v>
      </c>
      <c r="AM13" s="1">
        <v>0</v>
      </c>
      <c r="AN13" s="1">
        <v>0</v>
      </c>
      <c r="AO13" s="1">
        <v>0</v>
      </c>
      <c r="AP13" s="1">
        <v>0</v>
      </c>
      <c r="AQ13" s="24">
        <f t="shared" si="2"/>
        <v>0</v>
      </c>
    </row>
    <row r="14" spans="1:43" ht="17.25" customHeight="1" x14ac:dyDescent="0.45">
      <c r="A14" s="12" t="s">
        <v>16</v>
      </c>
      <c r="B14" s="12" t="s">
        <v>66</v>
      </c>
      <c r="C14" s="12" t="s">
        <v>69</v>
      </c>
      <c r="D14" s="12" t="s">
        <v>68</v>
      </c>
      <c r="E14" s="25">
        <v>60</v>
      </c>
      <c r="F14" s="10">
        <v>58</v>
      </c>
      <c r="G14" s="10">
        <v>62</v>
      </c>
      <c r="H14" s="10">
        <v>60</v>
      </c>
      <c r="I14" s="10">
        <v>59</v>
      </c>
      <c r="J14" s="10">
        <v>60</v>
      </c>
      <c r="K14" s="10">
        <v>56</v>
      </c>
      <c r="L14" s="10">
        <v>62</v>
      </c>
      <c r="M14" s="10">
        <v>60</v>
      </c>
      <c r="N14" s="10">
        <v>62</v>
      </c>
      <c r="O14" s="10">
        <v>60</v>
      </c>
      <c r="P14" s="10">
        <v>62</v>
      </c>
      <c r="Q14" s="26">
        <f t="shared" si="0"/>
        <v>721</v>
      </c>
      <c r="R14" s="25">
        <v>3155</v>
      </c>
      <c r="S14" s="10">
        <v>2300</v>
      </c>
      <c r="T14" s="10">
        <v>2475</v>
      </c>
      <c r="U14" s="10">
        <v>2632</v>
      </c>
      <c r="V14" s="10">
        <v>2907</v>
      </c>
      <c r="W14" s="10">
        <v>3364</v>
      </c>
      <c r="X14" s="10">
        <v>3879</v>
      </c>
      <c r="Y14" s="10">
        <v>4089</v>
      </c>
      <c r="Z14" s="10">
        <v>3780</v>
      </c>
      <c r="AA14" s="10">
        <v>3136</v>
      </c>
      <c r="AB14" s="10">
        <v>3086</v>
      </c>
      <c r="AC14" s="10">
        <v>3302</v>
      </c>
      <c r="AD14" s="26">
        <f t="shared" si="1"/>
        <v>38105</v>
      </c>
      <c r="AE14" s="25">
        <v>0</v>
      </c>
      <c r="AF14" s="10">
        <v>0</v>
      </c>
      <c r="AG14" s="10">
        <v>0</v>
      </c>
      <c r="AH14" s="10">
        <v>0</v>
      </c>
      <c r="AI14" s="10">
        <v>0</v>
      </c>
      <c r="AJ14" s="10">
        <v>0</v>
      </c>
      <c r="AK14" s="10">
        <v>0</v>
      </c>
      <c r="AL14" s="10">
        <v>0</v>
      </c>
      <c r="AM14" s="10">
        <v>0</v>
      </c>
      <c r="AN14" s="10">
        <v>0</v>
      </c>
      <c r="AO14" s="10">
        <v>0</v>
      </c>
      <c r="AP14" s="10">
        <v>0</v>
      </c>
      <c r="AQ14" s="26">
        <f t="shared" si="2"/>
        <v>0</v>
      </c>
    </row>
    <row r="15" spans="1:43" ht="17.25" customHeight="1" x14ac:dyDescent="0.45">
      <c r="A15" s="2" t="s">
        <v>16</v>
      </c>
      <c r="B15" s="2" t="s">
        <v>66</v>
      </c>
      <c r="C15" s="2" t="s">
        <v>73</v>
      </c>
      <c r="D15" s="2" t="s">
        <v>68</v>
      </c>
      <c r="E15" s="23">
        <v>13</v>
      </c>
      <c r="F15" s="1">
        <v>13</v>
      </c>
      <c r="G15" s="1">
        <v>13</v>
      </c>
      <c r="H15" s="1">
        <v>16</v>
      </c>
      <c r="I15" s="1">
        <v>17</v>
      </c>
      <c r="J15" s="1">
        <v>17</v>
      </c>
      <c r="K15" s="1">
        <v>18</v>
      </c>
      <c r="L15" s="1">
        <v>18</v>
      </c>
      <c r="M15" s="1">
        <v>16</v>
      </c>
      <c r="N15" s="1">
        <v>18</v>
      </c>
      <c r="O15" s="1">
        <v>17</v>
      </c>
      <c r="P15" s="1">
        <v>19</v>
      </c>
      <c r="Q15" s="24">
        <f t="shared" si="0"/>
        <v>195</v>
      </c>
      <c r="R15" s="23">
        <v>2247</v>
      </c>
      <c r="S15" s="1">
        <v>2108</v>
      </c>
      <c r="T15" s="1">
        <v>1910</v>
      </c>
      <c r="U15" s="1">
        <v>2718</v>
      </c>
      <c r="V15" s="1">
        <v>2766</v>
      </c>
      <c r="W15" s="1">
        <v>2265</v>
      </c>
      <c r="X15" s="1">
        <v>3030</v>
      </c>
      <c r="Y15" s="1">
        <v>3053</v>
      </c>
      <c r="Z15" s="1">
        <v>2482</v>
      </c>
      <c r="AA15" s="1">
        <v>2788</v>
      </c>
      <c r="AB15" s="1">
        <v>2591</v>
      </c>
      <c r="AC15" s="1">
        <v>2792</v>
      </c>
      <c r="AD15" s="24">
        <f t="shared" si="1"/>
        <v>30750</v>
      </c>
      <c r="AE15" s="23">
        <v>0</v>
      </c>
      <c r="AF15" s="1">
        <v>0</v>
      </c>
      <c r="AG15" s="1">
        <v>0</v>
      </c>
      <c r="AH15" s="1">
        <v>0</v>
      </c>
      <c r="AI15" s="1">
        <v>0</v>
      </c>
      <c r="AJ15" s="1">
        <v>0</v>
      </c>
      <c r="AK15" s="1">
        <v>0</v>
      </c>
      <c r="AL15" s="1">
        <v>0</v>
      </c>
      <c r="AM15" s="1">
        <v>0</v>
      </c>
      <c r="AN15" s="1">
        <v>0</v>
      </c>
      <c r="AO15" s="1">
        <v>0</v>
      </c>
      <c r="AP15" s="1">
        <v>0</v>
      </c>
      <c r="AQ15" s="24">
        <f t="shared" si="2"/>
        <v>0</v>
      </c>
    </row>
    <row r="16" spans="1:43" ht="17.25" customHeight="1" x14ac:dyDescent="0.45">
      <c r="A16" s="12" t="s">
        <v>74</v>
      </c>
      <c r="B16" s="12" t="s">
        <v>75</v>
      </c>
      <c r="C16" s="12" t="s">
        <v>10</v>
      </c>
      <c r="D16" s="12" t="s">
        <v>66</v>
      </c>
      <c r="E16" s="25">
        <v>26</v>
      </c>
      <c r="F16" s="10">
        <v>26</v>
      </c>
      <c r="G16" s="10">
        <v>26</v>
      </c>
      <c r="H16" s="10">
        <v>12</v>
      </c>
      <c r="I16" s="10">
        <v>10</v>
      </c>
      <c r="J16" s="10">
        <v>9</v>
      </c>
      <c r="K16" s="10">
        <v>9</v>
      </c>
      <c r="L16" s="10">
        <v>9</v>
      </c>
      <c r="M16" s="10">
        <v>9</v>
      </c>
      <c r="N16" s="10">
        <v>10</v>
      </c>
      <c r="O16" s="10">
        <v>21</v>
      </c>
      <c r="P16" s="10">
        <v>19</v>
      </c>
      <c r="Q16" s="26">
        <f t="shared" si="0"/>
        <v>186</v>
      </c>
      <c r="R16" s="25">
        <v>6135</v>
      </c>
      <c r="S16" s="10">
        <v>6129</v>
      </c>
      <c r="T16" s="10">
        <v>5467</v>
      </c>
      <c r="U16" s="10">
        <v>1873</v>
      </c>
      <c r="V16" s="10">
        <v>1450</v>
      </c>
      <c r="W16" s="10">
        <v>1812</v>
      </c>
      <c r="X16" s="10">
        <v>2016</v>
      </c>
      <c r="Y16" s="10">
        <v>2216</v>
      </c>
      <c r="Z16" s="10">
        <v>1695</v>
      </c>
      <c r="AA16" s="10">
        <v>2611</v>
      </c>
      <c r="AB16" s="10">
        <v>5272</v>
      </c>
      <c r="AC16" s="10">
        <v>4747</v>
      </c>
      <c r="AD16" s="26">
        <f t="shared" si="1"/>
        <v>41423</v>
      </c>
      <c r="AE16" s="25">
        <v>49241</v>
      </c>
      <c r="AF16" s="10">
        <v>59483</v>
      </c>
      <c r="AG16" s="10">
        <v>100594</v>
      </c>
      <c r="AH16" s="10">
        <v>0</v>
      </c>
      <c r="AI16" s="10">
        <v>0</v>
      </c>
      <c r="AJ16" s="10">
        <v>0</v>
      </c>
      <c r="AK16" s="10">
        <v>0</v>
      </c>
      <c r="AL16" s="10">
        <v>0</v>
      </c>
      <c r="AM16" s="10">
        <v>0</v>
      </c>
      <c r="AN16" s="10">
        <v>12768</v>
      </c>
      <c r="AO16" s="10">
        <v>90201</v>
      </c>
      <c r="AP16" s="10">
        <v>45811</v>
      </c>
      <c r="AQ16" s="26">
        <f t="shared" si="2"/>
        <v>358098</v>
      </c>
    </row>
    <row r="17" spans="1:43" ht="17.25" customHeight="1" x14ac:dyDescent="0.45">
      <c r="A17" s="2" t="s">
        <v>74</v>
      </c>
      <c r="B17" s="2" t="s">
        <v>75</v>
      </c>
      <c r="C17" s="2" t="s">
        <v>12</v>
      </c>
      <c r="D17" s="2" t="s">
        <v>66</v>
      </c>
      <c r="E17" s="23">
        <v>62</v>
      </c>
      <c r="F17" s="1">
        <v>57</v>
      </c>
      <c r="G17" s="1">
        <v>61</v>
      </c>
      <c r="H17" s="1">
        <v>59</v>
      </c>
      <c r="I17" s="1">
        <v>62</v>
      </c>
      <c r="J17" s="1">
        <v>60</v>
      </c>
      <c r="K17" s="1">
        <v>60</v>
      </c>
      <c r="L17" s="1">
        <v>60</v>
      </c>
      <c r="M17" s="1">
        <v>59</v>
      </c>
      <c r="N17" s="1">
        <v>62</v>
      </c>
      <c r="O17" s="1">
        <v>59</v>
      </c>
      <c r="P17" s="1">
        <v>66</v>
      </c>
      <c r="Q17" s="24">
        <f t="shared" si="0"/>
        <v>727</v>
      </c>
      <c r="R17" s="23">
        <v>14035</v>
      </c>
      <c r="S17" s="1">
        <v>12965</v>
      </c>
      <c r="T17" s="1">
        <v>14299</v>
      </c>
      <c r="U17" s="1">
        <v>15229</v>
      </c>
      <c r="V17" s="1">
        <v>15076</v>
      </c>
      <c r="W17" s="1">
        <v>14682</v>
      </c>
      <c r="X17" s="1">
        <v>15293</v>
      </c>
      <c r="Y17" s="1">
        <v>15069</v>
      </c>
      <c r="Z17" s="1">
        <v>15259</v>
      </c>
      <c r="AA17" s="1">
        <v>16496</v>
      </c>
      <c r="AB17" s="1">
        <v>14590</v>
      </c>
      <c r="AC17" s="1">
        <v>16200</v>
      </c>
      <c r="AD17" s="24">
        <f t="shared" si="1"/>
        <v>179193</v>
      </c>
      <c r="AE17" s="23">
        <v>688104</v>
      </c>
      <c r="AF17" s="1">
        <v>788615</v>
      </c>
      <c r="AG17" s="1">
        <v>784171</v>
      </c>
      <c r="AH17" s="1">
        <v>779446</v>
      </c>
      <c r="AI17" s="1">
        <v>750956</v>
      </c>
      <c r="AJ17" s="1">
        <v>862548</v>
      </c>
      <c r="AK17" s="1">
        <v>772851</v>
      </c>
      <c r="AL17" s="1">
        <v>792524</v>
      </c>
      <c r="AM17" s="1">
        <v>862548</v>
      </c>
      <c r="AN17" s="1">
        <v>908207</v>
      </c>
      <c r="AO17" s="1">
        <v>849529</v>
      </c>
      <c r="AP17" s="1">
        <v>719120</v>
      </c>
      <c r="AQ17" s="24">
        <f t="shared" si="2"/>
        <v>9558619</v>
      </c>
    </row>
    <row r="18" spans="1:43" ht="17.25" customHeight="1" x14ac:dyDescent="0.45">
      <c r="A18" s="12" t="s">
        <v>74</v>
      </c>
      <c r="B18" s="12" t="s">
        <v>75</v>
      </c>
      <c r="C18" s="12" t="s">
        <v>14</v>
      </c>
      <c r="D18" s="12" t="s">
        <v>66</v>
      </c>
      <c r="E18" s="25">
        <v>3</v>
      </c>
      <c r="F18" s="10">
        <v>2</v>
      </c>
      <c r="G18" s="10">
        <v>1</v>
      </c>
      <c r="H18" s="10">
        <v>0</v>
      </c>
      <c r="I18" s="10">
        <v>0</v>
      </c>
      <c r="J18" s="10">
        <v>0</v>
      </c>
      <c r="K18" s="10">
        <v>0</v>
      </c>
      <c r="L18" s="10">
        <v>0</v>
      </c>
      <c r="M18" s="10">
        <v>0</v>
      </c>
      <c r="N18" s="10">
        <v>0</v>
      </c>
      <c r="O18" s="10">
        <v>0</v>
      </c>
      <c r="P18" s="10">
        <v>0</v>
      </c>
      <c r="Q18" s="26">
        <f t="shared" si="0"/>
        <v>6</v>
      </c>
      <c r="R18" s="25">
        <v>0</v>
      </c>
      <c r="S18" s="10">
        <v>0</v>
      </c>
      <c r="T18" s="10">
        <v>0</v>
      </c>
      <c r="U18" s="10">
        <v>0</v>
      </c>
      <c r="V18" s="10">
        <v>0</v>
      </c>
      <c r="W18" s="10">
        <v>0</v>
      </c>
      <c r="X18" s="10">
        <v>0</v>
      </c>
      <c r="Y18" s="10">
        <v>0</v>
      </c>
      <c r="Z18" s="10">
        <v>0</v>
      </c>
      <c r="AA18" s="10">
        <v>0</v>
      </c>
      <c r="AB18" s="10">
        <v>0</v>
      </c>
      <c r="AC18" s="10">
        <v>0</v>
      </c>
      <c r="AD18" s="26">
        <f t="shared" si="1"/>
        <v>0</v>
      </c>
      <c r="AE18" s="25">
        <v>32704.58</v>
      </c>
      <c r="AF18" s="10">
        <v>37340</v>
      </c>
      <c r="AG18" s="10">
        <v>16049.3</v>
      </c>
      <c r="AH18" s="10">
        <v>0</v>
      </c>
      <c r="AI18" s="10">
        <v>0</v>
      </c>
      <c r="AJ18" s="10">
        <v>0</v>
      </c>
      <c r="AK18" s="10">
        <v>0</v>
      </c>
      <c r="AL18" s="10">
        <v>0</v>
      </c>
      <c r="AM18" s="10">
        <v>0</v>
      </c>
      <c r="AN18" s="10">
        <v>0</v>
      </c>
      <c r="AO18" s="10">
        <v>0</v>
      </c>
      <c r="AP18" s="10">
        <v>0</v>
      </c>
      <c r="AQ18" s="26">
        <f t="shared" si="2"/>
        <v>86093.88</v>
      </c>
    </row>
    <row r="19" spans="1:43" ht="17.25" customHeight="1" x14ac:dyDescent="0.45">
      <c r="A19" s="2" t="s">
        <v>76</v>
      </c>
      <c r="B19" s="2" t="s">
        <v>68</v>
      </c>
      <c r="C19" s="2" t="s">
        <v>14</v>
      </c>
      <c r="D19" s="2" t="s">
        <v>66</v>
      </c>
      <c r="E19" s="23">
        <v>0</v>
      </c>
      <c r="F19" s="1">
        <v>0</v>
      </c>
      <c r="G19" s="1">
        <v>0</v>
      </c>
      <c r="H19" s="1">
        <v>0</v>
      </c>
      <c r="I19" s="1">
        <v>0</v>
      </c>
      <c r="J19" s="1">
        <v>0</v>
      </c>
      <c r="K19" s="1">
        <v>0</v>
      </c>
      <c r="L19" s="1">
        <v>0</v>
      </c>
      <c r="M19" s="1">
        <v>0</v>
      </c>
      <c r="N19" s="1">
        <v>0</v>
      </c>
      <c r="O19" s="1">
        <v>0</v>
      </c>
      <c r="P19" s="1">
        <v>2</v>
      </c>
      <c r="Q19" s="24">
        <f t="shared" si="0"/>
        <v>2</v>
      </c>
      <c r="R19" s="23">
        <v>0</v>
      </c>
      <c r="S19" s="1">
        <v>0</v>
      </c>
      <c r="T19" s="1">
        <v>0</v>
      </c>
      <c r="U19" s="1">
        <v>0</v>
      </c>
      <c r="V19" s="1">
        <v>0</v>
      </c>
      <c r="W19" s="1">
        <v>0</v>
      </c>
      <c r="X19" s="1">
        <v>0</v>
      </c>
      <c r="Y19" s="1">
        <v>0</v>
      </c>
      <c r="Z19" s="1">
        <v>0</v>
      </c>
      <c r="AA19" s="1">
        <v>0</v>
      </c>
      <c r="AB19" s="1">
        <v>0</v>
      </c>
      <c r="AC19" s="1">
        <v>0</v>
      </c>
      <c r="AD19" s="24">
        <f t="shared" si="1"/>
        <v>0</v>
      </c>
      <c r="AE19" s="23">
        <v>0</v>
      </c>
      <c r="AF19" s="1">
        <v>0</v>
      </c>
      <c r="AG19" s="1">
        <v>0</v>
      </c>
      <c r="AH19" s="1">
        <v>0</v>
      </c>
      <c r="AI19" s="1">
        <v>0</v>
      </c>
      <c r="AJ19" s="1">
        <v>0</v>
      </c>
      <c r="AK19" s="1">
        <v>0</v>
      </c>
      <c r="AL19" s="1">
        <v>0</v>
      </c>
      <c r="AM19" s="1">
        <v>0</v>
      </c>
      <c r="AN19" s="1">
        <v>0</v>
      </c>
      <c r="AO19" s="1">
        <v>0</v>
      </c>
      <c r="AP19" s="1">
        <v>225578</v>
      </c>
      <c r="AQ19" s="24">
        <f t="shared" si="2"/>
        <v>225578</v>
      </c>
    </row>
    <row r="20" spans="1:43" ht="17.25" customHeight="1" x14ac:dyDescent="0.45">
      <c r="A20" s="12" t="s">
        <v>77</v>
      </c>
      <c r="B20" s="12" t="s">
        <v>68</v>
      </c>
      <c r="C20" s="12" t="s">
        <v>10</v>
      </c>
      <c r="D20" s="12" t="s">
        <v>66</v>
      </c>
      <c r="E20" s="25">
        <v>256</v>
      </c>
      <c r="F20" s="10">
        <v>236</v>
      </c>
      <c r="G20" s="10">
        <v>278</v>
      </c>
      <c r="H20" s="10">
        <v>235</v>
      </c>
      <c r="I20" s="10">
        <v>219</v>
      </c>
      <c r="J20" s="10">
        <v>210</v>
      </c>
      <c r="K20" s="10">
        <v>209</v>
      </c>
      <c r="L20" s="10">
        <v>167</v>
      </c>
      <c r="M20" s="10">
        <v>130</v>
      </c>
      <c r="N20" s="10">
        <v>146</v>
      </c>
      <c r="O20" s="10">
        <v>168</v>
      </c>
      <c r="P20" s="10">
        <v>208</v>
      </c>
      <c r="Q20" s="26">
        <f t="shared" si="0"/>
        <v>2462</v>
      </c>
      <c r="R20" s="25">
        <v>33682</v>
      </c>
      <c r="S20" s="10">
        <v>36726</v>
      </c>
      <c r="T20" s="10">
        <v>47113</v>
      </c>
      <c r="U20" s="10">
        <v>35045</v>
      </c>
      <c r="V20" s="10">
        <v>36004</v>
      </c>
      <c r="W20" s="10">
        <v>36441</v>
      </c>
      <c r="X20" s="10">
        <v>34334</v>
      </c>
      <c r="Y20" s="10">
        <v>28103</v>
      </c>
      <c r="Z20" s="10">
        <v>20933</v>
      </c>
      <c r="AA20" s="10">
        <v>24682</v>
      </c>
      <c r="AB20" s="10">
        <v>28142</v>
      </c>
      <c r="AC20" s="10">
        <v>36040</v>
      </c>
      <c r="AD20" s="26">
        <f t="shared" si="1"/>
        <v>397245</v>
      </c>
      <c r="AE20" s="25">
        <v>1257</v>
      </c>
      <c r="AF20" s="10">
        <v>887</v>
      </c>
      <c r="AG20" s="10">
        <v>3</v>
      </c>
      <c r="AH20" s="10">
        <v>65</v>
      </c>
      <c r="AI20" s="10">
        <v>3892</v>
      </c>
      <c r="AJ20" s="10">
        <v>3132</v>
      </c>
      <c r="AK20" s="10">
        <v>695</v>
      </c>
      <c r="AL20" s="10">
        <v>0</v>
      </c>
      <c r="AM20" s="10">
        <v>1287</v>
      </c>
      <c r="AN20" s="10">
        <v>120</v>
      </c>
      <c r="AO20" s="10">
        <v>549</v>
      </c>
      <c r="AP20" s="10">
        <v>1528</v>
      </c>
      <c r="AQ20" s="26">
        <f t="shared" si="2"/>
        <v>13415</v>
      </c>
    </row>
    <row r="21" spans="1:43" ht="17.25" customHeight="1" x14ac:dyDescent="0.45">
      <c r="A21" s="2" t="s">
        <v>77</v>
      </c>
      <c r="B21" s="2" t="s">
        <v>68</v>
      </c>
      <c r="C21" s="2" t="s">
        <v>46</v>
      </c>
      <c r="D21" s="2" t="s">
        <v>66</v>
      </c>
      <c r="E21" s="23">
        <v>31</v>
      </c>
      <c r="F21" s="1">
        <v>29</v>
      </c>
      <c r="G21" s="1">
        <v>31</v>
      </c>
      <c r="H21" s="1">
        <v>30</v>
      </c>
      <c r="I21" s="1">
        <v>9</v>
      </c>
      <c r="J21" s="1">
        <v>1</v>
      </c>
      <c r="K21" s="1">
        <v>0</v>
      </c>
      <c r="L21" s="1">
        <v>0</v>
      </c>
      <c r="M21" s="1">
        <v>0</v>
      </c>
      <c r="N21" s="1">
        <v>0</v>
      </c>
      <c r="O21" s="1">
        <v>0</v>
      </c>
      <c r="P21" s="1">
        <v>13</v>
      </c>
      <c r="Q21" s="24">
        <f t="shared" si="0"/>
        <v>144</v>
      </c>
      <c r="R21" s="23">
        <v>3511</v>
      </c>
      <c r="S21" s="1">
        <v>3879</v>
      </c>
      <c r="T21" s="1">
        <v>4420</v>
      </c>
      <c r="U21" s="1">
        <v>3895</v>
      </c>
      <c r="V21" s="1">
        <v>1114</v>
      </c>
      <c r="W21" s="1">
        <v>155</v>
      </c>
      <c r="X21" s="1">
        <v>0</v>
      </c>
      <c r="Y21" s="1">
        <v>0</v>
      </c>
      <c r="Z21" s="1">
        <v>0</v>
      </c>
      <c r="AA21" s="1">
        <v>0</v>
      </c>
      <c r="AB21" s="1">
        <v>0</v>
      </c>
      <c r="AC21" s="1">
        <v>1909</v>
      </c>
      <c r="AD21" s="24">
        <f t="shared" si="1"/>
        <v>18883</v>
      </c>
      <c r="AE21" s="23">
        <v>0</v>
      </c>
      <c r="AF21" s="1">
        <v>0</v>
      </c>
      <c r="AG21" s="1">
        <v>0</v>
      </c>
      <c r="AH21" s="1">
        <v>0</v>
      </c>
      <c r="AI21" s="1">
        <v>0</v>
      </c>
      <c r="AJ21" s="1">
        <v>0</v>
      </c>
      <c r="AK21" s="1">
        <v>0</v>
      </c>
      <c r="AL21" s="1">
        <v>0</v>
      </c>
      <c r="AM21" s="1">
        <v>0</v>
      </c>
      <c r="AN21" s="1">
        <v>0</v>
      </c>
      <c r="AO21" s="1">
        <v>0</v>
      </c>
      <c r="AP21" s="1">
        <v>0</v>
      </c>
      <c r="AQ21" s="24">
        <f t="shared" si="2"/>
        <v>0</v>
      </c>
    </row>
    <row r="22" spans="1:43" ht="17.25" customHeight="1" x14ac:dyDescent="0.45">
      <c r="A22" s="12" t="s">
        <v>77</v>
      </c>
      <c r="B22" s="12" t="s">
        <v>68</v>
      </c>
      <c r="C22" s="12" t="s">
        <v>22</v>
      </c>
      <c r="D22" s="12" t="s">
        <v>66</v>
      </c>
      <c r="E22" s="25">
        <v>0</v>
      </c>
      <c r="F22" s="10">
        <v>0</v>
      </c>
      <c r="G22" s="10">
        <v>18</v>
      </c>
      <c r="H22" s="10">
        <v>30</v>
      </c>
      <c r="I22" s="10">
        <v>31</v>
      </c>
      <c r="J22" s="10">
        <v>30</v>
      </c>
      <c r="K22" s="10">
        <v>31</v>
      </c>
      <c r="L22" s="10">
        <v>29</v>
      </c>
      <c r="M22" s="10">
        <v>25</v>
      </c>
      <c r="N22" s="10">
        <v>27</v>
      </c>
      <c r="O22" s="10">
        <v>30</v>
      </c>
      <c r="P22" s="10">
        <v>31</v>
      </c>
      <c r="Q22" s="26">
        <f t="shared" si="0"/>
        <v>282</v>
      </c>
      <c r="R22" s="25">
        <v>0</v>
      </c>
      <c r="S22" s="10">
        <v>0</v>
      </c>
      <c r="T22" s="10">
        <v>1408</v>
      </c>
      <c r="U22" s="10">
        <v>2125</v>
      </c>
      <c r="V22" s="10">
        <v>2645</v>
      </c>
      <c r="W22" s="10">
        <v>2720</v>
      </c>
      <c r="X22" s="10">
        <v>2645</v>
      </c>
      <c r="Y22" s="10">
        <v>2079</v>
      </c>
      <c r="Z22" s="10">
        <v>1827</v>
      </c>
      <c r="AA22" s="10">
        <v>2200</v>
      </c>
      <c r="AB22" s="10">
        <v>2567</v>
      </c>
      <c r="AC22" s="10">
        <v>2910</v>
      </c>
      <c r="AD22" s="26">
        <f t="shared" si="1"/>
        <v>23126</v>
      </c>
      <c r="AE22" s="25">
        <v>0</v>
      </c>
      <c r="AF22" s="10">
        <v>0</v>
      </c>
      <c r="AG22" s="10">
        <v>0</v>
      </c>
      <c r="AH22" s="10">
        <v>0</v>
      </c>
      <c r="AI22" s="10">
        <v>0</v>
      </c>
      <c r="AJ22" s="10">
        <v>0</v>
      </c>
      <c r="AK22" s="10">
        <v>0</v>
      </c>
      <c r="AL22" s="10">
        <v>0</v>
      </c>
      <c r="AM22" s="10">
        <v>0</v>
      </c>
      <c r="AN22" s="10">
        <v>0</v>
      </c>
      <c r="AO22" s="10">
        <v>0</v>
      </c>
      <c r="AP22" s="10">
        <v>0</v>
      </c>
      <c r="AQ22" s="26">
        <f t="shared" si="2"/>
        <v>0</v>
      </c>
    </row>
    <row r="23" spans="1:43" ht="17.25" customHeight="1" x14ac:dyDescent="0.45">
      <c r="A23" s="2" t="s">
        <v>77</v>
      </c>
      <c r="B23" s="2" t="s">
        <v>68</v>
      </c>
      <c r="C23" s="2" t="s">
        <v>11</v>
      </c>
      <c r="D23" s="2" t="s">
        <v>66</v>
      </c>
      <c r="E23" s="23">
        <v>51</v>
      </c>
      <c r="F23" s="1">
        <v>58</v>
      </c>
      <c r="G23" s="1">
        <v>62</v>
      </c>
      <c r="H23" s="1">
        <v>59</v>
      </c>
      <c r="I23" s="1">
        <v>62</v>
      </c>
      <c r="J23" s="1">
        <v>60</v>
      </c>
      <c r="K23" s="1">
        <v>62</v>
      </c>
      <c r="L23" s="1">
        <v>54</v>
      </c>
      <c r="M23" s="1">
        <v>31</v>
      </c>
      <c r="N23" s="1">
        <v>36</v>
      </c>
      <c r="O23" s="1">
        <v>54</v>
      </c>
      <c r="P23" s="1">
        <v>58</v>
      </c>
      <c r="Q23" s="24">
        <f t="shared" si="0"/>
        <v>647</v>
      </c>
      <c r="R23" s="23">
        <v>5649</v>
      </c>
      <c r="S23" s="1">
        <v>5053</v>
      </c>
      <c r="T23" s="1">
        <v>6298</v>
      </c>
      <c r="U23" s="1">
        <v>5975</v>
      </c>
      <c r="V23" s="1">
        <v>7099</v>
      </c>
      <c r="W23" s="1">
        <v>7142</v>
      </c>
      <c r="X23" s="1">
        <v>6909</v>
      </c>
      <c r="Y23" s="1">
        <v>6045</v>
      </c>
      <c r="Z23" s="1">
        <v>4383</v>
      </c>
      <c r="AA23" s="1">
        <v>5112</v>
      </c>
      <c r="AB23" s="1">
        <v>6353</v>
      </c>
      <c r="AC23" s="1">
        <v>7499</v>
      </c>
      <c r="AD23" s="24">
        <f t="shared" si="1"/>
        <v>73517</v>
      </c>
      <c r="AE23" s="23">
        <v>8683</v>
      </c>
      <c r="AF23" s="1">
        <v>11718</v>
      </c>
      <c r="AG23" s="1">
        <v>9601</v>
      </c>
      <c r="AH23" s="1">
        <v>5583</v>
      </c>
      <c r="AI23" s="1">
        <v>10697</v>
      </c>
      <c r="AJ23" s="1">
        <v>9339</v>
      </c>
      <c r="AK23" s="1">
        <v>10186</v>
      </c>
      <c r="AL23" s="1">
        <v>6245</v>
      </c>
      <c r="AM23" s="1">
        <v>9396</v>
      </c>
      <c r="AN23" s="1">
        <v>10684</v>
      </c>
      <c r="AO23" s="1">
        <v>8303</v>
      </c>
      <c r="AP23" s="1">
        <v>8210</v>
      </c>
      <c r="AQ23" s="24">
        <f t="shared" si="2"/>
        <v>108645</v>
      </c>
    </row>
    <row r="24" spans="1:43" ht="17.25" customHeight="1" x14ac:dyDescent="0.45">
      <c r="A24" s="12" t="s">
        <v>77</v>
      </c>
      <c r="B24" s="12" t="s">
        <v>68</v>
      </c>
      <c r="C24" s="12" t="s">
        <v>56</v>
      </c>
      <c r="D24" s="12" t="s">
        <v>66</v>
      </c>
      <c r="E24" s="25">
        <v>0</v>
      </c>
      <c r="F24" s="10">
        <v>0</v>
      </c>
      <c r="G24" s="10">
        <v>0</v>
      </c>
      <c r="H24" s="10">
        <v>0</v>
      </c>
      <c r="I24" s="10">
        <v>0</v>
      </c>
      <c r="J24" s="10">
        <v>0</v>
      </c>
      <c r="K24" s="10">
        <v>0</v>
      </c>
      <c r="L24" s="10">
        <v>0</v>
      </c>
      <c r="M24" s="10">
        <v>0</v>
      </c>
      <c r="N24" s="10">
        <v>0</v>
      </c>
      <c r="O24" s="10">
        <v>5</v>
      </c>
      <c r="P24" s="10">
        <v>4</v>
      </c>
      <c r="Q24" s="26">
        <f t="shared" si="0"/>
        <v>9</v>
      </c>
      <c r="R24" s="25">
        <v>0</v>
      </c>
      <c r="S24" s="10">
        <v>0</v>
      </c>
      <c r="T24" s="10">
        <v>0</v>
      </c>
      <c r="U24" s="10">
        <v>0</v>
      </c>
      <c r="V24" s="10">
        <v>0</v>
      </c>
      <c r="W24" s="10">
        <v>0</v>
      </c>
      <c r="X24" s="10">
        <v>0</v>
      </c>
      <c r="Y24" s="10">
        <v>0</v>
      </c>
      <c r="Z24" s="10">
        <v>0</v>
      </c>
      <c r="AA24" s="10">
        <v>0</v>
      </c>
      <c r="AB24" s="10">
        <v>190</v>
      </c>
      <c r="AC24" s="10">
        <v>336</v>
      </c>
      <c r="AD24" s="26">
        <f t="shared" si="1"/>
        <v>526</v>
      </c>
      <c r="AE24" s="25">
        <v>0</v>
      </c>
      <c r="AF24" s="10">
        <v>0</v>
      </c>
      <c r="AG24" s="10">
        <v>0</v>
      </c>
      <c r="AH24" s="10">
        <v>0</v>
      </c>
      <c r="AI24" s="10">
        <v>0</v>
      </c>
      <c r="AJ24" s="10">
        <v>0</v>
      </c>
      <c r="AK24" s="10">
        <v>0</v>
      </c>
      <c r="AL24" s="10">
        <v>0</v>
      </c>
      <c r="AM24" s="10">
        <v>0</v>
      </c>
      <c r="AN24" s="10">
        <v>0</v>
      </c>
      <c r="AO24" s="10">
        <v>0</v>
      </c>
      <c r="AP24" s="10">
        <v>0</v>
      </c>
      <c r="AQ24" s="26">
        <f t="shared" si="2"/>
        <v>0</v>
      </c>
    </row>
    <row r="25" spans="1:43" ht="17.25" customHeight="1" x14ac:dyDescent="0.45">
      <c r="A25" s="2" t="s">
        <v>77</v>
      </c>
      <c r="B25" s="2" t="s">
        <v>68</v>
      </c>
      <c r="C25" s="2" t="s">
        <v>23</v>
      </c>
      <c r="D25" s="2" t="s">
        <v>66</v>
      </c>
      <c r="E25" s="23">
        <v>0</v>
      </c>
      <c r="F25" s="1">
        <v>0</v>
      </c>
      <c r="G25" s="1">
        <v>16</v>
      </c>
      <c r="H25" s="1">
        <v>26</v>
      </c>
      <c r="I25" s="1">
        <v>21</v>
      </c>
      <c r="J25" s="1">
        <v>26</v>
      </c>
      <c r="K25" s="1">
        <v>0</v>
      </c>
      <c r="L25" s="1">
        <v>0</v>
      </c>
      <c r="M25" s="1">
        <v>0</v>
      </c>
      <c r="N25" s="1">
        <v>0</v>
      </c>
      <c r="O25" s="1">
        <v>0</v>
      </c>
      <c r="P25" s="1">
        <v>0</v>
      </c>
      <c r="Q25" s="24">
        <f t="shared" si="0"/>
        <v>89</v>
      </c>
      <c r="R25" s="23">
        <v>0</v>
      </c>
      <c r="S25" s="1">
        <v>0</v>
      </c>
      <c r="T25" s="1">
        <v>1109</v>
      </c>
      <c r="U25" s="1">
        <v>1599</v>
      </c>
      <c r="V25" s="1">
        <v>1455</v>
      </c>
      <c r="W25" s="1">
        <v>2082</v>
      </c>
      <c r="X25" s="1">
        <v>0</v>
      </c>
      <c r="Y25" s="1">
        <v>0</v>
      </c>
      <c r="Z25" s="1">
        <v>0</v>
      </c>
      <c r="AA25" s="1">
        <v>0</v>
      </c>
      <c r="AB25" s="1">
        <v>0</v>
      </c>
      <c r="AC25" s="1">
        <v>0</v>
      </c>
      <c r="AD25" s="24">
        <f t="shared" si="1"/>
        <v>6245</v>
      </c>
      <c r="AE25" s="23">
        <v>0</v>
      </c>
      <c r="AF25" s="1">
        <v>0</v>
      </c>
      <c r="AG25" s="1">
        <v>0</v>
      </c>
      <c r="AH25" s="1">
        <v>0</v>
      </c>
      <c r="AI25" s="1">
        <v>0</v>
      </c>
      <c r="AJ25" s="1">
        <v>0</v>
      </c>
      <c r="AK25" s="1">
        <v>0</v>
      </c>
      <c r="AL25" s="1">
        <v>0</v>
      </c>
      <c r="AM25" s="1">
        <v>0</v>
      </c>
      <c r="AN25" s="1">
        <v>0</v>
      </c>
      <c r="AO25" s="1">
        <v>0</v>
      </c>
      <c r="AP25" s="1">
        <v>0</v>
      </c>
      <c r="AQ25" s="24">
        <f t="shared" si="2"/>
        <v>0</v>
      </c>
    </row>
    <row r="26" spans="1:43" ht="17.25" customHeight="1" x14ac:dyDescent="0.45">
      <c r="A26" s="12" t="s">
        <v>77</v>
      </c>
      <c r="B26" s="12" t="s">
        <v>68</v>
      </c>
      <c r="C26" s="12" t="s">
        <v>12</v>
      </c>
      <c r="D26" s="12" t="s">
        <v>66</v>
      </c>
      <c r="E26" s="25">
        <v>144</v>
      </c>
      <c r="F26" s="10">
        <v>133</v>
      </c>
      <c r="G26" s="10">
        <v>151</v>
      </c>
      <c r="H26" s="10">
        <v>150</v>
      </c>
      <c r="I26" s="10">
        <v>155</v>
      </c>
      <c r="J26" s="10">
        <v>150</v>
      </c>
      <c r="K26" s="10">
        <v>150</v>
      </c>
      <c r="L26" s="10">
        <v>155</v>
      </c>
      <c r="M26" s="10">
        <v>148</v>
      </c>
      <c r="N26" s="10">
        <v>155</v>
      </c>
      <c r="O26" s="10">
        <v>150</v>
      </c>
      <c r="P26" s="10">
        <v>153</v>
      </c>
      <c r="Q26" s="26">
        <f t="shared" si="0"/>
        <v>1794</v>
      </c>
      <c r="R26" s="25">
        <v>20811</v>
      </c>
      <c r="S26" s="10">
        <v>19342</v>
      </c>
      <c r="T26" s="10">
        <v>21753</v>
      </c>
      <c r="U26" s="10">
        <v>20866</v>
      </c>
      <c r="V26" s="10">
        <v>24024</v>
      </c>
      <c r="W26" s="10">
        <v>22108</v>
      </c>
      <c r="X26" s="10">
        <v>21271</v>
      </c>
      <c r="Y26" s="10">
        <v>22337</v>
      </c>
      <c r="Z26" s="10">
        <v>19605</v>
      </c>
      <c r="AA26" s="10">
        <v>23314</v>
      </c>
      <c r="AB26" s="10">
        <v>21281</v>
      </c>
      <c r="AC26" s="10">
        <v>23139</v>
      </c>
      <c r="AD26" s="26">
        <f t="shared" si="1"/>
        <v>259851</v>
      </c>
      <c r="AE26" s="25">
        <v>15873</v>
      </c>
      <c r="AF26" s="10">
        <v>18885</v>
      </c>
      <c r="AG26" s="10">
        <v>25822</v>
      </c>
      <c r="AH26" s="10">
        <v>21984</v>
      </c>
      <c r="AI26" s="10">
        <v>21569</v>
      </c>
      <c r="AJ26" s="10">
        <v>21419</v>
      </c>
      <c r="AK26" s="10">
        <v>14101</v>
      </c>
      <c r="AL26" s="10">
        <v>58622</v>
      </c>
      <c r="AM26" s="10">
        <v>37500</v>
      </c>
      <c r="AN26" s="10">
        <v>21723</v>
      </c>
      <c r="AO26" s="10">
        <v>13368</v>
      </c>
      <c r="AP26" s="10">
        <v>16176</v>
      </c>
      <c r="AQ26" s="26">
        <f t="shared" si="2"/>
        <v>287042</v>
      </c>
    </row>
    <row r="27" spans="1:43" ht="17.25" customHeight="1" x14ac:dyDescent="0.45">
      <c r="A27" s="2" t="s">
        <v>77</v>
      </c>
      <c r="B27" s="2" t="s">
        <v>68</v>
      </c>
      <c r="C27" s="2" t="s">
        <v>13</v>
      </c>
      <c r="D27" s="2" t="s">
        <v>66</v>
      </c>
      <c r="E27" s="23">
        <v>50</v>
      </c>
      <c r="F27" s="1">
        <v>58</v>
      </c>
      <c r="G27" s="1">
        <v>61</v>
      </c>
      <c r="H27" s="1">
        <v>60</v>
      </c>
      <c r="I27" s="1">
        <v>62</v>
      </c>
      <c r="J27" s="1">
        <v>60</v>
      </c>
      <c r="K27" s="1">
        <v>62</v>
      </c>
      <c r="L27" s="1">
        <v>62</v>
      </c>
      <c r="M27" s="1">
        <v>48</v>
      </c>
      <c r="N27" s="1">
        <v>50</v>
      </c>
      <c r="O27" s="1">
        <v>58</v>
      </c>
      <c r="P27" s="1">
        <v>59</v>
      </c>
      <c r="Q27" s="24">
        <f t="shared" si="0"/>
        <v>690</v>
      </c>
      <c r="R27" s="23">
        <v>4537</v>
      </c>
      <c r="S27" s="1">
        <v>4486</v>
      </c>
      <c r="T27" s="1">
        <v>5914</v>
      </c>
      <c r="U27" s="1">
        <v>5841</v>
      </c>
      <c r="V27" s="1">
        <v>6042</v>
      </c>
      <c r="W27" s="1">
        <v>6067</v>
      </c>
      <c r="X27" s="1">
        <v>6038</v>
      </c>
      <c r="Y27" s="1">
        <v>6163</v>
      </c>
      <c r="Z27" s="1">
        <v>4730</v>
      </c>
      <c r="AA27" s="1">
        <v>5571</v>
      </c>
      <c r="AB27" s="1">
        <v>5425</v>
      </c>
      <c r="AC27" s="1">
        <v>6032</v>
      </c>
      <c r="AD27" s="24">
        <f t="shared" si="1"/>
        <v>66846</v>
      </c>
      <c r="AE27" s="23">
        <v>0</v>
      </c>
      <c r="AF27" s="1">
        <v>0</v>
      </c>
      <c r="AG27" s="1">
        <v>0</v>
      </c>
      <c r="AH27" s="1">
        <v>0</v>
      </c>
      <c r="AI27" s="1">
        <v>0</v>
      </c>
      <c r="AJ27" s="1">
        <v>0</v>
      </c>
      <c r="AK27" s="1">
        <v>0</v>
      </c>
      <c r="AL27" s="1">
        <v>0</v>
      </c>
      <c r="AM27" s="1">
        <v>0</v>
      </c>
      <c r="AN27" s="1">
        <v>0</v>
      </c>
      <c r="AO27" s="1">
        <v>0</v>
      </c>
      <c r="AP27" s="1">
        <v>0</v>
      </c>
      <c r="AQ27" s="24">
        <f t="shared" si="2"/>
        <v>0</v>
      </c>
    </row>
    <row r="28" spans="1:43" ht="17.25" customHeight="1" x14ac:dyDescent="0.45">
      <c r="A28" s="12" t="s">
        <v>77</v>
      </c>
      <c r="B28" s="12" t="s">
        <v>68</v>
      </c>
      <c r="C28" s="12" t="s">
        <v>17</v>
      </c>
      <c r="D28" s="12" t="s">
        <v>66</v>
      </c>
      <c r="E28" s="25">
        <v>53</v>
      </c>
      <c r="F28" s="10">
        <v>44</v>
      </c>
      <c r="G28" s="10">
        <v>54</v>
      </c>
      <c r="H28" s="10">
        <v>41</v>
      </c>
      <c r="I28" s="10">
        <v>32</v>
      </c>
      <c r="J28" s="10">
        <v>30</v>
      </c>
      <c r="K28" s="10">
        <v>31</v>
      </c>
      <c r="L28" s="10">
        <v>24</v>
      </c>
      <c r="M28" s="10">
        <v>21</v>
      </c>
      <c r="N28" s="10">
        <v>22</v>
      </c>
      <c r="O28" s="10">
        <v>28</v>
      </c>
      <c r="P28" s="10">
        <v>33</v>
      </c>
      <c r="Q28" s="26">
        <f t="shared" si="0"/>
        <v>413</v>
      </c>
      <c r="R28" s="25">
        <v>7492</v>
      </c>
      <c r="S28" s="10">
        <v>6863</v>
      </c>
      <c r="T28" s="10">
        <v>8258</v>
      </c>
      <c r="U28" s="10">
        <v>5486</v>
      </c>
      <c r="V28" s="10">
        <v>4889</v>
      </c>
      <c r="W28" s="10">
        <v>4940</v>
      </c>
      <c r="X28" s="10">
        <v>4857</v>
      </c>
      <c r="Y28" s="10">
        <v>3847</v>
      </c>
      <c r="Z28" s="10">
        <v>3261</v>
      </c>
      <c r="AA28" s="10">
        <v>3699</v>
      </c>
      <c r="AB28" s="10">
        <v>4527</v>
      </c>
      <c r="AC28" s="10">
        <v>5505</v>
      </c>
      <c r="AD28" s="26">
        <f t="shared" si="1"/>
        <v>63624</v>
      </c>
      <c r="AE28" s="25">
        <v>0</v>
      </c>
      <c r="AF28" s="10">
        <v>0</v>
      </c>
      <c r="AG28" s="10">
        <v>0</v>
      </c>
      <c r="AH28" s="10">
        <v>0</v>
      </c>
      <c r="AI28" s="10">
        <v>0</v>
      </c>
      <c r="AJ28" s="10">
        <v>0</v>
      </c>
      <c r="AK28" s="10">
        <v>0</v>
      </c>
      <c r="AL28" s="10">
        <v>0</v>
      </c>
      <c r="AM28" s="10">
        <v>0</v>
      </c>
      <c r="AN28" s="10">
        <v>0</v>
      </c>
      <c r="AO28" s="10">
        <v>0</v>
      </c>
      <c r="AP28" s="10">
        <v>0</v>
      </c>
      <c r="AQ28" s="26">
        <f t="shared" si="2"/>
        <v>0</v>
      </c>
    </row>
    <row r="29" spans="1:43" ht="17.25" customHeight="1" x14ac:dyDescent="0.45">
      <c r="A29" s="2" t="s">
        <v>77</v>
      </c>
      <c r="B29" s="2" t="s">
        <v>68</v>
      </c>
      <c r="C29" s="2" t="s">
        <v>28</v>
      </c>
      <c r="D29" s="2" t="s">
        <v>66</v>
      </c>
      <c r="E29" s="23">
        <v>0</v>
      </c>
      <c r="F29" s="1">
        <v>0</v>
      </c>
      <c r="G29" s="1">
        <v>0</v>
      </c>
      <c r="H29" s="1">
        <v>0</v>
      </c>
      <c r="I29" s="1">
        <v>0</v>
      </c>
      <c r="J29" s="1">
        <v>0</v>
      </c>
      <c r="K29" s="1">
        <v>0</v>
      </c>
      <c r="L29" s="1">
        <v>27</v>
      </c>
      <c r="M29" s="1">
        <v>30</v>
      </c>
      <c r="N29" s="1">
        <v>31</v>
      </c>
      <c r="O29" s="1">
        <v>30</v>
      </c>
      <c r="P29" s="1">
        <v>31</v>
      </c>
      <c r="Q29" s="24">
        <f t="shared" si="0"/>
        <v>149</v>
      </c>
      <c r="R29" s="23">
        <v>0</v>
      </c>
      <c r="S29" s="1">
        <v>0</v>
      </c>
      <c r="T29" s="1">
        <v>0</v>
      </c>
      <c r="U29" s="1">
        <v>0</v>
      </c>
      <c r="V29" s="1">
        <v>0</v>
      </c>
      <c r="W29" s="1">
        <v>0</v>
      </c>
      <c r="X29" s="1">
        <v>0</v>
      </c>
      <c r="Y29" s="1">
        <v>2090</v>
      </c>
      <c r="Z29" s="1">
        <v>2242</v>
      </c>
      <c r="AA29" s="1">
        <v>2624</v>
      </c>
      <c r="AB29" s="1">
        <v>2523</v>
      </c>
      <c r="AC29" s="1">
        <v>2944</v>
      </c>
      <c r="AD29" s="24">
        <f t="shared" si="1"/>
        <v>12423</v>
      </c>
      <c r="AE29" s="23">
        <v>0</v>
      </c>
      <c r="AF29" s="1">
        <v>0</v>
      </c>
      <c r="AG29" s="1">
        <v>0</v>
      </c>
      <c r="AH29" s="1">
        <v>0</v>
      </c>
      <c r="AI29" s="1">
        <v>0</v>
      </c>
      <c r="AJ29" s="1">
        <v>0</v>
      </c>
      <c r="AK29" s="1">
        <v>0</v>
      </c>
      <c r="AL29" s="1">
        <v>0</v>
      </c>
      <c r="AM29" s="1">
        <v>0</v>
      </c>
      <c r="AN29" s="1">
        <v>318</v>
      </c>
      <c r="AO29" s="1">
        <v>0</v>
      </c>
      <c r="AP29" s="1">
        <v>0</v>
      </c>
      <c r="AQ29" s="24">
        <f t="shared" si="2"/>
        <v>318</v>
      </c>
    </row>
    <row r="30" spans="1:43" ht="17.25" customHeight="1" x14ac:dyDescent="0.45">
      <c r="A30" s="12" t="s">
        <v>77</v>
      </c>
      <c r="B30" s="12" t="s">
        <v>68</v>
      </c>
      <c r="C30" s="12" t="s">
        <v>48</v>
      </c>
      <c r="D30" s="12" t="s">
        <v>66</v>
      </c>
      <c r="E30" s="25">
        <v>52</v>
      </c>
      <c r="F30" s="10">
        <v>48</v>
      </c>
      <c r="G30" s="10">
        <v>54</v>
      </c>
      <c r="H30" s="10">
        <v>52</v>
      </c>
      <c r="I30" s="10">
        <v>36</v>
      </c>
      <c r="J30" s="10">
        <v>35</v>
      </c>
      <c r="K30" s="10">
        <v>34</v>
      </c>
      <c r="L30" s="10">
        <v>32</v>
      </c>
      <c r="M30" s="10">
        <v>30</v>
      </c>
      <c r="N30" s="10">
        <v>34</v>
      </c>
      <c r="O30" s="10">
        <v>35</v>
      </c>
      <c r="P30" s="10">
        <v>46</v>
      </c>
      <c r="Q30" s="26">
        <f t="shared" si="0"/>
        <v>488</v>
      </c>
      <c r="R30" s="25">
        <v>7251</v>
      </c>
      <c r="S30" s="10">
        <v>7430</v>
      </c>
      <c r="T30" s="10">
        <v>8948</v>
      </c>
      <c r="U30" s="10">
        <v>8027</v>
      </c>
      <c r="V30" s="10">
        <v>6139</v>
      </c>
      <c r="W30" s="10">
        <v>6022</v>
      </c>
      <c r="X30" s="10">
        <v>5607</v>
      </c>
      <c r="Y30" s="10">
        <v>5391</v>
      </c>
      <c r="Z30" s="10">
        <v>4964</v>
      </c>
      <c r="AA30" s="10">
        <v>5801</v>
      </c>
      <c r="AB30" s="10">
        <v>5769</v>
      </c>
      <c r="AC30" s="10">
        <v>7454</v>
      </c>
      <c r="AD30" s="26">
        <f t="shared" si="1"/>
        <v>78803</v>
      </c>
      <c r="AE30" s="25">
        <v>0</v>
      </c>
      <c r="AF30" s="10">
        <v>0</v>
      </c>
      <c r="AG30" s="10">
        <v>0</v>
      </c>
      <c r="AH30" s="10">
        <v>0</v>
      </c>
      <c r="AI30" s="10">
        <v>0</v>
      </c>
      <c r="AJ30" s="10">
        <v>0</v>
      </c>
      <c r="AK30" s="10">
        <v>0</v>
      </c>
      <c r="AL30" s="10">
        <v>0</v>
      </c>
      <c r="AM30" s="10">
        <v>0</v>
      </c>
      <c r="AN30" s="10">
        <v>0</v>
      </c>
      <c r="AO30" s="10">
        <v>0</v>
      </c>
      <c r="AP30" s="10">
        <v>0</v>
      </c>
      <c r="AQ30" s="26">
        <f t="shared" si="2"/>
        <v>0</v>
      </c>
    </row>
    <row r="31" spans="1:43" ht="17.25" customHeight="1" x14ac:dyDescent="0.45">
      <c r="A31" s="2" t="s">
        <v>77</v>
      </c>
      <c r="B31" s="2" t="s">
        <v>68</v>
      </c>
      <c r="C31" s="2" t="s">
        <v>247</v>
      </c>
      <c r="D31" s="2" t="s">
        <v>66</v>
      </c>
      <c r="E31" s="23">
        <v>0</v>
      </c>
      <c r="F31" s="1">
        <v>0</v>
      </c>
      <c r="G31" s="1">
        <v>4</v>
      </c>
      <c r="H31" s="1">
        <v>30</v>
      </c>
      <c r="I31" s="1">
        <v>31</v>
      </c>
      <c r="J31" s="1">
        <v>30</v>
      </c>
      <c r="K31" s="1">
        <v>29</v>
      </c>
      <c r="L31" s="1">
        <v>30</v>
      </c>
      <c r="M31" s="1">
        <v>26</v>
      </c>
      <c r="N31" s="1">
        <v>30</v>
      </c>
      <c r="O31" s="1">
        <v>30</v>
      </c>
      <c r="P31" s="1">
        <v>33</v>
      </c>
      <c r="Q31" s="24">
        <f t="shared" si="0"/>
        <v>273</v>
      </c>
      <c r="R31" s="23">
        <v>0</v>
      </c>
      <c r="S31" s="1">
        <v>0</v>
      </c>
      <c r="T31" s="1">
        <v>612</v>
      </c>
      <c r="U31" s="1">
        <v>3832</v>
      </c>
      <c r="V31" s="1">
        <v>4235</v>
      </c>
      <c r="W31" s="1">
        <v>4410</v>
      </c>
      <c r="X31" s="1">
        <v>3902</v>
      </c>
      <c r="Y31" s="1">
        <v>4068</v>
      </c>
      <c r="Z31" s="1">
        <v>3170</v>
      </c>
      <c r="AA31" s="1">
        <v>3901</v>
      </c>
      <c r="AB31" s="1">
        <v>3998</v>
      </c>
      <c r="AC31" s="1">
        <v>4690</v>
      </c>
      <c r="AD31" s="24">
        <f t="shared" si="1"/>
        <v>36818</v>
      </c>
      <c r="AE31" s="23">
        <v>0</v>
      </c>
      <c r="AF31" s="1">
        <v>0</v>
      </c>
      <c r="AG31" s="1">
        <v>0</v>
      </c>
      <c r="AH31" s="1">
        <v>0</v>
      </c>
      <c r="AI31" s="1">
        <v>0</v>
      </c>
      <c r="AJ31" s="1">
        <v>0</v>
      </c>
      <c r="AK31" s="1">
        <v>0</v>
      </c>
      <c r="AL31" s="1">
        <v>0</v>
      </c>
      <c r="AM31" s="1">
        <v>0</v>
      </c>
      <c r="AN31" s="1">
        <v>0</v>
      </c>
      <c r="AO31" s="1">
        <v>0</v>
      </c>
      <c r="AP31" s="1">
        <v>0</v>
      </c>
      <c r="AQ31" s="24">
        <f t="shared" si="2"/>
        <v>0</v>
      </c>
    </row>
    <row r="32" spans="1:43" ht="17.25" customHeight="1" x14ac:dyDescent="0.45">
      <c r="A32" s="12" t="s">
        <v>78</v>
      </c>
      <c r="B32" s="12" t="s">
        <v>68</v>
      </c>
      <c r="C32" s="12" t="s">
        <v>10</v>
      </c>
      <c r="D32" s="12" t="s">
        <v>66</v>
      </c>
      <c r="E32" s="25">
        <v>32</v>
      </c>
      <c r="F32" s="10">
        <v>29</v>
      </c>
      <c r="G32" s="10">
        <v>35</v>
      </c>
      <c r="H32" s="10">
        <v>31</v>
      </c>
      <c r="I32" s="10">
        <v>31</v>
      </c>
      <c r="J32" s="10">
        <v>57</v>
      </c>
      <c r="K32" s="10">
        <v>61</v>
      </c>
      <c r="L32" s="10">
        <v>27</v>
      </c>
      <c r="M32" s="10">
        <v>22</v>
      </c>
      <c r="N32" s="10">
        <v>29</v>
      </c>
      <c r="O32" s="10">
        <v>36</v>
      </c>
      <c r="P32" s="10">
        <v>43</v>
      </c>
      <c r="Q32" s="26">
        <f t="shared" si="0"/>
        <v>433</v>
      </c>
      <c r="R32" s="25">
        <v>3369</v>
      </c>
      <c r="S32" s="10">
        <v>3267</v>
      </c>
      <c r="T32" s="10">
        <v>3967</v>
      </c>
      <c r="U32" s="10">
        <v>4098</v>
      </c>
      <c r="V32" s="10">
        <v>4907</v>
      </c>
      <c r="W32" s="10">
        <v>8452</v>
      </c>
      <c r="X32" s="10">
        <v>8664</v>
      </c>
      <c r="Y32" s="10">
        <v>3618</v>
      </c>
      <c r="Z32" s="10">
        <v>3094</v>
      </c>
      <c r="AA32" s="10">
        <v>3727</v>
      </c>
      <c r="AB32" s="10">
        <v>4069</v>
      </c>
      <c r="AC32" s="10">
        <v>5581</v>
      </c>
      <c r="AD32" s="26">
        <f t="shared" si="1"/>
        <v>56813</v>
      </c>
      <c r="AE32" s="25">
        <v>0</v>
      </c>
      <c r="AF32" s="10">
        <v>0</v>
      </c>
      <c r="AG32" s="10">
        <v>0</v>
      </c>
      <c r="AH32" s="10">
        <v>0</v>
      </c>
      <c r="AI32" s="10">
        <v>0</v>
      </c>
      <c r="AJ32" s="10">
        <v>0</v>
      </c>
      <c r="AK32" s="10">
        <v>0</v>
      </c>
      <c r="AL32" s="10">
        <v>0</v>
      </c>
      <c r="AM32" s="10">
        <v>0</v>
      </c>
      <c r="AN32" s="10">
        <v>0</v>
      </c>
      <c r="AO32" s="10">
        <v>0</v>
      </c>
      <c r="AP32" s="10">
        <v>0</v>
      </c>
      <c r="AQ32" s="26">
        <f t="shared" si="2"/>
        <v>0</v>
      </c>
    </row>
    <row r="33" spans="1:43" ht="17.25" customHeight="1" x14ac:dyDescent="0.45">
      <c r="A33" s="2" t="s">
        <v>78</v>
      </c>
      <c r="B33" s="2" t="s">
        <v>68</v>
      </c>
      <c r="C33" s="2" t="s">
        <v>46</v>
      </c>
      <c r="D33" s="2" t="s">
        <v>66</v>
      </c>
      <c r="E33" s="23">
        <v>0</v>
      </c>
      <c r="F33" s="1">
        <v>0</v>
      </c>
      <c r="G33" s="1">
        <v>4</v>
      </c>
      <c r="H33" s="1">
        <v>1</v>
      </c>
      <c r="I33" s="1">
        <v>0</v>
      </c>
      <c r="J33" s="1">
        <v>4</v>
      </c>
      <c r="K33" s="1">
        <v>4</v>
      </c>
      <c r="L33" s="1">
        <v>1</v>
      </c>
      <c r="M33" s="1">
        <v>0</v>
      </c>
      <c r="N33" s="1">
        <v>0</v>
      </c>
      <c r="O33" s="1">
        <v>0</v>
      </c>
      <c r="P33" s="1">
        <v>0</v>
      </c>
      <c r="Q33" s="24">
        <f t="shared" si="0"/>
        <v>14</v>
      </c>
      <c r="R33" s="23">
        <v>0</v>
      </c>
      <c r="S33" s="1">
        <v>0</v>
      </c>
      <c r="T33" s="1">
        <v>326</v>
      </c>
      <c r="U33" s="1">
        <v>12</v>
      </c>
      <c r="V33" s="1">
        <v>0</v>
      </c>
      <c r="W33" s="1">
        <v>515</v>
      </c>
      <c r="X33" s="1">
        <v>492</v>
      </c>
      <c r="Y33" s="1">
        <v>25</v>
      </c>
      <c r="Z33" s="1">
        <v>0</v>
      </c>
      <c r="AA33" s="1">
        <v>0</v>
      </c>
      <c r="AB33" s="1">
        <v>0</v>
      </c>
      <c r="AC33" s="1">
        <v>0</v>
      </c>
      <c r="AD33" s="24">
        <f t="shared" si="1"/>
        <v>1370</v>
      </c>
      <c r="AE33" s="23">
        <v>0</v>
      </c>
      <c r="AF33" s="1">
        <v>0</v>
      </c>
      <c r="AG33" s="1">
        <v>0</v>
      </c>
      <c r="AH33" s="1">
        <v>0</v>
      </c>
      <c r="AI33" s="1">
        <v>0</v>
      </c>
      <c r="AJ33" s="1">
        <v>0</v>
      </c>
      <c r="AK33" s="1">
        <v>0</v>
      </c>
      <c r="AL33" s="1">
        <v>0</v>
      </c>
      <c r="AM33" s="1">
        <v>0</v>
      </c>
      <c r="AN33" s="1">
        <v>0</v>
      </c>
      <c r="AO33" s="1">
        <v>0</v>
      </c>
      <c r="AP33" s="1">
        <v>0</v>
      </c>
      <c r="AQ33" s="24">
        <f t="shared" si="2"/>
        <v>0</v>
      </c>
    </row>
    <row r="34" spans="1:43" ht="17.25" customHeight="1" x14ac:dyDescent="0.45">
      <c r="A34" s="12" t="s">
        <v>78</v>
      </c>
      <c r="B34" s="12" t="s">
        <v>68</v>
      </c>
      <c r="C34" s="12" t="s">
        <v>12</v>
      </c>
      <c r="D34" s="12" t="s">
        <v>66</v>
      </c>
      <c r="E34" s="25">
        <v>31</v>
      </c>
      <c r="F34" s="10">
        <v>29</v>
      </c>
      <c r="G34" s="10">
        <v>31</v>
      </c>
      <c r="H34" s="10">
        <v>30</v>
      </c>
      <c r="I34" s="10">
        <v>31</v>
      </c>
      <c r="J34" s="10">
        <v>30</v>
      </c>
      <c r="K34" s="10">
        <v>31</v>
      </c>
      <c r="L34" s="10">
        <v>31</v>
      </c>
      <c r="M34" s="10">
        <v>30</v>
      </c>
      <c r="N34" s="10">
        <v>31</v>
      </c>
      <c r="O34" s="10">
        <v>30</v>
      </c>
      <c r="P34" s="10">
        <v>31</v>
      </c>
      <c r="Q34" s="26">
        <f t="shared" si="0"/>
        <v>366</v>
      </c>
      <c r="R34" s="25">
        <v>2332</v>
      </c>
      <c r="S34" s="10">
        <v>2344</v>
      </c>
      <c r="T34" s="10">
        <v>2524</v>
      </c>
      <c r="U34" s="10">
        <v>2596</v>
      </c>
      <c r="V34" s="10">
        <v>2767</v>
      </c>
      <c r="W34" s="10">
        <v>3470</v>
      </c>
      <c r="X34" s="10">
        <v>4512</v>
      </c>
      <c r="Y34" s="10">
        <v>3441</v>
      </c>
      <c r="Z34" s="10">
        <v>2474</v>
      </c>
      <c r="AA34" s="10">
        <v>3214</v>
      </c>
      <c r="AB34" s="10">
        <v>4254</v>
      </c>
      <c r="AC34" s="10">
        <v>4744</v>
      </c>
      <c r="AD34" s="26">
        <f t="shared" si="1"/>
        <v>38672</v>
      </c>
      <c r="AE34" s="25">
        <v>32</v>
      </c>
      <c r="AF34" s="10">
        <v>0</v>
      </c>
      <c r="AG34" s="10">
        <v>0</v>
      </c>
      <c r="AH34" s="10">
        <v>0</v>
      </c>
      <c r="AI34" s="10">
        <v>0</v>
      </c>
      <c r="AJ34" s="10">
        <v>0</v>
      </c>
      <c r="AK34" s="10">
        <v>0</v>
      </c>
      <c r="AL34" s="10">
        <v>0</v>
      </c>
      <c r="AM34" s="10">
        <v>0</v>
      </c>
      <c r="AN34" s="10">
        <v>0</v>
      </c>
      <c r="AO34" s="10">
        <v>0</v>
      </c>
      <c r="AP34" s="10">
        <v>0</v>
      </c>
      <c r="AQ34" s="26">
        <f t="shared" si="2"/>
        <v>32</v>
      </c>
    </row>
    <row r="35" spans="1:43" ht="17.25" customHeight="1" x14ac:dyDescent="0.45">
      <c r="A35" s="2" t="s">
        <v>78</v>
      </c>
      <c r="B35" s="2" t="s">
        <v>68</v>
      </c>
      <c r="C35" s="2" t="s">
        <v>13</v>
      </c>
      <c r="D35" s="2" t="s">
        <v>66</v>
      </c>
      <c r="E35" s="23">
        <v>0</v>
      </c>
      <c r="F35" s="1">
        <v>0</v>
      </c>
      <c r="G35" s="1">
        <v>5</v>
      </c>
      <c r="H35" s="1">
        <v>13</v>
      </c>
      <c r="I35" s="1">
        <v>13</v>
      </c>
      <c r="J35" s="1">
        <v>17</v>
      </c>
      <c r="K35" s="1">
        <v>18</v>
      </c>
      <c r="L35" s="1">
        <v>17</v>
      </c>
      <c r="M35" s="1">
        <v>16</v>
      </c>
      <c r="N35" s="1">
        <v>17</v>
      </c>
      <c r="O35" s="1">
        <v>16</v>
      </c>
      <c r="P35" s="1">
        <v>15</v>
      </c>
      <c r="Q35" s="24">
        <f t="shared" si="0"/>
        <v>147</v>
      </c>
      <c r="R35" s="23">
        <v>0</v>
      </c>
      <c r="S35" s="1">
        <v>0</v>
      </c>
      <c r="T35" s="1">
        <v>405</v>
      </c>
      <c r="U35" s="1">
        <v>1369</v>
      </c>
      <c r="V35" s="1">
        <v>1542</v>
      </c>
      <c r="W35" s="1">
        <v>1816</v>
      </c>
      <c r="X35" s="1">
        <v>1915</v>
      </c>
      <c r="Y35" s="1">
        <v>1627</v>
      </c>
      <c r="Z35" s="1">
        <v>1648</v>
      </c>
      <c r="AA35" s="1">
        <v>1954</v>
      </c>
      <c r="AB35" s="1">
        <v>1720</v>
      </c>
      <c r="AC35" s="1">
        <v>1867</v>
      </c>
      <c r="AD35" s="24">
        <f t="shared" si="1"/>
        <v>15863</v>
      </c>
      <c r="AE35" s="23">
        <v>0</v>
      </c>
      <c r="AF35" s="1">
        <v>0</v>
      </c>
      <c r="AG35" s="1">
        <v>0</v>
      </c>
      <c r="AH35" s="1">
        <v>0</v>
      </c>
      <c r="AI35" s="1">
        <v>0</v>
      </c>
      <c r="AJ35" s="1">
        <v>0</v>
      </c>
      <c r="AK35" s="1">
        <v>0</v>
      </c>
      <c r="AL35" s="1">
        <v>0</v>
      </c>
      <c r="AM35" s="1">
        <v>0</v>
      </c>
      <c r="AN35" s="1">
        <v>0</v>
      </c>
      <c r="AO35" s="1">
        <v>0</v>
      </c>
      <c r="AP35" s="1">
        <v>0</v>
      </c>
      <c r="AQ35" s="24">
        <f t="shared" si="2"/>
        <v>0</v>
      </c>
    </row>
    <row r="36" spans="1:43" ht="17.25" customHeight="1" x14ac:dyDescent="0.45">
      <c r="A36" s="12" t="s">
        <v>78</v>
      </c>
      <c r="B36" s="12" t="s">
        <v>68</v>
      </c>
      <c r="C36" s="12" t="s">
        <v>17</v>
      </c>
      <c r="D36" s="12" t="s">
        <v>66</v>
      </c>
      <c r="E36" s="25">
        <v>0</v>
      </c>
      <c r="F36" s="10">
        <v>0</v>
      </c>
      <c r="G36" s="10">
        <v>8</v>
      </c>
      <c r="H36" s="10">
        <v>2</v>
      </c>
      <c r="I36" s="10">
        <v>0</v>
      </c>
      <c r="J36" s="10">
        <v>8</v>
      </c>
      <c r="K36" s="10">
        <v>8</v>
      </c>
      <c r="L36" s="10">
        <v>2</v>
      </c>
      <c r="M36" s="10">
        <v>0</v>
      </c>
      <c r="N36" s="10">
        <v>0</v>
      </c>
      <c r="O36" s="10">
        <v>2</v>
      </c>
      <c r="P36" s="10">
        <v>2</v>
      </c>
      <c r="Q36" s="26">
        <f t="shared" si="0"/>
        <v>32</v>
      </c>
      <c r="R36" s="25">
        <v>0</v>
      </c>
      <c r="S36" s="10">
        <v>0</v>
      </c>
      <c r="T36" s="10">
        <v>765</v>
      </c>
      <c r="U36" s="10">
        <v>111</v>
      </c>
      <c r="V36" s="10">
        <v>0</v>
      </c>
      <c r="W36" s="10">
        <v>1097</v>
      </c>
      <c r="X36" s="10">
        <v>1001</v>
      </c>
      <c r="Y36" s="10">
        <v>198</v>
      </c>
      <c r="Z36" s="10">
        <v>0</v>
      </c>
      <c r="AA36" s="10">
        <v>0</v>
      </c>
      <c r="AB36" s="10">
        <v>202</v>
      </c>
      <c r="AC36" s="10">
        <v>286</v>
      </c>
      <c r="AD36" s="26">
        <f t="shared" si="1"/>
        <v>3660</v>
      </c>
      <c r="AE36" s="25">
        <v>0</v>
      </c>
      <c r="AF36" s="10">
        <v>0</v>
      </c>
      <c r="AG36" s="10">
        <v>0</v>
      </c>
      <c r="AH36" s="10">
        <v>0</v>
      </c>
      <c r="AI36" s="10">
        <v>0</v>
      </c>
      <c r="AJ36" s="10">
        <v>0</v>
      </c>
      <c r="AK36" s="10">
        <v>0</v>
      </c>
      <c r="AL36" s="10">
        <v>0</v>
      </c>
      <c r="AM36" s="10">
        <v>0</v>
      </c>
      <c r="AN36" s="10">
        <v>0</v>
      </c>
      <c r="AO36" s="10">
        <v>0</v>
      </c>
      <c r="AP36" s="10">
        <v>0</v>
      </c>
      <c r="AQ36" s="26">
        <f t="shared" si="2"/>
        <v>0</v>
      </c>
    </row>
    <row r="37" spans="1:43" ht="17.25" customHeight="1" x14ac:dyDescent="0.45">
      <c r="A37" s="2" t="s">
        <v>78</v>
      </c>
      <c r="B37" s="2" t="s">
        <v>68</v>
      </c>
      <c r="C37" s="2" t="s">
        <v>48</v>
      </c>
      <c r="D37" s="2" t="s">
        <v>66</v>
      </c>
      <c r="E37" s="23">
        <v>5</v>
      </c>
      <c r="F37" s="1">
        <v>4</v>
      </c>
      <c r="G37" s="1">
        <v>26</v>
      </c>
      <c r="H37" s="1">
        <v>11</v>
      </c>
      <c r="I37" s="1">
        <v>4</v>
      </c>
      <c r="J37" s="1">
        <v>28</v>
      </c>
      <c r="K37" s="1">
        <v>31</v>
      </c>
      <c r="L37" s="1">
        <v>4</v>
      </c>
      <c r="M37" s="1">
        <v>0</v>
      </c>
      <c r="N37" s="1">
        <v>8</v>
      </c>
      <c r="O37" s="1">
        <v>7</v>
      </c>
      <c r="P37" s="1">
        <v>13</v>
      </c>
      <c r="Q37" s="24">
        <f t="shared" si="0"/>
        <v>141</v>
      </c>
      <c r="R37" s="23">
        <v>521</v>
      </c>
      <c r="S37" s="1">
        <v>433</v>
      </c>
      <c r="T37" s="1">
        <v>2671</v>
      </c>
      <c r="U37" s="1">
        <v>832</v>
      </c>
      <c r="V37" s="1">
        <v>525</v>
      </c>
      <c r="W37" s="1">
        <v>4234</v>
      </c>
      <c r="X37" s="1">
        <v>4468</v>
      </c>
      <c r="Y37" s="1">
        <v>401</v>
      </c>
      <c r="Z37" s="1">
        <v>0</v>
      </c>
      <c r="AA37" s="1">
        <v>877</v>
      </c>
      <c r="AB37" s="1">
        <v>701</v>
      </c>
      <c r="AC37" s="1">
        <v>1363</v>
      </c>
      <c r="AD37" s="24">
        <f t="shared" si="1"/>
        <v>17026</v>
      </c>
      <c r="AE37" s="23">
        <v>0</v>
      </c>
      <c r="AF37" s="1">
        <v>0</v>
      </c>
      <c r="AG37" s="1">
        <v>0</v>
      </c>
      <c r="AH37" s="1">
        <v>0</v>
      </c>
      <c r="AI37" s="1">
        <v>0</v>
      </c>
      <c r="AJ37" s="1">
        <v>0</v>
      </c>
      <c r="AK37" s="1">
        <v>0</v>
      </c>
      <c r="AL37" s="1">
        <v>0</v>
      </c>
      <c r="AM37" s="1">
        <v>0</v>
      </c>
      <c r="AN37" s="1">
        <v>0</v>
      </c>
      <c r="AO37" s="1">
        <v>0</v>
      </c>
      <c r="AP37" s="1">
        <v>0</v>
      </c>
      <c r="AQ37" s="24">
        <f t="shared" si="2"/>
        <v>0</v>
      </c>
    </row>
    <row r="38" spans="1:43" ht="17.25" customHeight="1" x14ac:dyDescent="0.45">
      <c r="A38" s="12" t="s">
        <v>378</v>
      </c>
      <c r="B38" s="12" t="s">
        <v>65</v>
      </c>
      <c r="C38" s="12" t="s">
        <v>10</v>
      </c>
      <c r="D38" s="12" t="s">
        <v>66</v>
      </c>
      <c r="E38" s="25">
        <v>0</v>
      </c>
      <c r="F38" s="10">
        <v>0</v>
      </c>
      <c r="G38" s="10">
        <v>0</v>
      </c>
      <c r="H38" s="10">
        <v>0</v>
      </c>
      <c r="I38" s="10">
        <v>0</v>
      </c>
      <c r="J38" s="10">
        <v>0</v>
      </c>
      <c r="K38" s="10">
        <v>0</v>
      </c>
      <c r="L38" s="10">
        <v>0</v>
      </c>
      <c r="M38" s="10">
        <v>0</v>
      </c>
      <c r="N38" s="10">
        <v>0</v>
      </c>
      <c r="O38" s="10">
        <v>0</v>
      </c>
      <c r="P38" s="10">
        <v>1</v>
      </c>
      <c r="Q38" s="26">
        <f t="shared" si="0"/>
        <v>1</v>
      </c>
      <c r="R38" s="25">
        <v>0</v>
      </c>
      <c r="S38" s="10">
        <v>0</v>
      </c>
      <c r="T38" s="10">
        <v>0</v>
      </c>
      <c r="U38" s="10">
        <v>0</v>
      </c>
      <c r="V38" s="10">
        <v>0</v>
      </c>
      <c r="W38" s="10">
        <v>0</v>
      </c>
      <c r="X38" s="10">
        <v>0</v>
      </c>
      <c r="Y38" s="10">
        <v>0</v>
      </c>
      <c r="Z38" s="10">
        <v>0</v>
      </c>
      <c r="AA38" s="10">
        <v>0</v>
      </c>
      <c r="AB38" s="10">
        <v>0</v>
      </c>
      <c r="AC38" s="10">
        <v>178</v>
      </c>
      <c r="AD38" s="26">
        <f t="shared" si="1"/>
        <v>178</v>
      </c>
      <c r="AE38" s="25">
        <v>0</v>
      </c>
      <c r="AF38" s="10">
        <v>0</v>
      </c>
      <c r="AG38" s="10">
        <v>0</v>
      </c>
      <c r="AH38" s="10">
        <v>0</v>
      </c>
      <c r="AI38" s="10">
        <v>0</v>
      </c>
      <c r="AJ38" s="10">
        <v>0</v>
      </c>
      <c r="AK38" s="10">
        <v>0</v>
      </c>
      <c r="AL38" s="10">
        <v>0</v>
      </c>
      <c r="AM38" s="10">
        <v>0</v>
      </c>
      <c r="AN38" s="10">
        <v>0</v>
      </c>
      <c r="AO38" s="10">
        <v>0</v>
      </c>
      <c r="AP38" s="10">
        <v>0</v>
      </c>
      <c r="AQ38" s="26">
        <f t="shared" si="2"/>
        <v>0</v>
      </c>
    </row>
    <row r="39" spans="1:43" ht="17.25" customHeight="1" x14ac:dyDescent="0.45">
      <c r="A39" s="2" t="s">
        <v>79</v>
      </c>
      <c r="B39" s="2" t="s">
        <v>68</v>
      </c>
      <c r="C39" s="2" t="s">
        <v>10</v>
      </c>
      <c r="D39" s="2" t="s">
        <v>66</v>
      </c>
      <c r="E39" s="23">
        <v>124</v>
      </c>
      <c r="F39" s="1">
        <v>100</v>
      </c>
      <c r="G39" s="1">
        <v>97</v>
      </c>
      <c r="H39" s="1">
        <v>82</v>
      </c>
      <c r="I39" s="1">
        <v>79</v>
      </c>
      <c r="J39" s="1">
        <v>77</v>
      </c>
      <c r="K39" s="1">
        <v>75</v>
      </c>
      <c r="L39" s="1">
        <v>68</v>
      </c>
      <c r="M39" s="1">
        <v>64</v>
      </c>
      <c r="N39" s="1">
        <v>63</v>
      </c>
      <c r="O39" s="1">
        <v>82</v>
      </c>
      <c r="P39" s="1">
        <v>89</v>
      </c>
      <c r="Q39" s="24">
        <f t="shared" si="0"/>
        <v>1000</v>
      </c>
      <c r="R39" s="23">
        <v>14510</v>
      </c>
      <c r="S39" s="1">
        <v>12851</v>
      </c>
      <c r="T39" s="1">
        <v>15737</v>
      </c>
      <c r="U39" s="1">
        <v>11575</v>
      </c>
      <c r="V39" s="1">
        <v>11589</v>
      </c>
      <c r="W39" s="1">
        <v>12420</v>
      </c>
      <c r="X39" s="1">
        <v>12559</v>
      </c>
      <c r="Y39" s="1">
        <v>10403</v>
      </c>
      <c r="Z39" s="1">
        <v>7416</v>
      </c>
      <c r="AA39" s="1">
        <v>8192</v>
      </c>
      <c r="AB39" s="1">
        <v>9738</v>
      </c>
      <c r="AC39" s="1">
        <v>11994</v>
      </c>
      <c r="AD39" s="24">
        <f t="shared" si="1"/>
        <v>138984</v>
      </c>
      <c r="AE39" s="23">
        <v>0</v>
      </c>
      <c r="AF39" s="1">
        <v>0</v>
      </c>
      <c r="AG39" s="1">
        <v>0</v>
      </c>
      <c r="AH39" s="1">
        <v>0</v>
      </c>
      <c r="AI39" s="1">
        <v>0</v>
      </c>
      <c r="AJ39" s="1">
        <v>0</v>
      </c>
      <c r="AK39" s="1">
        <v>0</v>
      </c>
      <c r="AL39" s="1">
        <v>0</v>
      </c>
      <c r="AM39" s="1">
        <v>0</v>
      </c>
      <c r="AN39" s="1">
        <v>0</v>
      </c>
      <c r="AO39" s="1">
        <v>0</v>
      </c>
      <c r="AP39" s="1">
        <v>0</v>
      </c>
      <c r="AQ39" s="24">
        <f t="shared" si="2"/>
        <v>0</v>
      </c>
    </row>
    <row r="40" spans="1:43" ht="17.25" customHeight="1" x14ac:dyDescent="0.45">
      <c r="A40" s="12" t="s">
        <v>79</v>
      </c>
      <c r="B40" s="12" t="s">
        <v>68</v>
      </c>
      <c r="C40" s="12" t="s">
        <v>48</v>
      </c>
      <c r="D40" s="12" t="s">
        <v>66</v>
      </c>
      <c r="E40" s="25">
        <v>0</v>
      </c>
      <c r="F40" s="10">
        <v>0</v>
      </c>
      <c r="G40" s="10">
        <v>4</v>
      </c>
      <c r="H40" s="10">
        <v>1</v>
      </c>
      <c r="I40" s="10">
        <v>0</v>
      </c>
      <c r="J40" s="10">
        <v>0</v>
      </c>
      <c r="K40" s="10">
        <v>0</v>
      </c>
      <c r="L40" s="10">
        <v>0</v>
      </c>
      <c r="M40" s="10">
        <v>0</v>
      </c>
      <c r="N40" s="10">
        <v>0</v>
      </c>
      <c r="O40" s="10">
        <v>1</v>
      </c>
      <c r="P40" s="10">
        <v>2</v>
      </c>
      <c r="Q40" s="26">
        <f t="shared" si="0"/>
        <v>8</v>
      </c>
      <c r="R40" s="25">
        <v>0</v>
      </c>
      <c r="S40" s="10">
        <v>0</v>
      </c>
      <c r="T40" s="10">
        <v>551</v>
      </c>
      <c r="U40" s="10">
        <v>106</v>
      </c>
      <c r="V40" s="10">
        <v>0</v>
      </c>
      <c r="W40" s="10">
        <v>0</v>
      </c>
      <c r="X40" s="10">
        <v>0</v>
      </c>
      <c r="Y40" s="10">
        <v>0</v>
      </c>
      <c r="Z40" s="10">
        <v>0</v>
      </c>
      <c r="AA40" s="10">
        <v>0</v>
      </c>
      <c r="AB40" s="10">
        <v>128</v>
      </c>
      <c r="AC40" s="10">
        <v>266</v>
      </c>
      <c r="AD40" s="26">
        <f t="shared" si="1"/>
        <v>1051</v>
      </c>
      <c r="AE40" s="25">
        <v>0</v>
      </c>
      <c r="AF40" s="10">
        <v>0</v>
      </c>
      <c r="AG40" s="10">
        <v>0</v>
      </c>
      <c r="AH40" s="10">
        <v>0</v>
      </c>
      <c r="AI40" s="10">
        <v>0</v>
      </c>
      <c r="AJ40" s="10">
        <v>0</v>
      </c>
      <c r="AK40" s="10">
        <v>0</v>
      </c>
      <c r="AL40" s="10">
        <v>0</v>
      </c>
      <c r="AM40" s="10">
        <v>0</v>
      </c>
      <c r="AN40" s="10">
        <v>0</v>
      </c>
      <c r="AO40" s="10">
        <v>0</v>
      </c>
      <c r="AP40" s="10">
        <v>0</v>
      </c>
      <c r="AQ40" s="26">
        <f t="shared" si="2"/>
        <v>0</v>
      </c>
    </row>
    <row r="41" spans="1:43" ht="17.25" customHeight="1" x14ac:dyDescent="0.45">
      <c r="A41" s="2" t="s">
        <v>80</v>
      </c>
      <c r="B41" s="2" t="s">
        <v>81</v>
      </c>
      <c r="C41" s="2" t="s">
        <v>10</v>
      </c>
      <c r="D41" s="2" t="s">
        <v>66</v>
      </c>
      <c r="E41" s="23">
        <v>0</v>
      </c>
      <c r="F41" s="1">
        <v>0</v>
      </c>
      <c r="G41" s="1">
        <v>0</v>
      </c>
      <c r="H41" s="1">
        <v>0</v>
      </c>
      <c r="I41" s="1">
        <v>0</v>
      </c>
      <c r="J41" s="1">
        <v>1</v>
      </c>
      <c r="K41" s="1">
        <v>6</v>
      </c>
      <c r="L41" s="1">
        <v>8</v>
      </c>
      <c r="M41" s="1">
        <v>4</v>
      </c>
      <c r="N41" s="1">
        <v>0</v>
      </c>
      <c r="O41" s="1">
        <v>0</v>
      </c>
      <c r="P41" s="1">
        <v>0</v>
      </c>
      <c r="Q41" s="24">
        <f t="shared" si="0"/>
        <v>19</v>
      </c>
      <c r="R41" s="23">
        <v>0</v>
      </c>
      <c r="S41" s="1">
        <v>0</v>
      </c>
      <c r="T41" s="1">
        <v>0</v>
      </c>
      <c r="U41" s="1">
        <v>0</v>
      </c>
      <c r="V41" s="1">
        <v>0</v>
      </c>
      <c r="W41" s="1">
        <v>369</v>
      </c>
      <c r="X41" s="1">
        <v>2285</v>
      </c>
      <c r="Y41" s="1">
        <v>3116</v>
      </c>
      <c r="Z41" s="1">
        <v>1211</v>
      </c>
      <c r="AA41" s="1">
        <v>0</v>
      </c>
      <c r="AB41" s="1">
        <v>0</v>
      </c>
      <c r="AC41" s="1">
        <v>0</v>
      </c>
      <c r="AD41" s="24">
        <f t="shared" si="1"/>
        <v>6981</v>
      </c>
      <c r="AE41" s="23">
        <v>0</v>
      </c>
      <c r="AF41" s="1">
        <v>0</v>
      </c>
      <c r="AG41" s="1">
        <v>0</v>
      </c>
      <c r="AH41" s="1">
        <v>0</v>
      </c>
      <c r="AI41" s="1">
        <v>0</v>
      </c>
      <c r="AJ41" s="1">
        <v>220</v>
      </c>
      <c r="AK41" s="1">
        <v>3664</v>
      </c>
      <c r="AL41" s="1">
        <v>4286</v>
      </c>
      <c r="AM41" s="1">
        <v>0</v>
      </c>
      <c r="AN41" s="1">
        <v>0</v>
      </c>
      <c r="AO41" s="1">
        <v>0</v>
      </c>
      <c r="AP41" s="1">
        <v>0</v>
      </c>
      <c r="AQ41" s="24">
        <f t="shared" si="2"/>
        <v>8170</v>
      </c>
    </row>
    <row r="42" spans="1:43" ht="17.25" customHeight="1" x14ac:dyDescent="0.45">
      <c r="A42" s="12" t="s">
        <v>80</v>
      </c>
      <c r="B42" s="12" t="s">
        <v>81</v>
      </c>
      <c r="C42" s="12" t="s">
        <v>12</v>
      </c>
      <c r="D42" s="12" t="s">
        <v>66</v>
      </c>
      <c r="E42" s="25">
        <v>31</v>
      </c>
      <c r="F42" s="10">
        <v>29</v>
      </c>
      <c r="G42" s="10">
        <v>31</v>
      </c>
      <c r="H42" s="10">
        <v>30</v>
      </c>
      <c r="I42" s="10">
        <v>31</v>
      </c>
      <c r="J42" s="10">
        <v>30</v>
      </c>
      <c r="K42" s="10">
        <v>31</v>
      </c>
      <c r="L42" s="10">
        <v>31</v>
      </c>
      <c r="M42" s="10">
        <v>30</v>
      </c>
      <c r="N42" s="10">
        <v>31</v>
      </c>
      <c r="O42" s="10">
        <v>30</v>
      </c>
      <c r="P42" s="10">
        <v>31</v>
      </c>
      <c r="Q42" s="26">
        <f t="shared" si="0"/>
        <v>366</v>
      </c>
      <c r="R42" s="25">
        <v>6129</v>
      </c>
      <c r="S42" s="10">
        <v>5032</v>
      </c>
      <c r="T42" s="10">
        <v>7290</v>
      </c>
      <c r="U42" s="10">
        <v>7015</v>
      </c>
      <c r="V42" s="10">
        <v>6761</v>
      </c>
      <c r="W42" s="10">
        <v>7074</v>
      </c>
      <c r="X42" s="10">
        <v>8766</v>
      </c>
      <c r="Y42" s="10">
        <v>8000</v>
      </c>
      <c r="Z42" s="10">
        <v>7116</v>
      </c>
      <c r="AA42" s="10">
        <v>8394</v>
      </c>
      <c r="AB42" s="10">
        <v>7478</v>
      </c>
      <c r="AC42" s="10">
        <v>6873</v>
      </c>
      <c r="AD42" s="26">
        <f t="shared" si="1"/>
        <v>85928</v>
      </c>
      <c r="AE42" s="25">
        <v>19.72</v>
      </c>
      <c r="AF42" s="10">
        <v>21211.88</v>
      </c>
      <c r="AG42" s="10">
        <v>12730.8</v>
      </c>
      <c r="AH42" s="10">
        <v>264</v>
      </c>
      <c r="AI42" s="10">
        <v>1049.94</v>
      </c>
      <c r="AJ42" s="10">
        <v>3791.4</v>
      </c>
      <c r="AK42" s="10">
        <v>1476.18</v>
      </c>
      <c r="AL42" s="10">
        <v>1576.36</v>
      </c>
      <c r="AM42" s="10">
        <v>2601.7799999999997</v>
      </c>
      <c r="AN42" s="10">
        <v>73.36</v>
      </c>
      <c r="AO42" s="10">
        <v>4925.96</v>
      </c>
      <c r="AP42" s="10">
        <v>73.180000000000007</v>
      </c>
      <c r="AQ42" s="26">
        <f t="shared" si="2"/>
        <v>49794.560000000005</v>
      </c>
    </row>
    <row r="43" spans="1:43" ht="17.25" customHeight="1" x14ac:dyDescent="0.45">
      <c r="A43" s="2" t="s">
        <v>82</v>
      </c>
      <c r="B43" s="2" t="s">
        <v>83</v>
      </c>
      <c r="C43" s="2" t="s">
        <v>10</v>
      </c>
      <c r="D43" s="2" t="s">
        <v>66</v>
      </c>
      <c r="E43" s="23">
        <v>32</v>
      </c>
      <c r="F43" s="1">
        <v>25</v>
      </c>
      <c r="G43" s="1">
        <v>28</v>
      </c>
      <c r="H43" s="1">
        <v>29</v>
      </c>
      <c r="I43" s="1">
        <v>33</v>
      </c>
      <c r="J43" s="1">
        <v>27</v>
      </c>
      <c r="K43" s="1">
        <v>29</v>
      </c>
      <c r="L43" s="1">
        <v>30</v>
      </c>
      <c r="M43" s="1">
        <v>29</v>
      </c>
      <c r="N43" s="1">
        <v>31</v>
      </c>
      <c r="O43" s="1">
        <v>30</v>
      </c>
      <c r="P43" s="1">
        <v>30</v>
      </c>
      <c r="Q43" s="24">
        <f t="shared" si="0"/>
        <v>353</v>
      </c>
      <c r="R43" s="23">
        <v>316</v>
      </c>
      <c r="S43" s="1">
        <v>276</v>
      </c>
      <c r="T43" s="1">
        <v>274</v>
      </c>
      <c r="U43" s="1">
        <v>258</v>
      </c>
      <c r="V43" s="1">
        <v>293</v>
      </c>
      <c r="W43" s="1">
        <v>251</v>
      </c>
      <c r="X43" s="1">
        <v>254</v>
      </c>
      <c r="Y43" s="1">
        <v>248</v>
      </c>
      <c r="Z43" s="1">
        <v>224</v>
      </c>
      <c r="AA43" s="1">
        <v>239</v>
      </c>
      <c r="AB43" s="1">
        <v>266</v>
      </c>
      <c r="AC43" s="1">
        <v>271</v>
      </c>
      <c r="AD43" s="24">
        <f t="shared" si="1"/>
        <v>3170</v>
      </c>
      <c r="AE43" s="23">
        <v>0</v>
      </c>
      <c r="AF43" s="1">
        <v>0</v>
      </c>
      <c r="AG43" s="1">
        <v>0</v>
      </c>
      <c r="AH43" s="1">
        <v>0</v>
      </c>
      <c r="AI43" s="1">
        <v>0</v>
      </c>
      <c r="AJ43" s="1">
        <v>0</v>
      </c>
      <c r="AK43" s="1">
        <v>0</v>
      </c>
      <c r="AL43" s="1">
        <v>0</v>
      </c>
      <c r="AM43" s="1">
        <v>0</v>
      </c>
      <c r="AN43" s="1">
        <v>0</v>
      </c>
      <c r="AO43" s="1">
        <v>0</v>
      </c>
      <c r="AP43" s="1">
        <v>0</v>
      </c>
      <c r="AQ43" s="24">
        <f t="shared" si="2"/>
        <v>0</v>
      </c>
    </row>
    <row r="44" spans="1:43" ht="17.25" customHeight="1" x14ac:dyDescent="0.45">
      <c r="A44" s="12" t="s">
        <v>84</v>
      </c>
      <c r="B44" s="12" t="s">
        <v>85</v>
      </c>
      <c r="C44" s="12" t="s">
        <v>10</v>
      </c>
      <c r="D44" s="12" t="s">
        <v>66</v>
      </c>
      <c r="E44" s="25">
        <v>9</v>
      </c>
      <c r="F44" s="10">
        <v>8</v>
      </c>
      <c r="G44" s="10">
        <v>10</v>
      </c>
      <c r="H44" s="10">
        <v>12</v>
      </c>
      <c r="I44" s="10">
        <v>13</v>
      </c>
      <c r="J44" s="10">
        <v>7</v>
      </c>
      <c r="K44" s="10">
        <v>10</v>
      </c>
      <c r="L44" s="10">
        <v>13</v>
      </c>
      <c r="M44" s="10">
        <v>13</v>
      </c>
      <c r="N44" s="10">
        <v>12</v>
      </c>
      <c r="O44" s="10">
        <v>8</v>
      </c>
      <c r="P44" s="10">
        <v>9</v>
      </c>
      <c r="Q44" s="26">
        <f t="shared" si="0"/>
        <v>124</v>
      </c>
      <c r="R44" s="25">
        <v>2800</v>
      </c>
      <c r="S44" s="10">
        <v>2478</v>
      </c>
      <c r="T44" s="10">
        <v>3149</v>
      </c>
      <c r="U44" s="10">
        <v>3688</v>
      </c>
      <c r="V44" s="10">
        <v>3851</v>
      </c>
      <c r="W44" s="10">
        <v>2184</v>
      </c>
      <c r="X44" s="10">
        <v>3145</v>
      </c>
      <c r="Y44" s="10">
        <v>3968</v>
      </c>
      <c r="Z44" s="10">
        <v>3640</v>
      </c>
      <c r="AA44" s="10">
        <v>3285</v>
      </c>
      <c r="AB44" s="10">
        <v>2365</v>
      </c>
      <c r="AC44" s="10">
        <v>2720</v>
      </c>
      <c r="AD44" s="26">
        <f t="shared" si="1"/>
        <v>37273</v>
      </c>
      <c r="AE44" s="25">
        <v>0</v>
      </c>
      <c r="AF44" s="10">
        <v>0</v>
      </c>
      <c r="AG44" s="10">
        <v>0</v>
      </c>
      <c r="AH44" s="10">
        <v>0</v>
      </c>
      <c r="AI44" s="10">
        <v>0</v>
      </c>
      <c r="AJ44" s="10">
        <v>0</v>
      </c>
      <c r="AK44" s="10">
        <v>0</v>
      </c>
      <c r="AL44" s="10">
        <v>0</v>
      </c>
      <c r="AM44" s="10">
        <v>0</v>
      </c>
      <c r="AN44" s="10">
        <v>0</v>
      </c>
      <c r="AO44" s="10">
        <v>0</v>
      </c>
      <c r="AP44" s="10">
        <v>0</v>
      </c>
      <c r="AQ44" s="26">
        <f t="shared" si="2"/>
        <v>0</v>
      </c>
    </row>
    <row r="45" spans="1:43" ht="17.25" customHeight="1" x14ac:dyDescent="0.45">
      <c r="A45" s="2" t="s">
        <v>86</v>
      </c>
      <c r="B45" s="2" t="s">
        <v>87</v>
      </c>
      <c r="C45" s="2" t="s">
        <v>10</v>
      </c>
      <c r="D45" s="2" t="s">
        <v>66</v>
      </c>
      <c r="E45" s="23">
        <v>137</v>
      </c>
      <c r="F45" s="1">
        <v>109</v>
      </c>
      <c r="G45" s="1">
        <v>124</v>
      </c>
      <c r="H45" s="1">
        <v>120</v>
      </c>
      <c r="I45" s="1">
        <v>124</v>
      </c>
      <c r="J45" s="1">
        <v>127</v>
      </c>
      <c r="K45" s="1">
        <v>137</v>
      </c>
      <c r="L45" s="1">
        <v>131</v>
      </c>
      <c r="M45" s="1">
        <v>127</v>
      </c>
      <c r="N45" s="1">
        <v>133</v>
      </c>
      <c r="O45" s="1">
        <v>129</v>
      </c>
      <c r="P45" s="1">
        <v>134</v>
      </c>
      <c r="Q45" s="24">
        <f t="shared" si="0"/>
        <v>1532</v>
      </c>
      <c r="R45" s="23">
        <v>24050</v>
      </c>
      <c r="S45" s="1">
        <v>18148</v>
      </c>
      <c r="T45" s="1">
        <v>19829</v>
      </c>
      <c r="U45" s="1">
        <v>19327</v>
      </c>
      <c r="V45" s="1">
        <v>19507</v>
      </c>
      <c r="W45" s="1">
        <v>20614</v>
      </c>
      <c r="X45" s="1">
        <v>20631</v>
      </c>
      <c r="Y45" s="1">
        <v>21097</v>
      </c>
      <c r="Z45" s="1">
        <v>19086</v>
      </c>
      <c r="AA45" s="1">
        <v>21692</v>
      </c>
      <c r="AB45" s="1">
        <v>19021</v>
      </c>
      <c r="AC45" s="1">
        <v>19196</v>
      </c>
      <c r="AD45" s="24">
        <f t="shared" si="1"/>
        <v>242198</v>
      </c>
      <c r="AE45" s="23">
        <v>4843</v>
      </c>
      <c r="AF45" s="1">
        <v>6710</v>
      </c>
      <c r="AG45" s="1">
        <v>0</v>
      </c>
      <c r="AH45" s="1">
        <v>5327</v>
      </c>
      <c r="AI45" s="1">
        <v>15026</v>
      </c>
      <c r="AJ45" s="1">
        <v>9909</v>
      </c>
      <c r="AK45" s="1">
        <v>1127</v>
      </c>
      <c r="AL45" s="1">
        <v>4280</v>
      </c>
      <c r="AM45" s="1">
        <v>2836</v>
      </c>
      <c r="AN45" s="1">
        <v>5556</v>
      </c>
      <c r="AO45" s="1">
        <v>5365</v>
      </c>
      <c r="AP45" s="1">
        <v>1656</v>
      </c>
      <c r="AQ45" s="24">
        <f t="shared" si="2"/>
        <v>62635</v>
      </c>
    </row>
    <row r="46" spans="1:43" ht="17.25" customHeight="1" x14ac:dyDescent="0.45">
      <c r="A46" s="12" t="s">
        <v>86</v>
      </c>
      <c r="B46" s="12" t="s">
        <v>87</v>
      </c>
      <c r="C46" s="12" t="s">
        <v>11</v>
      </c>
      <c r="D46" s="12" t="s">
        <v>66</v>
      </c>
      <c r="E46" s="25">
        <v>8</v>
      </c>
      <c r="F46" s="10">
        <v>9</v>
      </c>
      <c r="G46" s="10">
        <v>9</v>
      </c>
      <c r="H46" s="10">
        <v>8</v>
      </c>
      <c r="I46" s="10">
        <v>9</v>
      </c>
      <c r="J46" s="10">
        <v>9</v>
      </c>
      <c r="K46" s="10">
        <v>8</v>
      </c>
      <c r="L46" s="10">
        <v>10</v>
      </c>
      <c r="M46" s="10">
        <v>8</v>
      </c>
      <c r="N46" s="10">
        <v>9</v>
      </c>
      <c r="O46" s="10">
        <v>9</v>
      </c>
      <c r="P46" s="10">
        <v>8</v>
      </c>
      <c r="Q46" s="26">
        <f t="shared" si="0"/>
        <v>104</v>
      </c>
      <c r="R46" s="25">
        <v>1383</v>
      </c>
      <c r="S46" s="10">
        <v>1502</v>
      </c>
      <c r="T46" s="10">
        <v>1474</v>
      </c>
      <c r="U46" s="10">
        <v>1238</v>
      </c>
      <c r="V46" s="10">
        <v>1387</v>
      </c>
      <c r="W46" s="10">
        <v>1467</v>
      </c>
      <c r="X46" s="10">
        <v>1350</v>
      </c>
      <c r="Y46" s="10">
        <v>1758</v>
      </c>
      <c r="Z46" s="10">
        <v>1286</v>
      </c>
      <c r="AA46" s="10">
        <v>1500</v>
      </c>
      <c r="AB46" s="10">
        <v>1418</v>
      </c>
      <c r="AC46" s="10">
        <v>1157</v>
      </c>
      <c r="AD46" s="26">
        <f t="shared" si="1"/>
        <v>16920</v>
      </c>
      <c r="AE46" s="25">
        <v>0</v>
      </c>
      <c r="AF46" s="10">
        <v>97</v>
      </c>
      <c r="AG46" s="10">
        <v>363</v>
      </c>
      <c r="AH46" s="10">
        <v>448</v>
      </c>
      <c r="AI46" s="10">
        <v>246</v>
      </c>
      <c r="AJ46" s="10">
        <v>91</v>
      </c>
      <c r="AK46" s="10">
        <v>317</v>
      </c>
      <c r="AL46" s="10">
        <v>365</v>
      </c>
      <c r="AM46" s="10">
        <v>748</v>
      </c>
      <c r="AN46" s="10">
        <v>2056</v>
      </c>
      <c r="AO46" s="10">
        <v>275</v>
      </c>
      <c r="AP46" s="10">
        <v>806</v>
      </c>
      <c r="AQ46" s="26">
        <f t="shared" si="2"/>
        <v>5812</v>
      </c>
    </row>
    <row r="47" spans="1:43" ht="17.25" customHeight="1" x14ac:dyDescent="0.45">
      <c r="A47" s="2" t="s">
        <v>86</v>
      </c>
      <c r="B47" s="2" t="s">
        <v>87</v>
      </c>
      <c r="C47" s="2" t="s">
        <v>12</v>
      </c>
      <c r="D47" s="2" t="s">
        <v>66</v>
      </c>
      <c r="E47" s="23">
        <v>277</v>
      </c>
      <c r="F47" s="1">
        <v>261</v>
      </c>
      <c r="G47" s="1">
        <v>278</v>
      </c>
      <c r="H47" s="1">
        <v>240</v>
      </c>
      <c r="I47" s="1">
        <v>247</v>
      </c>
      <c r="J47" s="1">
        <v>240</v>
      </c>
      <c r="K47" s="1">
        <v>248</v>
      </c>
      <c r="L47" s="1">
        <v>247</v>
      </c>
      <c r="M47" s="1">
        <v>238</v>
      </c>
      <c r="N47" s="1">
        <v>248</v>
      </c>
      <c r="O47" s="1">
        <v>240</v>
      </c>
      <c r="P47" s="1">
        <v>244</v>
      </c>
      <c r="Q47" s="24">
        <f t="shared" si="0"/>
        <v>3008</v>
      </c>
      <c r="R47" s="23">
        <v>46147</v>
      </c>
      <c r="S47" s="1">
        <v>41126</v>
      </c>
      <c r="T47" s="1">
        <v>43241</v>
      </c>
      <c r="U47" s="1">
        <v>38729</v>
      </c>
      <c r="V47" s="1">
        <v>39051</v>
      </c>
      <c r="W47" s="1">
        <v>38396</v>
      </c>
      <c r="X47" s="1">
        <v>38847</v>
      </c>
      <c r="Y47" s="1">
        <v>41987</v>
      </c>
      <c r="Z47" s="1">
        <v>39290</v>
      </c>
      <c r="AA47" s="1">
        <v>39740</v>
      </c>
      <c r="AB47" s="1">
        <v>37395</v>
      </c>
      <c r="AC47" s="1">
        <v>36009</v>
      </c>
      <c r="AD47" s="24">
        <f t="shared" si="1"/>
        <v>479958</v>
      </c>
      <c r="AE47" s="23">
        <v>173785</v>
      </c>
      <c r="AF47" s="1">
        <v>228195</v>
      </c>
      <c r="AG47" s="1">
        <v>265267</v>
      </c>
      <c r="AH47" s="1">
        <v>199647</v>
      </c>
      <c r="AI47" s="1">
        <v>235062</v>
      </c>
      <c r="AJ47" s="1">
        <v>250611</v>
      </c>
      <c r="AK47" s="1">
        <v>206601</v>
      </c>
      <c r="AL47" s="1">
        <v>213377</v>
      </c>
      <c r="AM47" s="1">
        <v>245923</v>
      </c>
      <c r="AN47" s="1">
        <v>260992</v>
      </c>
      <c r="AO47" s="1">
        <v>297080</v>
      </c>
      <c r="AP47" s="1">
        <v>283652</v>
      </c>
      <c r="AQ47" s="24">
        <f t="shared" si="2"/>
        <v>2860192</v>
      </c>
    </row>
    <row r="48" spans="1:43" ht="17.25" customHeight="1" x14ac:dyDescent="0.45">
      <c r="A48" s="12" t="s">
        <v>86</v>
      </c>
      <c r="B48" s="12" t="s">
        <v>87</v>
      </c>
      <c r="C48" s="12" t="s">
        <v>13</v>
      </c>
      <c r="D48" s="12" t="s">
        <v>66</v>
      </c>
      <c r="E48" s="25">
        <v>9</v>
      </c>
      <c r="F48" s="10">
        <v>8</v>
      </c>
      <c r="G48" s="10">
        <v>9</v>
      </c>
      <c r="H48" s="10">
        <v>9</v>
      </c>
      <c r="I48" s="10">
        <v>9</v>
      </c>
      <c r="J48" s="10">
        <v>8</v>
      </c>
      <c r="K48" s="10">
        <v>9</v>
      </c>
      <c r="L48" s="10">
        <v>9</v>
      </c>
      <c r="M48" s="10">
        <v>9</v>
      </c>
      <c r="N48" s="10">
        <v>8</v>
      </c>
      <c r="O48" s="10">
        <v>9</v>
      </c>
      <c r="P48" s="10">
        <v>9</v>
      </c>
      <c r="Q48" s="26">
        <f t="shared" si="0"/>
        <v>105</v>
      </c>
      <c r="R48" s="25">
        <v>1346</v>
      </c>
      <c r="S48" s="10">
        <v>1199</v>
      </c>
      <c r="T48" s="10">
        <v>1409</v>
      </c>
      <c r="U48" s="10">
        <v>1355</v>
      </c>
      <c r="V48" s="10">
        <v>1233</v>
      </c>
      <c r="W48" s="10">
        <v>1343</v>
      </c>
      <c r="X48" s="10">
        <v>1486</v>
      </c>
      <c r="Y48" s="10">
        <v>1594</v>
      </c>
      <c r="Z48" s="10">
        <v>1488</v>
      </c>
      <c r="AA48" s="10">
        <v>1303</v>
      </c>
      <c r="AB48" s="10">
        <v>1449</v>
      </c>
      <c r="AC48" s="10">
        <v>1372</v>
      </c>
      <c r="AD48" s="26">
        <f t="shared" si="1"/>
        <v>16577</v>
      </c>
      <c r="AE48" s="25">
        <v>883</v>
      </c>
      <c r="AF48" s="10">
        <v>186</v>
      </c>
      <c r="AG48" s="10">
        <v>102</v>
      </c>
      <c r="AH48" s="10">
        <v>0</v>
      </c>
      <c r="AI48" s="10">
        <v>786</v>
      </c>
      <c r="AJ48" s="10">
        <v>33</v>
      </c>
      <c r="AK48" s="10">
        <v>47</v>
      </c>
      <c r="AL48" s="10">
        <v>127</v>
      </c>
      <c r="AM48" s="10">
        <v>54</v>
      </c>
      <c r="AN48" s="10">
        <v>1847</v>
      </c>
      <c r="AO48" s="10">
        <v>137</v>
      </c>
      <c r="AP48" s="10">
        <v>128</v>
      </c>
      <c r="AQ48" s="26">
        <f t="shared" si="2"/>
        <v>4330</v>
      </c>
    </row>
    <row r="49" spans="1:43" ht="17.25" customHeight="1" x14ac:dyDescent="0.45">
      <c r="A49" s="2" t="s">
        <v>86</v>
      </c>
      <c r="B49" s="2" t="s">
        <v>87</v>
      </c>
      <c r="C49" s="2" t="s">
        <v>14</v>
      </c>
      <c r="D49" s="2" t="s">
        <v>66</v>
      </c>
      <c r="E49" s="23">
        <v>4</v>
      </c>
      <c r="F49" s="1">
        <v>5</v>
      </c>
      <c r="G49" s="1">
        <v>4</v>
      </c>
      <c r="H49" s="1">
        <v>34</v>
      </c>
      <c r="I49" s="1">
        <v>36</v>
      </c>
      <c r="J49" s="1">
        <v>34</v>
      </c>
      <c r="K49" s="1">
        <v>36</v>
      </c>
      <c r="L49" s="1">
        <v>35</v>
      </c>
      <c r="M49" s="1">
        <v>33</v>
      </c>
      <c r="N49" s="1">
        <v>36</v>
      </c>
      <c r="O49" s="1">
        <v>33</v>
      </c>
      <c r="P49" s="1">
        <v>34</v>
      </c>
      <c r="Q49" s="24">
        <f t="shared" si="0"/>
        <v>324</v>
      </c>
      <c r="R49" s="23">
        <v>0</v>
      </c>
      <c r="S49" s="1">
        <v>0</v>
      </c>
      <c r="T49" s="1">
        <v>152</v>
      </c>
      <c r="U49" s="1">
        <v>4559</v>
      </c>
      <c r="V49" s="1">
        <v>4439</v>
      </c>
      <c r="W49" s="1">
        <v>4805</v>
      </c>
      <c r="X49" s="1">
        <v>4899</v>
      </c>
      <c r="Y49" s="1">
        <v>5401</v>
      </c>
      <c r="Z49" s="1">
        <v>4915</v>
      </c>
      <c r="AA49" s="1">
        <v>5287</v>
      </c>
      <c r="AB49" s="1">
        <v>5162</v>
      </c>
      <c r="AC49" s="1">
        <v>4950</v>
      </c>
      <c r="AD49" s="24">
        <f t="shared" si="1"/>
        <v>44569</v>
      </c>
      <c r="AE49" s="23">
        <v>197361</v>
      </c>
      <c r="AF49" s="1">
        <v>258394</v>
      </c>
      <c r="AG49" s="1">
        <v>119328</v>
      </c>
      <c r="AH49" s="1">
        <v>213646</v>
      </c>
      <c r="AI49" s="1">
        <v>245254</v>
      </c>
      <c r="AJ49" s="1">
        <v>232462</v>
      </c>
      <c r="AK49" s="1">
        <v>281879</v>
      </c>
      <c r="AL49" s="1">
        <v>235933</v>
      </c>
      <c r="AM49" s="1">
        <v>177079</v>
      </c>
      <c r="AN49" s="1">
        <v>304108</v>
      </c>
      <c r="AO49" s="1">
        <v>219977</v>
      </c>
      <c r="AP49" s="1">
        <v>243656</v>
      </c>
      <c r="AQ49" s="24">
        <f t="shared" si="2"/>
        <v>2729077</v>
      </c>
    </row>
    <row r="50" spans="1:43" ht="17.25" customHeight="1" x14ac:dyDescent="0.45">
      <c r="A50" s="12" t="s">
        <v>86</v>
      </c>
      <c r="B50" s="12" t="s">
        <v>87</v>
      </c>
      <c r="C50" s="12" t="s">
        <v>247</v>
      </c>
      <c r="D50" s="12" t="s">
        <v>66</v>
      </c>
      <c r="E50" s="25">
        <v>0</v>
      </c>
      <c r="F50" s="10">
        <v>0</v>
      </c>
      <c r="G50" s="10">
        <v>0</v>
      </c>
      <c r="H50" s="10">
        <v>0</v>
      </c>
      <c r="I50" s="10">
        <v>0</v>
      </c>
      <c r="J50" s="10">
        <v>0</v>
      </c>
      <c r="K50" s="10">
        <v>0</v>
      </c>
      <c r="L50" s="10">
        <v>0</v>
      </c>
      <c r="M50" s="10">
        <v>0</v>
      </c>
      <c r="N50" s="10">
        <v>0</v>
      </c>
      <c r="O50" s="10">
        <v>0</v>
      </c>
      <c r="P50" s="10">
        <v>10</v>
      </c>
      <c r="Q50" s="26">
        <f t="shared" si="0"/>
        <v>10</v>
      </c>
      <c r="R50" s="25">
        <v>0</v>
      </c>
      <c r="S50" s="10">
        <v>0</v>
      </c>
      <c r="T50" s="10">
        <v>0</v>
      </c>
      <c r="U50" s="10">
        <v>0</v>
      </c>
      <c r="V50" s="10">
        <v>0</v>
      </c>
      <c r="W50" s="10">
        <v>0</v>
      </c>
      <c r="X50" s="10">
        <v>0</v>
      </c>
      <c r="Y50" s="10">
        <v>0</v>
      </c>
      <c r="Z50" s="10">
        <v>0</v>
      </c>
      <c r="AA50" s="10">
        <v>0</v>
      </c>
      <c r="AB50" s="10">
        <v>0</v>
      </c>
      <c r="AC50" s="10">
        <v>583</v>
      </c>
      <c r="AD50" s="26">
        <f t="shared" si="1"/>
        <v>583</v>
      </c>
      <c r="AE50" s="25">
        <v>0</v>
      </c>
      <c r="AF50" s="10">
        <v>0</v>
      </c>
      <c r="AG50" s="10">
        <v>0</v>
      </c>
      <c r="AH50" s="10">
        <v>0</v>
      </c>
      <c r="AI50" s="10">
        <v>0</v>
      </c>
      <c r="AJ50" s="10">
        <v>0</v>
      </c>
      <c r="AK50" s="10">
        <v>0</v>
      </c>
      <c r="AL50" s="10">
        <v>0</v>
      </c>
      <c r="AM50" s="10">
        <v>0</v>
      </c>
      <c r="AN50" s="10">
        <v>0</v>
      </c>
      <c r="AO50" s="10">
        <v>0</v>
      </c>
      <c r="AP50" s="10">
        <v>0</v>
      </c>
      <c r="AQ50" s="26">
        <f t="shared" si="2"/>
        <v>0</v>
      </c>
    </row>
    <row r="51" spans="1:43" ht="17.25" customHeight="1" x14ac:dyDescent="0.45">
      <c r="A51" s="2" t="s">
        <v>88</v>
      </c>
      <c r="B51" s="2" t="s">
        <v>68</v>
      </c>
      <c r="C51" s="2" t="s">
        <v>10</v>
      </c>
      <c r="D51" s="2" t="s">
        <v>66</v>
      </c>
      <c r="E51" s="23">
        <v>77</v>
      </c>
      <c r="F51" s="1">
        <v>68</v>
      </c>
      <c r="G51" s="1">
        <v>72</v>
      </c>
      <c r="H51" s="1">
        <v>76</v>
      </c>
      <c r="I51" s="1">
        <v>66</v>
      </c>
      <c r="J51" s="1">
        <v>65</v>
      </c>
      <c r="K51" s="1">
        <v>66</v>
      </c>
      <c r="L51" s="1">
        <v>63</v>
      </c>
      <c r="M51" s="1">
        <v>35</v>
      </c>
      <c r="N51" s="1">
        <v>43</v>
      </c>
      <c r="O51" s="1">
        <v>87</v>
      </c>
      <c r="P51" s="1">
        <v>97</v>
      </c>
      <c r="Q51" s="24">
        <f t="shared" si="0"/>
        <v>815</v>
      </c>
      <c r="R51" s="23">
        <v>11364</v>
      </c>
      <c r="S51" s="1">
        <v>11428</v>
      </c>
      <c r="T51" s="1">
        <v>12707</v>
      </c>
      <c r="U51" s="1">
        <v>12665</v>
      </c>
      <c r="V51" s="1">
        <v>10782</v>
      </c>
      <c r="W51" s="1">
        <v>10533</v>
      </c>
      <c r="X51" s="1">
        <v>11011</v>
      </c>
      <c r="Y51" s="1">
        <v>10514</v>
      </c>
      <c r="Z51" s="1">
        <v>5191</v>
      </c>
      <c r="AA51" s="1">
        <v>7147</v>
      </c>
      <c r="AB51" s="1">
        <v>12757</v>
      </c>
      <c r="AC51" s="1">
        <v>15977</v>
      </c>
      <c r="AD51" s="24">
        <f t="shared" si="1"/>
        <v>132076</v>
      </c>
      <c r="AE51" s="23">
        <v>0</v>
      </c>
      <c r="AF51" s="1">
        <v>0</v>
      </c>
      <c r="AG51" s="1">
        <v>0</v>
      </c>
      <c r="AH51" s="1">
        <v>0</v>
      </c>
      <c r="AI51" s="1">
        <v>0</v>
      </c>
      <c r="AJ51" s="1">
        <v>0</v>
      </c>
      <c r="AK51" s="1">
        <v>0</v>
      </c>
      <c r="AL51" s="1">
        <v>0</v>
      </c>
      <c r="AM51" s="1">
        <v>0</v>
      </c>
      <c r="AN51" s="1">
        <v>0</v>
      </c>
      <c r="AO51" s="1">
        <v>0</v>
      </c>
      <c r="AP51" s="1">
        <v>0</v>
      </c>
      <c r="AQ51" s="24">
        <f t="shared" si="2"/>
        <v>0</v>
      </c>
    </row>
    <row r="52" spans="1:43" ht="17.25" customHeight="1" x14ac:dyDescent="0.45">
      <c r="A52" s="12" t="s">
        <v>88</v>
      </c>
      <c r="B52" s="12" t="s">
        <v>68</v>
      </c>
      <c r="C52" s="12" t="s">
        <v>12</v>
      </c>
      <c r="D52" s="12" t="s">
        <v>66</v>
      </c>
      <c r="E52" s="25">
        <v>0</v>
      </c>
      <c r="F52" s="10">
        <v>0</v>
      </c>
      <c r="G52" s="10">
        <v>10</v>
      </c>
      <c r="H52" s="10">
        <v>30</v>
      </c>
      <c r="I52" s="10">
        <v>31</v>
      </c>
      <c r="J52" s="10">
        <v>29</v>
      </c>
      <c r="K52" s="10">
        <v>31</v>
      </c>
      <c r="L52" s="10">
        <v>31</v>
      </c>
      <c r="M52" s="10">
        <v>30</v>
      </c>
      <c r="N52" s="10">
        <v>31</v>
      </c>
      <c r="O52" s="10">
        <v>30</v>
      </c>
      <c r="P52" s="10">
        <v>31</v>
      </c>
      <c r="Q52" s="26">
        <f t="shared" si="0"/>
        <v>284</v>
      </c>
      <c r="R52" s="25">
        <v>0</v>
      </c>
      <c r="S52" s="10">
        <v>0</v>
      </c>
      <c r="T52" s="10">
        <v>896</v>
      </c>
      <c r="U52" s="10">
        <v>3832</v>
      </c>
      <c r="V52" s="10">
        <v>3758</v>
      </c>
      <c r="W52" s="10">
        <v>4090</v>
      </c>
      <c r="X52" s="10">
        <v>4564</v>
      </c>
      <c r="Y52" s="10">
        <v>4500</v>
      </c>
      <c r="Z52" s="10">
        <v>3709</v>
      </c>
      <c r="AA52" s="10">
        <v>4785</v>
      </c>
      <c r="AB52" s="10">
        <v>4120</v>
      </c>
      <c r="AC52" s="10">
        <v>4750</v>
      </c>
      <c r="AD52" s="26">
        <f t="shared" si="1"/>
        <v>39004</v>
      </c>
      <c r="AE52" s="25">
        <v>0</v>
      </c>
      <c r="AF52" s="10">
        <v>0</v>
      </c>
      <c r="AG52" s="10">
        <v>0</v>
      </c>
      <c r="AH52" s="10">
        <v>0</v>
      </c>
      <c r="AI52" s="10">
        <v>0</v>
      </c>
      <c r="AJ52" s="10">
        <v>0</v>
      </c>
      <c r="AK52" s="10">
        <v>20</v>
      </c>
      <c r="AL52" s="10">
        <v>0</v>
      </c>
      <c r="AM52" s="10">
        <v>0</v>
      </c>
      <c r="AN52" s="10">
        <v>5</v>
      </c>
      <c r="AO52" s="10">
        <v>0</v>
      </c>
      <c r="AP52" s="10">
        <v>0</v>
      </c>
      <c r="AQ52" s="26">
        <f t="shared" si="2"/>
        <v>25</v>
      </c>
    </row>
    <row r="53" spans="1:43" ht="17.25" customHeight="1" x14ac:dyDescent="0.45">
      <c r="A53" s="2" t="s">
        <v>336</v>
      </c>
      <c r="B53" s="2" t="s">
        <v>89</v>
      </c>
      <c r="C53" s="2" t="s">
        <v>10</v>
      </c>
      <c r="D53" s="2" t="s">
        <v>66</v>
      </c>
      <c r="E53" s="23">
        <v>0</v>
      </c>
      <c r="F53" s="1">
        <v>0</v>
      </c>
      <c r="G53" s="1">
        <v>0</v>
      </c>
      <c r="H53" s="1">
        <v>0</v>
      </c>
      <c r="I53" s="1">
        <v>0</v>
      </c>
      <c r="J53" s="1">
        <v>0</v>
      </c>
      <c r="K53" s="1">
        <v>0</v>
      </c>
      <c r="L53" s="1">
        <v>0</v>
      </c>
      <c r="M53" s="1">
        <v>0</v>
      </c>
      <c r="N53" s="1">
        <v>0</v>
      </c>
      <c r="O53" s="1">
        <v>0</v>
      </c>
      <c r="P53" s="1">
        <v>7</v>
      </c>
      <c r="Q53" s="24">
        <f t="shared" si="0"/>
        <v>7</v>
      </c>
      <c r="R53" s="23">
        <v>0</v>
      </c>
      <c r="S53" s="1">
        <v>0</v>
      </c>
      <c r="T53" s="1">
        <v>0</v>
      </c>
      <c r="U53" s="1">
        <v>0</v>
      </c>
      <c r="V53" s="1">
        <v>0</v>
      </c>
      <c r="W53" s="1">
        <v>0</v>
      </c>
      <c r="X53" s="1">
        <v>0</v>
      </c>
      <c r="Y53" s="1">
        <v>0</v>
      </c>
      <c r="Z53" s="1">
        <v>0</v>
      </c>
      <c r="AA53" s="1">
        <v>0</v>
      </c>
      <c r="AB53" s="1">
        <v>0</v>
      </c>
      <c r="AC53" s="1">
        <v>1104</v>
      </c>
      <c r="AD53" s="24">
        <f t="shared" si="1"/>
        <v>1104</v>
      </c>
      <c r="AE53" s="23">
        <v>0</v>
      </c>
      <c r="AF53" s="1">
        <v>0</v>
      </c>
      <c r="AG53" s="1">
        <v>0</v>
      </c>
      <c r="AH53" s="1">
        <v>0</v>
      </c>
      <c r="AI53" s="1">
        <v>0</v>
      </c>
      <c r="AJ53" s="1">
        <v>0</v>
      </c>
      <c r="AK53" s="1">
        <v>0</v>
      </c>
      <c r="AL53" s="1">
        <v>0</v>
      </c>
      <c r="AM53" s="1">
        <v>0</v>
      </c>
      <c r="AN53" s="1">
        <v>0</v>
      </c>
      <c r="AO53" s="1">
        <v>0</v>
      </c>
      <c r="AP53" s="1">
        <v>0</v>
      </c>
      <c r="AQ53" s="24">
        <f t="shared" si="2"/>
        <v>0</v>
      </c>
    </row>
    <row r="54" spans="1:43" ht="17.25" customHeight="1" x14ac:dyDescent="0.45">
      <c r="A54" s="12" t="s">
        <v>207</v>
      </c>
      <c r="B54" s="12" t="s">
        <v>68</v>
      </c>
      <c r="C54" s="12" t="s">
        <v>13</v>
      </c>
      <c r="D54" s="12" t="s">
        <v>66</v>
      </c>
      <c r="E54" s="25">
        <v>0</v>
      </c>
      <c r="F54" s="10">
        <v>0</v>
      </c>
      <c r="G54" s="10">
        <v>0</v>
      </c>
      <c r="H54" s="10">
        <v>0</v>
      </c>
      <c r="I54" s="10">
        <v>0</v>
      </c>
      <c r="J54" s="10">
        <v>0</v>
      </c>
      <c r="K54" s="10">
        <v>0</v>
      </c>
      <c r="L54" s="10">
        <v>0</v>
      </c>
      <c r="M54" s="10">
        <v>0</v>
      </c>
      <c r="N54" s="10">
        <v>14</v>
      </c>
      <c r="O54" s="10">
        <v>27</v>
      </c>
      <c r="P54" s="10">
        <v>12</v>
      </c>
      <c r="Q54" s="26">
        <f t="shared" si="0"/>
        <v>53</v>
      </c>
      <c r="R54" s="25">
        <v>0</v>
      </c>
      <c r="S54" s="10">
        <v>0</v>
      </c>
      <c r="T54" s="10">
        <v>0</v>
      </c>
      <c r="U54" s="10">
        <v>0</v>
      </c>
      <c r="V54" s="10">
        <v>0</v>
      </c>
      <c r="W54" s="10">
        <v>0</v>
      </c>
      <c r="X54" s="10">
        <v>0</v>
      </c>
      <c r="Y54" s="10">
        <v>0</v>
      </c>
      <c r="Z54" s="10">
        <v>0</v>
      </c>
      <c r="AA54" s="10">
        <v>34</v>
      </c>
      <c r="AB54" s="10">
        <v>73</v>
      </c>
      <c r="AC54" s="10">
        <v>28</v>
      </c>
      <c r="AD54" s="26">
        <f t="shared" si="1"/>
        <v>135</v>
      </c>
      <c r="AE54" s="25">
        <v>0</v>
      </c>
      <c r="AF54" s="10">
        <v>0</v>
      </c>
      <c r="AG54" s="10">
        <v>0</v>
      </c>
      <c r="AH54" s="10">
        <v>0</v>
      </c>
      <c r="AI54" s="10">
        <v>0</v>
      </c>
      <c r="AJ54" s="10">
        <v>0</v>
      </c>
      <c r="AK54" s="10">
        <v>0</v>
      </c>
      <c r="AL54" s="10">
        <v>0</v>
      </c>
      <c r="AM54" s="10">
        <v>0</v>
      </c>
      <c r="AN54" s="10">
        <v>0</v>
      </c>
      <c r="AO54" s="10">
        <v>0</v>
      </c>
      <c r="AP54" s="10">
        <v>0</v>
      </c>
      <c r="AQ54" s="26">
        <f t="shared" si="2"/>
        <v>0</v>
      </c>
    </row>
    <row r="55" spans="1:43" ht="17.25" customHeight="1" x14ac:dyDescent="0.45">
      <c r="A55" s="2" t="s">
        <v>90</v>
      </c>
      <c r="B55" s="2" t="s">
        <v>91</v>
      </c>
      <c r="C55" s="2" t="s">
        <v>10</v>
      </c>
      <c r="D55" s="2" t="s">
        <v>66</v>
      </c>
      <c r="E55" s="23">
        <v>13</v>
      </c>
      <c r="F55" s="1">
        <v>12</v>
      </c>
      <c r="G55" s="1">
        <v>14</v>
      </c>
      <c r="H55" s="1">
        <v>12</v>
      </c>
      <c r="I55" s="1">
        <v>11</v>
      </c>
      <c r="J55" s="1">
        <v>9</v>
      </c>
      <c r="K55" s="1">
        <v>13</v>
      </c>
      <c r="L55" s="1">
        <v>13</v>
      </c>
      <c r="M55" s="1">
        <v>9</v>
      </c>
      <c r="N55" s="1">
        <v>9</v>
      </c>
      <c r="O55" s="1">
        <v>9</v>
      </c>
      <c r="P55" s="1">
        <v>8</v>
      </c>
      <c r="Q55" s="24">
        <f t="shared" si="0"/>
        <v>132</v>
      </c>
      <c r="R55" s="23">
        <v>2804</v>
      </c>
      <c r="S55" s="1">
        <v>2789</v>
      </c>
      <c r="T55" s="1">
        <v>2669</v>
      </c>
      <c r="U55" s="1">
        <v>2719</v>
      </c>
      <c r="V55" s="1">
        <v>2312</v>
      </c>
      <c r="W55" s="1">
        <v>2161</v>
      </c>
      <c r="X55" s="1">
        <v>3881</v>
      </c>
      <c r="Y55" s="1">
        <v>3611</v>
      </c>
      <c r="Z55" s="1">
        <v>2290</v>
      </c>
      <c r="AA55" s="1">
        <v>2617</v>
      </c>
      <c r="AB55" s="1">
        <v>2606</v>
      </c>
      <c r="AC55" s="1">
        <v>2378</v>
      </c>
      <c r="AD55" s="24">
        <f t="shared" si="1"/>
        <v>32837</v>
      </c>
      <c r="AE55" s="23">
        <v>0</v>
      </c>
      <c r="AF55" s="1">
        <v>0</v>
      </c>
      <c r="AG55" s="1">
        <v>0</v>
      </c>
      <c r="AH55" s="1">
        <v>0</v>
      </c>
      <c r="AI55" s="1">
        <v>0</v>
      </c>
      <c r="AJ55" s="1">
        <v>0</v>
      </c>
      <c r="AK55" s="1">
        <v>0</v>
      </c>
      <c r="AL55" s="1">
        <v>0</v>
      </c>
      <c r="AM55" s="1">
        <v>0</v>
      </c>
      <c r="AN55" s="1">
        <v>0</v>
      </c>
      <c r="AO55" s="1">
        <v>0</v>
      </c>
      <c r="AP55" s="1">
        <v>0</v>
      </c>
      <c r="AQ55" s="24">
        <f t="shared" si="2"/>
        <v>0</v>
      </c>
    </row>
    <row r="56" spans="1:43" ht="17.25" customHeight="1" x14ac:dyDescent="0.45">
      <c r="A56" s="12" t="s">
        <v>92</v>
      </c>
      <c r="B56" s="12" t="s">
        <v>93</v>
      </c>
      <c r="C56" s="12" t="s">
        <v>10</v>
      </c>
      <c r="D56" s="12" t="s">
        <v>66</v>
      </c>
      <c r="E56" s="25">
        <v>22</v>
      </c>
      <c r="F56" s="10">
        <v>21</v>
      </c>
      <c r="G56" s="10">
        <v>22</v>
      </c>
      <c r="H56" s="10">
        <v>21</v>
      </c>
      <c r="I56" s="10">
        <v>18</v>
      </c>
      <c r="J56" s="10">
        <v>17</v>
      </c>
      <c r="K56" s="10">
        <v>22</v>
      </c>
      <c r="L56" s="10">
        <v>19</v>
      </c>
      <c r="M56" s="10">
        <v>17</v>
      </c>
      <c r="N56" s="10">
        <v>18</v>
      </c>
      <c r="O56" s="10">
        <v>16</v>
      </c>
      <c r="P56" s="10">
        <v>18</v>
      </c>
      <c r="Q56" s="26">
        <f t="shared" si="0"/>
        <v>231</v>
      </c>
      <c r="R56" s="25">
        <v>5386</v>
      </c>
      <c r="S56" s="10">
        <v>4655</v>
      </c>
      <c r="T56" s="10">
        <v>4932</v>
      </c>
      <c r="U56" s="10">
        <v>4750</v>
      </c>
      <c r="V56" s="10">
        <v>3924</v>
      </c>
      <c r="W56" s="10">
        <v>4027</v>
      </c>
      <c r="X56" s="10">
        <v>5041</v>
      </c>
      <c r="Y56" s="10">
        <v>3992</v>
      </c>
      <c r="Z56" s="10">
        <v>3901</v>
      </c>
      <c r="AA56" s="10">
        <v>4177</v>
      </c>
      <c r="AB56" s="10">
        <v>3490</v>
      </c>
      <c r="AC56" s="10">
        <v>4198</v>
      </c>
      <c r="AD56" s="26">
        <f t="shared" si="1"/>
        <v>52473</v>
      </c>
      <c r="AE56" s="25">
        <v>18776</v>
      </c>
      <c r="AF56" s="10">
        <v>2993</v>
      </c>
      <c r="AG56" s="10">
        <v>142629</v>
      </c>
      <c r="AH56" s="10">
        <v>1930</v>
      </c>
      <c r="AI56" s="10">
        <v>1140</v>
      </c>
      <c r="AJ56" s="10">
        <v>0</v>
      </c>
      <c r="AK56" s="10">
        <v>3600</v>
      </c>
      <c r="AL56" s="10">
        <v>3695</v>
      </c>
      <c r="AM56" s="10">
        <v>1114</v>
      </c>
      <c r="AN56" s="10">
        <v>1837</v>
      </c>
      <c r="AO56" s="10">
        <v>37084</v>
      </c>
      <c r="AP56" s="10">
        <v>34522</v>
      </c>
      <c r="AQ56" s="26">
        <f t="shared" si="2"/>
        <v>249320</v>
      </c>
    </row>
    <row r="57" spans="1:43" ht="17.25" customHeight="1" x14ac:dyDescent="0.45">
      <c r="A57" s="2" t="s">
        <v>92</v>
      </c>
      <c r="B57" s="2" t="s">
        <v>93</v>
      </c>
      <c r="C57" s="2" t="s">
        <v>12</v>
      </c>
      <c r="D57" s="2" t="s">
        <v>66</v>
      </c>
      <c r="E57" s="23">
        <v>57</v>
      </c>
      <c r="F57" s="1">
        <v>56</v>
      </c>
      <c r="G57" s="1">
        <v>52</v>
      </c>
      <c r="H57" s="1">
        <v>42</v>
      </c>
      <c r="I57" s="1">
        <v>45</v>
      </c>
      <c r="J57" s="1">
        <v>31</v>
      </c>
      <c r="K57" s="1">
        <v>31</v>
      </c>
      <c r="L57" s="1">
        <v>31</v>
      </c>
      <c r="M57" s="1">
        <v>29</v>
      </c>
      <c r="N57" s="1">
        <v>33</v>
      </c>
      <c r="O57" s="1">
        <v>47</v>
      </c>
      <c r="P57" s="1">
        <v>42</v>
      </c>
      <c r="Q57" s="24">
        <f t="shared" si="0"/>
        <v>496</v>
      </c>
      <c r="R57" s="23">
        <v>14312</v>
      </c>
      <c r="S57" s="1">
        <v>11407</v>
      </c>
      <c r="T57" s="1">
        <v>11229</v>
      </c>
      <c r="U57" s="1">
        <v>10287</v>
      </c>
      <c r="V57" s="1">
        <v>10774</v>
      </c>
      <c r="W57" s="1">
        <v>7020</v>
      </c>
      <c r="X57" s="1">
        <v>7367</v>
      </c>
      <c r="Y57" s="1">
        <v>7578</v>
      </c>
      <c r="Z57" s="1">
        <v>7025</v>
      </c>
      <c r="AA57" s="1">
        <v>7971</v>
      </c>
      <c r="AB57" s="1">
        <v>9687</v>
      </c>
      <c r="AC57" s="1">
        <v>8995</v>
      </c>
      <c r="AD57" s="24">
        <f t="shared" si="1"/>
        <v>113652</v>
      </c>
      <c r="AE57" s="23">
        <v>435055</v>
      </c>
      <c r="AF57" s="1">
        <v>573120</v>
      </c>
      <c r="AG57" s="1">
        <v>605741</v>
      </c>
      <c r="AH57" s="1">
        <v>555583</v>
      </c>
      <c r="AI57" s="1">
        <v>568341</v>
      </c>
      <c r="AJ57" s="1">
        <v>458765</v>
      </c>
      <c r="AK57" s="1">
        <v>420974</v>
      </c>
      <c r="AL57" s="1">
        <v>416958</v>
      </c>
      <c r="AM57" s="1">
        <v>468844</v>
      </c>
      <c r="AN57" s="1">
        <v>542699</v>
      </c>
      <c r="AO57" s="1">
        <v>489434</v>
      </c>
      <c r="AP57" s="1">
        <v>567122</v>
      </c>
      <c r="AQ57" s="24">
        <f t="shared" si="2"/>
        <v>6102636</v>
      </c>
    </row>
    <row r="58" spans="1:43" ht="17.25" customHeight="1" x14ac:dyDescent="0.45">
      <c r="A58" s="12" t="s">
        <v>94</v>
      </c>
      <c r="B58" s="12" t="s">
        <v>65</v>
      </c>
      <c r="C58" s="12" t="s">
        <v>10</v>
      </c>
      <c r="D58" s="12" t="s">
        <v>66</v>
      </c>
      <c r="E58" s="25">
        <v>99</v>
      </c>
      <c r="F58" s="10">
        <v>93</v>
      </c>
      <c r="G58" s="10">
        <v>105</v>
      </c>
      <c r="H58" s="10">
        <v>90</v>
      </c>
      <c r="I58" s="10">
        <v>50</v>
      </c>
      <c r="J58" s="10">
        <v>26</v>
      </c>
      <c r="K58" s="10">
        <v>29</v>
      </c>
      <c r="L58" s="10">
        <v>32</v>
      </c>
      <c r="M58" s="10">
        <v>23</v>
      </c>
      <c r="N58" s="10">
        <v>41</v>
      </c>
      <c r="O58" s="10">
        <v>71</v>
      </c>
      <c r="P58" s="10">
        <v>74</v>
      </c>
      <c r="Q58" s="26">
        <f t="shared" si="0"/>
        <v>733</v>
      </c>
      <c r="R58" s="25">
        <v>20009</v>
      </c>
      <c r="S58" s="10">
        <v>18414</v>
      </c>
      <c r="T58" s="10">
        <v>19283</v>
      </c>
      <c r="U58" s="10">
        <v>15965</v>
      </c>
      <c r="V58" s="10">
        <v>7500</v>
      </c>
      <c r="W58" s="10">
        <v>3721</v>
      </c>
      <c r="X58" s="10">
        <v>4696</v>
      </c>
      <c r="Y58" s="10">
        <v>5054</v>
      </c>
      <c r="Z58" s="10">
        <v>3802</v>
      </c>
      <c r="AA58" s="10">
        <v>7745</v>
      </c>
      <c r="AB58" s="10">
        <v>15714</v>
      </c>
      <c r="AC58" s="10">
        <v>19213</v>
      </c>
      <c r="AD58" s="26">
        <f t="shared" si="1"/>
        <v>141116</v>
      </c>
      <c r="AE58" s="25">
        <v>0</v>
      </c>
      <c r="AF58" s="10">
        <v>0</v>
      </c>
      <c r="AG58" s="10">
        <v>0</v>
      </c>
      <c r="AH58" s="10">
        <v>0</v>
      </c>
      <c r="AI58" s="10">
        <v>0</v>
      </c>
      <c r="AJ58" s="10">
        <v>0</v>
      </c>
      <c r="AK58" s="10">
        <v>0</v>
      </c>
      <c r="AL58" s="10">
        <v>0</v>
      </c>
      <c r="AM58" s="10">
        <v>0</v>
      </c>
      <c r="AN58" s="10">
        <v>0</v>
      </c>
      <c r="AO58" s="10">
        <v>0</v>
      </c>
      <c r="AP58" s="10">
        <v>0</v>
      </c>
      <c r="AQ58" s="26">
        <f t="shared" si="2"/>
        <v>0</v>
      </c>
    </row>
    <row r="59" spans="1:43" ht="17.25" customHeight="1" x14ac:dyDescent="0.45">
      <c r="A59" s="2" t="s">
        <v>94</v>
      </c>
      <c r="B59" s="2" t="s">
        <v>65</v>
      </c>
      <c r="C59" s="2" t="s">
        <v>51</v>
      </c>
      <c r="D59" s="2" t="s">
        <v>66</v>
      </c>
      <c r="E59" s="23">
        <v>23</v>
      </c>
      <c r="F59" s="1">
        <v>20</v>
      </c>
      <c r="G59" s="1">
        <v>22</v>
      </c>
      <c r="H59" s="1">
        <v>17</v>
      </c>
      <c r="I59" s="1">
        <v>2</v>
      </c>
      <c r="J59" s="1">
        <v>0</v>
      </c>
      <c r="K59" s="1">
        <v>0</v>
      </c>
      <c r="L59" s="1">
        <v>0</v>
      </c>
      <c r="M59" s="1">
        <v>0</v>
      </c>
      <c r="N59" s="1">
        <v>7</v>
      </c>
      <c r="O59" s="1">
        <v>16</v>
      </c>
      <c r="P59" s="1">
        <v>25</v>
      </c>
      <c r="Q59" s="24">
        <f t="shared" si="0"/>
        <v>132</v>
      </c>
      <c r="R59" s="23">
        <v>3755</v>
      </c>
      <c r="S59" s="1">
        <v>3153</v>
      </c>
      <c r="T59" s="1">
        <v>2808</v>
      </c>
      <c r="U59" s="1">
        <v>1632</v>
      </c>
      <c r="V59" s="1">
        <v>49</v>
      </c>
      <c r="W59" s="1">
        <v>0</v>
      </c>
      <c r="X59" s="1">
        <v>0</v>
      </c>
      <c r="Y59" s="1">
        <v>0</v>
      </c>
      <c r="Z59" s="1">
        <v>0</v>
      </c>
      <c r="AA59" s="1">
        <v>1141</v>
      </c>
      <c r="AB59" s="1">
        <v>2448</v>
      </c>
      <c r="AC59" s="1">
        <v>3520</v>
      </c>
      <c r="AD59" s="24">
        <f t="shared" si="1"/>
        <v>18506</v>
      </c>
      <c r="AE59" s="23">
        <v>0</v>
      </c>
      <c r="AF59" s="1">
        <v>0</v>
      </c>
      <c r="AG59" s="1">
        <v>0</v>
      </c>
      <c r="AH59" s="1">
        <v>0</v>
      </c>
      <c r="AI59" s="1">
        <v>0</v>
      </c>
      <c r="AJ59" s="1">
        <v>0</v>
      </c>
      <c r="AK59" s="1">
        <v>0</v>
      </c>
      <c r="AL59" s="1">
        <v>0</v>
      </c>
      <c r="AM59" s="1">
        <v>0</v>
      </c>
      <c r="AN59" s="1">
        <v>0</v>
      </c>
      <c r="AO59" s="1">
        <v>0</v>
      </c>
      <c r="AP59" s="1">
        <v>0</v>
      </c>
      <c r="AQ59" s="24">
        <f t="shared" si="2"/>
        <v>0</v>
      </c>
    </row>
    <row r="60" spans="1:43" ht="17.25" customHeight="1" x14ac:dyDescent="0.45">
      <c r="A60" s="12" t="s">
        <v>94</v>
      </c>
      <c r="B60" s="12" t="s">
        <v>65</v>
      </c>
      <c r="C60" s="12" t="s">
        <v>52</v>
      </c>
      <c r="D60" s="12" t="s">
        <v>66</v>
      </c>
      <c r="E60" s="25">
        <v>18</v>
      </c>
      <c r="F60" s="10">
        <v>17</v>
      </c>
      <c r="G60" s="10">
        <v>17</v>
      </c>
      <c r="H60" s="10">
        <v>14</v>
      </c>
      <c r="I60" s="10">
        <v>0</v>
      </c>
      <c r="J60" s="10">
        <v>0</v>
      </c>
      <c r="K60" s="10">
        <v>0</v>
      </c>
      <c r="L60" s="10">
        <v>0</v>
      </c>
      <c r="M60" s="10">
        <v>0</v>
      </c>
      <c r="N60" s="10">
        <v>2</v>
      </c>
      <c r="O60" s="10">
        <v>13</v>
      </c>
      <c r="P60" s="10">
        <v>15</v>
      </c>
      <c r="Q60" s="26">
        <f t="shared" si="0"/>
        <v>96</v>
      </c>
      <c r="R60" s="25">
        <v>2884</v>
      </c>
      <c r="S60" s="10">
        <v>2556</v>
      </c>
      <c r="T60" s="10">
        <v>2099</v>
      </c>
      <c r="U60" s="10">
        <v>1055</v>
      </c>
      <c r="V60" s="10">
        <v>0</v>
      </c>
      <c r="W60" s="10">
        <v>0</v>
      </c>
      <c r="X60" s="10">
        <v>0</v>
      </c>
      <c r="Y60" s="10">
        <v>0</v>
      </c>
      <c r="Z60" s="10">
        <v>0</v>
      </c>
      <c r="AA60" s="10">
        <v>305</v>
      </c>
      <c r="AB60" s="10">
        <v>2033</v>
      </c>
      <c r="AC60" s="10">
        <v>2298</v>
      </c>
      <c r="AD60" s="26">
        <f t="shared" si="1"/>
        <v>13230</v>
      </c>
      <c r="AE60" s="25">
        <v>0</v>
      </c>
      <c r="AF60" s="10">
        <v>0</v>
      </c>
      <c r="AG60" s="10">
        <v>0</v>
      </c>
      <c r="AH60" s="10">
        <v>0</v>
      </c>
      <c r="AI60" s="10">
        <v>0</v>
      </c>
      <c r="AJ60" s="10">
        <v>0</v>
      </c>
      <c r="AK60" s="10">
        <v>0</v>
      </c>
      <c r="AL60" s="10">
        <v>0</v>
      </c>
      <c r="AM60" s="10">
        <v>0</v>
      </c>
      <c r="AN60" s="10">
        <v>0</v>
      </c>
      <c r="AO60" s="10">
        <v>0</v>
      </c>
      <c r="AP60" s="10">
        <v>0</v>
      </c>
      <c r="AQ60" s="26">
        <f t="shared" si="2"/>
        <v>0</v>
      </c>
    </row>
    <row r="61" spans="1:43" ht="17.25" customHeight="1" x14ac:dyDescent="0.45">
      <c r="A61" s="2" t="s">
        <v>94</v>
      </c>
      <c r="B61" s="2" t="s">
        <v>65</v>
      </c>
      <c r="C61" s="2" t="s">
        <v>54</v>
      </c>
      <c r="D61" s="2" t="s">
        <v>66</v>
      </c>
      <c r="E61" s="23">
        <v>4</v>
      </c>
      <c r="F61" s="1">
        <v>4</v>
      </c>
      <c r="G61" s="1">
        <v>5</v>
      </c>
      <c r="H61" s="1">
        <v>4</v>
      </c>
      <c r="I61" s="1">
        <v>0</v>
      </c>
      <c r="J61" s="1">
        <v>0</v>
      </c>
      <c r="K61" s="1">
        <v>0</v>
      </c>
      <c r="L61" s="1">
        <v>0</v>
      </c>
      <c r="M61" s="1">
        <v>0</v>
      </c>
      <c r="N61" s="1">
        <v>0</v>
      </c>
      <c r="O61" s="1">
        <v>5</v>
      </c>
      <c r="P61" s="1">
        <v>4</v>
      </c>
      <c r="Q61" s="24">
        <f t="shared" si="0"/>
        <v>26</v>
      </c>
      <c r="R61" s="23">
        <v>471</v>
      </c>
      <c r="S61" s="1">
        <v>608</v>
      </c>
      <c r="T61" s="1">
        <v>637</v>
      </c>
      <c r="U61" s="1">
        <v>304</v>
      </c>
      <c r="V61" s="1">
        <v>0</v>
      </c>
      <c r="W61" s="1">
        <v>0</v>
      </c>
      <c r="X61" s="1">
        <v>0</v>
      </c>
      <c r="Y61" s="1">
        <v>0</v>
      </c>
      <c r="Z61" s="1">
        <v>0</v>
      </c>
      <c r="AA61" s="1">
        <v>0</v>
      </c>
      <c r="AB61" s="1">
        <v>737</v>
      </c>
      <c r="AC61" s="1">
        <v>415</v>
      </c>
      <c r="AD61" s="24">
        <f t="shared" si="1"/>
        <v>3172</v>
      </c>
      <c r="AE61" s="23">
        <v>0</v>
      </c>
      <c r="AF61" s="1">
        <v>0</v>
      </c>
      <c r="AG61" s="1">
        <v>0</v>
      </c>
      <c r="AH61" s="1">
        <v>0</v>
      </c>
      <c r="AI61" s="1">
        <v>0</v>
      </c>
      <c r="AJ61" s="1">
        <v>0</v>
      </c>
      <c r="AK61" s="1">
        <v>0</v>
      </c>
      <c r="AL61" s="1">
        <v>0</v>
      </c>
      <c r="AM61" s="1">
        <v>0</v>
      </c>
      <c r="AN61" s="1">
        <v>0</v>
      </c>
      <c r="AO61" s="1">
        <v>0</v>
      </c>
      <c r="AP61" s="1">
        <v>0</v>
      </c>
      <c r="AQ61" s="24">
        <f t="shared" si="2"/>
        <v>0</v>
      </c>
    </row>
    <row r="62" spans="1:43" ht="17.25" customHeight="1" x14ac:dyDescent="0.45">
      <c r="A62" s="12" t="s">
        <v>94</v>
      </c>
      <c r="B62" s="12" t="s">
        <v>65</v>
      </c>
      <c r="C62" s="12" t="s">
        <v>56</v>
      </c>
      <c r="D62" s="12" t="s">
        <v>66</v>
      </c>
      <c r="E62" s="25">
        <v>12</v>
      </c>
      <c r="F62" s="10">
        <v>13</v>
      </c>
      <c r="G62" s="10">
        <v>14</v>
      </c>
      <c r="H62" s="10">
        <v>8</v>
      </c>
      <c r="I62" s="10">
        <v>0</v>
      </c>
      <c r="J62" s="10">
        <v>0</v>
      </c>
      <c r="K62" s="10">
        <v>0</v>
      </c>
      <c r="L62" s="10">
        <v>0</v>
      </c>
      <c r="M62" s="10">
        <v>0</v>
      </c>
      <c r="N62" s="10">
        <v>1</v>
      </c>
      <c r="O62" s="10">
        <v>9</v>
      </c>
      <c r="P62" s="10">
        <v>14</v>
      </c>
      <c r="Q62" s="26">
        <f t="shared" si="0"/>
        <v>71</v>
      </c>
      <c r="R62" s="25">
        <v>1806</v>
      </c>
      <c r="S62" s="10">
        <v>1936</v>
      </c>
      <c r="T62" s="10">
        <v>1196</v>
      </c>
      <c r="U62" s="10">
        <v>369</v>
      </c>
      <c r="V62" s="10">
        <v>0</v>
      </c>
      <c r="W62" s="10">
        <v>0</v>
      </c>
      <c r="X62" s="10">
        <v>0</v>
      </c>
      <c r="Y62" s="10">
        <v>0</v>
      </c>
      <c r="Z62" s="10">
        <v>0</v>
      </c>
      <c r="AA62" s="10">
        <v>164</v>
      </c>
      <c r="AB62" s="10">
        <v>1381</v>
      </c>
      <c r="AC62" s="10">
        <v>1995</v>
      </c>
      <c r="AD62" s="26">
        <f t="shared" si="1"/>
        <v>8847</v>
      </c>
      <c r="AE62" s="25">
        <v>0</v>
      </c>
      <c r="AF62" s="10">
        <v>0</v>
      </c>
      <c r="AG62" s="10">
        <v>0</v>
      </c>
      <c r="AH62" s="10">
        <v>0</v>
      </c>
      <c r="AI62" s="10">
        <v>0</v>
      </c>
      <c r="AJ62" s="10">
        <v>0</v>
      </c>
      <c r="AK62" s="10">
        <v>0</v>
      </c>
      <c r="AL62" s="10">
        <v>0</v>
      </c>
      <c r="AM62" s="10">
        <v>0</v>
      </c>
      <c r="AN62" s="10">
        <v>0</v>
      </c>
      <c r="AO62" s="10">
        <v>0</v>
      </c>
      <c r="AP62" s="10">
        <v>0</v>
      </c>
      <c r="AQ62" s="26">
        <f t="shared" si="2"/>
        <v>0</v>
      </c>
    </row>
    <row r="63" spans="1:43" ht="17.25" customHeight="1" x14ac:dyDescent="0.45">
      <c r="A63" s="2" t="s">
        <v>94</v>
      </c>
      <c r="B63" s="2" t="s">
        <v>65</v>
      </c>
      <c r="C63" s="2" t="s">
        <v>40</v>
      </c>
      <c r="D63" s="2" t="s">
        <v>66</v>
      </c>
      <c r="E63" s="23">
        <v>21</v>
      </c>
      <c r="F63" s="1">
        <v>20</v>
      </c>
      <c r="G63" s="1">
        <v>23</v>
      </c>
      <c r="H63" s="1">
        <v>16</v>
      </c>
      <c r="I63" s="1">
        <v>2</v>
      </c>
      <c r="J63" s="1">
        <v>0</v>
      </c>
      <c r="K63" s="1">
        <v>0</v>
      </c>
      <c r="L63" s="1">
        <v>0</v>
      </c>
      <c r="M63" s="1">
        <v>0</v>
      </c>
      <c r="N63" s="1">
        <v>7</v>
      </c>
      <c r="O63" s="1">
        <v>22</v>
      </c>
      <c r="P63" s="1">
        <v>25</v>
      </c>
      <c r="Q63" s="24">
        <f t="shared" si="0"/>
        <v>136</v>
      </c>
      <c r="R63" s="23">
        <v>3283</v>
      </c>
      <c r="S63" s="1">
        <v>3116</v>
      </c>
      <c r="T63" s="1">
        <v>2796</v>
      </c>
      <c r="U63" s="1">
        <v>1606</v>
      </c>
      <c r="V63" s="1">
        <v>168</v>
      </c>
      <c r="W63" s="1">
        <v>0</v>
      </c>
      <c r="X63" s="1">
        <v>0</v>
      </c>
      <c r="Y63" s="1">
        <v>0</v>
      </c>
      <c r="Z63" s="1">
        <v>0</v>
      </c>
      <c r="AA63" s="1">
        <v>1005</v>
      </c>
      <c r="AB63" s="1">
        <v>3427</v>
      </c>
      <c r="AC63" s="1">
        <v>3921</v>
      </c>
      <c r="AD63" s="24">
        <f t="shared" si="1"/>
        <v>19322</v>
      </c>
      <c r="AE63" s="23">
        <v>0</v>
      </c>
      <c r="AF63" s="1">
        <v>0</v>
      </c>
      <c r="AG63" s="1">
        <v>0</v>
      </c>
      <c r="AH63" s="1">
        <v>0</v>
      </c>
      <c r="AI63" s="1">
        <v>0</v>
      </c>
      <c r="AJ63" s="1">
        <v>0</v>
      </c>
      <c r="AK63" s="1">
        <v>0</v>
      </c>
      <c r="AL63" s="1">
        <v>0</v>
      </c>
      <c r="AM63" s="1">
        <v>0</v>
      </c>
      <c r="AN63" s="1">
        <v>0</v>
      </c>
      <c r="AO63" s="1">
        <v>0</v>
      </c>
      <c r="AP63" s="1">
        <v>0</v>
      </c>
      <c r="AQ63" s="24">
        <f t="shared" si="2"/>
        <v>0</v>
      </c>
    </row>
    <row r="64" spans="1:43" ht="17.25" customHeight="1" x14ac:dyDescent="0.45">
      <c r="A64" s="12" t="s">
        <v>94</v>
      </c>
      <c r="B64" s="12" t="s">
        <v>65</v>
      </c>
      <c r="C64" s="12" t="s">
        <v>17</v>
      </c>
      <c r="D64" s="12" t="s">
        <v>66</v>
      </c>
      <c r="E64" s="25">
        <v>98</v>
      </c>
      <c r="F64" s="10">
        <v>85</v>
      </c>
      <c r="G64" s="10">
        <v>99</v>
      </c>
      <c r="H64" s="10">
        <v>78</v>
      </c>
      <c r="I64" s="10">
        <v>35</v>
      </c>
      <c r="J64" s="10">
        <v>24</v>
      </c>
      <c r="K64" s="10">
        <v>30</v>
      </c>
      <c r="L64" s="10">
        <v>31</v>
      </c>
      <c r="M64" s="10">
        <v>23</v>
      </c>
      <c r="N64" s="10">
        <v>37</v>
      </c>
      <c r="O64" s="10">
        <v>67</v>
      </c>
      <c r="P64" s="10">
        <v>71</v>
      </c>
      <c r="Q64" s="26">
        <f t="shared" si="0"/>
        <v>678</v>
      </c>
      <c r="R64" s="25">
        <v>17516</v>
      </c>
      <c r="S64" s="10">
        <v>15715</v>
      </c>
      <c r="T64" s="10">
        <v>15658</v>
      </c>
      <c r="U64" s="10">
        <v>9793</v>
      </c>
      <c r="V64" s="10">
        <v>4728</v>
      </c>
      <c r="W64" s="10">
        <v>3017</v>
      </c>
      <c r="X64" s="10">
        <v>4218</v>
      </c>
      <c r="Y64" s="10">
        <v>4455</v>
      </c>
      <c r="Z64" s="10">
        <v>3451</v>
      </c>
      <c r="AA64" s="10">
        <v>6032</v>
      </c>
      <c r="AB64" s="10">
        <v>12685</v>
      </c>
      <c r="AC64" s="10">
        <v>15368</v>
      </c>
      <c r="AD64" s="26">
        <f t="shared" si="1"/>
        <v>112636</v>
      </c>
      <c r="AE64" s="25">
        <v>0</v>
      </c>
      <c r="AF64" s="10">
        <v>0</v>
      </c>
      <c r="AG64" s="10">
        <v>0</v>
      </c>
      <c r="AH64" s="10">
        <v>0</v>
      </c>
      <c r="AI64" s="10">
        <v>0</v>
      </c>
      <c r="AJ64" s="10">
        <v>0</v>
      </c>
      <c r="AK64" s="10">
        <v>0</v>
      </c>
      <c r="AL64" s="10">
        <v>0</v>
      </c>
      <c r="AM64" s="10">
        <v>0</v>
      </c>
      <c r="AN64" s="10">
        <v>0</v>
      </c>
      <c r="AO64" s="10">
        <v>0</v>
      </c>
      <c r="AP64" s="10">
        <v>0</v>
      </c>
      <c r="AQ64" s="26">
        <f t="shared" si="2"/>
        <v>0</v>
      </c>
    </row>
    <row r="65" spans="1:43" ht="17.25" customHeight="1" x14ac:dyDescent="0.45">
      <c r="A65" s="2" t="s">
        <v>94</v>
      </c>
      <c r="B65" s="2" t="s">
        <v>65</v>
      </c>
      <c r="C65" s="2" t="s">
        <v>48</v>
      </c>
      <c r="D65" s="2" t="s">
        <v>66</v>
      </c>
      <c r="E65" s="23">
        <v>42</v>
      </c>
      <c r="F65" s="1">
        <v>41</v>
      </c>
      <c r="G65" s="1">
        <v>45</v>
      </c>
      <c r="H65" s="1">
        <v>40</v>
      </c>
      <c r="I65" s="1">
        <v>16</v>
      </c>
      <c r="J65" s="1">
        <v>6</v>
      </c>
      <c r="K65" s="1">
        <v>8</v>
      </c>
      <c r="L65" s="1">
        <v>9</v>
      </c>
      <c r="M65" s="1">
        <v>9</v>
      </c>
      <c r="N65" s="1">
        <v>21</v>
      </c>
      <c r="O65" s="1">
        <v>43</v>
      </c>
      <c r="P65" s="1">
        <v>46</v>
      </c>
      <c r="Q65" s="24">
        <f t="shared" si="0"/>
        <v>326</v>
      </c>
      <c r="R65" s="23">
        <v>6131</v>
      </c>
      <c r="S65" s="1">
        <v>5887</v>
      </c>
      <c r="T65" s="1">
        <v>6397</v>
      </c>
      <c r="U65" s="1">
        <v>5172</v>
      </c>
      <c r="V65" s="1">
        <v>2140</v>
      </c>
      <c r="W65" s="1">
        <v>671</v>
      </c>
      <c r="X65" s="1">
        <v>1021</v>
      </c>
      <c r="Y65" s="1">
        <v>1208</v>
      </c>
      <c r="Z65" s="1">
        <v>1282</v>
      </c>
      <c r="AA65" s="1">
        <v>3147</v>
      </c>
      <c r="AB65" s="1">
        <v>6441</v>
      </c>
      <c r="AC65" s="1">
        <v>6530</v>
      </c>
      <c r="AD65" s="24">
        <f t="shared" si="1"/>
        <v>46027</v>
      </c>
      <c r="AE65" s="23">
        <v>0</v>
      </c>
      <c r="AF65" s="1">
        <v>0</v>
      </c>
      <c r="AG65" s="1">
        <v>0</v>
      </c>
      <c r="AH65" s="1">
        <v>0</v>
      </c>
      <c r="AI65" s="1">
        <v>0</v>
      </c>
      <c r="AJ65" s="1">
        <v>0</v>
      </c>
      <c r="AK65" s="1">
        <v>0</v>
      </c>
      <c r="AL65" s="1">
        <v>0</v>
      </c>
      <c r="AM65" s="1">
        <v>0</v>
      </c>
      <c r="AN65" s="1">
        <v>0</v>
      </c>
      <c r="AO65" s="1">
        <v>0</v>
      </c>
      <c r="AP65" s="1">
        <v>0</v>
      </c>
      <c r="AQ65" s="24">
        <f t="shared" si="2"/>
        <v>0</v>
      </c>
    </row>
    <row r="66" spans="1:43" ht="17.25" customHeight="1" x14ac:dyDescent="0.45">
      <c r="A66" s="12" t="s">
        <v>94</v>
      </c>
      <c r="B66" s="12" t="s">
        <v>65</v>
      </c>
      <c r="C66" s="12" t="s">
        <v>247</v>
      </c>
      <c r="D66" s="12" t="s">
        <v>66</v>
      </c>
      <c r="E66" s="25">
        <v>0</v>
      </c>
      <c r="F66" s="10">
        <v>0</v>
      </c>
      <c r="G66" s="10">
        <v>0</v>
      </c>
      <c r="H66" s="10">
        <v>0</v>
      </c>
      <c r="I66" s="10">
        <v>0</v>
      </c>
      <c r="J66" s="10">
        <v>0</v>
      </c>
      <c r="K66" s="10">
        <v>0</v>
      </c>
      <c r="L66" s="10">
        <v>0</v>
      </c>
      <c r="M66" s="10">
        <v>0</v>
      </c>
      <c r="N66" s="10">
        <v>0</v>
      </c>
      <c r="O66" s="10">
        <v>4</v>
      </c>
      <c r="P66" s="10">
        <v>3</v>
      </c>
      <c r="Q66" s="26">
        <f t="shared" si="0"/>
        <v>7</v>
      </c>
      <c r="R66" s="25">
        <v>0</v>
      </c>
      <c r="S66" s="10">
        <v>0</v>
      </c>
      <c r="T66" s="10">
        <v>0</v>
      </c>
      <c r="U66" s="10">
        <v>0</v>
      </c>
      <c r="V66" s="10">
        <v>0</v>
      </c>
      <c r="W66" s="10">
        <v>0</v>
      </c>
      <c r="X66" s="10">
        <v>0</v>
      </c>
      <c r="Y66" s="10">
        <v>0</v>
      </c>
      <c r="Z66" s="10">
        <v>0</v>
      </c>
      <c r="AA66" s="10">
        <v>0</v>
      </c>
      <c r="AB66" s="10">
        <v>616</v>
      </c>
      <c r="AC66" s="10">
        <v>464</v>
      </c>
      <c r="AD66" s="26">
        <f t="shared" si="1"/>
        <v>1080</v>
      </c>
      <c r="AE66" s="25">
        <v>0</v>
      </c>
      <c r="AF66" s="10">
        <v>0</v>
      </c>
      <c r="AG66" s="10">
        <v>0</v>
      </c>
      <c r="AH66" s="10">
        <v>0</v>
      </c>
      <c r="AI66" s="10">
        <v>0</v>
      </c>
      <c r="AJ66" s="10">
        <v>0</v>
      </c>
      <c r="AK66" s="10">
        <v>0</v>
      </c>
      <c r="AL66" s="10">
        <v>0</v>
      </c>
      <c r="AM66" s="10">
        <v>0</v>
      </c>
      <c r="AN66" s="10">
        <v>0</v>
      </c>
      <c r="AO66" s="10">
        <v>0</v>
      </c>
      <c r="AP66" s="10">
        <v>0</v>
      </c>
      <c r="AQ66" s="26">
        <f t="shared" si="2"/>
        <v>0</v>
      </c>
    </row>
    <row r="67" spans="1:43" ht="17.25" customHeight="1" x14ac:dyDescent="0.45">
      <c r="A67" s="2" t="s">
        <v>95</v>
      </c>
      <c r="B67" s="2" t="s">
        <v>96</v>
      </c>
      <c r="C67" s="2" t="s">
        <v>10</v>
      </c>
      <c r="D67" s="2" t="s">
        <v>66</v>
      </c>
      <c r="E67" s="23">
        <v>4</v>
      </c>
      <c r="F67" s="1">
        <v>7</v>
      </c>
      <c r="G67" s="1">
        <v>9</v>
      </c>
      <c r="H67" s="1">
        <v>8</v>
      </c>
      <c r="I67" s="1">
        <v>7</v>
      </c>
      <c r="J67" s="1">
        <v>4</v>
      </c>
      <c r="K67" s="1">
        <v>5</v>
      </c>
      <c r="L67" s="1">
        <v>4</v>
      </c>
      <c r="M67" s="1">
        <v>3</v>
      </c>
      <c r="N67" s="1">
        <v>5</v>
      </c>
      <c r="O67" s="1">
        <v>3</v>
      </c>
      <c r="P67" s="1">
        <v>4</v>
      </c>
      <c r="Q67" s="24">
        <f t="shared" si="0"/>
        <v>63</v>
      </c>
      <c r="R67" s="23">
        <v>537</v>
      </c>
      <c r="S67" s="1">
        <v>432</v>
      </c>
      <c r="T67" s="1">
        <v>516</v>
      </c>
      <c r="U67" s="1">
        <v>463</v>
      </c>
      <c r="V67" s="1">
        <v>413</v>
      </c>
      <c r="W67" s="1">
        <v>316</v>
      </c>
      <c r="X67" s="1">
        <v>471</v>
      </c>
      <c r="Y67" s="1">
        <v>435</v>
      </c>
      <c r="Z67" s="1">
        <v>296</v>
      </c>
      <c r="AA67" s="1">
        <v>531</v>
      </c>
      <c r="AB67" s="1">
        <v>435</v>
      </c>
      <c r="AC67" s="1">
        <v>379</v>
      </c>
      <c r="AD67" s="24">
        <f t="shared" si="1"/>
        <v>5224</v>
      </c>
      <c r="AE67" s="23">
        <v>0</v>
      </c>
      <c r="AF67" s="1">
        <v>0</v>
      </c>
      <c r="AG67" s="1">
        <v>0</v>
      </c>
      <c r="AH67" s="1">
        <v>0</v>
      </c>
      <c r="AI67" s="1">
        <v>0</v>
      </c>
      <c r="AJ67" s="1">
        <v>0</v>
      </c>
      <c r="AK67" s="1">
        <v>0</v>
      </c>
      <c r="AL67" s="1">
        <v>0</v>
      </c>
      <c r="AM67" s="1">
        <v>0</v>
      </c>
      <c r="AN67" s="1">
        <v>0</v>
      </c>
      <c r="AO67" s="1">
        <v>0</v>
      </c>
      <c r="AP67" s="1">
        <v>0</v>
      </c>
      <c r="AQ67" s="24">
        <f t="shared" si="2"/>
        <v>0</v>
      </c>
    </row>
    <row r="68" spans="1:43" ht="17.25" customHeight="1" x14ac:dyDescent="0.45">
      <c r="A68" s="12" t="s">
        <v>197</v>
      </c>
      <c r="B68" s="12" t="s">
        <v>89</v>
      </c>
      <c r="C68" s="12" t="s">
        <v>14</v>
      </c>
      <c r="D68" s="12" t="s">
        <v>66</v>
      </c>
      <c r="E68" s="25">
        <v>1</v>
      </c>
      <c r="F68" s="10">
        <v>3</v>
      </c>
      <c r="G68" s="10">
        <v>5</v>
      </c>
      <c r="H68" s="10">
        <v>1</v>
      </c>
      <c r="I68" s="10">
        <v>8</v>
      </c>
      <c r="J68" s="10">
        <v>0</v>
      </c>
      <c r="K68" s="10">
        <v>4</v>
      </c>
      <c r="L68" s="10">
        <v>3</v>
      </c>
      <c r="M68" s="10">
        <v>10</v>
      </c>
      <c r="N68" s="10">
        <v>5</v>
      </c>
      <c r="O68" s="10">
        <v>6</v>
      </c>
      <c r="P68" s="10">
        <v>8</v>
      </c>
      <c r="Q68" s="26">
        <f t="shared" si="0"/>
        <v>54</v>
      </c>
      <c r="R68" s="25">
        <v>0</v>
      </c>
      <c r="S68" s="10">
        <v>0</v>
      </c>
      <c r="T68" s="10">
        <v>0</v>
      </c>
      <c r="U68" s="10">
        <v>0</v>
      </c>
      <c r="V68" s="10">
        <v>0</v>
      </c>
      <c r="W68" s="10">
        <v>0</v>
      </c>
      <c r="X68" s="10">
        <v>0</v>
      </c>
      <c r="Y68" s="10">
        <v>0</v>
      </c>
      <c r="Z68" s="10">
        <v>0</v>
      </c>
      <c r="AA68" s="10">
        <v>0</v>
      </c>
      <c r="AB68" s="10">
        <v>0</v>
      </c>
      <c r="AC68" s="10">
        <v>0</v>
      </c>
      <c r="AD68" s="26">
        <f t="shared" si="1"/>
        <v>0</v>
      </c>
      <c r="AE68" s="25">
        <v>53601</v>
      </c>
      <c r="AF68" s="10">
        <v>145280</v>
      </c>
      <c r="AG68" s="10">
        <v>260833</v>
      </c>
      <c r="AH68" s="10">
        <v>44148</v>
      </c>
      <c r="AI68" s="10">
        <v>434180</v>
      </c>
      <c r="AJ68" s="10">
        <v>0</v>
      </c>
      <c r="AK68" s="10">
        <v>188258</v>
      </c>
      <c r="AL68" s="10">
        <v>161752</v>
      </c>
      <c r="AM68" s="10">
        <v>357932</v>
      </c>
      <c r="AN68" s="10">
        <v>270121</v>
      </c>
      <c r="AO68" s="10">
        <v>322393</v>
      </c>
      <c r="AP68" s="10">
        <v>715001</v>
      </c>
      <c r="AQ68" s="26">
        <f t="shared" si="2"/>
        <v>2953499</v>
      </c>
    </row>
    <row r="69" spans="1:43" ht="17.25" customHeight="1" x14ac:dyDescent="0.45">
      <c r="A69" s="2" t="s">
        <v>10</v>
      </c>
      <c r="B69" s="2" t="s">
        <v>66</v>
      </c>
      <c r="C69" s="2" t="s">
        <v>74</v>
      </c>
      <c r="D69" s="2" t="s">
        <v>75</v>
      </c>
      <c r="E69" s="23">
        <v>26</v>
      </c>
      <c r="F69" s="1">
        <v>26</v>
      </c>
      <c r="G69" s="1">
        <v>26</v>
      </c>
      <c r="H69" s="1">
        <v>12</v>
      </c>
      <c r="I69" s="1">
        <v>10</v>
      </c>
      <c r="J69" s="1">
        <v>9</v>
      </c>
      <c r="K69" s="1">
        <v>9</v>
      </c>
      <c r="L69" s="1">
        <v>9</v>
      </c>
      <c r="M69" s="1">
        <v>9</v>
      </c>
      <c r="N69" s="1">
        <v>10</v>
      </c>
      <c r="O69" s="1">
        <v>21</v>
      </c>
      <c r="P69" s="1">
        <v>19</v>
      </c>
      <c r="Q69" s="24">
        <f t="shared" si="0"/>
        <v>186</v>
      </c>
      <c r="R69" s="23">
        <v>5873</v>
      </c>
      <c r="S69" s="1">
        <v>6126</v>
      </c>
      <c r="T69" s="1">
        <v>6625</v>
      </c>
      <c r="U69" s="1">
        <v>2183</v>
      </c>
      <c r="V69" s="1">
        <v>1899</v>
      </c>
      <c r="W69" s="1">
        <v>2169</v>
      </c>
      <c r="X69" s="1">
        <v>1654</v>
      </c>
      <c r="Y69" s="1">
        <v>2204</v>
      </c>
      <c r="Z69" s="1">
        <v>2169</v>
      </c>
      <c r="AA69" s="1">
        <v>1977</v>
      </c>
      <c r="AB69" s="1">
        <v>5371</v>
      </c>
      <c r="AC69" s="1">
        <v>4505</v>
      </c>
      <c r="AD69" s="24">
        <f t="shared" si="1"/>
        <v>42755</v>
      </c>
      <c r="AE69" s="23">
        <v>1183</v>
      </c>
      <c r="AF69" s="1">
        <v>1323</v>
      </c>
      <c r="AG69" s="1">
        <v>7056</v>
      </c>
      <c r="AH69" s="1">
        <v>0</v>
      </c>
      <c r="AI69" s="1">
        <v>0</v>
      </c>
      <c r="AJ69" s="1">
        <v>0</v>
      </c>
      <c r="AK69" s="1">
        <v>0</v>
      </c>
      <c r="AL69" s="1">
        <v>0</v>
      </c>
      <c r="AM69" s="1">
        <v>0</v>
      </c>
      <c r="AN69" s="1">
        <v>2</v>
      </c>
      <c r="AO69" s="1">
        <v>1193</v>
      </c>
      <c r="AP69" s="1">
        <v>32557</v>
      </c>
      <c r="AQ69" s="24">
        <f t="shared" si="2"/>
        <v>43314</v>
      </c>
    </row>
    <row r="70" spans="1:43" ht="17.25" customHeight="1" x14ac:dyDescent="0.45">
      <c r="A70" s="12" t="s">
        <v>10</v>
      </c>
      <c r="B70" s="12" t="s">
        <v>66</v>
      </c>
      <c r="C70" s="12" t="s">
        <v>77</v>
      </c>
      <c r="D70" s="12" t="s">
        <v>68</v>
      </c>
      <c r="E70" s="25">
        <v>255</v>
      </c>
      <c r="F70" s="10">
        <v>234</v>
      </c>
      <c r="G70" s="10">
        <v>277</v>
      </c>
      <c r="H70" s="10">
        <v>235</v>
      </c>
      <c r="I70" s="10">
        <v>219</v>
      </c>
      <c r="J70" s="10">
        <v>210</v>
      </c>
      <c r="K70" s="10">
        <v>208</v>
      </c>
      <c r="L70" s="10">
        <v>166</v>
      </c>
      <c r="M70" s="10">
        <v>130</v>
      </c>
      <c r="N70" s="10">
        <v>146</v>
      </c>
      <c r="O70" s="10">
        <v>168</v>
      </c>
      <c r="P70" s="10">
        <v>208</v>
      </c>
      <c r="Q70" s="26">
        <f t="shared" si="0"/>
        <v>2456</v>
      </c>
      <c r="R70" s="25">
        <v>40345</v>
      </c>
      <c r="S70" s="10">
        <v>36149</v>
      </c>
      <c r="T70" s="10">
        <v>46378</v>
      </c>
      <c r="U70" s="10">
        <v>38974</v>
      </c>
      <c r="V70" s="10">
        <v>34020</v>
      </c>
      <c r="W70" s="10">
        <v>35621</v>
      </c>
      <c r="X70" s="10">
        <v>35198</v>
      </c>
      <c r="Y70" s="10">
        <v>29628</v>
      </c>
      <c r="Z70" s="10">
        <v>21990</v>
      </c>
      <c r="AA70" s="10">
        <v>23312</v>
      </c>
      <c r="AB70" s="10">
        <v>27498</v>
      </c>
      <c r="AC70" s="10">
        <v>32643</v>
      </c>
      <c r="AD70" s="26">
        <f t="shared" si="1"/>
        <v>401756</v>
      </c>
      <c r="AE70" s="25">
        <v>37313</v>
      </c>
      <c r="AF70" s="10">
        <v>23227</v>
      </c>
      <c r="AG70" s="10">
        <v>22426</v>
      </c>
      <c r="AH70" s="10">
        <v>12258</v>
      </c>
      <c r="AI70" s="10">
        <v>16132</v>
      </c>
      <c r="AJ70" s="10">
        <v>15892</v>
      </c>
      <c r="AK70" s="10">
        <v>23896</v>
      </c>
      <c r="AL70" s="10">
        <v>24586</v>
      </c>
      <c r="AM70" s="10">
        <v>39341</v>
      </c>
      <c r="AN70" s="10">
        <v>14025</v>
      </c>
      <c r="AO70" s="10">
        <v>33125</v>
      </c>
      <c r="AP70" s="10">
        <v>15737</v>
      </c>
      <c r="AQ70" s="26">
        <f t="shared" si="2"/>
        <v>277958</v>
      </c>
    </row>
    <row r="71" spans="1:43" ht="17.25" customHeight="1" x14ac:dyDescent="0.45">
      <c r="A71" s="2" t="s">
        <v>10</v>
      </c>
      <c r="B71" s="2" t="s">
        <v>66</v>
      </c>
      <c r="C71" s="2" t="s">
        <v>78</v>
      </c>
      <c r="D71" s="2" t="s">
        <v>68</v>
      </c>
      <c r="E71" s="23">
        <v>32</v>
      </c>
      <c r="F71" s="1">
        <v>29</v>
      </c>
      <c r="G71" s="1">
        <v>35</v>
      </c>
      <c r="H71" s="1">
        <v>31</v>
      </c>
      <c r="I71" s="1">
        <v>31</v>
      </c>
      <c r="J71" s="1">
        <v>57</v>
      </c>
      <c r="K71" s="1">
        <v>60</v>
      </c>
      <c r="L71" s="1">
        <v>27</v>
      </c>
      <c r="M71" s="1">
        <v>22</v>
      </c>
      <c r="N71" s="1">
        <v>29</v>
      </c>
      <c r="O71" s="1">
        <v>36</v>
      </c>
      <c r="P71" s="1">
        <v>42</v>
      </c>
      <c r="Q71" s="24">
        <f t="shared" si="0"/>
        <v>431</v>
      </c>
      <c r="R71" s="23">
        <v>4060</v>
      </c>
      <c r="S71" s="1">
        <v>3505</v>
      </c>
      <c r="T71" s="1">
        <v>5030</v>
      </c>
      <c r="U71" s="1">
        <v>4555</v>
      </c>
      <c r="V71" s="1">
        <v>4098</v>
      </c>
      <c r="W71" s="1">
        <v>8013</v>
      </c>
      <c r="X71" s="1">
        <v>8813</v>
      </c>
      <c r="Y71" s="1">
        <v>4126</v>
      </c>
      <c r="Z71" s="1">
        <v>3074</v>
      </c>
      <c r="AA71" s="1">
        <v>4209</v>
      </c>
      <c r="AB71" s="1">
        <v>4813</v>
      </c>
      <c r="AC71" s="1">
        <v>5412</v>
      </c>
      <c r="AD71" s="24">
        <f t="shared" si="1"/>
        <v>59708</v>
      </c>
      <c r="AE71" s="23">
        <v>0</v>
      </c>
      <c r="AF71" s="1">
        <v>0</v>
      </c>
      <c r="AG71" s="1">
        <v>0</v>
      </c>
      <c r="AH71" s="1">
        <v>0</v>
      </c>
      <c r="AI71" s="1">
        <v>0</v>
      </c>
      <c r="AJ71" s="1">
        <v>0</v>
      </c>
      <c r="AK71" s="1">
        <v>0</v>
      </c>
      <c r="AL71" s="1">
        <v>0</v>
      </c>
      <c r="AM71" s="1">
        <v>0</v>
      </c>
      <c r="AN71" s="1">
        <v>0</v>
      </c>
      <c r="AO71" s="1">
        <v>0</v>
      </c>
      <c r="AP71" s="1">
        <v>0</v>
      </c>
      <c r="AQ71" s="24">
        <f t="shared" si="2"/>
        <v>0</v>
      </c>
    </row>
    <row r="72" spans="1:43" ht="17.25" customHeight="1" x14ac:dyDescent="0.45">
      <c r="A72" s="12" t="s">
        <v>10</v>
      </c>
      <c r="B72" s="12" t="s">
        <v>66</v>
      </c>
      <c r="C72" s="12" t="s">
        <v>378</v>
      </c>
      <c r="D72" s="12" t="s">
        <v>65</v>
      </c>
      <c r="E72" s="25">
        <v>0</v>
      </c>
      <c r="F72" s="10">
        <v>0</v>
      </c>
      <c r="G72" s="10">
        <v>0</v>
      </c>
      <c r="H72" s="10">
        <v>0</v>
      </c>
      <c r="I72" s="10">
        <v>0</v>
      </c>
      <c r="J72" s="10">
        <v>0</v>
      </c>
      <c r="K72" s="10">
        <v>0</v>
      </c>
      <c r="L72" s="10">
        <v>0</v>
      </c>
      <c r="M72" s="10">
        <v>0</v>
      </c>
      <c r="N72" s="10">
        <v>0</v>
      </c>
      <c r="O72" s="10">
        <v>0</v>
      </c>
      <c r="P72" s="10">
        <v>1</v>
      </c>
      <c r="Q72" s="26">
        <f t="shared" ref="Q72:Q135" si="3">SUM(E72:P72)</f>
        <v>1</v>
      </c>
      <c r="R72" s="25">
        <v>0</v>
      </c>
      <c r="S72" s="10">
        <v>0</v>
      </c>
      <c r="T72" s="10">
        <v>0</v>
      </c>
      <c r="U72" s="10">
        <v>0</v>
      </c>
      <c r="V72" s="10">
        <v>0</v>
      </c>
      <c r="W72" s="10">
        <v>0</v>
      </c>
      <c r="X72" s="10">
        <v>0</v>
      </c>
      <c r="Y72" s="10">
        <v>0</v>
      </c>
      <c r="Z72" s="10">
        <v>0</v>
      </c>
      <c r="AA72" s="10">
        <v>0</v>
      </c>
      <c r="AB72" s="10">
        <v>0</v>
      </c>
      <c r="AC72" s="10">
        <v>184</v>
      </c>
      <c r="AD72" s="26">
        <f t="shared" ref="AD72:AD135" si="4">SUM(R72:AC72)</f>
        <v>184</v>
      </c>
      <c r="AE72" s="25">
        <v>0</v>
      </c>
      <c r="AF72" s="10">
        <v>0</v>
      </c>
      <c r="AG72" s="10">
        <v>0</v>
      </c>
      <c r="AH72" s="10">
        <v>0</v>
      </c>
      <c r="AI72" s="10">
        <v>0</v>
      </c>
      <c r="AJ72" s="10">
        <v>0</v>
      </c>
      <c r="AK72" s="10">
        <v>0</v>
      </c>
      <c r="AL72" s="10">
        <v>0</v>
      </c>
      <c r="AM72" s="10">
        <v>0</v>
      </c>
      <c r="AN72" s="10">
        <v>0</v>
      </c>
      <c r="AO72" s="10">
        <v>0</v>
      </c>
      <c r="AP72" s="10">
        <v>0</v>
      </c>
      <c r="AQ72" s="26">
        <f t="shared" ref="AQ72:AQ135" si="5">SUM(AE72:AP72)</f>
        <v>0</v>
      </c>
    </row>
    <row r="73" spans="1:43" ht="17.25" customHeight="1" x14ac:dyDescent="0.45">
      <c r="A73" s="2" t="s">
        <v>10</v>
      </c>
      <c r="B73" s="2" t="s">
        <v>66</v>
      </c>
      <c r="C73" s="2" t="s">
        <v>79</v>
      </c>
      <c r="D73" s="2" t="s">
        <v>68</v>
      </c>
      <c r="E73" s="23">
        <v>123</v>
      </c>
      <c r="F73" s="1">
        <v>100</v>
      </c>
      <c r="G73" s="1">
        <v>97</v>
      </c>
      <c r="H73" s="1">
        <v>81</v>
      </c>
      <c r="I73" s="1">
        <v>79</v>
      </c>
      <c r="J73" s="1">
        <v>78</v>
      </c>
      <c r="K73" s="1">
        <v>75</v>
      </c>
      <c r="L73" s="1">
        <v>68</v>
      </c>
      <c r="M73" s="1">
        <v>64</v>
      </c>
      <c r="N73" s="1">
        <v>63</v>
      </c>
      <c r="O73" s="1">
        <v>82</v>
      </c>
      <c r="P73" s="1">
        <v>89</v>
      </c>
      <c r="Q73" s="24">
        <f t="shared" si="3"/>
        <v>999</v>
      </c>
      <c r="R73" s="23">
        <v>16303</v>
      </c>
      <c r="S73" s="1">
        <v>12998</v>
      </c>
      <c r="T73" s="1">
        <v>15038</v>
      </c>
      <c r="U73" s="1">
        <v>13357</v>
      </c>
      <c r="V73" s="1">
        <v>11432</v>
      </c>
      <c r="W73" s="1">
        <v>11670</v>
      </c>
      <c r="X73" s="1">
        <v>12454</v>
      </c>
      <c r="Y73" s="1">
        <v>11267</v>
      </c>
      <c r="Z73" s="1">
        <v>8296</v>
      </c>
      <c r="AA73" s="1">
        <v>7771</v>
      </c>
      <c r="AB73" s="1">
        <v>9597</v>
      </c>
      <c r="AC73" s="1">
        <v>11687</v>
      </c>
      <c r="AD73" s="24">
        <f t="shared" si="4"/>
        <v>141870</v>
      </c>
      <c r="AE73" s="23">
        <v>0</v>
      </c>
      <c r="AF73" s="1">
        <v>0</v>
      </c>
      <c r="AG73" s="1">
        <v>0</v>
      </c>
      <c r="AH73" s="1">
        <v>0</v>
      </c>
      <c r="AI73" s="1">
        <v>0</v>
      </c>
      <c r="AJ73" s="1">
        <v>0</v>
      </c>
      <c r="AK73" s="1">
        <v>0</v>
      </c>
      <c r="AL73" s="1">
        <v>0</v>
      </c>
      <c r="AM73" s="1">
        <v>0</v>
      </c>
      <c r="AN73" s="1">
        <v>0</v>
      </c>
      <c r="AO73" s="1">
        <v>0</v>
      </c>
      <c r="AP73" s="1">
        <v>0</v>
      </c>
      <c r="AQ73" s="24">
        <f t="shared" si="5"/>
        <v>0</v>
      </c>
    </row>
    <row r="74" spans="1:43" ht="17.25" customHeight="1" x14ac:dyDescent="0.45">
      <c r="A74" s="12" t="s">
        <v>10</v>
      </c>
      <c r="B74" s="12" t="s">
        <v>66</v>
      </c>
      <c r="C74" s="12" t="s">
        <v>80</v>
      </c>
      <c r="D74" s="12" t="s">
        <v>81</v>
      </c>
      <c r="E74" s="25">
        <v>0</v>
      </c>
      <c r="F74" s="10">
        <v>0</v>
      </c>
      <c r="G74" s="10">
        <v>0</v>
      </c>
      <c r="H74" s="10">
        <v>0</v>
      </c>
      <c r="I74" s="10">
        <v>0</v>
      </c>
      <c r="J74" s="10">
        <v>1</v>
      </c>
      <c r="K74" s="10">
        <v>6</v>
      </c>
      <c r="L74" s="10">
        <v>8</v>
      </c>
      <c r="M74" s="10">
        <v>4</v>
      </c>
      <c r="N74" s="10">
        <v>0</v>
      </c>
      <c r="O74" s="10">
        <v>0</v>
      </c>
      <c r="P74" s="10">
        <v>0</v>
      </c>
      <c r="Q74" s="26">
        <f t="shared" si="3"/>
        <v>19</v>
      </c>
      <c r="R74" s="25">
        <v>0</v>
      </c>
      <c r="S74" s="10">
        <v>0</v>
      </c>
      <c r="T74" s="10">
        <v>0</v>
      </c>
      <c r="U74" s="10">
        <v>0</v>
      </c>
      <c r="V74" s="10">
        <v>0</v>
      </c>
      <c r="W74" s="10">
        <v>332</v>
      </c>
      <c r="X74" s="10">
        <v>2067</v>
      </c>
      <c r="Y74" s="10">
        <v>3028</v>
      </c>
      <c r="Z74" s="10">
        <v>1458</v>
      </c>
      <c r="AA74" s="10">
        <v>0</v>
      </c>
      <c r="AB74" s="10">
        <v>0</v>
      </c>
      <c r="AC74" s="10">
        <v>0</v>
      </c>
      <c r="AD74" s="26">
        <f t="shared" si="4"/>
        <v>6885</v>
      </c>
      <c r="AE74" s="25">
        <v>0</v>
      </c>
      <c r="AF74" s="10">
        <v>0</v>
      </c>
      <c r="AG74" s="10">
        <v>0</v>
      </c>
      <c r="AH74" s="10">
        <v>0</v>
      </c>
      <c r="AI74" s="10">
        <v>0</v>
      </c>
      <c r="AJ74" s="10">
        <v>0</v>
      </c>
      <c r="AK74" s="10">
        <v>0</v>
      </c>
      <c r="AL74" s="10">
        <v>0</v>
      </c>
      <c r="AM74" s="10">
        <v>0</v>
      </c>
      <c r="AN74" s="10">
        <v>0</v>
      </c>
      <c r="AO74" s="10">
        <v>0</v>
      </c>
      <c r="AP74" s="10">
        <v>0</v>
      </c>
      <c r="AQ74" s="26">
        <f t="shared" si="5"/>
        <v>0</v>
      </c>
    </row>
    <row r="75" spans="1:43" ht="17.25" customHeight="1" x14ac:dyDescent="0.45">
      <c r="A75" s="2" t="s">
        <v>10</v>
      </c>
      <c r="B75" s="2" t="s">
        <v>66</v>
      </c>
      <c r="C75" s="2" t="s">
        <v>82</v>
      </c>
      <c r="D75" s="2" t="s">
        <v>83</v>
      </c>
      <c r="E75" s="23">
        <v>32</v>
      </c>
      <c r="F75" s="1">
        <v>25</v>
      </c>
      <c r="G75" s="1">
        <v>28</v>
      </c>
      <c r="H75" s="1">
        <v>29</v>
      </c>
      <c r="I75" s="1">
        <v>33</v>
      </c>
      <c r="J75" s="1">
        <v>27</v>
      </c>
      <c r="K75" s="1">
        <v>29</v>
      </c>
      <c r="L75" s="1">
        <v>30</v>
      </c>
      <c r="M75" s="1">
        <v>29</v>
      </c>
      <c r="N75" s="1">
        <v>32</v>
      </c>
      <c r="O75" s="1">
        <v>32</v>
      </c>
      <c r="P75" s="1">
        <v>32</v>
      </c>
      <c r="Q75" s="24">
        <f t="shared" si="3"/>
        <v>358</v>
      </c>
      <c r="R75" s="23">
        <v>328</v>
      </c>
      <c r="S75" s="1">
        <v>257</v>
      </c>
      <c r="T75" s="1">
        <v>263</v>
      </c>
      <c r="U75" s="1">
        <v>279</v>
      </c>
      <c r="V75" s="1">
        <v>268</v>
      </c>
      <c r="W75" s="1">
        <v>241</v>
      </c>
      <c r="X75" s="1">
        <v>267</v>
      </c>
      <c r="Y75" s="1">
        <v>229</v>
      </c>
      <c r="Z75" s="1">
        <v>193</v>
      </c>
      <c r="AA75" s="1">
        <v>246</v>
      </c>
      <c r="AB75" s="1">
        <v>298</v>
      </c>
      <c r="AC75" s="1">
        <v>291</v>
      </c>
      <c r="AD75" s="24">
        <f t="shared" si="4"/>
        <v>3160</v>
      </c>
      <c r="AE75" s="23">
        <v>0</v>
      </c>
      <c r="AF75" s="1">
        <v>0</v>
      </c>
      <c r="AG75" s="1">
        <v>0</v>
      </c>
      <c r="AH75" s="1">
        <v>0</v>
      </c>
      <c r="AI75" s="1">
        <v>0</v>
      </c>
      <c r="AJ75" s="1">
        <v>0</v>
      </c>
      <c r="AK75" s="1">
        <v>0</v>
      </c>
      <c r="AL75" s="1">
        <v>0</v>
      </c>
      <c r="AM75" s="1">
        <v>0</v>
      </c>
      <c r="AN75" s="1">
        <v>0</v>
      </c>
      <c r="AO75" s="1">
        <v>0</v>
      </c>
      <c r="AP75" s="1">
        <v>0</v>
      </c>
      <c r="AQ75" s="24">
        <f t="shared" si="5"/>
        <v>0</v>
      </c>
    </row>
    <row r="76" spans="1:43" ht="17.25" customHeight="1" x14ac:dyDescent="0.45">
      <c r="A76" s="12" t="s">
        <v>10</v>
      </c>
      <c r="B76" s="12" t="s">
        <v>66</v>
      </c>
      <c r="C76" s="12" t="s">
        <v>84</v>
      </c>
      <c r="D76" s="12" t="s">
        <v>85</v>
      </c>
      <c r="E76" s="25">
        <v>9</v>
      </c>
      <c r="F76" s="10">
        <v>8</v>
      </c>
      <c r="G76" s="10">
        <v>9</v>
      </c>
      <c r="H76" s="10">
        <v>12</v>
      </c>
      <c r="I76" s="10">
        <v>13</v>
      </c>
      <c r="J76" s="10">
        <v>11</v>
      </c>
      <c r="K76" s="10">
        <v>7</v>
      </c>
      <c r="L76" s="10">
        <v>13</v>
      </c>
      <c r="M76" s="10">
        <v>13</v>
      </c>
      <c r="N76" s="10">
        <v>13</v>
      </c>
      <c r="O76" s="10">
        <v>8</v>
      </c>
      <c r="P76" s="10">
        <v>9</v>
      </c>
      <c r="Q76" s="26">
        <f t="shared" si="3"/>
        <v>125</v>
      </c>
      <c r="R76" s="25">
        <v>2748</v>
      </c>
      <c r="S76" s="10">
        <v>2486</v>
      </c>
      <c r="T76" s="10">
        <v>2780</v>
      </c>
      <c r="U76" s="10">
        <v>3740</v>
      </c>
      <c r="V76" s="10">
        <v>3782</v>
      </c>
      <c r="W76" s="10">
        <v>3251</v>
      </c>
      <c r="X76" s="10">
        <v>2256</v>
      </c>
      <c r="Y76" s="10">
        <v>4018</v>
      </c>
      <c r="Z76" s="10">
        <v>3818</v>
      </c>
      <c r="AA76" s="10">
        <v>3496</v>
      </c>
      <c r="AB76" s="10">
        <v>2307</v>
      </c>
      <c r="AC76" s="10">
        <v>2660</v>
      </c>
      <c r="AD76" s="26">
        <f t="shared" si="4"/>
        <v>37342</v>
      </c>
      <c r="AE76" s="25">
        <v>0</v>
      </c>
      <c r="AF76" s="10">
        <v>0</v>
      </c>
      <c r="AG76" s="10">
        <v>0</v>
      </c>
      <c r="AH76" s="10">
        <v>0</v>
      </c>
      <c r="AI76" s="10">
        <v>0</v>
      </c>
      <c r="AJ76" s="10">
        <v>0</v>
      </c>
      <c r="AK76" s="10">
        <v>0</v>
      </c>
      <c r="AL76" s="10">
        <v>0</v>
      </c>
      <c r="AM76" s="10">
        <v>0</v>
      </c>
      <c r="AN76" s="10">
        <v>0</v>
      </c>
      <c r="AO76" s="10">
        <v>0</v>
      </c>
      <c r="AP76" s="10">
        <v>0</v>
      </c>
      <c r="AQ76" s="26">
        <f t="shared" si="5"/>
        <v>0</v>
      </c>
    </row>
    <row r="77" spans="1:43" ht="17.25" customHeight="1" x14ac:dyDescent="0.45">
      <c r="A77" s="2" t="s">
        <v>10</v>
      </c>
      <c r="B77" s="2" t="s">
        <v>66</v>
      </c>
      <c r="C77" s="2" t="s">
        <v>86</v>
      </c>
      <c r="D77" s="2" t="s">
        <v>87</v>
      </c>
      <c r="E77" s="23">
        <v>136</v>
      </c>
      <c r="F77" s="1">
        <v>110</v>
      </c>
      <c r="G77" s="1">
        <v>124</v>
      </c>
      <c r="H77" s="1">
        <v>120</v>
      </c>
      <c r="I77" s="1">
        <v>124</v>
      </c>
      <c r="J77" s="1">
        <v>126</v>
      </c>
      <c r="K77" s="1">
        <v>137</v>
      </c>
      <c r="L77" s="1">
        <v>131</v>
      </c>
      <c r="M77" s="1">
        <v>126</v>
      </c>
      <c r="N77" s="1">
        <v>132</v>
      </c>
      <c r="O77" s="1">
        <v>129</v>
      </c>
      <c r="P77" s="1">
        <v>132</v>
      </c>
      <c r="Q77" s="24">
        <f t="shared" si="3"/>
        <v>1527</v>
      </c>
      <c r="R77" s="23">
        <v>20577</v>
      </c>
      <c r="S77" s="1">
        <v>15996</v>
      </c>
      <c r="T77" s="1">
        <v>16793</v>
      </c>
      <c r="U77" s="1">
        <v>14894</v>
      </c>
      <c r="V77" s="1">
        <v>15896</v>
      </c>
      <c r="W77" s="1">
        <v>16285</v>
      </c>
      <c r="X77" s="1">
        <v>19856</v>
      </c>
      <c r="Y77" s="1">
        <v>16794</v>
      </c>
      <c r="Z77" s="1">
        <v>16209</v>
      </c>
      <c r="AA77" s="1">
        <v>17616</v>
      </c>
      <c r="AB77" s="1">
        <v>19183</v>
      </c>
      <c r="AC77" s="1">
        <v>17671</v>
      </c>
      <c r="AD77" s="24">
        <f t="shared" si="4"/>
        <v>207770</v>
      </c>
      <c r="AE77" s="23">
        <v>20</v>
      </c>
      <c r="AF77" s="1">
        <v>0</v>
      </c>
      <c r="AG77" s="1">
        <v>0</v>
      </c>
      <c r="AH77" s="1">
        <v>1578</v>
      </c>
      <c r="AI77" s="1">
        <v>0</v>
      </c>
      <c r="AJ77" s="1">
        <v>0</v>
      </c>
      <c r="AK77" s="1">
        <v>0</v>
      </c>
      <c r="AL77" s="1">
        <v>436</v>
      </c>
      <c r="AM77" s="1">
        <v>12493</v>
      </c>
      <c r="AN77" s="1">
        <v>492</v>
      </c>
      <c r="AO77" s="1">
        <v>0</v>
      </c>
      <c r="AP77" s="1">
        <v>0</v>
      </c>
      <c r="AQ77" s="24">
        <f t="shared" si="5"/>
        <v>15019</v>
      </c>
    </row>
    <row r="78" spans="1:43" ht="17.25" customHeight="1" x14ac:dyDescent="0.45">
      <c r="A78" s="12" t="s">
        <v>10</v>
      </c>
      <c r="B78" s="12" t="s">
        <v>66</v>
      </c>
      <c r="C78" s="12" t="s">
        <v>88</v>
      </c>
      <c r="D78" s="12" t="s">
        <v>68</v>
      </c>
      <c r="E78" s="25">
        <v>77</v>
      </c>
      <c r="F78" s="10">
        <v>67</v>
      </c>
      <c r="G78" s="10">
        <v>72</v>
      </c>
      <c r="H78" s="10">
        <v>76</v>
      </c>
      <c r="I78" s="10">
        <v>66</v>
      </c>
      <c r="J78" s="10">
        <v>65</v>
      </c>
      <c r="K78" s="10">
        <v>66</v>
      </c>
      <c r="L78" s="10">
        <v>62</v>
      </c>
      <c r="M78" s="10">
        <v>35</v>
      </c>
      <c r="N78" s="10">
        <v>43</v>
      </c>
      <c r="O78" s="10">
        <v>87</v>
      </c>
      <c r="P78" s="10">
        <v>97</v>
      </c>
      <c r="Q78" s="26">
        <f t="shared" si="3"/>
        <v>813</v>
      </c>
      <c r="R78" s="25">
        <v>12153</v>
      </c>
      <c r="S78" s="10">
        <v>10951</v>
      </c>
      <c r="T78" s="10">
        <v>13043</v>
      </c>
      <c r="U78" s="10">
        <v>13127</v>
      </c>
      <c r="V78" s="10">
        <v>11367</v>
      </c>
      <c r="W78" s="10">
        <v>10472</v>
      </c>
      <c r="X78" s="10">
        <v>10902</v>
      </c>
      <c r="Y78" s="10">
        <v>10831</v>
      </c>
      <c r="Z78" s="10">
        <v>5780</v>
      </c>
      <c r="AA78" s="10">
        <v>6630</v>
      </c>
      <c r="AB78" s="10">
        <v>11853</v>
      </c>
      <c r="AC78" s="10">
        <v>14957</v>
      </c>
      <c r="AD78" s="26">
        <f t="shared" si="4"/>
        <v>132066</v>
      </c>
      <c r="AE78" s="25">
        <v>19094</v>
      </c>
      <c r="AF78" s="10">
        <v>21635</v>
      </c>
      <c r="AG78" s="10">
        <v>21810</v>
      </c>
      <c r="AH78" s="10">
        <v>18542</v>
      </c>
      <c r="AI78" s="10">
        <v>18732</v>
      </c>
      <c r="AJ78" s="10">
        <v>17162</v>
      </c>
      <c r="AK78" s="10">
        <v>16214</v>
      </c>
      <c r="AL78" s="10">
        <v>17926</v>
      </c>
      <c r="AM78" s="10">
        <v>3647</v>
      </c>
      <c r="AN78" s="10">
        <v>0</v>
      </c>
      <c r="AO78" s="10">
        <v>13144</v>
      </c>
      <c r="AP78" s="10">
        <v>19115</v>
      </c>
      <c r="AQ78" s="26">
        <f t="shared" si="5"/>
        <v>187021</v>
      </c>
    </row>
    <row r="79" spans="1:43" ht="17.25" customHeight="1" x14ac:dyDescent="0.45">
      <c r="A79" s="2" t="s">
        <v>10</v>
      </c>
      <c r="B79" s="2" t="s">
        <v>66</v>
      </c>
      <c r="C79" s="2" t="s">
        <v>336</v>
      </c>
      <c r="D79" s="2" t="s">
        <v>89</v>
      </c>
      <c r="E79" s="23">
        <v>0</v>
      </c>
      <c r="F79" s="1">
        <v>0</v>
      </c>
      <c r="G79" s="1">
        <v>0</v>
      </c>
      <c r="H79" s="1">
        <v>0</v>
      </c>
      <c r="I79" s="1">
        <v>0</v>
      </c>
      <c r="J79" s="1">
        <v>0</v>
      </c>
      <c r="K79" s="1">
        <v>0</v>
      </c>
      <c r="L79" s="1">
        <v>0</v>
      </c>
      <c r="M79" s="1">
        <v>0</v>
      </c>
      <c r="N79" s="1">
        <v>0</v>
      </c>
      <c r="O79" s="1">
        <v>0</v>
      </c>
      <c r="P79" s="1">
        <v>7</v>
      </c>
      <c r="Q79" s="24">
        <f t="shared" si="3"/>
        <v>7</v>
      </c>
      <c r="R79" s="23">
        <v>0</v>
      </c>
      <c r="S79" s="1">
        <v>0</v>
      </c>
      <c r="T79" s="1">
        <v>0</v>
      </c>
      <c r="U79" s="1">
        <v>0</v>
      </c>
      <c r="V79" s="1">
        <v>0</v>
      </c>
      <c r="W79" s="1">
        <v>0</v>
      </c>
      <c r="X79" s="1">
        <v>0</v>
      </c>
      <c r="Y79" s="1">
        <v>0</v>
      </c>
      <c r="Z79" s="1">
        <v>0</v>
      </c>
      <c r="AA79" s="1">
        <v>0</v>
      </c>
      <c r="AB79" s="1">
        <v>0</v>
      </c>
      <c r="AC79" s="1">
        <v>707</v>
      </c>
      <c r="AD79" s="24">
        <f t="shared" si="4"/>
        <v>707</v>
      </c>
      <c r="AE79" s="23">
        <v>0</v>
      </c>
      <c r="AF79" s="1">
        <v>0</v>
      </c>
      <c r="AG79" s="1">
        <v>0</v>
      </c>
      <c r="AH79" s="1">
        <v>0</v>
      </c>
      <c r="AI79" s="1">
        <v>0</v>
      </c>
      <c r="AJ79" s="1">
        <v>0</v>
      </c>
      <c r="AK79" s="1">
        <v>0</v>
      </c>
      <c r="AL79" s="1">
        <v>0</v>
      </c>
      <c r="AM79" s="1">
        <v>0</v>
      </c>
      <c r="AN79" s="1">
        <v>0</v>
      </c>
      <c r="AO79" s="1">
        <v>0</v>
      </c>
      <c r="AP79" s="1">
        <v>0</v>
      </c>
      <c r="AQ79" s="24">
        <f t="shared" si="5"/>
        <v>0</v>
      </c>
    </row>
    <row r="80" spans="1:43" ht="17.25" customHeight="1" x14ac:dyDescent="0.45">
      <c r="A80" s="12" t="s">
        <v>10</v>
      </c>
      <c r="B80" s="12" t="s">
        <v>66</v>
      </c>
      <c r="C80" s="12" t="s">
        <v>90</v>
      </c>
      <c r="D80" s="12" t="s">
        <v>91</v>
      </c>
      <c r="E80" s="25">
        <v>13</v>
      </c>
      <c r="F80" s="10">
        <v>12</v>
      </c>
      <c r="G80" s="10">
        <v>14</v>
      </c>
      <c r="H80" s="10">
        <v>12</v>
      </c>
      <c r="I80" s="10">
        <v>11</v>
      </c>
      <c r="J80" s="10">
        <v>9</v>
      </c>
      <c r="K80" s="10">
        <v>13</v>
      </c>
      <c r="L80" s="10">
        <v>13</v>
      </c>
      <c r="M80" s="10">
        <v>9</v>
      </c>
      <c r="N80" s="10">
        <v>9</v>
      </c>
      <c r="O80" s="10">
        <v>9</v>
      </c>
      <c r="P80" s="10">
        <v>8</v>
      </c>
      <c r="Q80" s="26">
        <f t="shared" si="3"/>
        <v>132</v>
      </c>
      <c r="R80" s="25">
        <v>2559</v>
      </c>
      <c r="S80" s="10">
        <v>2639</v>
      </c>
      <c r="T80" s="10">
        <v>3351</v>
      </c>
      <c r="U80" s="10">
        <v>2618</v>
      </c>
      <c r="V80" s="10">
        <v>3150</v>
      </c>
      <c r="W80" s="10">
        <v>2365</v>
      </c>
      <c r="X80" s="10">
        <v>3475</v>
      </c>
      <c r="Y80" s="10">
        <v>3758</v>
      </c>
      <c r="Z80" s="10">
        <v>2543</v>
      </c>
      <c r="AA80" s="10">
        <v>1812</v>
      </c>
      <c r="AB80" s="10">
        <v>2259</v>
      </c>
      <c r="AC80" s="10">
        <v>2182</v>
      </c>
      <c r="AD80" s="26">
        <f t="shared" si="4"/>
        <v>32711</v>
      </c>
      <c r="AE80" s="25">
        <v>0</v>
      </c>
      <c r="AF80" s="10">
        <v>0</v>
      </c>
      <c r="AG80" s="10">
        <v>0</v>
      </c>
      <c r="AH80" s="10">
        <v>0</v>
      </c>
      <c r="AI80" s="10">
        <v>0</v>
      </c>
      <c r="AJ80" s="10">
        <v>0</v>
      </c>
      <c r="AK80" s="10">
        <v>0</v>
      </c>
      <c r="AL80" s="10">
        <v>0</v>
      </c>
      <c r="AM80" s="10">
        <v>0</v>
      </c>
      <c r="AN80" s="10">
        <v>0</v>
      </c>
      <c r="AO80" s="10">
        <v>0</v>
      </c>
      <c r="AP80" s="10">
        <v>0</v>
      </c>
      <c r="AQ80" s="26">
        <f t="shared" si="5"/>
        <v>0</v>
      </c>
    </row>
    <row r="81" spans="1:43" ht="17.25" customHeight="1" x14ac:dyDescent="0.45">
      <c r="A81" s="2" t="s">
        <v>10</v>
      </c>
      <c r="B81" s="2" t="s">
        <v>66</v>
      </c>
      <c r="C81" s="2" t="s">
        <v>92</v>
      </c>
      <c r="D81" s="2" t="s">
        <v>93</v>
      </c>
      <c r="E81" s="23">
        <v>22</v>
      </c>
      <c r="F81" s="1">
        <v>21</v>
      </c>
      <c r="G81" s="1">
        <v>22</v>
      </c>
      <c r="H81" s="1">
        <v>21</v>
      </c>
      <c r="I81" s="1">
        <v>18</v>
      </c>
      <c r="J81" s="1">
        <v>17</v>
      </c>
      <c r="K81" s="1">
        <v>22</v>
      </c>
      <c r="L81" s="1">
        <v>19</v>
      </c>
      <c r="M81" s="1">
        <v>17</v>
      </c>
      <c r="N81" s="1">
        <v>18</v>
      </c>
      <c r="O81" s="1">
        <v>16</v>
      </c>
      <c r="P81" s="1">
        <v>18</v>
      </c>
      <c r="Q81" s="24">
        <f t="shared" si="3"/>
        <v>231</v>
      </c>
      <c r="R81" s="23">
        <v>4616</v>
      </c>
      <c r="S81" s="1">
        <v>4988</v>
      </c>
      <c r="T81" s="1">
        <v>4878</v>
      </c>
      <c r="U81" s="1">
        <v>4784</v>
      </c>
      <c r="V81" s="1">
        <v>4013</v>
      </c>
      <c r="W81" s="1">
        <v>4031</v>
      </c>
      <c r="X81" s="1">
        <v>5064</v>
      </c>
      <c r="Y81" s="1">
        <v>4369</v>
      </c>
      <c r="Z81" s="1">
        <v>3970</v>
      </c>
      <c r="AA81" s="1">
        <v>4132</v>
      </c>
      <c r="AB81" s="1">
        <v>3703</v>
      </c>
      <c r="AC81" s="1">
        <v>4014</v>
      </c>
      <c r="AD81" s="24">
        <f t="shared" si="4"/>
        <v>52562</v>
      </c>
      <c r="AE81" s="23">
        <v>1847</v>
      </c>
      <c r="AF81" s="1">
        <v>397</v>
      </c>
      <c r="AG81" s="1">
        <v>2167</v>
      </c>
      <c r="AH81" s="1">
        <v>416</v>
      </c>
      <c r="AI81" s="1">
        <v>1417</v>
      </c>
      <c r="AJ81" s="1">
        <v>604</v>
      </c>
      <c r="AK81" s="1">
        <v>50635</v>
      </c>
      <c r="AL81" s="1">
        <v>18919</v>
      </c>
      <c r="AM81" s="1">
        <v>42187</v>
      </c>
      <c r="AN81" s="1">
        <v>56482</v>
      </c>
      <c r="AO81" s="1">
        <v>58018</v>
      </c>
      <c r="AP81" s="1">
        <v>22192</v>
      </c>
      <c r="AQ81" s="24">
        <f t="shared" si="5"/>
        <v>255281</v>
      </c>
    </row>
    <row r="82" spans="1:43" ht="17.25" customHeight="1" x14ac:dyDescent="0.45">
      <c r="A82" s="12" t="s">
        <v>10</v>
      </c>
      <c r="B82" s="12" t="s">
        <v>66</v>
      </c>
      <c r="C82" s="12" t="s">
        <v>94</v>
      </c>
      <c r="D82" s="12" t="s">
        <v>65</v>
      </c>
      <c r="E82" s="25">
        <v>96</v>
      </c>
      <c r="F82" s="10">
        <v>92</v>
      </c>
      <c r="G82" s="10">
        <v>103</v>
      </c>
      <c r="H82" s="10">
        <v>91</v>
      </c>
      <c r="I82" s="10">
        <v>52</v>
      </c>
      <c r="J82" s="10">
        <v>26</v>
      </c>
      <c r="K82" s="10">
        <v>29</v>
      </c>
      <c r="L82" s="10">
        <v>32</v>
      </c>
      <c r="M82" s="10">
        <v>23</v>
      </c>
      <c r="N82" s="10">
        <v>40</v>
      </c>
      <c r="O82" s="10">
        <v>71</v>
      </c>
      <c r="P82" s="10">
        <v>75</v>
      </c>
      <c r="Q82" s="26">
        <f t="shared" si="3"/>
        <v>730</v>
      </c>
      <c r="R82" s="25">
        <v>19723</v>
      </c>
      <c r="S82" s="10">
        <v>18991</v>
      </c>
      <c r="T82" s="10">
        <v>19432</v>
      </c>
      <c r="U82" s="10">
        <v>18170</v>
      </c>
      <c r="V82" s="10">
        <v>8834</v>
      </c>
      <c r="W82" s="10">
        <v>3963</v>
      </c>
      <c r="X82" s="10">
        <v>4616</v>
      </c>
      <c r="Y82" s="10">
        <v>5040</v>
      </c>
      <c r="Z82" s="10">
        <v>3806</v>
      </c>
      <c r="AA82" s="10">
        <v>6024</v>
      </c>
      <c r="AB82" s="10">
        <v>14584</v>
      </c>
      <c r="AC82" s="10">
        <v>17905</v>
      </c>
      <c r="AD82" s="26">
        <f t="shared" si="4"/>
        <v>141088</v>
      </c>
      <c r="AE82" s="25">
        <v>0</v>
      </c>
      <c r="AF82" s="10">
        <v>0</v>
      </c>
      <c r="AG82" s="10">
        <v>0</v>
      </c>
      <c r="AH82" s="10">
        <v>0</v>
      </c>
      <c r="AI82" s="10">
        <v>0</v>
      </c>
      <c r="AJ82" s="10">
        <v>0</v>
      </c>
      <c r="AK82" s="10">
        <v>0</v>
      </c>
      <c r="AL82" s="10">
        <v>0</v>
      </c>
      <c r="AM82" s="10">
        <v>0</v>
      </c>
      <c r="AN82" s="10">
        <v>0</v>
      </c>
      <c r="AO82" s="10">
        <v>0</v>
      </c>
      <c r="AP82" s="10">
        <v>0</v>
      </c>
      <c r="AQ82" s="26">
        <f t="shared" si="5"/>
        <v>0</v>
      </c>
    </row>
    <row r="83" spans="1:43" ht="17.25" customHeight="1" x14ac:dyDescent="0.45">
      <c r="A83" s="2" t="s">
        <v>10</v>
      </c>
      <c r="B83" s="2" t="s">
        <v>66</v>
      </c>
      <c r="C83" s="2" t="s">
        <v>95</v>
      </c>
      <c r="D83" s="2" t="s">
        <v>96</v>
      </c>
      <c r="E83" s="23">
        <v>4</v>
      </c>
      <c r="F83" s="1">
        <v>7</v>
      </c>
      <c r="G83" s="1">
        <v>9</v>
      </c>
      <c r="H83" s="1">
        <v>8</v>
      </c>
      <c r="I83" s="1">
        <v>7</v>
      </c>
      <c r="J83" s="1">
        <v>4</v>
      </c>
      <c r="K83" s="1">
        <v>5</v>
      </c>
      <c r="L83" s="1">
        <v>4</v>
      </c>
      <c r="M83" s="1">
        <v>3</v>
      </c>
      <c r="N83" s="1">
        <v>5</v>
      </c>
      <c r="O83" s="1">
        <v>3</v>
      </c>
      <c r="P83" s="1">
        <v>4</v>
      </c>
      <c r="Q83" s="24">
        <f t="shared" si="3"/>
        <v>63</v>
      </c>
      <c r="R83" s="23">
        <v>317</v>
      </c>
      <c r="S83" s="1">
        <v>362</v>
      </c>
      <c r="T83" s="1">
        <v>446</v>
      </c>
      <c r="U83" s="1">
        <v>339</v>
      </c>
      <c r="V83" s="1">
        <v>433</v>
      </c>
      <c r="W83" s="1">
        <v>289</v>
      </c>
      <c r="X83" s="1">
        <v>393</v>
      </c>
      <c r="Y83" s="1">
        <v>375</v>
      </c>
      <c r="Z83" s="1">
        <v>257</v>
      </c>
      <c r="AA83" s="1">
        <v>490</v>
      </c>
      <c r="AB83" s="1">
        <v>345</v>
      </c>
      <c r="AC83" s="1">
        <v>443</v>
      </c>
      <c r="AD83" s="24">
        <f t="shared" si="4"/>
        <v>4489</v>
      </c>
      <c r="AE83" s="23">
        <v>0</v>
      </c>
      <c r="AF83" s="1">
        <v>0</v>
      </c>
      <c r="AG83" s="1">
        <v>0</v>
      </c>
      <c r="AH83" s="1">
        <v>0</v>
      </c>
      <c r="AI83" s="1">
        <v>0</v>
      </c>
      <c r="AJ83" s="1">
        <v>0</v>
      </c>
      <c r="AK83" s="1">
        <v>0</v>
      </c>
      <c r="AL83" s="1">
        <v>0</v>
      </c>
      <c r="AM83" s="1">
        <v>0</v>
      </c>
      <c r="AN83" s="1">
        <v>0</v>
      </c>
      <c r="AO83" s="1">
        <v>0</v>
      </c>
      <c r="AP83" s="1">
        <v>0</v>
      </c>
      <c r="AQ83" s="24">
        <f t="shared" si="5"/>
        <v>0</v>
      </c>
    </row>
    <row r="84" spans="1:43" ht="17.25" customHeight="1" x14ac:dyDescent="0.45">
      <c r="A84" s="12" t="s">
        <v>10</v>
      </c>
      <c r="B84" s="12" t="s">
        <v>66</v>
      </c>
      <c r="C84" s="12" t="s">
        <v>219</v>
      </c>
      <c r="D84" s="12" t="s">
        <v>220</v>
      </c>
      <c r="E84" s="25">
        <v>12</v>
      </c>
      <c r="F84" s="10">
        <v>8</v>
      </c>
      <c r="G84" s="10">
        <v>10</v>
      </c>
      <c r="H84" s="10">
        <v>9</v>
      </c>
      <c r="I84" s="10">
        <v>9</v>
      </c>
      <c r="J84" s="10">
        <v>8</v>
      </c>
      <c r="K84" s="10">
        <v>8</v>
      </c>
      <c r="L84" s="10">
        <v>9</v>
      </c>
      <c r="M84" s="10">
        <v>9</v>
      </c>
      <c r="N84" s="10">
        <v>7</v>
      </c>
      <c r="O84" s="10">
        <v>5</v>
      </c>
      <c r="P84" s="10">
        <v>9</v>
      </c>
      <c r="Q84" s="26">
        <f t="shared" si="3"/>
        <v>103</v>
      </c>
      <c r="R84" s="25">
        <v>1053</v>
      </c>
      <c r="S84" s="10">
        <v>522</v>
      </c>
      <c r="T84" s="10">
        <v>731</v>
      </c>
      <c r="U84" s="10">
        <v>564</v>
      </c>
      <c r="V84" s="10">
        <v>470</v>
      </c>
      <c r="W84" s="10">
        <v>468</v>
      </c>
      <c r="X84" s="10">
        <v>554</v>
      </c>
      <c r="Y84" s="10">
        <v>980</v>
      </c>
      <c r="Z84" s="10">
        <v>1839</v>
      </c>
      <c r="AA84" s="10">
        <v>908</v>
      </c>
      <c r="AB84" s="10">
        <v>680</v>
      </c>
      <c r="AC84" s="10">
        <v>2245</v>
      </c>
      <c r="AD84" s="26">
        <f t="shared" si="4"/>
        <v>11014</v>
      </c>
      <c r="AE84" s="25">
        <v>0</v>
      </c>
      <c r="AF84" s="10">
        <v>0</v>
      </c>
      <c r="AG84" s="10">
        <v>0</v>
      </c>
      <c r="AH84" s="10">
        <v>0</v>
      </c>
      <c r="AI84" s="10">
        <v>0</v>
      </c>
      <c r="AJ84" s="10">
        <v>0</v>
      </c>
      <c r="AK84" s="10">
        <v>0</v>
      </c>
      <c r="AL84" s="10">
        <v>0</v>
      </c>
      <c r="AM84" s="10">
        <v>0</v>
      </c>
      <c r="AN84" s="10">
        <v>0</v>
      </c>
      <c r="AO84" s="10">
        <v>0</v>
      </c>
      <c r="AP84" s="10">
        <v>0</v>
      </c>
      <c r="AQ84" s="26">
        <f t="shared" si="5"/>
        <v>0</v>
      </c>
    </row>
    <row r="85" spans="1:43" ht="17.25" customHeight="1" x14ac:dyDescent="0.45">
      <c r="A85" s="2" t="s">
        <v>10</v>
      </c>
      <c r="B85" s="2" t="s">
        <v>66</v>
      </c>
      <c r="C85" s="2" t="s">
        <v>97</v>
      </c>
      <c r="D85" s="2" t="s">
        <v>68</v>
      </c>
      <c r="E85" s="23">
        <v>146</v>
      </c>
      <c r="F85" s="1">
        <v>143</v>
      </c>
      <c r="G85" s="1">
        <v>154</v>
      </c>
      <c r="H85" s="1">
        <v>146</v>
      </c>
      <c r="I85" s="1">
        <v>127</v>
      </c>
      <c r="J85" s="1">
        <v>124</v>
      </c>
      <c r="K85" s="1">
        <v>122</v>
      </c>
      <c r="L85" s="1">
        <v>93</v>
      </c>
      <c r="M85" s="1">
        <v>78</v>
      </c>
      <c r="N85" s="1">
        <v>104</v>
      </c>
      <c r="O85" s="1">
        <v>95</v>
      </c>
      <c r="P85" s="1">
        <v>130</v>
      </c>
      <c r="Q85" s="24">
        <f t="shared" si="3"/>
        <v>1462</v>
      </c>
      <c r="R85" s="23">
        <v>24747</v>
      </c>
      <c r="S85" s="1">
        <v>24233</v>
      </c>
      <c r="T85" s="1">
        <v>28542</v>
      </c>
      <c r="U85" s="1">
        <v>26255</v>
      </c>
      <c r="V85" s="1">
        <v>21659</v>
      </c>
      <c r="W85" s="1">
        <v>22502</v>
      </c>
      <c r="X85" s="1">
        <v>21344</v>
      </c>
      <c r="Y85" s="1">
        <v>17488</v>
      </c>
      <c r="Z85" s="1">
        <v>13553</v>
      </c>
      <c r="AA85" s="1">
        <v>16984</v>
      </c>
      <c r="AB85" s="1">
        <v>14951</v>
      </c>
      <c r="AC85" s="1">
        <v>20738</v>
      </c>
      <c r="AD85" s="24">
        <f t="shared" si="4"/>
        <v>252996</v>
      </c>
      <c r="AE85" s="23">
        <v>5571.4750807099999</v>
      </c>
      <c r="AF85" s="1">
        <v>4.9895160700000005</v>
      </c>
      <c r="AG85" s="1">
        <v>70.760409720000013</v>
      </c>
      <c r="AH85" s="1">
        <v>9882.4169650999993</v>
      </c>
      <c r="AI85" s="1">
        <v>2717.4718886700002</v>
      </c>
      <c r="AJ85" s="1">
        <v>2562.3432981299993</v>
      </c>
      <c r="AK85" s="1">
        <v>480.80791220000003</v>
      </c>
      <c r="AL85" s="1">
        <v>638.20446459000004</v>
      </c>
      <c r="AM85" s="1">
        <v>3645.9754700600001</v>
      </c>
      <c r="AN85" s="1">
        <v>8.1646626600000012</v>
      </c>
      <c r="AO85" s="1">
        <v>2281.1160287299999</v>
      </c>
      <c r="AP85" s="1">
        <v>2981.0090556400005</v>
      </c>
      <c r="AQ85" s="24">
        <f t="shared" si="5"/>
        <v>30844.734752279997</v>
      </c>
    </row>
    <row r="86" spans="1:43" ht="17.25" customHeight="1" x14ac:dyDescent="0.45">
      <c r="A86" s="12" t="s">
        <v>10</v>
      </c>
      <c r="B86" s="12" t="s">
        <v>66</v>
      </c>
      <c r="C86" s="12" t="s">
        <v>72</v>
      </c>
      <c r="D86" s="12" t="s">
        <v>68</v>
      </c>
      <c r="E86" s="25">
        <v>357</v>
      </c>
      <c r="F86" s="10">
        <v>347</v>
      </c>
      <c r="G86" s="10">
        <v>352</v>
      </c>
      <c r="H86" s="10">
        <v>268</v>
      </c>
      <c r="I86" s="10">
        <v>229</v>
      </c>
      <c r="J86" s="10">
        <v>240</v>
      </c>
      <c r="K86" s="10">
        <v>240</v>
      </c>
      <c r="L86" s="10">
        <v>186</v>
      </c>
      <c r="M86" s="10">
        <v>159</v>
      </c>
      <c r="N86" s="10">
        <v>196</v>
      </c>
      <c r="O86" s="10">
        <v>196</v>
      </c>
      <c r="P86" s="10">
        <v>231</v>
      </c>
      <c r="Q86" s="26">
        <f t="shared" si="3"/>
        <v>3001</v>
      </c>
      <c r="R86" s="25">
        <v>60356</v>
      </c>
      <c r="S86" s="10">
        <v>56877</v>
      </c>
      <c r="T86" s="10">
        <v>63026</v>
      </c>
      <c r="U86" s="10">
        <v>45328</v>
      </c>
      <c r="V86" s="10">
        <v>38197</v>
      </c>
      <c r="W86" s="10">
        <v>40192</v>
      </c>
      <c r="X86" s="10">
        <v>39587</v>
      </c>
      <c r="Y86" s="10">
        <v>32452</v>
      </c>
      <c r="Z86" s="10">
        <v>25250</v>
      </c>
      <c r="AA86" s="10">
        <v>31483</v>
      </c>
      <c r="AB86" s="10">
        <v>34979</v>
      </c>
      <c r="AC86" s="10">
        <v>41108</v>
      </c>
      <c r="AD86" s="26">
        <f t="shared" si="4"/>
        <v>508835</v>
      </c>
      <c r="AE86" s="25">
        <v>3836</v>
      </c>
      <c r="AF86" s="10">
        <v>284</v>
      </c>
      <c r="AG86" s="10">
        <v>730.04750248000005</v>
      </c>
      <c r="AH86" s="10">
        <v>221</v>
      </c>
      <c r="AI86" s="10">
        <v>3202</v>
      </c>
      <c r="AJ86" s="10">
        <v>3546.0986788600003</v>
      </c>
      <c r="AK86" s="10">
        <v>1072.01699712</v>
      </c>
      <c r="AL86" s="10">
        <v>1171</v>
      </c>
      <c r="AM86" s="10">
        <v>1493.8544682500001</v>
      </c>
      <c r="AN86" s="10">
        <v>2580.31949098</v>
      </c>
      <c r="AO86" s="10">
        <v>5509.0053817400003</v>
      </c>
      <c r="AP86" s="10">
        <v>5748.3383250500001</v>
      </c>
      <c r="AQ86" s="26">
        <f t="shared" si="5"/>
        <v>29393.680844480001</v>
      </c>
    </row>
    <row r="87" spans="1:43" ht="17.25" customHeight="1" x14ac:dyDescent="0.45">
      <c r="A87" s="2" t="s">
        <v>10</v>
      </c>
      <c r="B87" s="2" t="s">
        <v>66</v>
      </c>
      <c r="C87" s="2" t="s">
        <v>98</v>
      </c>
      <c r="D87" s="2" t="s">
        <v>68</v>
      </c>
      <c r="E87" s="23">
        <v>40</v>
      </c>
      <c r="F87" s="1">
        <v>32</v>
      </c>
      <c r="G87" s="1">
        <v>53</v>
      </c>
      <c r="H87" s="1">
        <v>38</v>
      </c>
      <c r="I87" s="1">
        <v>33</v>
      </c>
      <c r="J87" s="1">
        <v>35</v>
      </c>
      <c r="K87" s="1">
        <v>34</v>
      </c>
      <c r="L87" s="1">
        <v>18</v>
      </c>
      <c r="M87" s="1">
        <v>4</v>
      </c>
      <c r="N87" s="1">
        <v>4</v>
      </c>
      <c r="O87" s="1">
        <v>12</v>
      </c>
      <c r="P87" s="1">
        <v>35</v>
      </c>
      <c r="Q87" s="24">
        <f t="shared" si="3"/>
        <v>338</v>
      </c>
      <c r="R87" s="23">
        <v>5307</v>
      </c>
      <c r="S87" s="1">
        <v>3567</v>
      </c>
      <c r="T87" s="1">
        <v>7218</v>
      </c>
      <c r="U87" s="1">
        <v>5716</v>
      </c>
      <c r="V87" s="1">
        <v>3641</v>
      </c>
      <c r="W87" s="1">
        <v>5275</v>
      </c>
      <c r="X87" s="1">
        <v>4672</v>
      </c>
      <c r="Y87" s="1">
        <v>2872</v>
      </c>
      <c r="Z87" s="1">
        <v>614</v>
      </c>
      <c r="AA87" s="1">
        <v>614</v>
      </c>
      <c r="AB87" s="1">
        <v>1511</v>
      </c>
      <c r="AC87" s="1">
        <v>4230</v>
      </c>
      <c r="AD87" s="24">
        <f t="shared" si="4"/>
        <v>45237</v>
      </c>
      <c r="AE87" s="23">
        <v>0</v>
      </c>
      <c r="AF87" s="1">
        <v>0</v>
      </c>
      <c r="AG87" s="1">
        <v>0</v>
      </c>
      <c r="AH87" s="1">
        <v>0</v>
      </c>
      <c r="AI87" s="1">
        <v>0</v>
      </c>
      <c r="AJ87" s="1">
        <v>0</v>
      </c>
      <c r="AK87" s="1">
        <v>0</v>
      </c>
      <c r="AL87" s="1">
        <v>0</v>
      </c>
      <c r="AM87" s="1">
        <v>0</v>
      </c>
      <c r="AN87" s="1">
        <v>0</v>
      </c>
      <c r="AO87" s="1">
        <v>0</v>
      </c>
      <c r="AP87" s="1">
        <v>0</v>
      </c>
      <c r="AQ87" s="24">
        <f t="shared" si="5"/>
        <v>0</v>
      </c>
    </row>
    <row r="88" spans="1:43" ht="17.25" customHeight="1" x14ac:dyDescent="0.45">
      <c r="A88" s="12" t="s">
        <v>10</v>
      </c>
      <c r="B88" s="12" t="s">
        <v>66</v>
      </c>
      <c r="C88" s="12" t="s">
        <v>259</v>
      </c>
      <c r="D88" s="12" t="s">
        <v>68</v>
      </c>
      <c r="E88" s="25">
        <v>0</v>
      </c>
      <c r="F88" s="10">
        <v>0</v>
      </c>
      <c r="G88" s="10">
        <v>8</v>
      </c>
      <c r="H88" s="10">
        <v>5</v>
      </c>
      <c r="I88" s="10">
        <v>4</v>
      </c>
      <c r="J88" s="10">
        <v>7</v>
      </c>
      <c r="K88" s="10">
        <v>8</v>
      </c>
      <c r="L88" s="10">
        <v>2</v>
      </c>
      <c r="M88" s="10">
        <v>0</v>
      </c>
      <c r="N88" s="10">
        <v>0</v>
      </c>
      <c r="O88" s="10">
        <v>0</v>
      </c>
      <c r="P88" s="10">
        <v>0</v>
      </c>
      <c r="Q88" s="26">
        <f t="shared" si="3"/>
        <v>34</v>
      </c>
      <c r="R88" s="25">
        <v>0</v>
      </c>
      <c r="S88" s="10">
        <v>0</v>
      </c>
      <c r="T88" s="10">
        <v>1091</v>
      </c>
      <c r="U88" s="10">
        <v>725</v>
      </c>
      <c r="V88" s="10">
        <v>556</v>
      </c>
      <c r="W88" s="10">
        <v>1115</v>
      </c>
      <c r="X88" s="10">
        <v>1303</v>
      </c>
      <c r="Y88" s="10">
        <v>326</v>
      </c>
      <c r="Z88" s="10">
        <v>0</v>
      </c>
      <c r="AA88" s="10">
        <v>0</v>
      </c>
      <c r="AB88" s="10">
        <v>0</v>
      </c>
      <c r="AC88" s="10">
        <v>0</v>
      </c>
      <c r="AD88" s="26">
        <f t="shared" si="4"/>
        <v>5116</v>
      </c>
      <c r="AE88" s="25">
        <v>0</v>
      </c>
      <c r="AF88" s="10">
        <v>0</v>
      </c>
      <c r="AG88" s="10">
        <v>0</v>
      </c>
      <c r="AH88" s="10">
        <v>0</v>
      </c>
      <c r="AI88" s="10">
        <v>0</v>
      </c>
      <c r="AJ88" s="10">
        <v>0</v>
      </c>
      <c r="AK88" s="10">
        <v>0</v>
      </c>
      <c r="AL88" s="10">
        <v>0</v>
      </c>
      <c r="AM88" s="10">
        <v>0</v>
      </c>
      <c r="AN88" s="10">
        <v>0</v>
      </c>
      <c r="AO88" s="10">
        <v>0</v>
      </c>
      <c r="AP88" s="10">
        <v>0</v>
      </c>
      <c r="AQ88" s="26">
        <f t="shared" si="5"/>
        <v>0</v>
      </c>
    </row>
    <row r="89" spans="1:43" ht="17.25" customHeight="1" x14ac:dyDescent="0.45">
      <c r="A89" s="2" t="s">
        <v>10</v>
      </c>
      <c r="B89" s="2" t="s">
        <v>66</v>
      </c>
      <c r="C89" s="2" t="s">
        <v>99</v>
      </c>
      <c r="D89" s="2" t="s">
        <v>68</v>
      </c>
      <c r="E89" s="23">
        <v>21</v>
      </c>
      <c r="F89" s="1">
        <v>20</v>
      </c>
      <c r="G89" s="1">
        <v>23</v>
      </c>
      <c r="H89" s="1">
        <v>18</v>
      </c>
      <c r="I89" s="1">
        <v>17</v>
      </c>
      <c r="J89" s="1">
        <v>18</v>
      </c>
      <c r="K89" s="1">
        <v>18</v>
      </c>
      <c r="L89" s="1">
        <v>10</v>
      </c>
      <c r="M89" s="1">
        <v>4</v>
      </c>
      <c r="N89" s="1">
        <v>4</v>
      </c>
      <c r="O89" s="1">
        <v>9</v>
      </c>
      <c r="P89" s="1">
        <v>16</v>
      </c>
      <c r="Q89" s="24">
        <f t="shared" si="3"/>
        <v>178</v>
      </c>
      <c r="R89" s="23">
        <v>2192</v>
      </c>
      <c r="S89" s="1">
        <v>2139</v>
      </c>
      <c r="T89" s="1">
        <v>2802</v>
      </c>
      <c r="U89" s="1">
        <v>2135</v>
      </c>
      <c r="V89" s="1">
        <v>1550</v>
      </c>
      <c r="W89" s="1">
        <v>2917</v>
      </c>
      <c r="X89" s="1">
        <v>2693</v>
      </c>
      <c r="Y89" s="1">
        <v>1416</v>
      </c>
      <c r="Z89" s="1">
        <v>481</v>
      </c>
      <c r="AA89" s="1">
        <v>608</v>
      </c>
      <c r="AB89" s="1">
        <v>807</v>
      </c>
      <c r="AC89" s="1">
        <v>1534</v>
      </c>
      <c r="AD89" s="24">
        <f t="shared" si="4"/>
        <v>21274</v>
      </c>
      <c r="AE89" s="23">
        <v>0</v>
      </c>
      <c r="AF89" s="1">
        <v>0</v>
      </c>
      <c r="AG89" s="1">
        <v>0</v>
      </c>
      <c r="AH89" s="1">
        <v>0</v>
      </c>
      <c r="AI89" s="1">
        <v>0</v>
      </c>
      <c r="AJ89" s="1">
        <v>0</v>
      </c>
      <c r="AK89" s="1">
        <v>0</v>
      </c>
      <c r="AL89" s="1">
        <v>0</v>
      </c>
      <c r="AM89" s="1">
        <v>0</v>
      </c>
      <c r="AN89" s="1">
        <v>0</v>
      </c>
      <c r="AO89" s="1">
        <v>0</v>
      </c>
      <c r="AP89" s="1">
        <v>0</v>
      </c>
      <c r="AQ89" s="24">
        <f t="shared" si="5"/>
        <v>0</v>
      </c>
    </row>
    <row r="90" spans="1:43" ht="17.25" customHeight="1" x14ac:dyDescent="0.45">
      <c r="A90" s="12" t="s">
        <v>10</v>
      </c>
      <c r="B90" s="12" t="s">
        <v>66</v>
      </c>
      <c r="C90" s="12" t="s">
        <v>67</v>
      </c>
      <c r="D90" s="12" t="s">
        <v>68</v>
      </c>
      <c r="E90" s="25">
        <v>329</v>
      </c>
      <c r="F90" s="10">
        <v>306</v>
      </c>
      <c r="G90" s="10">
        <v>341</v>
      </c>
      <c r="H90" s="10">
        <v>300</v>
      </c>
      <c r="I90" s="10">
        <v>330</v>
      </c>
      <c r="J90" s="10">
        <v>360</v>
      </c>
      <c r="K90" s="10">
        <v>346</v>
      </c>
      <c r="L90" s="10">
        <v>252</v>
      </c>
      <c r="M90" s="10">
        <v>202</v>
      </c>
      <c r="N90" s="10">
        <v>220</v>
      </c>
      <c r="O90" s="10">
        <v>233</v>
      </c>
      <c r="P90" s="10">
        <v>275</v>
      </c>
      <c r="Q90" s="26">
        <f t="shared" si="3"/>
        <v>3494</v>
      </c>
      <c r="R90" s="25">
        <v>51838</v>
      </c>
      <c r="S90" s="10">
        <v>47175</v>
      </c>
      <c r="T90" s="10">
        <v>59407</v>
      </c>
      <c r="U90" s="10">
        <v>48287</v>
      </c>
      <c r="V90" s="10">
        <v>52851</v>
      </c>
      <c r="W90" s="10">
        <v>64047</v>
      </c>
      <c r="X90" s="10">
        <v>60318</v>
      </c>
      <c r="Y90" s="10">
        <v>45554</v>
      </c>
      <c r="Z90" s="10">
        <v>34436</v>
      </c>
      <c r="AA90" s="10">
        <v>36357</v>
      </c>
      <c r="AB90" s="10">
        <v>35197</v>
      </c>
      <c r="AC90" s="10">
        <v>41637</v>
      </c>
      <c r="AD90" s="26">
        <f t="shared" si="4"/>
        <v>577104</v>
      </c>
      <c r="AE90" s="25">
        <v>14174.307970129999</v>
      </c>
      <c r="AF90" s="10">
        <v>7252.9419963</v>
      </c>
      <c r="AG90" s="10">
        <v>6312.1914209200004</v>
      </c>
      <c r="AH90" s="10">
        <v>439.98459888999997</v>
      </c>
      <c r="AI90" s="10">
        <v>6189.7214810200021</v>
      </c>
      <c r="AJ90" s="10">
        <v>7784.5522539399999</v>
      </c>
      <c r="AK90" s="10">
        <v>1737.2587771000003</v>
      </c>
      <c r="AL90" s="10">
        <v>625.05028586000014</v>
      </c>
      <c r="AM90" s="10">
        <v>833.70277606000025</v>
      </c>
      <c r="AN90" s="10">
        <v>797.86897883000006</v>
      </c>
      <c r="AO90" s="10">
        <v>6572.0998489300018</v>
      </c>
      <c r="AP90" s="10">
        <v>10219.436096099998</v>
      </c>
      <c r="AQ90" s="26">
        <f t="shared" si="5"/>
        <v>62939.116484080012</v>
      </c>
    </row>
    <row r="91" spans="1:43" ht="17.25" customHeight="1" x14ac:dyDescent="0.45">
      <c r="A91" s="2" t="s">
        <v>10</v>
      </c>
      <c r="B91" s="2" t="s">
        <v>66</v>
      </c>
      <c r="C91" s="2" t="s">
        <v>100</v>
      </c>
      <c r="D91" s="2" t="s">
        <v>68</v>
      </c>
      <c r="E91" s="23">
        <v>163</v>
      </c>
      <c r="F91" s="1">
        <v>151</v>
      </c>
      <c r="G91" s="1">
        <v>205</v>
      </c>
      <c r="H91" s="1">
        <v>164</v>
      </c>
      <c r="I91" s="1">
        <v>163</v>
      </c>
      <c r="J91" s="1">
        <v>178</v>
      </c>
      <c r="K91" s="1">
        <v>182</v>
      </c>
      <c r="L91" s="1">
        <v>116</v>
      </c>
      <c r="M91" s="1">
        <v>69</v>
      </c>
      <c r="N91" s="1">
        <v>104</v>
      </c>
      <c r="O91" s="1">
        <v>107</v>
      </c>
      <c r="P91" s="1">
        <v>133</v>
      </c>
      <c r="Q91" s="24">
        <f t="shared" si="3"/>
        <v>1735</v>
      </c>
      <c r="R91" s="23">
        <v>30944</v>
      </c>
      <c r="S91" s="1">
        <v>28203</v>
      </c>
      <c r="T91" s="1">
        <v>36821</v>
      </c>
      <c r="U91" s="1">
        <v>27330</v>
      </c>
      <c r="V91" s="1">
        <v>27649</v>
      </c>
      <c r="W91" s="1">
        <v>29874</v>
      </c>
      <c r="X91" s="1">
        <v>29337</v>
      </c>
      <c r="Y91" s="1">
        <v>19805</v>
      </c>
      <c r="Z91" s="1">
        <v>11373</v>
      </c>
      <c r="AA91" s="1">
        <v>17302</v>
      </c>
      <c r="AB91" s="1">
        <v>21225</v>
      </c>
      <c r="AC91" s="1">
        <v>26602</v>
      </c>
      <c r="AD91" s="24">
        <f t="shared" si="4"/>
        <v>306465</v>
      </c>
      <c r="AE91" s="23">
        <v>1702</v>
      </c>
      <c r="AF91" s="1">
        <v>2667</v>
      </c>
      <c r="AG91" s="1">
        <v>6217</v>
      </c>
      <c r="AH91" s="1">
        <v>3051</v>
      </c>
      <c r="AI91" s="1">
        <v>4171</v>
      </c>
      <c r="AJ91" s="1">
        <v>2642</v>
      </c>
      <c r="AK91" s="1">
        <v>0</v>
      </c>
      <c r="AL91" s="1">
        <v>5413</v>
      </c>
      <c r="AM91" s="1">
        <v>0</v>
      </c>
      <c r="AN91" s="1">
        <v>5431</v>
      </c>
      <c r="AO91" s="1">
        <v>3819</v>
      </c>
      <c r="AP91" s="1">
        <v>3625</v>
      </c>
      <c r="AQ91" s="24">
        <f t="shared" si="5"/>
        <v>38738</v>
      </c>
    </row>
    <row r="92" spans="1:43" ht="17.25" customHeight="1" x14ac:dyDescent="0.45">
      <c r="A92" s="12" t="s">
        <v>10</v>
      </c>
      <c r="B92" s="12" t="s">
        <v>66</v>
      </c>
      <c r="C92" s="12" t="s">
        <v>101</v>
      </c>
      <c r="D92" s="12" t="s">
        <v>68</v>
      </c>
      <c r="E92" s="25">
        <v>161</v>
      </c>
      <c r="F92" s="10">
        <v>152</v>
      </c>
      <c r="G92" s="10">
        <v>140</v>
      </c>
      <c r="H92" s="10">
        <v>94</v>
      </c>
      <c r="I92" s="10">
        <v>81</v>
      </c>
      <c r="J92" s="10">
        <v>78</v>
      </c>
      <c r="K92" s="10">
        <v>77</v>
      </c>
      <c r="L92" s="10">
        <v>72</v>
      </c>
      <c r="M92" s="10">
        <v>47</v>
      </c>
      <c r="N92" s="10">
        <v>49</v>
      </c>
      <c r="O92" s="10">
        <v>77</v>
      </c>
      <c r="P92" s="10">
        <v>127</v>
      </c>
      <c r="Q92" s="26">
        <f t="shared" si="3"/>
        <v>1155</v>
      </c>
      <c r="R92" s="25">
        <v>23608</v>
      </c>
      <c r="S92" s="10">
        <v>24429</v>
      </c>
      <c r="T92" s="10">
        <v>24056</v>
      </c>
      <c r="U92" s="10">
        <v>16246</v>
      </c>
      <c r="V92" s="10">
        <v>13888</v>
      </c>
      <c r="W92" s="10">
        <v>12918</v>
      </c>
      <c r="X92" s="10">
        <v>12296</v>
      </c>
      <c r="Y92" s="10">
        <v>12704</v>
      </c>
      <c r="Z92" s="10">
        <v>7390</v>
      </c>
      <c r="AA92" s="10">
        <v>7578</v>
      </c>
      <c r="AB92" s="10">
        <v>11835</v>
      </c>
      <c r="AC92" s="10">
        <v>18530</v>
      </c>
      <c r="AD92" s="26">
        <f t="shared" si="4"/>
        <v>185478</v>
      </c>
      <c r="AE92" s="25">
        <v>0</v>
      </c>
      <c r="AF92" s="10">
        <v>0</v>
      </c>
      <c r="AG92" s="10">
        <v>0</v>
      </c>
      <c r="AH92" s="10">
        <v>0</v>
      </c>
      <c r="AI92" s="10">
        <v>0</v>
      </c>
      <c r="AJ92" s="10">
        <v>0</v>
      </c>
      <c r="AK92" s="10">
        <v>0</v>
      </c>
      <c r="AL92" s="10">
        <v>0</v>
      </c>
      <c r="AM92" s="10">
        <v>0</v>
      </c>
      <c r="AN92" s="10">
        <v>0</v>
      </c>
      <c r="AO92" s="10">
        <v>0</v>
      </c>
      <c r="AP92" s="10">
        <v>0</v>
      </c>
      <c r="AQ92" s="26">
        <f t="shared" si="5"/>
        <v>0</v>
      </c>
    </row>
    <row r="93" spans="1:43" ht="17.25" customHeight="1" x14ac:dyDescent="0.45">
      <c r="A93" s="2" t="s">
        <v>10</v>
      </c>
      <c r="B93" s="2" t="s">
        <v>66</v>
      </c>
      <c r="C93" s="2" t="s">
        <v>301</v>
      </c>
      <c r="D93" s="2" t="s">
        <v>302</v>
      </c>
      <c r="E93" s="23">
        <v>0</v>
      </c>
      <c r="F93" s="1">
        <v>0</v>
      </c>
      <c r="G93" s="1">
        <v>0</v>
      </c>
      <c r="H93" s="1">
        <v>0</v>
      </c>
      <c r="I93" s="1">
        <v>0</v>
      </c>
      <c r="J93" s="1">
        <v>1</v>
      </c>
      <c r="K93" s="1">
        <v>4</v>
      </c>
      <c r="L93" s="1">
        <v>0</v>
      </c>
      <c r="M93" s="1">
        <v>0</v>
      </c>
      <c r="N93" s="1">
        <v>0</v>
      </c>
      <c r="O93" s="1">
        <v>0</v>
      </c>
      <c r="P93" s="1">
        <v>0</v>
      </c>
      <c r="Q93" s="24">
        <f t="shared" si="3"/>
        <v>5</v>
      </c>
      <c r="R93" s="23">
        <v>0</v>
      </c>
      <c r="S93" s="1">
        <v>0</v>
      </c>
      <c r="T93" s="1">
        <v>0</v>
      </c>
      <c r="U93" s="1">
        <v>0</v>
      </c>
      <c r="V93" s="1">
        <v>0</v>
      </c>
      <c r="W93" s="1">
        <v>294</v>
      </c>
      <c r="X93" s="1">
        <v>1181</v>
      </c>
      <c r="Y93" s="1">
        <v>0</v>
      </c>
      <c r="Z93" s="1">
        <v>0</v>
      </c>
      <c r="AA93" s="1">
        <v>0</v>
      </c>
      <c r="AB93" s="1">
        <v>0</v>
      </c>
      <c r="AC93" s="1">
        <v>0</v>
      </c>
      <c r="AD93" s="24">
        <f t="shared" si="4"/>
        <v>1475</v>
      </c>
      <c r="AE93" s="23">
        <v>0</v>
      </c>
      <c r="AF93" s="1">
        <v>0</v>
      </c>
      <c r="AG93" s="1">
        <v>0</v>
      </c>
      <c r="AH93" s="1">
        <v>0</v>
      </c>
      <c r="AI93" s="1">
        <v>0</v>
      </c>
      <c r="AJ93" s="1">
        <v>0</v>
      </c>
      <c r="AK93" s="1">
        <v>0</v>
      </c>
      <c r="AL93" s="1">
        <v>0</v>
      </c>
      <c r="AM93" s="1">
        <v>0</v>
      </c>
      <c r="AN93" s="1">
        <v>0</v>
      </c>
      <c r="AO93" s="1">
        <v>0</v>
      </c>
      <c r="AP93" s="1">
        <v>0</v>
      </c>
      <c r="AQ93" s="24">
        <f t="shared" si="5"/>
        <v>0</v>
      </c>
    </row>
    <row r="94" spans="1:43" ht="17.25" customHeight="1" x14ac:dyDescent="0.45">
      <c r="A94" s="12" t="s">
        <v>10</v>
      </c>
      <c r="B94" s="12" t="s">
        <v>66</v>
      </c>
      <c r="C94" s="12" t="s">
        <v>102</v>
      </c>
      <c r="D94" s="12" t="s">
        <v>65</v>
      </c>
      <c r="E94" s="25">
        <v>71</v>
      </c>
      <c r="F94" s="10">
        <v>68</v>
      </c>
      <c r="G94" s="10">
        <v>76</v>
      </c>
      <c r="H94" s="10">
        <v>70</v>
      </c>
      <c r="I94" s="10">
        <v>23</v>
      </c>
      <c r="J94" s="10">
        <v>8</v>
      </c>
      <c r="K94" s="10">
        <v>8</v>
      </c>
      <c r="L94" s="10">
        <v>9</v>
      </c>
      <c r="M94" s="10">
        <v>9</v>
      </c>
      <c r="N94" s="10">
        <v>19</v>
      </c>
      <c r="O94" s="10">
        <v>67</v>
      </c>
      <c r="P94" s="10">
        <v>77</v>
      </c>
      <c r="Q94" s="26">
        <f t="shared" si="3"/>
        <v>505</v>
      </c>
      <c r="R94" s="25">
        <v>12088</v>
      </c>
      <c r="S94" s="10">
        <v>11492</v>
      </c>
      <c r="T94" s="10">
        <v>12105</v>
      </c>
      <c r="U94" s="10">
        <v>11353</v>
      </c>
      <c r="V94" s="10">
        <v>4032</v>
      </c>
      <c r="W94" s="10">
        <v>1140</v>
      </c>
      <c r="X94" s="10">
        <v>1174</v>
      </c>
      <c r="Y94" s="10">
        <v>1321</v>
      </c>
      <c r="Z94" s="10">
        <v>1244</v>
      </c>
      <c r="AA94" s="10">
        <v>2412</v>
      </c>
      <c r="AB94" s="10">
        <v>10507</v>
      </c>
      <c r="AC94" s="10">
        <v>11901</v>
      </c>
      <c r="AD94" s="26">
        <f t="shared" si="4"/>
        <v>80769</v>
      </c>
      <c r="AE94" s="25">
        <v>0</v>
      </c>
      <c r="AF94" s="10">
        <v>0</v>
      </c>
      <c r="AG94" s="10">
        <v>0</v>
      </c>
      <c r="AH94" s="10">
        <v>0</v>
      </c>
      <c r="AI94" s="10">
        <v>0</v>
      </c>
      <c r="AJ94" s="10">
        <v>0</v>
      </c>
      <c r="AK94" s="10">
        <v>0</v>
      </c>
      <c r="AL94" s="10">
        <v>0</v>
      </c>
      <c r="AM94" s="10">
        <v>0</v>
      </c>
      <c r="AN94" s="10">
        <v>0</v>
      </c>
      <c r="AO94" s="10">
        <v>0</v>
      </c>
      <c r="AP94" s="10">
        <v>0</v>
      </c>
      <c r="AQ94" s="26">
        <f t="shared" si="5"/>
        <v>0</v>
      </c>
    </row>
    <row r="95" spans="1:43" ht="17.25" customHeight="1" x14ac:dyDescent="0.45">
      <c r="A95" s="2" t="s">
        <v>10</v>
      </c>
      <c r="B95" s="2" t="s">
        <v>66</v>
      </c>
      <c r="C95" s="2" t="s">
        <v>253</v>
      </c>
      <c r="D95" s="2" t="s">
        <v>254</v>
      </c>
      <c r="E95" s="23">
        <v>49</v>
      </c>
      <c r="F95" s="1">
        <v>46</v>
      </c>
      <c r="G95" s="1">
        <v>46</v>
      </c>
      <c r="H95" s="1">
        <v>44</v>
      </c>
      <c r="I95" s="1">
        <v>48</v>
      </c>
      <c r="J95" s="1">
        <v>44</v>
      </c>
      <c r="K95" s="1">
        <v>49</v>
      </c>
      <c r="L95" s="1">
        <v>46</v>
      </c>
      <c r="M95" s="1">
        <v>45</v>
      </c>
      <c r="N95" s="1">
        <v>47</v>
      </c>
      <c r="O95" s="1">
        <v>46</v>
      </c>
      <c r="P95" s="1">
        <v>47</v>
      </c>
      <c r="Q95" s="24">
        <f t="shared" si="3"/>
        <v>557</v>
      </c>
      <c r="R95" s="23">
        <v>7997</v>
      </c>
      <c r="S95" s="1">
        <v>5634</v>
      </c>
      <c r="T95" s="1">
        <v>7978</v>
      </c>
      <c r="U95" s="1">
        <v>6618</v>
      </c>
      <c r="V95" s="1">
        <v>7519</v>
      </c>
      <c r="W95" s="1">
        <v>8648</v>
      </c>
      <c r="X95" s="1">
        <v>9735</v>
      </c>
      <c r="Y95" s="1">
        <v>7063</v>
      </c>
      <c r="Z95" s="1">
        <v>8952</v>
      </c>
      <c r="AA95" s="1">
        <v>7736</v>
      </c>
      <c r="AB95" s="1">
        <v>6609</v>
      </c>
      <c r="AC95" s="1">
        <v>7178</v>
      </c>
      <c r="AD95" s="24">
        <f t="shared" si="4"/>
        <v>91667</v>
      </c>
      <c r="AE95" s="23">
        <v>402283.85</v>
      </c>
      <c r="AF95" s="1">
        <v>376894.54</v>
      </c>
      <c r="AG95" s="1">
        <v>354381</v>
      </c>
      <c r="AH95" s="1">
        <v>335237</v>
      </c>
      <c r="AI95" s="1">
        <v>274825</v>
      </c>
      <c r="AJ95" s="1">
        <v>304130</v>
      </c>
      <c r="AK95" s="1">
        <v>334896</v>
      </c>
      <c r="AL95" s="1">
        <v>357308</v>
      </c>
      <c r="AM95" s="1">
        <v>266363</v>
      </c>
      <c r="AN95" s="1">
        <v>322938</v>
      </c>
      <c r="AO95" s="1">
        <v>311279</v>
      </c>
      <c r="AP95" s="1">
        <v>556708</v>
      </c>
      <c r="AQ95" s="24">
        <f t="shared" si="5"/>
        <v>4197243.3899999997</v>
      </c>
    </row>
    <row r="96" spans="1:43" ht="17.25" customHeight="1" x14ac:dyDescent="0.45">
      <c r="A96" s="12" t="s">
        <v>10</v>
      </c>
      <c r="B96" s="12" t="s">
        <v>66</v>
      </c>
      <c r="C96" s="12" t="s">
        <v>103</v>
      </c>
      <c r="D96" s="12" t="s">
        <v>104</v>
      </c>
      <c r="E96" s="25">
        <v>1</v>
      </c>
      <c r="F96" s="10">
        <v>0</v>
      </c>
      <c r="G96" s="10">
        <v>0</v>
      </c>
      <c r="H96" s="10">
        <v>0</v>
      </c>
      <c r="I96" s="10">
        <v>0</v>
      </c>
      <c r="J96" s="10">
        <v>0</v>
      </c>
      <c r="K96" s="10">
        <v>0</v>
      </c>
      <c r="L96" s="10">
        <v>0</v>
      </c>
      <c r="M96" s="10">
        <v>0</v>
      </c>
      <c r="N96" s="10">
        <v>0</v>
      </c>
      <c r="O96" s="10">
        <v>0</v>
      </c>
      <c r="P96" s="10">
        <v>0</v>
      </c>
      <c r="Q96" s="26">
        <f t="shared" si="3"/>
        <v>1</v>
      </c>
      <c r="R96" s="25">
        <v>6</v>
      </c>
      <c r="S96" s="10">
        <v>0</v>
      </c>
      <c r="T96" s="10">
        <v>0</v>
      </c>
      <c r="U96" s="10">
        <v>0</v>
      </c>
      <c r="V96" s="10">
        <v>0</v>
      </c>
      <c r="W96" s="10">
        <v>0</v>
      </c>
      <c r="X96" s="10">
        <v>0</v>
      </c>
      <c r="Y96" s="10">
        <v>0</v>
      </c>
      <c r="Z96" s="10">
        <v>0</v>
      </c>
      <c r="AA96" s="10">
        <v>0</v>
      </c>
      <c r="AB96" s="10">
        <v>0</v>
      </c>
      <c r="AC96" s="10">
        <v>0</v>
      </c>
      <c r="AD96" s="26">
        <f t="shared" si="4"/>
        <v>6</v>
      </c>
      <c r="AE96" s="25">
        <v>0</v>
      </c>
      <c r="AF96" s="10">
        <v>0</v>
      </c>
      <c r="AG96" s="10">
        <v>0</v>
      </c>
      <c r="AH96" s="10">
        <v>0</v>
      </c>
      <c r="AI96" s="10">
        <v>0</v>
      </c>
      <c r="AJ96" s="10">
        <v>0</v>
      </c>
      <c r="AK96" s="10">
        <v>0</v>
      </c>
      <c r="AL96" s="10">
        <v>0</v>
      </c>
      <c r="AM96" s="10">
        <v>0</v>
      </c>
      <c r="AN96" s="10">
        <v>0</v>
      </c>
      <c r="AO96" s="10">
        <v>0</v>
      </c>
      <c r="AP96" s="10">
        <v>0</v>
      </c>
      <c r="AQ96" s="26">
        <f t="shared" si="5"/>
        <v>0</v>
      </c>
    </row>
    <row r="97" spans="1:43" ht="17.25" customHeight="1" x14ac:dyDescent="0.45">
      <c r="A97" s="2" t="s">
        <v>10</v>
      </c>
      <c r="B97" s="2" t="s">
        <v>66</v>
      </c>
      <c r="C97" s="2" t="s">
        <v>105</v>
      </c>
      <c r="D97" s="2" t="s">
        <v>68</v>
      </c>
      <c r="E97" s="23">
        <v>140</v>
      </c>
      <c r="F97" s="1">
        <v>134</v>
      </c>
      <c r="G97" s="1">
        <v>153</v>
      </c>
      <c r="H97" s="1">
        <v>149</v>
      </c>
      <c r="I97" s="1">
        <v>154</v>
      </c>
      <c r="J97" s="1">
        <v>112</v>
      </c>
      <c r="K97" s="1">
        <v>122</v>
      </c>
      <c r="L97" s="1">
        <v>123</v>
      </c>
      <c r="M97" s="1">
        <v>64</v>
      </c>
      <c r="N97" s="1">
        <v>64</v>
      </c>
      <c r="O97" s="1">
        <v>92</v>
      </c>
      <c r="P97" s="1">
        <v>113</v>
      </c>
      <c r="Q97" s="24">
        <f t="shared" si="3"/>
        <v>1420</v>
      </c>
      <c r="R97" s="23">
        <v>18202</v>
      </c>
      <c r="S97" s="1">
        <v>16026</v>
      </c>
      <c r="T97" s="1">
        <v>23052</v>
      </c>
      <c r="U97" s="1">
        <v>20140</v>
      </c>
      <c r="V97" s="1">
        <v>19009</v>
      </c>
      <c r="W97" s="1">
        <v>16860</v>
      </c>
      <c r="X97" s="1">
        <v>18292</v>
      </c>
      <c r="Y97" s="1">
        <v>19025</v>
      </c>
      <c r="Z97" s="1">
        <v>9998</v>
      </c>
      <c r="AA97" s="1">
        <v>9002</v>
      </c>
      <c r="AB97" s="1">
        <v>10444</v>
      </c>
      <c r="AC97" s="1">
        <v>12292</v>
      </c>
      <c r="AD97" s="24">
        <f t="shared" si="4"/>
        <v>192342</v>
      </c>
      <c r="AE97" s="23">
        <v>0</v>
      </c>
      <c r="AF97" s="1">
        <v>0</v>
      </c>
      <c r="AG97" s="1">
        <v>0</v>
      </c>
      <c r="AH97" s="1">
        <v>0</v>
      </c>
      <c r="AI97" s="1">
        <v>0</v>
      </c>
      <c r="AJ97" s="1">
        <v>0</v>
      </c>
      <c r="AK97" s="1">
        <v>0</v>
      </c>
      <c r="AL97" s="1">
        <v>0</v>
      </c>
      <c r="AM97" s="1">
        <v>0</v>
      </c>
      <c r="AN97" s="1">
        <v>0</v>
      </c>
      <c r="AO97" s="1">
        <v>0</v>
      </c>
      <c r="AP97" s="1">
        <v>0</v>
      </c>
      <c r="AQ97" s="24">
        <f t="shared" si="5"/>
        <v>0</v>
      </c>
    </row>
    <row r="98" spans="1:43" ht="17.25" customHeight="1" x14ac:dyDescent="0.45">
      <c r="A98" s="12" t="s">
        <v>10</v>
      </c>
      <c r="B98" s="12" t="s">
        <v>66</v>
      </c>
      <c r="C98" s="12" t="s">
        <v>106</v>
      </c>
      <c r="D98" s="12" t="s">
        <v>107</v>
      </c>
      <c r="E98" s="25">
        <v>51</v>
      </c>
      <c r="F98" s="10">
        <v>47</v>
      </c>
      <c r="G98" s="10">
        <v>53</v>
      </c>
      <c r="H98" s="10">
        <v>45</v>
      </c>
      <c r="I98" s="10">
        <v>31</v>
      </c>
      <c r="J98" s="10">
        <v>26</v>
      </c>
      <c r="K98" s="10">
        <v>30</v>
      </c>
      <c r="L98" s="10">
        <v>31</v>
      </c>
      <c r="M98" s="10">
        <v>31</v>
      </c>
      <c r="N98" s="10">
        <v>40</v>
      </c>
      <c r="O98" s="10">
        <v>47</v>
      </c>
      <c r="P98" s="10">
        <v>52</v>
      </c>
      <c r="Q98" s="26">
        <f t="shared" si="3"/>
        <v>484</v>
      </c>
      <c r="R98" s="25">
        <v>13571</v>
      </c>
      <c r="S98" s="10">
        <v>12470</v>
      </c>
      <c r="T98" s="10">
        <v>14950</v>
      </c>
      <c r="U98" s="10">
        <v>12783</v>
      </c>
      <c r="V98" s="10">
        <v>8974</v>
      </c>
      <c r="W98" s="10">
        <v>6997</v>
      </c>
      <c r="X98" s="10">
        <v>7493</v>
      </c>
      <c r="Y98" s="10">
        <v>8234</v>
      </c>
      <c r="Z98" s="10">
        <v>8769</v>
      </c>
      <c r="AA98" s="10">
        <v>9824</v>
      </c>
      <c r="AB98" s="10">
        <v>12512</v>
      </c>
      <c r="AC98" s="10">
        <v>13832</v>
      </c>
      <c r="AD98" s="26">
        <f t="shared" si="4"/>
        <v>130409</v>
      </c>
      <c r="AE98" s="25">
        <v>138747</v>
      </c>
      <c r="AF98" s="10">
        <v>309724</v>
      </c>
      <c r="AG98" s="10">
        <v>291189</v>
      </c>
      <c r="AH98" s="10">
        <v>202792</v>
      </c>
      <c r="AI98" s="10">
        <v>225307</v>
      </c>
      <c r="AJ98" s="10">
        <v>114115</v>
      </c>
      <c r="AK98" s="10">
        <v>76022</v>
      </c>
      <c r="AL98" s="10">
        <v>100383</v>
      </c>
      <c r="AM98" s="10">
        <v>87370</v>
      </c>
      <c r="AN98" s="10">
        <v>88874</v>
      </c>
      <c r="AO98" s="10">
        <v>101697</v>
      </c>
      <c r="AP98" s="10">
        <v>115092</v>
      </c>
      <c r="AQ98" s="26">
        <f t="shared" si="5"/>
        <v>1851312</v>
      </c>
    </row>
    <row r="99" spans="1:43" ht="17.25" customHeight="1" x14ac:dyDescent="0.45">
      <c r="A99" s="2" t="s">
        <v>10</v>
      </c>
      <c r="B99" s="2" t="s">
        <v>66</v>
      </c>
      <c r="C99" s="2" t="s">
        <v>255</v>
      </c>
      <c r="D99" s="2" t="s">
        <v>65</v>
      </c>
      <c r="E99" s="23">
        <v>0</v>
      </c>
      <c r="F99" s="1">
        <v>2</v>
      </c>
      <c r="G99" s="1">
        <v>4</v>
      </c>
      <c r="H99" s="1">
        <v>5</v>
      </c>
      <c r="I99" s="1">
        <v>2</v>
      </c>
      <c r="J99" s="1">
        <v>0</v>
      </c>
      <c r="K99" s="1">
        <v>0</v>
      </c>
      <c r="L99" s="1">
        <v>0</v>
      </c>
      <c r="M99" s="1">
        <v>0</v>
      </c>
      <c r="N99" s="1">
        <v>0</v>
      </c>
      <c r="O99" s="1">
        <v>0</v>
      </c>
      <c r="P99" s="1">
        <v>0</v>
      </c>
      <c r="Q99" s="24">
        <f t="shared" si="3"/>
        <v>13</v>
      </c>
      <c r="R99" s="23">
        <v>0</v>
      </c>
      <c r="S99" s="1">
        <v>333</v>
      </c>
      <c r="T99" s="1">
        <v>716</v>
      </c>
      <c r="U99" s="1">
        <v>892</v>
      </c>
      <c r="V99" s="1">
        <v>369</v>
      </c>
      <c r="W99" s="1">
        <v>0</v>
      </c>
      <c r="X99" s="1">
        <v>0</v>
      </c>
      <c r="Y99" s="1">
        <v>0</v>
      </c>
      <c r="Z99" s="1">
        <v>0</v>
      </c>
      <c r="AA99" s="1">
        <v>0</v>
      </c>
      <c r="AB99" s="1">
        <v>0</v>
      </c>
      <c r="AC99" s="1">
        <v>0</v>
      </c>
      <c r="AD99" s="24">
        <f t="shared" si="4"/>
        <v>2310</v>
      </c>
      <c r="AE99" s="23">
        <v>0</v>
      </c>
      <c r="AF99" s="1">
        <v>0</v>
      </c>
      <c r="AG99" s="1">
        <v>0</v>
      </c>
      <c r="AH99" s="1">
        <v>0</v>
      </c>
      <c r="AI99" s="1">
        <v>0</v>
      </c>
      <c r="AJ99" s="1">
        <v>0</v>
      </c>
      <c r="AK99" s="1">
        <v>0</v>
      </c>
      <c r="AL99" s="1">
        <v>0</v>
      </c>
      <c r="AM99" s="1">
        <v>0</v>
      </c>
      <c r="AN99" s="1">
        <v>0</v>
      </c>
      <c r="AO99" s="1">
        <v>0</v>
      </c>
      <c r="AP99" s="1">
        <v>0</v>
      </c>
      <c r="AQ99" s="24">
        <f t="shared" si="5"/>
        <v>0</v>
      </c>
    </row>
    <row r="100" spans="1:43" ht="17.25" customHeight="1" x14ac:dyDescent="0.45">
      <c r="A100" s="12" t="s">
        <v>10</v>
      </c>
      <c r="B100" s="12" t="s">
        <v>66</v>
      </c>
      <c r="C100" s="12" t="s">
        <v>288</v>
      </c>
      <c r="D100" s="12" t="s">
        <v>85</v>
      </c>
      <c r="E100" s="25">
        <v>0</v>
      </c>
      <c r="F100" s="10">
        <v>0</v>
      </c>
      <c r="G100" s="10">
        <v>0</v>
      </c>
      <c r="H100" s="10">
        <v>0</v>
      </c>
      <c r="I100" s="10">
        <v>7</v>
      </c>
      <c r="J100" s="10">
        <v>11</v>
      </c>
      <c r="K100" s="10">
        <v>12</v>
      </c>
      <c r="L100" s="10">
        <v>9</v>
      </c>
      <c r="M100" s="10">
        <v>8</v>
      </c>
      <c r="N100" s="10">
        <v>10</v>
      </c>
      <c r="O100" s="10">
        <v>0</v>
      </c>
      <c r="P100" s="10">
        <v>0</v>
      </c>
      <c r="Q100" s="26">
        <f t="shared" si="3"/>
        <v>57</v>
      </c>
      <c r="R100" s="25">
        <v>0</v>
      </c>
      <c r="S100" s="10">
        <v>0</v>
      </c>
      <c r="T100" s="10">
        <v>0</v>
      </c>
      <c r="U100" s="10">
        <v>0</v>
      </c>
      <c r="V100" s="10">
        <v>1650</v>
      </c>
      <c r="W100" s="10">
        <v>3141</v>
      </c>
      <c r="X100" s="10">
        <v>3350</v>
      </c>
      <c r="Y100" s="10">
        <v>2636</v>
      </c>
      <c r="Z100" s="10">
        <v>2330</v>
      </c>
      <c r="AA100" s="10">
        <v>2928</v>
      </c>
      <c r="AB100" s="10">
        <v>0</v>
      </c>
      <c r="AC100" s="10">
        <v>0</v>
      </c>
      <c r="AD100" s="26">
        <f t="shared" si="4"/>
        <v>16035</v>
      </c>
      <c r="AE100" s="25">
        <v>0</v>
      </c>
      <c r="AF100" s="10">
        <v>0</v>
      </c>
      <c r="AG100" s="10">
        <v>0</v>
      </c>
      <c r="AH100" s="10">
        <v>0</v>
      </c>
      <c r="AI100" s="10">
        <v>0</v>
      </c>
      <c r="AJ100" s="10">
        <v>0</v>
      </c>
      <c r="AK100" s="10">
        <v>0</v>
      </c>
      <c r="AL100" s="10">
        <v>0</v>
      </c>
      <c r="AM100" s="10">
        <v>0</v>
      </c>
      <c r="AN100" s="10">
        <v>0</v>
      </c>
      <c r="AO100" s="10">
        <v>0</v>
      </c>
      <c r="AP100" s="10">
        <v>0</v>
      </c>
      <c r="AQ100" s="26">
        <f t="shared" si="5"/>
        <v>0</v>
      </c>
    </row>
    <row r="101" spans="1:43" ht="17.25" customHeight="1" x14ac:dyDescent="0.45">
      <c r="A101" s="2" t="s">
        <v>10</v>
      </c>
      <c r="B101" s="2" t="s">
        <v>66</v>
      </c>
      <c r="C101" s="2" t="s">
        <v>108</v>
      </c>
      <c r="D101" s="2" t="s">
        <v>104</v>
      </c>
      <c r="E101" s="23">
        <v>42</v>
      </c>
      <c r="F101" s="1">
        <v>29</v>
      </c>
      <c r="G101" s="1">
        <v>31</v>
      </c>
      <c r="H101" s="1">
        <v>30</v>
      </c>
      <c r="I101" s="1">
        <v>31</v>
      </c>
      <c r="J101" s="1">
        <v>30</v>
      </c>
      <c r="K101" s="1">
        <v>30</v>
      </c>
      <c r="L101" s="1">
        <v>30</v>
      </c>
      <c r="M101" s="1">
        <v>30</v>
      </c>
      <c r="N101" s="1">
        <v>32</v>
      </c>
      <c r="O101" s="1">
        <v>30</v>
      </c>
      <c r="P101" s="1">
        <v>31</v>
      </c>
      <c r="Q101" s="24">
        <f t="shared" si="3"/>
        <v>376</v>
      </c>
      <c r="R101" s="23">
        <v>4130</v>
      </c>
      <c r="S101" s="1">
        <v>2897</v>
      </c>
      <c r="T101" s="1">
        <v>2950</v>
      </c>
      <c r="U101" s="1">
        <v>2576</v>
      </c>
      <c r="V101" s="1">
        <v>2543</v>
      </c>
      <c r="W101" s="1">
        <v>2836</v>
      </c>
      <c r="X101" s="1">
        <v>2469</v>
      </c>
      <c r="Y101" s="1">
        <v>2236</v>
      </c>
      <c r="Z101" s="1">
        <v>2615</v>
      </c>
      <c r="AA101" s="1">
        <v>2912</v>
      </c>
      <c r="AB101" s="1">
        <v>4684</v>
      </c>
      <c r="AC101" s="1">
        <v>5125</v>
      </c>
      <c r="AD101" s="24">
        <f t="shared" si="4"/>
        <v>37973</v>
      </c>
      <c r="AE101" s="23">
        <v>0</v>
      </c>
      <c r="AF101" s="1">
        <v>163</v>
      </c>
      <c r="AG101" s="1">
        <v>0</v>
      </c>
      <c r="AH101" s="1">
        <v>0</v>
      </c>
      <c r="AI101" s="1">
        <v>0</v>
      </c>
      <c r="AJ101" s="1">
        <v>253.6</v>
      </c>
      <c r="AK101" s="1">
        <v>0</v>
      </c>
      <c r="AL101" s="1">
        <v>300</v>
      </c>
      <c r="AM101" s="1">
        <v>94.9</v>
      </c>
      <c r="AN101" s="1">
        <v>0</v>
      </c>
      <c r="AO101" s="1">
        <v>0</v>
      </c>
      <c r="AP101" s="1">
        <v>0</v>
      </c>
      <c r="AQ101" s="24">
        <f t="shared" si="5"/>
        <v>811.5</v>
      </c>
    </row>
    <row r="102" spans="1:43" ht="17.25" customHeight="1" x14ac:dyDescent="0.45">
      <c r="A102" s="12" t="s">
        <v>10</v>
      </c>
      <c r="B102" s="12" t="s">
        <v>66</v>
      </c>
      <c r="C102" s="12" t="s">
        <v>109</v>
      </c>
      <c r="D102" s="12" t="s">
        <v>65</v>
      </c>
      <c r="E102" s="25">
        <v>19</v>
      </c>
      <c r="F102" s="10">
        <v>23</v>
      </c>
      <c r="G102" s="10">
        <v>27</v>
      </c>
      <c r="H102" s="10">
        <v>27</v>
      </c>
      <c r="I102" s="10">
        <v>12</v>
      </c>
      <c r="J102" s="10">
        <v>1</v>
      </c>
      <c r="K102" s="10">
        <v>0</v>
      </c>
      <c r="L102" s="10">
        <v>0</v>
      </c>
      <c r="M102" s="10">
        <v>0</v>
      </c>
      <c r="N102" s="10">
        <v>0</v>
      </c>
      <c r="O102" s="10">
        <v>10</v>
      </c>
      <c r="P102" s="10">
        <v>24</v>
      </c>
      <c r="Q102" s="26">
        <f t="shared" si="3"/>
        <v>143</v>
      </c>
      <c r="R102" s="25">
        <v>2195</v>
      </c>
      <c r="S102" s="10">
        <v>3227</v>
      </c>
      <c r="T102" s="10">
        <v>4659</v>
      </c>
      <c r="U102" s="10">
        <v>4523</v>
      </c>
      <c r="V102" s="10">
        <v>2061</v>
      </c>
      <c r="W102" s="10">
        <v>129</v>
      </c>
      <c r="X102" s="10">
        <v>0</v>
      </c>
      <c r="Y102" s="10">
        <v>0</v>
      </c>
      <c r="Z102" s="10">
        <v>0</v>
      </c>
      <c r="AA102" s="10">
        <v>0</v>
      </c>
      <c r="AB102" s="10">
        <v>1188</v>
      </c>
      <c r="AC102" s="10">
        <v>2630</v>
      </c>
      <c r="AD102" s="26">
        <f t="shared" si="4"/>
        <v>20612</v>
      </c>
      <c r="AE102" s="25">
        <v>0</v>
      </c>
      <c r="AF102" s="10">
        <v>0</v>
      </c>
      <c r="AG102" s="10">
        <v>0</v>
      </c>
      <c r="AH102" s="10">
        <v>0</v>
      </c>
      <c r="AI102" s="10">
        <v>0</v>
      </c>
      <c r="AJ102" s="10">
        <v>0</v>
      </c>
      <c r="AK102" s="10">
        <v>0</v>
      </c>
      <c r="AL102" s="10">
        <v>0</v>
      </c>
      <c r="AM102" s="10">
        <v>0</v>
      </c>
      <c r="AN102" s="10">
        <v>0</v>
      </c>
      <c r="AO102" s="10">
        <v>0</v>
      </c>
      <c r="AP102" s="10">
        <v>0</v>
      </c>
      <c r="AQ102" s="26">
        <f t="shared" si="5"/>
        <v>0</v>
      </c>
    </row>
    <row r="103" spans="1:43" ht="17.25" customHeight="1" x14ac:dyDescent="0.45">
      <c r="A103" s="2" t="s">
        <v>10</v>
      </c>
      <c r="B103" s="2" t="s">
        <v>66</v>
      </c>
      <c r="C103" s="2" t="s">
        <v>110</v>
      </c>
      <c r="D103" s="2" t="s">
        <v>65</v>
      </c>
      <c r="E103" s="23">
        <v>22</v>
      </c>
      <c r="F103" s="1">
        <v>20</v>
      </c>
      <c r="G103" s="1">
        <v>20</v>
      </c>
      <c r="H103" s="1">
        <v>14</v>
      </c>
      <c r="I103" s="1">
        <v>4</v>
      </c>
      <c r="J103" s="1">
        <v>0</v>
      </c>
      <c r="K103" s="1">
        <v>0</v>
      </c>
      <c r="L103" s="1">
        <v>0</v>
      </c>
      <c r="M103" s="1">
        <v>0</v>
      </c>
      <c r="N103" s="1">
        <v>0</v>
      </c>
      <c r="O103" s="1">
        <v>0</v>
      </c>
      <c r="P103" s="1">
        <v>4</v>
      </c>
      <c r="Q103" s="24">
        <f t="shared" si="3"/>
        <v>84</v>
      </c>
      <c r="R103" s="23">
        <v>2982</v>
      </c>
      <c r="S103" s="1">
        <v>3344</v>
      </c>
      <c r="T103" s="1">
        <v>3488</v>
      </c>
      <c r="U103" s="1">
        <v>2285</v>
      </c>
      <c r="V103" s="1">
        <v>681</v>
      </c>
      <c r="W103" s="1">
        <v>0</v>
      </c>
      <c r="X103" s="1">
        <v>0</v>
      </c>
      <c r="Y103" s="1">
        <v>0</v>
      </c>
      <c r="Z103" s="1">
        <v>0</v>
      </c>
      <c r="AA103" s="1">
        <v>0</v>
      </c>
      <c r="AB103" s="1">
        <v>0</v>
      </c>
      <c r="AC103" s="1">
        <v>704</v>
      </c>
      <c r="AD103" s="24">
        <f t="shared" si="4"/>
        <v>13484</v>
      </c>
      <c r="AE103" s="23">
        <v>0</v>
      </c>
      <c r="AF103" s="1">
        <v>0</v>
      </c>
      <c r="AG103" s="1">
        <v>0</v>
      </c>
      <c r="AH103" s="1">
        <v>0</v>
      </c>
      <c r="AI103" s="1">
        <v>0</v>
      </c>
      <c r="AJ103" s="1">
        <v>0</v>
      </c>
      <c r="AK103" s="1">
        <v>0</v>
      </c>
      <c r="AL103" s="1">
        <v>0</v>
      </c>
      <c r="AM103" s="1">
        <v>0</v>
      </c>
      <c r="AN103" s="1">
        <v>0</v>
      </c>
      <c r="AO103" s="1">
        <v>0</v>
      </c>
      <c r="AP103" s="1">
        <v>0</v>
      </c>
      <c r="AQ103" s="24">
        <f t="shared" si="5"/>
        <v>0</v>
      </c>
    </row>
    <row r="104" spans="1:43" ht="17.25" customHeight="1" x14ac:dyDescent="0.45">
      <c r="A104" s="12" t="s">
        <v>10</v>
      </c>
      <c r="B104" s="12" t="s">
        <v>66</v>
      </c>
      <c r="C104" s="12" t="s">
        <v>267</v>
      </c>
      <c r="D104" s="12" t="s">
        <v>68</v>
      </c>
      <c r="E104" s="25">
        <v>0</v>
      </c>
      <c r="F104" s="10">
        <v>0</v>
      </c>
      <c r="G104" s="10">
        <v>0</v>
      </c>
      <c r="H104" s="10">
        <v>0</v>
      </c>
      <c r="I104" s="10">
        <v>1</v>
      </c>
      <c r="J104" s="10">
        <v>9</v>
      </c>
      <c r="K104" s="10">
        <v>9</v>
      </c>
      <c r="L104" s="10">
        <v>3</v>
      </c>
      <c r="M104" s="10">
        <v>0</v>
      </c>
      <c r="N104" s="10">
        <v>0</v>
      </c>
      <c r="O104" s="10">
        <v>0</v>
      </c>
      <c r="P104" s="10">
        <v>0</v>
      </c>
      <c r="Q104" s="26">
        <f t="shared" si="3"/>
        <v>22</v>
      </c>
      <c r="R104" s="25">
        <v>0</v>
      </c>
      <c r="S104" s="10">
        <v>0</v>
      </c>
      <c r="T104" s="10">
        <v>0</v>
      </c>
      <c r="U104" s="10">
        <v>0</v>
      </c>
      <c r="V104" s="10">
        <v>12</v>
      </c>
      <c r="W104" s="10">
        <v>1238</v>
      </c>
      <c r="X104" s="10">
        <v>1357</v>
      </c>
      <c r="Y104" s="10">
        <v>433</v>
      </c>
      <c r="Z104" s="10">
        <v>0</v>
      </c>
      <c r="AA104" s="10">
        <v>0</v>
      </c>
      <c r="AB104" s="10">
        <v>0</v>
      </c>
      <c r="AC104" s="10">
        <v>0</v>
      </c>
      <c r="AD104" s="26">
        <f t="shared" si="4"/>
        <v>3040</v>
      </c>
      <c r="AE104" s="25">
        <v>0</v>
      </c>
      <c r="AF104" s="10">
        <v>0</v>
      </c>
      <c r="AG104" s="10">
        <v>0</v>
      </c>
      <c r="AH104" s="10">
        <v>0</v>
      </c>
      <c r="AI104" s="10">
        <v>0</v>
      </c>
      <c r="AJ104" s="10">
        <v>0</v>
      </c>
      <c r="AK104" s="10">
        <v>0</v>
      </c>
      <c r="AL104" s="10">
        <v>0</v>
      </c>
      <c r="AM104" s="10">
        <v>0</v>
      </c>
      <c r="AN104" s="10">
        <v>0</v>
      </c>
      <c r="AO104" s="10">
        <v>0</v>
      </c>
      <c r="AP104" s="10">
        <v>0</v>
      </c>
      <c r="AQ104" s="26">
        <f t="shared" si="5"/>
        <v>0</v>
      </c>
    </row>
    <row r="105" spans="1:43" ht="17.25" customHeight="1" x14ac:dyDescent="0.45">
      <c r="A105" s="2" t="s">
        <v>10</v>
      </c>
      <c r="B105" s="2" t="s">
        <v>66</v>
      </c>
      <c r="C105" s="2" t="s">
        <v>111</v>
      </c>
      <c r="D105" s="2" t="s">
        <v>96</v>
      </c>
      <c r="E105" s="23">
        <v>5</v>
      </c>
      <c r="F105" s="1">
        <v>4</v>
      </c>
      <c r="G105" s="1">
        <v>4</v>
      </c>
      <c r="H105" s="1">
        <v>5</v>
      </c>
      <c r="I105" s="1">
        <v>4</v>
      </c>
      <c r="J105" s="1">
        <v>5</v>
      </c>
      <c r="K105" s="1">
        <v>4</v>
      </c>
      <c r="L105" s="1">
        <v>5</v>
      </c>
      <c r="M105" s="1">
        <v>0</v>
      </c>
      <c r="N105" s="1">
        <v>0</v>
      </c>
      <c r="O105" s="1">
        <v>0</v>
      </c>
      <c r="P105" s="1">
        <v>0</v>
      </c>
      <c r="Q105" s="24">
        <f t="shared" si="3"/>
        <v>36</v>
      </c>
      <c r="R105" s="23">
        <v>325</v>
      </c>
      <c r="S105" s="1">
        <v>263</v>
      </c>
      <c r="T105" s="1">
        <v>327</v>
      </c>
      <c r="U105" s="1">
        <v>272</v>
      </c>
      <c r="V105" s="1">
        <v>198</v>
      </c>
      <c r="W105" s="1">
        <v>333</v>
      </c>
      <c r="X105" s="1">
        <v>256</v>
      </c>
      <c r="Y105" s="1">
        <v>377</v>
      </c>
      <c r="Z105" s="1">
        <v>0</v>
      </c>
      <c r="AA105" s="1">
        <v>0</v>
      </c>
      <c r="AB105" s="1">
        <v>0</v>
      </c>
      <c r="AC105" s="1">
        <v>0</v>
      </c>
      <c r="AD105" s="24">
        <f t="shared" si="4"/>
        <v>2351</v>
      </c>
      <c r="AE105" s="23">
        <v>0</v>
      </c>
      <c r="AF105" s="1">
        <v>0</v>
      </c>
      <c r="AG105" s="1">
        <v>0</v>
      </c>
      <c r="AH105" s="1">
        <v>0</v>
      </c>
      <c r="AI105" s="1">
        <v>0</v>
      </c>
      <c r="AJ105" s="1">
        <v>0</v>
      </c>
      <c r="AK105" s="1">
        <v>0</v>
      </c>
      <c r="AL105" s="1">
        <v>0</v>
      </c>
      <c r="AM105" s="1">
        <v>0</v>
      </c>
      <c r="AN105" s="1">
        <v>0</v>
      </c>
      <c r="AO105" s="1">
        <v>0</v>
      </c>
      <c r="AP105" s="1">
        <v>0</v>
      </c>
      <c r="AQ105" s="24">
        <f t="shared" si="5"/>
        <v>0</v>
      </c>
    </row>
    <row r="106" spans="1:43" ht="17.25" customHeight="1" x14ac:dyDescent="0.45">
      <c r="A106" s="12" t="s">
        <v>10</v>
      </c>
      <c r="B106" s="12" t="s">
        <v>66</v>
      </c>
      <c r="C106" s="12" t="s">
        <v>69</v>
      </c>
      <c r="D106" s="12" t="s">
        <v>68</v>
      </c>
      <c r="E106" s="25">
        <v>281</v>
      </c>
      <c r="F106" s="10">
        <v>261</v>
      </c>
      <c r="G106" s="10">
        <v>306</v>
      </c>
      <c r="H106" s="10">
        <v>317</v>
      </c>
      <c r="I106" s="10">
        <v>334</v>
      </c>
      <c r="J106" s="10">
        <v>361</v>
      </c>
      <c r="K106" s="10">
        <v>352</v>
      </c>
      <c r="L106" s="10">
        <v>310</v>
      </c>
      <c r="M106" s="10">
        <v>238</v>
      </c>
      <c r="N106" s="10">
        <v>252</v>
      </c>
      <c r="O106" s="10">
        <v>268</v>
      </c>
      <c r="P106" s="10">
        <v>292</v>
      </c>
      <c r="Q106" s="26">
        <f t="shared" si="3"/>
        <v>3572</v>
      </c>
      <c r="R106" s="25">
        <v>41213</v>
      </c>
      <c r="S106" s="10">
        <v>36441</v>
      </c>
      <c r="T106" s="10">
        <v>44673</v>
      </c>
      <c r="U106" s="10">
        <v>40853</v>
      </c>
      <c r="V106" s="10">
        <v>44941</v>
      </c>
      <c r="W106" s="10">
        <v>57569</v>
      </c>
      <c r="X106" s="10">
        <v>56098</v>
      </c>
      <c r="Y106" s="10">
        <v>49147</v>
      </c>
      <c r="Z106" s="10">
        <v>34422</v>
      </c>
      <c r="AA106" s="10">
        <v>34776</v>
      </c>
      <c r="AB106" s="10">
        <v>34278</v>
      </c>
      <c r="AC106" s="10">
        <v>37564</v>
      </c>
      <c r="AD106" s="26">
        <f t="shared" si="4"/>
        <v>511975</v>
      </c>
      <c r="AE106" s="25">
        <v>4224</v>
      </c>
      <c r="AF106" s="10">
        <v>3995</v>
      </c>
      <c r="AG106" s="10">
        <v>2592</v>
      </c>
      <c r="AH106" s="10">
        <v>4013</v>
      </c>
      <c r="AI106" s="10">
        <v>6459</v>
      </c>
      <c r="AJ106" s="10">
        <v>1843</v>
      </c>
      <c r="AK106" s="10">
        <v>3</v>
      </c>
      <c r="AL106" s="10">
        <v>2600</v>
      </c>
      <c r="AM106" s="10">
        <v>9669</v>
      </c>
      <c r="AN106" s="10">
        <v>10163</v>
      </c>
      <c r="AO106" s="10">
        <v>10452</v>
      </c>
      <c r="AP106" s="10">
        <v>2167</v>
      </c>
      <c r="AQ106" s="26">
        <f t="shared" si="5"/>
        <v>58180</v>
      </c>
    </row>
    <row r="107" spans="1:43" ht="17.25" customHeight="1" x14ac:dyDescent="0.45">
      <c r="A107" s="2" t="s">
        <v>10</v>
      </c>
      <c r="B107" s="2" t="s">
        <v>66</v>
      </c>
      <c r="C107" s="2" t="s">
        <v>112</v>
      </c>
      <c r="D107" s="2" t="s">
        <v>68</v>
      </c>
      <c r="E107" s="23">
        <v>4</v>
      </c>
      <c r="F107" s="1">
        <v>4</v>
      </c>
      <c r="G107" s="1">
        <v>9</v>
      </c>
      <c r="H107" s="1">
        <v>8</v>
      </c>
      <c r="I107" s="1">
        <v>8</v>
      </c>
      <c r="J107" s="1">
        <v>11</v>
      </c>
      <c r="K107" s="1">
        <v>8</v>
      </c>
      <c r="L107" s="1">
        <v>2</v>
      </c>
      <c r="M107" s="1">
        <v>0</v>
      </c>
      <c r="N107" s="1">
        <v>0</v>
      </c>
      <c r="O107" s="1">
        <v>4</v>
      </c>
      <c r="P107" s="1">
        <v>4</v>
      </c>
      <c r="Q107" s="24">
        <f t="shared" si="3"/>
        <v>62</v>
      </c>
      <c r="R107" s="23">
        <v>583</v>
      </c>
      <c r="S107" s="1">
        <v>669</v>
      </c>
      <c r="T107" s="1">
        <v>1331</v>
      </c>
      <c r="U107" s="1">
        <v>1207</v>
      </c>
      <c r="V107" s="1">
        <v>913</v>
      </c>
      <c r="W107" s="1">
        <v>1457</v>
      </c>
      <c r="X107" s="1">
        <v>1153</v>
      </c>
      <c r="Y107" s="1">
        <v>283</v>
      </c>
      <c r="Z107" s="1">
        <v>0</v>
      </c>
      <c r="AA107" s="1">
        <v>0</v>
      </c>
      <c r="AB107" s="1">
        <v>450</v>
      </c>
      <c r="AC107" s="1">
        <v>430</v>
      </c>
      <c r="AD107" s="24">
        <f t="shared" si="4"/>
        <v>8476</v>
      </c>
      <c r="AE107" s="23">
        <v>0</v>
      </c>
      <c r="AF107" s="1">
        <v>0</v>
      </c>
      <c r="AG107" s="1">
        <v>0</v>
      </c>
      <c r="AH107" s="1">
        <v>0</v>
      </c>
      <c r="AI107" s="1">
        <v>0</v>
      </c>
      <c r="AJ107" s="1">
        <v>0</v>
      </c>
      <c r="AK107" s="1">
        <v>0</v>
      </c>
      <c r="AL107" s="1">
        <v>0</v>
      </c>
      <c r="AM107" s="1">
        <v>0</v>
      </c>
      <c r="AN107" s="1">
        <v>0</v>
      </c>
      <c r="AO107" s="1">
        <v>0</v>
      </c>
      <c r="AP107" s="1">
        <v>0</v>
      </c>
      <c r="AQ107" s="24">
        <f t="shared" si="5"/>
        <v>0</v>
      </c>
    </row>
    <row r="108" spans="1:43" ht="17.25" customHeight="1" x14ac:dyDescent="0.45">
      <c r="A108" s="12" t="s">
        <v>10</v>
      </c>
      <c r="B108" s="12" t="s">
        <v>66</v>
      </c>
      <c r="C108" s="12" t="s">
        <v>113</v>
      </c>
      <c r="D108" s="12" t="s">
        <v>68</v>
      </c>
      <c r="E108" s="25">
        <v>48</v>
      </c>
      <c r="F108" s="10">
        <v>45</v>
      </c>
      <c r="G108" s="10">
        <v>49</v>
      </c>
      <c r="H108" s="10">
        <v>47</v>
      </c>
      <c r="I108" s="10">
        <v>49</v>
      </c>
      <c r="J108" s="10">
        <v>47</v>
      </c>
      <c r="K108" s="10">
        <v>44</v>
      </c>
      <c r="L108" s="10">
        <v>19</v>
      </c>
      <c r="M108" s="10">
        <v>9</v>
      </c>
      <c r="N108" s="10">
        <v>29</v>
      </c>
      <c r="O108" s="10">
        <v>30</v>
      </c>
      <c r="P108" s="10">
        <v>31</v>
      </c>
      <c r="Q108" s="26">
        <f t="shared" si="3"/>
        <v>447</v>
      </c>
      <c r="R108" s="25">
        <v>6863</v>
      </c>
      <c r="S108" s="10">
        <v>6618</v>
      </c>
      <c r="T108" s="10">
        <v>7746</v>
      </c>
      <c r="U108" s="10">
        <v>6807</v>
      </c>
      <c r="V108" s="10">
        <v>6385</v>
      </c>
      <c r="W108" s="10">
        <v>7870</v>
      </c>
      <c r="X108" s="10">
        <v>6767</v>
      </c>
      <c r="Y108" s="10">
        <v>3114</v>
      </c>
      <c r="Z108" s="10">
        <v>1446</v>
      </c>
      <c r="AA108" s="10">
        <v>3877</v>
      </c>
      <c r="AB108" s="10">
        <v>4500</v>
      </c>
      <c r="AC108" s="10">
        <v>4846</v>
      </c>
      <c r="AD108" s="26">
        <f t="shared" si="4"/>
        <v>66839</v>
      </c>
      <c r="AE108" s="25">
        <v>0</v>
      </c>
      <c r="AF108" s="10">
        <v>0</v>
      </c>
      <c r="AG108" s="10">
        <v>0</v>
      </c>
      <c r="AH108" s="10">
        <v>0</v>
      </c>
      <c r="AI108" s="10">
        <v>0</v>
      </c>
      <c r="AJ108" s="10">
        <v>0</v>
      </c>
      <c r="AK108" s="10">
        <v>0</v>
      </c>
      <c r="AL108" s="10">
        <v>0</v>
      </c>
      <c r="AM108" s="10">
        <v>0</v>
      </c>
      <c r="AN108" s="10">
        <v>0</v>
      </c>
      <c r="AO108" s="10">
        <v>0</v>
      </c>
      <c r="AP108" s="10">
        <v>0</v>
      </c>
      <c r="AQ108" s="26">
        <f t="shared" si="5"/>
        <v>0</v>
      </c>
    </row>
    <row r="109" spans="1:43" ht="17.25" customHeight="1" x14ac:dyDescent="0.45">
      <c r="A109" s="2" t="s">
        <v>10</v>
      </c>
      <c r="B109" s="2" t="s">
        <v>66</v>
      </c>
      <c r="C109" s="2" t="s">
        <v>114</v>
      </c>
      <c r="D109" s="2" t="s">
        <v>65</v>
      </c>
      <c r="E109" s="23">
        <v>17</v>
      </c>
      <c r="F109" s="1">
        <v>16</v>
      </c>
      <c r="G109" s="1">
        <v>19</v>
      </c>
      <c r="H109" s="1">
        <v>11</v>
      </c>
      <c r="I109" s="1">
        <v>0</v>
      </c>
      <c r="J109" s="1">
        <v>0</v>
      </c>
      <c r="K109" s="1">
        <v>0</v>
      </c>
      <c r="L109" s="1">
        <v>0</v>
      </c>
      <c r="M109" s="1">
        <v>0</v>
      </c>
      <c r="N109" s="1">
        <v>5</v>
      </c>
      <c r="O109" s="1">
        <v>16</v>
      </c>
      <c r="P109" s="1">
        <v>25</v>
      </c>
      <c r="Q109" s="24">
        <f t="shared" si="3"/>
        <v>109</v>
      </c>
      <c r="R109" s="23">
        <v>2742</v>
      </c>
      <c r="S109" s="1">
        <v>2636</v>
      </c>
      <c r="T109" s="1">
        <v>3013</v>
      </c>
      <c r="U109" s="1">
        <v>1667</v>
      </c>
      <c r="V109" s="1">
        <v>0</v>
      </c>
      <c r="W109" s="1">
        <v>0</v>
      </c>
      <c r="X109" s="1">
        <v>0</v>
      </c>
      <c r="Y109" s="1">
        <v>0</v>
      </c>
      <c r="Z109" s="1">
        <v>0</v>
      </c>
      <c r="AA109" s="1">
        <v>394</v>
      </c>
      <c r="AB109" s="1">
        <v>2039</v>
      </c>
      <c r="AC109" s="1">
        <v>3111</v>
      </c>
      <c r="AD109" s="24">
        <f t="shared" si="4"/>
        <v>15602</v>
      </c>
      <c r="AE109" s="23">
        <v>0</v>
      </c>
      <c r="AF109" s="1">
        <v>0</v>
      </c>
      <c r="AG109" s="1">
        <v>0</v>
      </c>
      <c r="AH109" s="1">
        <v>0</v>
      </c>
      <c r="AI109" s="1">
        <v>0</v>
      </c>
      <c r="AJ109" s="1">
        <v>0</v>
      </c>
      <c r="AK109" s="1">
        <v>0</v>
      </c>
      <c r="AL109" s="1">
        <v>0</v>
      </c>
      <c r="AM109" s="1">
        <v>0</v>
      </c>
      <c r="AN109" s="1">
        <v>0</v>
      </c>
      <c r="AO109" s="1">
        <v>0</v>
      </c>
      <c r="AP109" s="1">
        <v>0</v>
      </c>
      <c r="AQ109" s="24">
        <f t="shared" si="5"/>
        <v>0</v>
      </c>
    </row>
    <row r="110" spans="1:43" ht="17.25" customHeight="1" x14ac:dyDescent="0.45">
      <c r="A110" s="12" t="s">
        <v>10</v>
      </c>
      <c r="B110" s="12" t="s">
        <v>66</v>
      </c>
      <c r="C110" s="12" t="s">
        <v>115</v>
      </c>
      <c r="D110" s="12" t="s">
        <v>65</v>
      </c>
      <c r="E110" s="25">
        <v>16</v>
      </c>
      <c r="F110" s="10">
        <v>9</v>
      </c>
      <c r="G110" s="10">
        <v>18</v>
      </c>
      <c r="H110" s="10">
        <v>9</v>
      </c>
      <c r="I110" s="10">
        <v>7</v>
      </c>
      <c r="J110" s="10">
        <v>3</v>
      </c>
      <c r="K110" s="10">
        <v>0</v>
      </c>
      <c r="L110" s="10">
        <v>0</v>
      </c>
      <c r="M110" s="10">
        <v>0</v>
      </c>
      <c r="N110" s="10">
        <v>1</v>
      </c>
      <c r="O110" s="10">
        <v>4</v>
      </c>
      <c r="P110" s="10">
        <v>10</v>
      </c>
      <c r="Q110" s="26">
        <f t="shared" si="3"/>
        <v>77</v>
      </c>
      <c r="R110" s="25">
        <v>2285</v>
      </c>
      <c r="S110" s="10">
        <v>1148</v>
      </c>
      <c r="T110" s="10">
        <v>2525</v>
      </c>
      <c r="U110" s="10">
        <v>983</v>
      </c>
      <c r="V110" s="10">
        <v>1087</v>
      </c>
      <c r="W110" s="10">
        <v>272</v>
      </c>
      <c r="X110" s="10">
        <v>0</v>
      </c>
      <c r="Y110" s="10">
        <v>0</v>
      </c>
      <c r="Z110" s="10">
        <v>0</v>
      </c>
      <c r="AA110" s="10">
        <v>65</v>
      </c>
      <c r="AB110" s="10">
        <v>490</v>
      </c>
      <c r="AC110" s="10">
        <v>1285</v>
      </c>
      <c r="AD110" s="26">
        <f t="shared" si="4"/>
        <v>10140</v>
      </c>
      <c r="AE110" s="25">
        <v>0</v>
      </c>
      <c r="AF110" s="10">
        <v>0</v>
      </c>
      <c r="AG110" s="10">
        <v>0</v>
      </c>
      <c r="AH110" s="10">
        <v>0</v>
      </c>
      <c r="AI110" s="10">
        <v>0</v>
      </c>
      <c r="AJ110" s="10">
        <v>0</v>
      </c>
      <c r="AK110" s="10">
        <v>0</v>
      </c>
      <c r="AL110" s="10">
        <v>0</v>
      </c>
      <c r="AM110" s="10">
        <v>0</v>
      </c>
      <c r="AN110" s="10">
        <v>0</v>
      </c>
      <c r="AO110" s="10">
        <v>0</v>
      </c>
      <c r="AP110" s="10">
        <v>0</v>
      </c>
      <c r="AQ110" s="26">
        <f t="shared" si="5"/>
        <v>0</v>
      </c>
    </row>
    <row r="111" spans="1:43" ht="17.25" customHeight="1" x14ac:dyDescent="0.45">
      <c r="A111" s="2" t="s">
        <v>10</v>
      </c>
      <c r="B111" s="2" t="s">
        <v>66</v>
      </c>
      <c r="C111" s="2" t="s">
        <v>116</v>
      </c>
      <c r="D111" s="2" t="s">
        <v>96</v>
      </c>
      <c r="E111" s="23">
        <v>21</v>
      </c>
      <c r="F111" s="1">
        <v>18</v>
      </c>
      <c r="G111" s="1">
        <v>18</v>
      </c>
      <c r="H111" s="1">
        <v>17</v>
      </c>
      <c r="I111" s="1">
        <v>23</v>
      </c>
      <c r="J111" s="1">
        <v>25</v>
      </c>
      <c r="K111" s="1">
        <v>25</v>
      </c>
      <c r="L111" s="1">
        <v>26</v>
      </c>
      <c r="M111" s="1">
        <v>29</v>
      </c>
      <c r="N111" s="1">
        <v>31</v>
      </c>
      <c r="O111" s="1">
        <v>29</v>
      </c>
      <c r="P111" s="1">
        <v>31</v>
      </c>
      <c r="Q111" s="24">
        <f t="shared" si="3"/>
        <v>293</v>
      </c>
      <c r="R111" s="23">
        <v>1435</v>
      </c>
      <c r="S111" s="1">
        <v>1696</v>
      </c>
      <c r="T111" s="1">
        <v>2102</v>
      </c>
      <c r="U111" s="1">
        <v>1848</v>
      </c>
      <c r="V111" s="1">
        <v>1813</v>
      </c>
      <c r="W111" s="1">
        <v>2198</v>
      </c>
      <c r="X111" s="1">
        <v>2678</v>
      </c>
      <c r="Y111" s="1">
        <v>2853</v>
      </c>
      <c r="Z111" s="1">
        <v>2864</v>
      </c>
      <c r="AA111" s="1">
        <v>3022</v>
      </c>
      <c r="AB111" s="1">
        <v>3619</v>
      </c>
      <c r="AC111" s="1">
        <v>4120</v>
      </c>
      <c r="AD111" s="24">
        <f t="shared" si="4"/>
        <v>30248</v>
      </c>
      <c r="AE111" s="23">
        <v>0</v>
      </c>
      <c r="AF111" s="1">
        <v>0</v>
      </c>
      <c r="AG111" s="1">
        <v>0</v>
      </c>
      <c r="AH111" s="1">
        <v>0</v>
      </c>
      <c r="AI111" s="1">
        <v>0</v>
      </c>
      <c r="AJ111" s="1">
        <v>0</v>
      </c>
      <c r="AK111" s="1">
        <v>0</v>
      </c>
      <c r="AL111" s="1">
        <v>0</v>
      </c>
      <c r="AM111" s="1">
        <v>0</v>
      </c>
      <c r="AN111" s="1">
        <v>0</v>
      </c>
      <c r="AO111" s="1">
        <v>0</v>
      </c>
      <c r="AP111" s="1">
        <v>0</v>
      </c>
      <c r="AQ111" s="24">
        <f t="shared" si="5"/>
        <v>0</v>
      </c>
    </row>
    <row r="112" spans="1:43" ht="17.25" customHeight="1" x14ac:dyDescent="0.45">
      <c r="A112" s="12" t="s">
        <v>10</v>
      </c>
      <c r="B112" s="12" t="s">
        <v>66</v>
      </c>
      <c r="C112" s="12" t="s">
        <v>117</v>
      </c>
      <c r="D112" s="12" t="s">
        <v>118</v>
      </c>
      <c r="E112" s="25">
        <v>123</v>
      </c>
      <c r="F112" s="10">
        <v>100</v>
      </c>
      <c r="G112" s="10">
        <v>107</v>
      </c>
      <c r="H112" s="10">
        <v>102</v>
      </c>
      <c r="I112" s="10">
        <v>109</v>
      </c>
      <c r="J112" s="10">
        <v>112</v>
      </c>
      <c r="K112" s="10">
        <v>125</v>
      </c>
      <c r="L112" s="10">
        <v>116</v>
      </c>
      <c r="M112" s="10">
        <v>112</v>
      </c>
      <c r="N112" s="10">
        <v>115</v>
      </c>
      <c r="O112" s="10">
        <v>111</v>
      </c>
      <c r="P112" s="10">
        <v>124</v>
      </c>
      <c r="Q112" s="26">
        <f t="shared" si="3"/>
        <v>1356</v>
      </c>
      <c r="R112" s="25">
        <v>19364</v>
      </c>
      <c r="S112" s="10">
        <v>16766</v>
      </c>
      <c r="T112" s="10">
        <v>17419</v>
      </c>
      <c r="U112" s="10">
        <v>15308</v>
      </c>
      <c r="V112" s="10">
        <v>15364</v>
      </c>
      <c r="W112" s="10">
        <v>14217</v>
      </c>
      <c r="X112" s="10">
        <v>19223</v>
      </c>
      <c r="Y112" s="10">
        <v>14468</v>
      </c>
      <c r="Z112" s="10">
        <v>15130</v>
      </c>
      <c r="AA112" s="10">
        <v>16728</v>
      </c>
      <c r="AB112" s="10">
        <v>17728</v>
      </c>
      <c r="AC112" s="10">
        <v>19027</v>
      </c>
      <c r="AD112" s="26">
        <f t="shared" si="4"/>
        <v>200742</v>
      </c>
      <c r="AE112" s="25">
        <v>0</v>
      </c>
      <c r="AF112" s="10">
        <v>0</v>
      </c>
      <c r="AG112" s="10">
        <v>0</v>
      </c>
      <c r="AH112" s="10">
        <v>0</v>
      </c>
      <c r="AI112" s="10">
        <v>0</v>
      </c>
      <c r="AJ112" s="10">
        <v>0</v>
      </c>
      <c r="AK112" s="10">
        <v>0</v>
      </c>
      <c r="AL112" s="10">
        <v>0</v>
      </c>
      <c r="AM112" s="10">
        <v>0</v>
      </c>
      <c r="AN112" s="10">
        <v>0</v>
      </c>
      <c r="AO112" s="10">
        <v>0</v>
      </c>
      <c r="AP112" s="10">
        <v>0</v>
      </c>
      <c r="AQ112" s="26">
        <f t="shared" si="5"/>
        <v>0</v>
      </c>
    </row>
    <row r="113" spans="1:43" ht="17.25" customHeight="1" x14ac:dyDescent="0.45">
      <c r="A113" s="2" t="s">
        <v>10</v>
      </c>
      <c r="B113" s="2" t="s">
        <v>66</v>
      </c>
      <c r="C113" s="2" t="s">
        <v>119</v>
      </c>
      <c r="D113" s="2" t="s">
        <v>120</v>
      </c>
      <c r="E113" s="23">
        <v>23</v>
      </c>
      <c r="F113" s="1">
        <v>20</v>
      </c>
      <c r="G113" s="1">
        <v>22</v>
      </c>
      <c r="H113" s="1">
        <v>5</v>
      </c>
      <c r="I113" s="1">
        <v>4</v>
      </c>
      <c r="J113" s="1">
        <v>4</v>
      </c>
      <c r="K113" s="1">
        <v>5</v>
      </c>
      <c r="L113" s="1">
        <v>4</v>
      </c>
      <c r="M113" s="1">
        <v>5</v>
      </c>
      <c r="N113" s="1">
        <v>6</v>
      </c>
      <c r="O113" s="1">
        <v>18</v>
      </c>
      <c r="P113" s="1">
        <v>18</v>
      </c>
      <c r="Q113" s="24">
        <f t="shared" si="3"/>
        <v>134</v>
      </c>
      <c r="R113" s="23">
        <v>4442</v>
      </c>
      <c r="S113" s="1">
        <v>4574</v>
      </c>
      <c r="T113" s="1">
        <v>5187</v>
      </c>
      <c r="U113" s="1">
        <v>1704</v>
      </c>
      <c r="V113" s="1">
        <v>1517</v>
      </c>
      <c r="W113" s="1">
        <v>1518</v>
      </c>
      <c r="X113" s="1">
        <v>1741</v>
      </c>
      <c r="Y113" s="1">
        <v>1448</v>
      </c>
      <c r="Z113" s="1">
        <v>1879</v>
      </c>
      <c r="AA113" s="1">
        <v>1651</v>
      </c>
      <c r="AB113" s="1">
        <v>3862</v>
      </c>
      <c r="AC113" s="1">
        <v>3742</v>
      </c>
      <c r="AD113" s="24">
        <f t="shared" si="4"/>
        <v>33265</v>
      </c>
      <c r="AE113" s="23">
        <v>17452</v>
      </c>
      <c r="AF113" s="1">
        <v>11760</v>
      </c>
      <c r="AG113" s="1">
        <v>32943</v>
      </c>
      <c r="AH113" s="1">
        <v>0</v>
      </c>
      <c r="AI113" s="1">
        <v>0</v>
      </c>
      <c r="AJ113" s="1">
        <v>0</v>
      </c>
      <c r="AK113" s="1">
        <v>0</v>
      </c>
      <c r="AL113" s="1">
        <v>0</v>
      </c>
      <c r="AM113" s="1">
        <v>0</v>
      </c>
      <c r="AN113" s="1">
        <v>0</v>
      </c>
      <c r="AO113" s="1">
        <v>5615</v>
      </c>
      <c r="AP113" s="1">
        <v>7010</v>
      </c>
      <c r="AQ113" s="24">
        <f t="shared" si="5"/>
        <v>74780</v>
      </c>
    </row>
    <row r="114" spans="1:43" ht="17.25" customHeight="1" x14ac:dyDescent="0.45">
      <c r="A114" s="12" t="s">
        <v>10</v>
      </c>
      <c r="B114" s="12" t="s">
        <v>66</v>
      </c>
      <c r="C114" s="12" t="s">
        <v>121</v>
      </c>
      <c r="D114" s="12" t="s">
        <v>65</v>
      </c>
      <c r="E114" s="25">
        <v>18</v>
      </c>
      <c r="F114" s="10">
        <v>21</v>
      </c>
      <c r="G114" s="10">
        <v>22</v>
      </c>
      <c r="H114" s="10">
        <v>20</v>
      </c>
      <c r="I114" s="10">
        <v>2</v>
      </c>
      <c r="J114" s="10">
        <v>0</v>
      </c>
      <c r="K114" s="10">
        <v>0</v>
      </c>
      <c r="L114" s="10">
        <v>0</v>
      </c>
      <c r="M114" s="10">
        <v>0</v>
      </c>
      <c r="N114" s="10">
        <v>0</v>
      </c>
      <c r="O114" s="10">
        <v>4</v>
      </c>
      <c r="P114" s="10">
        <v>11</v>
      </c>
      <c r="Q114" s="26">
        <f t="shared" si="3"/>
        <v>98</v>
      </c>
      <c r="R114" s="25">
        <v>2481</v>
      </c>
      <c r="S114" s="10">
        <v>3409</v>
      </c>
      <c r="T114" s="10">
        <v>3448</v>
      </c>
      <c r="U114" s="10">
        <v>2493</v>
      </c>
      <c r="V114" s="10">
        <v>321</v>
      </c>
      <c r="W114" s="10">
        <v>0</v>
      </c>
      <c r="X114" s="10">
        <v>0</v>
      </c>
      <c r="Y114" s="10">
        <v>0</v>
      </c>
      <c r="Z114" s="10">
        <v>0</v>
      </c>
      <c r="AA114" s="10">
        <v>0</v>
      </c>
      <c r="AB114" s="10">
        <v>561</v>
      </c>
      <c r="AC114" s="10">
        <v>1391</v>
      </c>
      <c r="AD114" s="26">
        <f t="shared" si="4"/>
        <v>14104</v>
      </c>
      <c r="AE114" s="25">
        <v>0</v>
      </c>
      <c r="AF114" s="10">
        <v>0</v>
      </c>
      <c r="AG114" s="10">
        <v>0</v>
      </c>
      <c r="AH114" s="10">
        <v>0</v>
      </c>
      <c r="AI114" s="10">
        <v>0</v>
      </c>
      <c r="AJ114" s="10">
        <v>0</v>
      </c>
      <c r="AK114" s="10">
        <v>0</v>
      </c>
      <c r="AL114" s="10">
        <v>0</v>
      </c>
      <c r="AM114" s="10">
        <v>0</v>
      </c>
      <c r="AN114" s="10">
        <v>0</v>
      </c>
      <c r="AO114" s="10">
        <v>0</v>
      </c>
      <c r="AP114" s="10">
        <v>0</v>
      </c>
      <c r="AQ114" s="26">
        <f t="shared" si="5"/>
        <v>0</v>
      </c>
    </row>
    <row r="115" spans="1:43" ht="17.25" customHeight="1" x14ac:dyDescent="0.45">
      <c r="A115" s="2" t="s">
        <v>10</v>
      </c>
      <c r="B115" s="2" t="s">
        <v>66</v>
      </c>
      <c r="C115" s="2" t="s">
        <v>122</v>
      </c>
      <c r="D115" s="2" t="s">
        <v>85</v>
      </c>
      <c r="E115" s="23">
        <v>48</v>
      </c>
      <c r="F115" s="1">
        <v>46</v>
      </c>
      <c r="G115" s="1">
        <v>49</v>
      </c>
      <c r="H115" s="1">
        <v>47</v>
      </c>
      <c r="I115" s="1">
        <v>51</v>
      </c>
      <c r="J115" s="1">
        <v>49</v>
      </c>
      <c r="K115" s="1">
        <v>49</v>
      </c>
      <c r="L115" s="1">
        <v>50</v>
      </c>
      <c r="M115" s="1">
        <v>49</v>
      </c>
      <c r="N115" s="1">
        <v>54</v>
      </c>
      <c r="O115" s="1">
        <v>49</v>
      </c>
      <c r="P115" s="1">
        <v>48</v>
      </c>
      <c r="Q115" s="24">
        <f t="shared" si="3"/>
        <v>589</v>
      </c>
      <c r="R115" s="23">
        <v>14710</v>
      </c>
      <c r="S115" s="1">
        <v>13959</v>
      </c>
      <c r="T115" s="1">
        <v>15068</v>
      </c>
      <c r="U115" s="1">
        <v>14736</v>
      </c>
      <c r="V115" s="1">
        <v>15619</v>
      </c>
      <c r="W115" s="1">
        <v>15532</v>
      </c>
      <c r="X115" s="1">
        <v>15319</v>
      </c>
      <c r="Y115" s="1">
        <v>16336</v>
      </c>
      <c r="Z115" s="1">
        <v>15033</v>
      </c>
      <c r="AA115" s="1">
        <v>14792</v>
      </c>
      <c r="AB115" s="1">
        <v>15565</v>
      </c>
      <c r="AC115" s="1">
        <v>14587</v>
      </c>
      <c r="AD115" s="24">
        <f t="shared" si="4"/>
        <v>181256</v>
      </c>
      <c r="AE115" s="23">
        <v>6262</v>
      </c>
      <c r="AF115" s="1">
        <v>34347</v>
      </c>
      <c r="AG115" s="1">
        <v>8312</v>
      </c>
      <c r="AH115" s="1">
        <v>12650</v>
      </c>
      <c r="AI115" s="1">
        <v>20144</v>
      </c>
      <c r="AJ115" s="1">
        <v>808</v>
      </c>
      <c r="AK115" s="1">
        <v>1291</v>
      </c>
      <c r="AL115" s="1">
        <v>335</v>
      </c>
      <c r="AM115" s="1">
        <v>5153</v>
      </c>
      <c r="AN115" s="1">
        <v>11592</v>
      </c>
      <c r="AO115" s="1">
        <v>10011</v>
      </c>
      <c r="AP115" s="1">
        <v>21496</v>
      </c>
      <c r="AQ115" s="24">
        <f t="shared" si="5"/>
        <v>132401</v>
      </c>
    </row>
    <row r="116" spans="1:43" ht="17.25" customHeight="1" x14ac:dyDescent="0.45">
      <c r="A116" s="12" t="s">
        <v>10</v>
      </c>
      <c r="B116" s="12" t="s">
        <v>66</v>
      </c>
      <c r="C116" s="12" t="s">
        <v>73</v>
      </c>
      <c r="D116" s="12" t="s">
        <v>68</v>
      </c>
      <c r="E116" s="25">
        <v>170</v>
      </c>
      <c r="F116" s="10">
        <v>153</v>
      </c>
      <c r="G116" s="10">
        <v>165</v>
      </c>
      <c r="H116" s="10">
        <v>141</v>
      </c>
      <c r="I116" s="10">
        <v>137</v>
      </c>
      <c r="J116" s="10">
        <v>155</v>
      </c>
      <c r="K116" s="10">
        <v>155</v>
      </c>
      <c r="L116" s="10">
        <v>129</v>
      </c>
      <c r="M116" s="10">
        <v>86</v>
      </c>
      <c r="N116" s="10">
        <v>106</v>
      </c>
      <c r="O116" s="10">
        <v>164</v>
      </c>
      <c r="P116" s="10">
        <v>187</v>
      </c>
      <c r="Q116" s="26">
        <f t="shared" si="3"/>
        <v>1748</v>
      </c>
      <c r="R116" s="25">
        <v>27561</v>
      </c>
      <c r="S116" s="10">
        <v>22225</v>
      </c>
      <c r="T116" s="10">
        <v>25873</v>
      </c>
      <c r="U116" s="10">
        <v>23694</v>
      </c>
      <c r="V116" s="10">
        <v>22400</v>
      </c>
      <c r="W116" s="10">
        <v>25857</v>
      </c>
      <c r="X116" s="10">
        <v>25763</v>
      </c>
      <c r="Y116" s="10">
        <v>22086</v>
      </c>
      <c r="Z116" s="10">
        <v>14235</v>
      </c>
      <c r="AA116" s="10">
        <v>16023</v>
      </c>
      <c r="AB116" s="10">
        <v>25347</v>
      </c>
      <c r="AC116" s="10">
        <v>29751</v>
      </c>
      <c r="AD116" s="26">
        <f t="shared" si="4"/>
        <v>280815</v>
      </c>
      <c r="AE116" s="25">
        <v>1985</v>
      </c>
      <c r="AF116" s="10">
        <v>2236</v>
      </c>
      <c r="AG116" s="10">
        <v>2009</v>
      </c>
      <c r="AH116" s="10">
        <v>2068</v>
      </c>
      <c r="AI116" s="10">
        <v>1721</v>
      </c>
      <c r="AJ116" s="10">
        <v>3878.0477993200002</v>
      </c>
      <c r="AK116" s="10">
        <v>2139</v>
      </c>
      <c r="AL116" s="10">
        <v>2404</v>
      </c>
      <c r="AM116" s="10">
        <v>1184</v>
      </c>
      <c r="AN116" s="10">
        <v>1032</v>
      </c>
      <c r="AO116" s="10">
        <v>612</v>
      </c>
      <c r="AP116" s="10">
        <v>5250</v>
      </c>
      <c r="AQ116" s="26">
        <f t="shared" si="5"/>
        <v>26518.04779932</v>
      </c>
    </row>
    <row r="117" spans="1:43" ht="17.25" customHeight="1" x14ac:dyDescent="0.45">
      <c r="A117" s="2" t="s">
        <v>10</v>
      </c>
      <c r="B117" s="2" t="s">
        <v>66</v>
      </c>
      <c r="C117" s="2" t="s">
        <v>123</v>
      </c>
      <c r="D117" s="2" t="s">
        <v>81</v>
      </c>
      <c r="E117" s="23">
        <v>38</v>
      </c>
      <c r="F117" s="1">
        <v>32</v>
      </c>
      <c r="G117" s="1">
        <v>39</v>
      </c>
      <c r="H117" s="1">
        <v>38</v>
      </c>
      <c r="I117" s="1">
        <v>42</v>
      </c>
      <c r="J117" s="1">
        <v>49</v>
      </c>
      <c r="K117" s="1">
        <v>62</v>
      </c>
      <c r="L117" s="1">
        <v>68</v>
      </c>
      <c r="M117" s="1">
        <v>49</v>
      </c>
      <c r="N117" s="1">
        <v>44</v>
      </c>
      <c r="O117" s="1">
        <v>39</v>
      </c>
      <c r="P117" s="1">
        <v>43</v>
      </c>
      <c r="Q117" s="24">
        <f t="shared" si="3"/>
        <v>543</v>
      </c>
      <c r="R117" s="23">
        <v>12932</v>
      </c>
      <c r="S117" s="1">
        <v>10810</v>
      </c>
      <c r="T117" s="1">
        <v>14111</v>
      </c>
      <c r="U117" s="1">
        <v>13816</v>
      </c>
      <c r="V117" s="1">
        <v>14686</v>
      </c>
      <c r="W117" s="1">
        <v>16955</v>
      </c>
      <c r="X117" s="1">
        <v>22152</v>
      </c>
      <c r="Y117" s="1">
        <v>24416</v>
      </c>
      <c r="Z117" s="1">
        <v>18033</v>
      </c>
      <c r="AA117" s="1">
        <v>14380</v>
      </c>
      <c r="AB117" s="1">
        <v>13839</v>
      </c>
      <c r="AC117" s="1">
        <v>15106</v>
      </c>
      <c r="AD117" s="24">
        <f t="shared" si="4"/>
        <v>191236</v>
      </c>
      <c r="AE117" s="23">
        <v>870</v>
      </c>
      <c r="AF117" s="1">
        <v>4508</v>
      </c>
      <c r="AG117" s="1">
        <v>6744</v>
      </c>
      <c r="AH117" s="1">
        <v>13404</v>
      </c>
      <c r="AI117" s="1">
        <v>30107</v>
      </c>
      <c r="AJ117" s="1">
        <v>7575</v>
      </c>
      <c r="AK117" s="1">
        <v>10133</v>
      </c>
      <c r="AL117" s="1">
        <v>7883</v>
      </c>
      <c r="AM117" s="1">
        <v>263</v>
      </c>
      <c r="AN117" s="1">
        <v>54</v>
      </c>
      <c r="AO117" s="1">
        <v>1174</v>
      </c>
      <c r="AP117" s="1">
        <v>5511</v>
      </c>
      <c r="AQ117" s="24">
        <f t="shared" si="5"/>
        <v>88226</v>
      </c>
    </row>
    <row r="118" spans="1:43" ht="17.25" customHeight="1" x14ac:dyDescent="0.45">
      <c r="A118" s="12" t="s">
        <v>10</v>
      </c>
      <c r="B118" s="12" t="s">
        <v>66</v>
      </c>
      <c r="C118" s="12" t="s">
        <v>124</v>
      </c>
      <c r="D118" s="12" t="s">
        <v>85</v>
      </c>
      <c r="E118" s="25">
        <v>19</v>
      </c>
      <c r="F118" s="10">
        <v>16</v>
      </c>
      <c r="G118" s="10">
        <v>17</v>
      </c>
      <c r="H118" s="10">
        <v>18</v>
      </c>
      <c r="I118" s="10">
        <v>27</v>
      </c>
      <c r="J118" s="10">
        <v>25</v>
      </c>
      <c r="K118" s="10">
        <v>25</v>
      </c>
      <c r="L118" s="10">
        <v>27</v>
      </c>
      <c r="M118" s="10">
        <v>26</v>
      </c>
      <c r="N118" s="10">
        <v>25</v>
      </c>
      <c r="O118" s="10">
        <v>17</v>
      </c>
      <c r="P118" s="10">
        <v>17</v>
      </c>
      <c r="Q118" s="26">
        <f t="shared" si="3"/>
        <v>259</v>
      </c>
      <c r="R118" s="25">
        <v>5517</v>
      </c>
      <c r="S118" s="10">
        <v>4375</v>
      </c>
      <c r="T118" s="10">
        <v>4943</v>
      </c>
      <c r="U118" s="10">
        <v>5252</v>
      </c>
      <c r="V118" s="10">
        <v>8513</v>
      </c>
      <c r="W118" s="10">
        <v>8411</v>
      </c>
      <c r="X118" s="10">
        <v>8135</v>
      </c>
      <c r="Y118" s="10">
        <v>9011</v>
      </c>
      <c r="Z118" s="10">
        <v>8673</v>
      </c>
      <c r="AA118" s="10">
        <v>7227</v>
      </c>
      <c r="AB118" s="10">
        <v>4960</v>
      </c>
      <c r="AC118" s="10">
        <v>4929</v>
      </c>
      <c r="AD118" s="26">
        <f t="shared" si="4"/>
        <v>79946</v>
      </c>
      <c r="AE118" s="25">
        <v>0</v>
      </c>
      <c r="AF118" s="10">
        <v>0</v>
      </c>
      <c r="AG118" s="10">
        <v>0</v>
      </c>
      <c r="AH118" s="10">
        <v>0</v>
      </c>
      <c r="AI118" s="10">
        <v>0</v>
      </c>
      <c r="AJ118" s="10">
        <v>0</v>
      </c>
      <c r="AK118" s="10">
        <v>0</v>
      </c>
      <c r="AL118" s="10">
        <v>0</v>
      </c>
      <c r="AM118" s="10">
        <v>0</v>
      </c>
      <c r="AN118" s="10">
        <v>0</v>
      </c>
      <c r="AO118" s="10">
        <v>0</v>
      </c>
      <c r="AP118" s="10">
        <v>0</v>
      </c>
      <c r="AQ118" s="26">
        <f t="shared" si="5"/>
        <v>0</v>
      </c>
    </row>
    <row r="119" spans="1:43" ht="17.25" customHeight="1" x14ac:dyDescent="0.45">
      <c r="A119" s="2" t="s">
        <v>10</v>
      </c>
      <c r="B119" s="2" t="s">
        <v>66</v>
      </c>
      <c r="C119" s="2" t="s">
        <v>256</v>
      </c>
      <c r="D119" s="2" t="s">
        <v>68</v>
      </c>
      <c r="E119" s="23">
        <v>0</v>
      </c>
      <c r="F119" s="1">
        <v>0</v>
      </c>
      <c r="G119" s="1">
        <v>0</v>
      </c>
      <c r="H119" s="1">
        <v>0</v>
      </c>
      <c r="I119" s="1">
        <v>0</v>
      </c>
      <c r="J119" s="1">
        <v>0</v>
      </c>
      <c r="K119" s="1">
        <v>9</v>
      </c>
      <c r="L119" s="1">
        <v>9</v>
      </c>
      <c r="M119" s="1">
        <v>6</v>
      </c>
      <c r="N119" s="1">
        <v>9</v>
      </c>
      <c r="O119" s="1">
        <v>9</v>
      </c>
      <c r="P119" s="1">
        <v>8</v>
      </c>
      <c r="Q119" s="24">
        <f t="shared" si="3"/>
        <v>50</v>
      </c>
      <c r="R119" s="23">
        <v>0</v>
      </c>
      <c r="S119" s="1">
        <v>0</v>
      </c>
      <c r="T119" s="1">
        <v>0</v>
      </c>
      <c r="U119" s="1">
        <v>0</v>
      </c>
      <c r="V119" s="1">
        <v>0</v>
      </c>
      <c r="W119" s="1">
        <v>0</v>
      </c>
      <c r="X119" s="1">
        <v>856</v>
      </c>
      <c r="Y119" s="1">
        <v>666</v>
      </c>
      <c r="Z119" s="1">
        <v>208</v>
      </c>
      <c r="AA119" s="1">
        <v>354</v>
      </c>
      <c r="AB119" s="1">
        <v>493</v>
      </c>
      <c r="AC119" s="1">
        <v>383</v>
      </c>
      <c r="AD119" s="24">
        <f t="shared" si="4"/>
        <v>2960</v>
      </c>
      <c r="AE119" s="23">
        <v>0</v>
      </c>
      <c r="AF119" s="1">
        <v>0</v>
      </c>
      <c r="AG119" s="1">
        <v>0</v>
      </c>
      <c r="AH119" s="1">
        <v>0</v>
      </c>
      <c r="AI119" s="1">
        <v>0</v>
      </c>
      <c r="AJ119" s="1">
        <v>0</v>
      </c>
      <c r="AK119" s="1">
        <v>0</v>
      </c>
      <c r="AL119" s="1">
        <v>0</v>
      </c>
      <c r="AM119" s="1">
        <v>0</v>
      </c>
      <c r="AN119" s="1">
        <v>0</v>
      </c>
      <c r="AO119" s="1">
        <v>0</v>
      </c>
      <c r="AP119" s="1">
        <v>0</v>
      </c>
      <c r="AQ119" s="24">
        <f t="shared" si="5"/>
        <v>0</v>
      </c>
    </row>
    <row r="120" spans="1:43" ht="17.25" customHeight="1" x14ac:dyDescent="0.45">
      <c r="A120" s="12" t="s">
        <v>10</v>
      </c>
      <c r="B120" s="12" t="s">
        <v>66</v>
      </c>
      <c r="C120" s="12" t="s">
        <v>125</v>
      </c>
      <c r="D120" s="12" t="s">
        <v>87</v>
      </c>
      <c r="E120" s="25">
        <v>41</v>
      </c>
      <c r="F120" s="10">
        <v>38</v>
      </c>
      <c r="G120" s="10">
        <v>40</v>
      </c>
      <c r="H120" s="10">
        <v>37</v>
      </c>
      <c r="I120" s="10">
        <v>32</v>
      </c>
      <c r="J120" s="10">
        <v>37</v>
      </c>
      <c r="K120" s="10">
        <v>43</v>
      </c>
      <c r="L120" s="10">
        <v>43</v>
      </c>
      <c r="M120" s="10">
        <v>38</v>
      </c>
      <c r="N120" s="10">
        <v>40</v>
      </c>
      <c r="O120" s="10">
        <v>39</v>
      </c>
      <c r="P120" s="10">
        <v>43</v>
      </c>
      <c r="Q120" s="26">
        <f t="shared" si="3"/>
        <v>471</v>
      </c>
      <c r="R120" s="25">
        <v>6219</v>
      </c>
      <c r="S120" s="10">
        <v>4402</v>
      </c>
      <c r="T120" s="10">
        <v>4262</v>
      </c>
      <c r="U120" s="10">
        <v>3609</v>
      </c>
      <c r="V120" s="10">
        <v>3628</v>
      </c>
      <c r="W120" s="10">
        <v>4599</v>
      </c>
      <c r="X120" s="10">
        <v>5873</v>
      </c>
      <c r="Y120" s="10">
        <v>5650</v>
      </c>
      <c r="Z120" s="10">
        <v>5343</v>
      </c>
      <c r="AA120" s="10">
        <v>5285</v>
      </c>
      <c r="AB120" s="10">
        <v>5387</v>
      </c>
      <c r="AC120" s="10">
        <v>6263</v>
      </c>
      <c r="AD120" s="26">
        <f t="shared" si="4"/>
        <v>60520</v>
      </c>
      <c r="AE120" s="25">
        <v>0</v>
      </c>
      <c r="AF120" s="10">
        <v>0</v>
      </c>
      <c r="AG120" s="10">
        <v>0</v>
      </c>
      <c r="AH120" s="10">
        <v>0</v>
      </c>
      <c r="AI120" s="10">
        <v>0</v>
      </c>
      <c r="AJ120" s="10">
        <v>0</v>
      </c>
      <c r="AK120" s="10">
        <v>0</v>
      </c>
      <c r="AL120" s="10">
        <v>0</v>
      </c>
      <c r="AM120" s="10">
        <v>0</v>
      </c>
      <c r="AN120" s="10">
        <v>0</v>
      </c>
      <c r="AO120" s="10">
        <v>0</v>
      </c>
      <c r="AP120" s="10">
        <v>0</v>
      </c>
      <c r="AQ120" s="26">
        <f t="shared" si="5"/>
        <v>0</v>
      </c>
    </row>
    <row r="121" spans="1:43" ht="17.25" customHeight="1" x14ac:dyDescent="0.45">
      <c r="A121" s="2" t="s">
        <v>10</v>
      </c>
      <c r="B121" s="2" t="s">
        <v>66</v>
      </c>
      <c r="C121" s="2" t="s">
        <v>126</v>
      </c>
      <c r="D121" s="2" t="s">
        <v>68</v>
      </c>
      <c r="E121" s="23">
        <v>184</v>
      </c>
      <c r="F121" s="1">
        <v>165</v>
      </c>
      <c r="G121" s="1">
        <v>171</v>
      </c>
      <c r="H121" s="1">
        <v>178</v>
      </c>
      <c r="I121" s="1">
        <v>192</v>
      </c>
      <c r="J121" s="1">
        <v>149</v>
      </c>
      <c r="K121" s="1">
        <v>145</v>
      </c>
      <c r="L121" s="1">
        <v>145</v>
      </c>
      <c r="M121" s="1">
        <v>107</v>
      </c>
      <c r="N121" s="1">
        <v>134</v>
      </c>
      <c r="O121" s="1">
        <v>135</v>
      </c>
      <c r="P121" s="1">
        <v>162</v>
      </c>
      <c r="Q121" s="24">
        <f t="shared" si="3"/>
        <v>1867</v>
      </c>
      <c r="R121" s="23">
        <v>26007</v>
      </c>
      <c r="S121" s="1">
        <v>22010</v>
      </c>
      <c r="T121" s="1">
        <v>25459</v>
      </c>
      <c r="U121" s="1">
        <v>23557</v>
      </c>
      <c r="V121" s="1">
        <v>24933</v>
      </c>
      <c r="W121" s="1">
        <v>20980</v>
      </c>
      <c r="X121" s="1">
        <v>19493</v>
      </c>
      <c r="Y121" s="1">
        <v>20269</v>
      </c>
      <c r="Z121" s="1">
        <v>15168</v>
      </c>
      <c r="AA121" s="1">
        <v>17420</v>
      </c>
      <c r="AB121" s="1">
        <v>16742</v>
      </c>
      <c r="AC121" s="1">
        <v>20200</v>
      </c>
      <c r="AD121" s="24">
        <f t="shared" si="4"/>
        <v>252238</v>
      </c>
      <c r="AE121" s="23">
        <v>205556.24352530998</v>
      </c>
      <c r="AF121" s="1">
        <v>139852.66339490999</v>
      </c>
      <c r="AG121" s="1">
        <v>75708.156337890017</v>
      </c>
      <c r="AH121" s="1">
        <v>179735.15583062003</v>
      </c>
      <c r="AI121" s="1">
        <v>217783.79683750006</v>
      </c>
      <c r="AJ121" s="1">
        <v>116035.93796044002</v>
      </c>
      <c r="AK121" s="1">
        <v>144748.34863607999</v>
      </c>
      <c r="AL121" s="1">
        <v>184282.89326267</v>
      </c>
      <c r="AM121" s="1">
        <v>139409.67820233002</v>
      </c>
      <c r="AN121" s="1">
        <v>111423.14470522001</v>
      </c>
      <c r="AO121" s="1">
        <v>160726.15350668001</v>
      </c>
      <c r="AP121" s="1">
        <v>236927.07053788006</v>
      </c>
      <c r="AQ121" s="24">
        <f t="shared" si="5"/>
        <v>1912189.2427375303</v>
      </c>
    </row>
    <row r="122" spans="1:43" ht="17.25" customHeight="1" x14ac:dyDescent="0.45">
      <c r="A122" s="12" t="s">
        <v>10</v>
      </c>
      <c r="B122" s="12" t="s">
        <v>66</v>
      </c>
      <c r="C122" s="12" t="s">
        <v>127</v>
      </c>
      <c r="D122" s="12" t="s">
        <v>128</v>
      </c>
      <c r="E122" s="25">
        <v>4</v>
      </c>
      <c r="F122" s="10">
        <v>5</v>
      </c>
      <c r="G122" s="10">
        <v>4</v>
      </c>
      <c r="H122" s="10">
        <v>4</v>
      </c>
      <c r="I122" s="10">
        <v>5</v>
      </c>
      <c r="J122" s="10">
        <v>3</v>
      </c>
      <c r="K122" s="10">
        <v>3</v>
      </c>
      <c r="L122" s="10">
        <v>5</v>
      </c>
      <c r="M122" s="10">
        <v>4</v>
      </c>
      <c r="N122" s="10">
        <v>5</v>
      </c>
      <c r="O122" s="10">
        <v>4</v>
      </c>
      <c r="P122" s="10">
        <v>0</v>
      </c>
      <c r="Q122" s="26">
        <f t="shared" si="3"/>
        <v>46</v>
      </c>
      <c r="R122" s="25">
        <v>1191</v>
      </c>
      <c r="S122" s="10">
        <v>1552</v>
      </c>
      <c r="T122" s="10">
        <v>1297</v>
      </c>
      <c r="U122" s="10">
        <v>1240</v>
      </c>
      <c r="V122" s="10">
        <v>1320</v>
      </c>
      <c r="W122" s="10">
        <v>614</v>
      </c>
      <c r="X122" s="10">
        <v>539</v>
      </c>
      <c r="Y122" s="10">
        <v>1109</v>
      </c>
      <c r="Z122" s="10">
        <v>893</v>
      </c>
      <c r="AA122" s="10">
        <v>1345</v>
      </c>
      <c r="AB122" s="10">
        <v>1303</v>
      </c>
      <c r="AC122" s="10">
        <v>0</v>
      </c>
      <c r="AD122" s="26">
        <f t="shared" si="4"/>
        <v>12403</v>
      </c>
      <c r="AE122" s="25">
        <v>3477</v>
      </c>
      <c r="AF122" s="10">
        <v>4199</v>
      </c>
      <c r="AG122" s="10">
        <v>5222</v>
      </c>
      <c r="AH122" s="10">
        <v>6435</v>
      </c>
      <c r="AI122" s="10">
        <v>7529</v>
      </c>
      <c r="AJ122" s="10">
        <v>1135</v>
      </c>
      <c r="AK122" s="10">
        <v>1703</v>
      </c>
      <c r="AL122" s="10">
        <v>2499</v>
      </c>
      <c r="AM122" s="10">
        <v>3106</v>
      </c>
      <c r="AN122" s="10">
        <v>7101</v>
      </c>
      <c r="AO122" s="10">
        <v>2187</v>
      </c>
      <c r="AP122" s="10">
        <v>0</v>
      </c>
      <c r="AQ122" s="26">
        <f t="shared" si="5"/>
        <v>44593</v>
      </c>
    </row>
    <row r="123" spans="1:43" ht="17.25" customHeight="1" x14ac:dyDescent="0.45">
      <c r="A123" s="2" t="s">
        <v>10</v>
      </c>
      <c r="B123" s="2" t="s">
        <v>66</v>
      </c>
      <c r="C123" s="2" t="s">
        <v>129</v>
      </c>
      <c r="D123" s="2" t="s">
        <v>68</v>
      </c>
      <c r="E123" s="23">
        <v>17</v>
      </c>
      <c r="F123" s="1">
        <v>20</v>
      </c>
      <c r="G123" s="1">
        <v>39</v>
      </c>
      <c r="H123" s="1">
        <v>10</v>
      </c>
      <c r="I123" s="1">
        <v>0</v>
      </c>
      <c r="J123" s="1">
        <v>0</v>
      </c>
      <c r="K123" s="1">
        <v>0</v>
      </c>
      <c r="L123" s="1">
        <v>0</v>
      </c>
      <c r="M123" s="1">
        <v>0</v>
      </c>
      <c r="N123" s="1">
        <v>0</v>
      </c>
      <c r="O123" s="1">
        <v>0</v>
      </c>
      <c r="P123" s="1">
        <v>10</v>
      </c>
      <c r="Q123" s="24">
        <f t="shared" si="3"/>
        <v>96</v>
      </c>
      <c r="R123" s="23">
        <v>2237</v>
      </c>
      <c r="S123" s="1">
        <v>2466</v>
      </c>
      <c r="T123" s="1">
        <v>5130</v>
      </c>
      <c r="U123" s="1">
        <v>1681</v>
      </c>
      <c r="V123" s="1">
        <v>0</v>
      </c>
      <c r="W123" s="1">
        <v>0</v>
      </c>
      <c r="X123" s="1">
        <v>0</v>
      </c>
      <c r="Y123" s="1">
        <v>0</v>
      </c>
      <c r="Z123" s="1">
        <v>0</v>
      </c>
      <c r="AA123" s="1">
        <v>0</v>
      </c>
      <c r="AB123" s="1">
        <v>0</v>
      </c>
      <c r="AC123" s="1">
        <v>820</v>
      </c>
      <c r="AD123" s="24">
        <f t="shared" si="4"/>
        <v>12334</v>
      </c>
      <c r="AE123" s="23">
        <v>0</v>
      </c>
      <c r="AF123" s="1">
        <v>0</v>
      </c>
      <c r="AG123" s="1">
        <v>0</v>
      </c>
      <c r="AH123" s="1">
        <v>0</v>
      </c>
      <c r="AI123" s="1">
        <v>0</v>
      </c>
      <c r="AJ123" s="1">
        <v>0</v>
      </c>
      <c r="AK123" s="1">
        <v>0</v>
      </c>
      <c r="AL123" s="1">
        <v>0</v>
      </c>
      <c r="AM123" s="1">
        <v>0</v>
      </c>
      <c r="AN123" s="1">
        <v>0</v>
      </c>
      <c r="AO123" s="1">
        <v>0</v>
      </c>
      <c r="AP123" s="1">
        <v>0</v>
      </c>
      <c r="AQ123" s="24">
        <f t="shared" si="5"/>
        <v>0</v>
      </c>
    </row>
    <row r="124" spans="1:43" ht="17.25" customHeight="1" x14ac:dyDescent="0.45">
      <c r="A124" s="12" t="s">
        <v>10</v>
      </c>
      <c r="B124" s="12" t="s">
        <v>66</v>
      </c>
      <c r="C124" s="12" t="s">
        <v>130</v>
      </c>
      <c r="D124" s="12" t="s">
        <v>68</v>
      </c>
      <c r="E124" s="25">
        <v>216</v>
      </c>
      <c r="F124" s="10">
        <v>258</v>
      </c>
      <c r="G124" s="10">
        <v>274</v>
      </c>
      <c r="H124" s="10">
        <v>152</v>
      </c>
      <c r="I124" s="10">
        <v>50</v>
      </c>
      <c r="J124" s="10">
        <v>39</v>
      </c>
      <c r="K124" s="10">
        <v>37</v>
      </c>
      <c r="L124" s="10">
        <v>36</v>
      </c>
      <c r="M124" s="10">
        <v>23</v>
      </c>
      <c r="N124" s="10">
        <v>44</v>
      </c>
      <c r="O124" s="10">
        <v>79</v>
      </c>
      <c r="P124" s="10">
        <v>150</v>
      </c>
      <c r="Q124" s="26">
        <f t="shared" si="3"/>
        <v>1358</v>
      </c>
      <c r="R124" s="25">
        <v>33607</v>
      </c>
      <c r="S124" s="10">
        <v>41759</v>
      </c>
      <c r="T124" s="10">
        <v>46611</v>
      </c>
      <c r="U124" s="10">
        <v>25375</v>
      </c>
      <c r="V124" s="10">
        <v>8638</v>
      </c>
      <c r="W124" s="10">
        <v>6513</v>
      </c>
      <c r="X124" s="10">
        <v>5917</v>
      </c>
      <c r="Y124" s="10">
        <v>6131</v>
      </c>
      <c r="Z124" s="10">
        <v>3779</v>
      </c>
      <c r="AA124" s="10">
        <v>6572</v>
      </c>
      <c r="AB124" s="10">
        <v>10909</v>
      </c>
      <c r="AC124" s="10">
        <v>20273</v>
      </c>
      <c r="AD124" s="26">
        <f t="shared" si="4"/>
        <v>216084</v>
      </c>
      <c r="AE124" s="25">
        <v>340</v>
      </c>
      <c r="AF124" s="10">
        <v>320</v>
      </c>
      <c r="AG124" s="10">
        <v>0</v>
      </c>
      <c r="AH124" s="10">
        <v>312</v>
      </c>
      <c r="AI124" s="10">
        <v>150</v>
      </c>
      <c r="AJ124" s="10">
        <v>0</v>
      </c>
      <c r="AK124" s="10">
        <v>0</v>
      </c>
      <c r="AL124" s="10">
        <v>170</v>
      </c>
      <c r="AM124" s="10">
        <v>0</v>
      </c>
      <c r="AN124" s="10">
        <v>171</v>
      </c>
      <c r="AO124" s="10">
        <v>22</v>
      </c>
      <c r="AP124" s="10">
        <v>0</v>
      </c>
      <c r="AQ124" s="26">
        <f t="shared" si="5"/>
        <v>1485</v>
      </c>
    </row>
    <row r="125" spans="1:43" ht="17.25" customHeight="1" x14ac:dyDescent="0.45">
      <c r="A125" s="2" t="s">
        <v>10</v>
      </c>
      <c r="B125" s="2" t="s">
        <v>66</v>
      </c>
      <c r="C125" s="2" t="s">
        <v>230</v>
      </c>
      <c r="D125" s="2" t="s">
        <v>65</v>
      </c>
      <c r="E125" s="23">
        <v>4</v>
      </c>
      <c r="F125" s="1">
        <v>8</v>
      </c>
      <c r="G125" s="1">
        <v>8</v>
      </c>
      <c r="H125" s="1">
        <v>9</v>
      </c>
      <c r="I125" s="1">
        <v>4</v>
      </c>
      <c r="J125" s="1">
        <v>0</v>
      </c>
      <c r="K125" s="1">
        <v>0</v>
      </c>
      <c r="L125" s="1">
        <v>0</v>
      </c>
      <c r="M125" s="1">
        <v>0</v>
      </c>
      <c r="N125" s="1">
        <v>0</v>
      </c>
      <c r="O125" s="1">
        <v>0</v>
      </c>
      <c r="P125" s="1">
        <v>2</v>
      </c>
      <c r="Q125" s="24">
        <f t="shared" si="3"/>
        <v>35</v>
      </c>
      <c r="R125" s="23">
        <v>439</v>
      </c>
      <c r="S125" s="1">
        <v>1132</v>
      </c>
      <c r="T125" s="1">
        <v>1403</v>
      </c>
      <c r="U125" s="1">
        <v>1580</v>
      </c>
      <c r="V125" s="1">
        <v>712</v>
      </c>
      <c r="W125" s="1">
        <v>0</v>
      </c>
      <c r="X125" s="1">
        <v>0</v>
      </c>
      <c r="Y125" s="1">
        <v>0</v>
      </c>
      <c r="Z125" s="1">
        <v>0</v>
      </c>
      <c r="AA125" s="1">
        <v>0</v>
      </c>
      <c r="AB125" s="1">
        <v>0</v>
      </c>
      <c r="AC125" s="1">
        <v>170</v>
      </c>
      <c r="AD125" s="24">
        <f t="shared" si="4"/>
        <v>5436</v>
      </c>
      <c r="AE125" s="23">
        <v>0</v>
      </c>
      <c r="AF125" s="1">
        <v>0</v>
      </c>
      <c r="AG125" s="1">
        <v>0</v>
      </c>
      <c r="AH125" s="1">
        <v>0</v>
      </c>
      <c r="AI125" s="1">
        <v>0</v>
      </c>
      <c r="AJ125" s="1">
        <v>0</v>
      </c>
      <c r="AK125" s="1">
        <v>0</v>
      </c>
      <c r="AL125" s="1">
        <v>0</v>
      </c>
      <c r="AM125" s="1">
        <v>0</v>
      </c>
      <c r="AN125" s="1">
        <v>0</v>
      </c>
      <c r="AO125" s="1">
        <v>0</v>
      </c>
      <c r="AP125" s="1">
        <v>0</v>
      </c>
      <c r="AQ125" s="24">
        <f t="shared" si="5"/>
        <v>0</v>
      </c>
    </row>
    <row r="126" spans="1:43" ht="17.25" customHeight="1" x14ac:dyDescent="0.45">
      <c r="A126" s="12" t="s">
        <v>10</v>
      </c>
      <c r="B126" s="12" t="s">
        <v>66</v>
      </c>
      <c r="C126" s="12" t="s">
        <v>70</v>
      </c>
      <c r="D126" s="12" t="s">
        <v>65</v>
      </c>
      <c r="E126" s="25">
        <v>149</v>
      </c>
      <c r="F126" s="10">
        <v>141</v>
      </c>
      <c r="G126" s="10">
        <v>144</v>
      </c>
      <c r="H126" s="10">
        <v>116</v>
      </c>
      <c r="I126" s="10">
        <v>104</v>
      </c>
      <c r="J126" s="10">
        <v>88</v>
      </c>
      <c r="K126" s="10">
        <v>100</v>
      </c>
      <c r="L126" s="10">
        <v>99</v>
      </c>
      <c r="M126" s="10">
        <v>73</v>
      </c>
      <c r="N126" s="10">
        <v>95</v>
      </c>
      <c r="O126" s="10">
        <v>177</v>
      </c>
      <c r="P126" s="10">
        <v>207</v>
      </c>
      <c r="Q126" s="26">
        <f t="shared" si="3"/>
        <v>1493</v>
      </c>
      <c r="R126" s="25">
        <v>31356</v>
      </c>
      <c r="S126" s="10">
        <v>29876</v>
      </c>
      <c r="T126" s="10">
        <v>32243</v>
      </c>
      <c r="U126" s="10">
        <v>26429</v>
      </c>
      <c r="V126" s="10">
        <v>20307</v>
      </c>
      <c r="W126" s="10">
        <v>14728</v>
      </c>
      <c r="X126" s="10">
        <v>17917</v>
      </c>
      <c r="Y126" s="10">
        <v>19081</v>
      </c>
      <c r="Z126" s="10">
        <v>12337</v>
      </c>
      <c r="AA126" s="10">
        <v>15031</v>
      </c>
      <c r="AB126" s="10">
        <v>34344</v>
      </c>
      <c r="AC126" s="10">
        <v>41202</v>
      </c>
      <c r="AD126" s="26">
        <f t="shared" si="4"/>
        <v>294851</v>
      </c>
      <c r="AE126" s="25">
        <v>0</v>
      </c>
      <c r="AF126" s="10">
        <v>0</v>
      </c>
      <c r="AG126" s="10">
        <v>0</v>
      </c>
      <c r="AH126" s="10">
        <v>0</v>
      </c>
      <c r="AI126" s="10">
        <v>2753</v>
      </c>
      <c r="AJ126" s="10">
        <v>0</v>
      </c>
      <c r="AK126" s="10">
        <v>0</v>
      </c>
      <c r="AL126" s="10">
        <v>0</v>
      </c>
      <c r="AM126" s="10">
        <v>284</v>
      </c>
      <c r="AN126" s="10">
        <v>1290</v>
      </c>
      <c r="AO126" s="10">
        <v>14764</v>
      </c>
      <c r="AP126" s="10">
        <v>3065</v>
      </c>
      <c r="AQ126" s="26">
        <f t="shared" si="5"/>
        <v>22156</v>
      </c>
    </row>
    <row r="127" spans="1:43" ht="17.25" customHeight="1" x14ac:dyDescent="0.45">
      <c r="A127" s="2" t="s">
        <v>10</v>
      </c>
      <c r="B127" s="2" t="s">
        <v>66</v>
      </c>
      <c r="C127" s="2" t="s">
        <v>131</v>
      </c>
      <c r="D127" s="2" t="s">
        <v>68</v>
      </c>
      <c r="E127" s="23">
        <v>8</v>
      </c>
      <c r="F127" s="1">
        <v>8</v>
      </c>
      <c r="G127" s="1">
        <v>27</v>
      </c>
      <c r="H127" s="1">
        <v>14</v>
      </c>
      <c r="I127" s="1">
        <v>10</v>
      </c>
      <c r="J127" s="1">
        <v>34</v>
      </c>
      <c r="K127" s="1">
        <v>31</v>
      </c>
      <c r="L127" s="1">
        <v>4</v>
      </c>
      <c r="M127" s="1">
        <v>0</v>
      </c>
      <c r="N127" s="1">
        <v>8</v>
      </c>
      <c r="O127" s="1">
        <v>7</v>
      </c>
      <c r="P127" s="1">
        <v>13</v>
      </c>
      <c r="Q127" s="24">
        <f t="shared" si="3"/>
        <v>164</v>
      </c>
      <c r="R127" s="23">
        <v>1209</v>
      </c>
      <c r="S127" s="1">
        <v>1224</v>
      </c>
      <c r="T127" s="1">
        <v>3677</v>
      </c>
      <c r="U127" s="1">
        <v>2162</v>
      </c>
      <c r="V127" s="1">
        <v>1350</v>
      </c>
      <c r="W127" s="1">
        <v>4993</v>
      </c>
      <c r="X127" s="1">
        <v>4678</v>
      </c>
      <c r="Y127" s="1">
        <v>632</v>
      </c>
      <c r="Z127" s="1">
        <v>0</v>
      </c>
      <c r="AA127" s="1">
        <v>1165</v>
      </c>
      <c r="AB127" s="1">
        <v>842</v>
      </c>
      <c r="AC127" s="1">
        <v>1781</v>
      </c>
      <c r="AD127" s="24">
        <f t="shared" si="4"/>
        <v>23713</v>
      </c>
      <c r="AE127" s="23">
        <v>0</v>
      </c>
      <c r="AF127" s="1">
        <v>0</v>
      </c>
      <c r="AG127" s="1">
        <v>0</v>
      </c>
      <c r="AH127" s="1">
        <v>0</v>
      </c>
      <c r="AI127" s="1">
        <v>0</v>
      </c>
      <c r="AJ127" s="1">
        <v>0</v>
      </c>
      <c r="AK127" s="1">
        <v>0</v>
      </c>
      <c r="AL127" s="1">
        <v>0</v>
      </c>
      <c r="AM127" s="1">
        <v>0</v>
      </c>
      <c r="AN127" s="1">
        <v>0</v>
      </c>
      <c r="AO127" s="1">
        <v>0</v>
      </c>
      <c r="AP127" s="1">
        <v>0</v>
      </c>
      <c r="AQ127" s="24">
        <f t="shared" si="5"/>
        <v>0</v>
      </c>
    </row>
    <row r="128" spans="1:43" ht="17.25" customHeight="1" x14ac:dyDescent="0.45">
      <c r="A128" s="12" t="s">
        <v>10</v>
      </c>
      <c r="B128" s="12" t="s">
        <v>66</v>
      </c>
      <c r="C128" s="12" t="s">
        <v>132</v>
      </c>
      <c r="D128" s="12" t="s">
        <v>68</v>
      </c>
      <c r="E128" s="25">
        <v>136</v>
      </c>
      <c r="F128" s="10">
        <v>118</v>
      </c>
      <c r="G128" s="10">
        <v>128</v>
      </c>
      <c r="H128" s="10">
        <v>123</v>
      </c>
      <c r="I128" s="10">
        <v>133</v>
      </c>
      <c r="J128" s="10">
        <v>148</v>
      </c>
      <c r="K128" s="10">
        <v>152</v>
      </c>
      <c r="L128" s="10">
        <v>138</v>
      </c>
      <c r="M128" s="10">
        <v>91</v>
      </c>
      <c r="N128" s="10">
        <v>98</v>
      </c>
      <c r="O128" s="10">
        <v>120</v>
      </c>
      <c r="P128" s="10">
        <v>149</v>
      </c>
      <c r="Q128" s="26">
        <f t="shared" si="3"/>
        <v>1534</v>
      </c>
      <c r="R128" s="25">
        <v>22313</v>
      </c>
      <c r="S128" s="10">
        <v>18210</v>
      </c>
      <c r="T128" s="10">
        <v>20944</v>
      </c>
      <c r="U128" s="10">
        <v>20420</v>
      </c>
      <c r="V128" s="10">
        <v>20667</v>
      </c>
      <c r="W128" s="10">
        <v>21343</v>
      </c>
      <c r="X128" s="10">
        <v>25989</v>
      </c>
      <c r="Y128" s="10">
        <v>24356</v>
      </c>
      <c r="Z128" s="10">
        <v>13848</v>
      </c>
      <c r="AA128" s="10">
        <v>13278</v>
      </c>
      <c r="AB128" s="10">
        <v>17839</v>
      </c>
      <c r="AC128" s="10">
        <v>22131</v>
      </c>
      <c r="AD128" s="26">
        <f t="shared" si="4"/>
        <v>241338</v>
      </c>
      <c r="AE128" s="25">
        <v>66328</v>
      </c>
      <c r="AF128" s="10">
        <v>40677</v>
      </c>
      <c r="AG128" s="10">
        <v>44116</v>
      </c>
      <c r="AH128" s="10">
        <v>30018</v>
      </c>
      <c r="AI128" s="10">
        <v>19205</v>
      </c>
      <c r="AJ128" s="10">
        <v>38257</v>
      </c>
      <c r="AK128" s="10">
        <v>15261</v>
      </c>
      <c r="AL128" s="10">
        <v>20855</v>
      </c>
      <c r="AM128" s="10">
        <v>38572</v>
      </c>
      <c r="AN128" s="10">
        <v>30808</v>
      </c>
      <c r="AO128" s="10">
        <v>53519</v>
      </c>
      <c r="AP128" s="10">
        <v>69540</v>
      </c>
      <c r="AQ128" s="26">
        <f t="shared" si="5"/>
        <v>467156</v>
      </c>
    </row>
    <row r="129" spans="1:43" ht="17.25" customHeight="1" x14ac:dyDescent="0.45">
      <c r="A129" s="2" t="s">
        <v>10</v>
      </c>
      <c r="B129" s="2" t="s">
        <v>66</v>
      </c>
      <c r="C129" s="2" t="s">
        <v>289</v>
      </c>
      <c r="D129" s="2" t="s">
        <v>85</v>
      </c>
      <c r="E129" s="23">
        <v>0</v>
      </c>
      <c r="F129" s="1">
        <v>0</v>
      </c>
      <c r="G129" s="1">
        <v>0</v>
      </c>
      <c r="H129" s="1">
        <v>0</v>
      </c>
      <c r="I129" s="1">
        <v>7</v>
      </c>
      <c r="J129" s="1">
        <v>8</v>
      </c>
      <c r="K129" s="1">
        <v>9</v>
      </c>
      <c r="L129" s="1">
        <v>9</v>
      </c>
      <c r="M129" s="1">
        <v>9</v>
      </c>
      <c r="N129" s="1">
        <v>8</v>
      </c>
      <c r="O129" s="1">
        <v>0</v>
      </c>
      <c r="P129" s="1">
        <v>0</v>
      </c>
      <c r="Q129" s="24">
        <f t="shared" si="3"/>
        <v>50</v>
      </c>
      <c r="R129" s="23">
        <v>0</v>
      </c>
      <c r="S129" s="1">
        <v>0</v>
      </c>
      <c r="T129" s="1">
        <v>0</v>
      </c>
      <c r="U129" s="1">
        <v>0</v>
      </c>
      <c r="V129" s="1">
        <v>1496</v>
      </c>
      <c r="W129" s="1">
        <v>2097</v>
      </c>
      <c r="X129" s="1">
        <v>2541</v>
      </c>
      <c r="Y129" s="1">
        <v>2664</v>
      </c>
      <c r="Z129" s="1">
        <v>2526</v>
      </c>
      <c r="AA129" s="1">
        <v>2168</v>
      </c>
      <c r="AB129" s="1">
        <v>0</v>
      </c>
      <c r="AC129" s="1">
        <v>0</v>
      </c>
      <c r="AD129" s="24">
        <f t="shared" si="4"/>
        <v>13492</v>
      </c>
      <c r="AE129" s="23">
        <v>0</v>
      </c>
      <c r="AF129" s="1">
        <v>0</v>
      </c>
      <c r="AG129" s="1">
        <v>0</v>
      </c>
      <c r="AH129" s="1">
        <v>0</v>
      </c>
      <c r="AI129" s="1">
        <v>0</v>
      </c>
      <c r="AJ129" s="1">
        <v>0</v>
      </c>
      <c r="AK129" s="1">
        <v>0</v>
      </c>
      <c r="AL129" s="1">
        <v>0</v>
      </c>
      <c r="AM129" s="1">
        <v>0</v>
      </c>
      <c r="AN129" s="1">
        <v>0</v>
      </c>
      <c r="AO129" s="1">
        <v>0</v>
      </c>
      <c r="AP129" s="1">
        <v>0</v>
      </c>
      <c r="AQ129" s="24">
        <f t="shared" si="5"/>
        <v>0</v>
      </c>
    </row>
    <row r="130" spans="1:43" ht="17.25" customHeight="1" x14ac:dyDescent="0.45">
      <c r="A130" s="12" t="s">
        <v>10</v>
      </c>
      <c r="B130" s="12" t="s">
        <v>66</v>
      </c>
      <c r="C130" s="12" t="s">
        <v>133</v>
      </c>
      <c r="D130" s="12" t="s">
        <v>68</v>
      </c>
      <c r="E130" s="25">
        <v>10</v>
      </c>
      <c r="F130" s="10">
        <v>13</v>
      </c>
      <c r="G130" s="10">
        <v>21</v>
      </c>
      <c r="H130" s="10">
        <v>18</v>
      </c>
      <c r="I130" s="10">
        <v>17</v>
      </c>
      <c r="J130" s="10">
        <v>22</v>
      </c>
      <c r="K130" s="10">
        <v>21</v>
      </c>
      <c r="L130" s="10">
        <v>15</v>
      </c>
      <c r="M130" s="10">
        <v>9</v>
      </c>
      <c r="N130" s="10">
        <v>12</v>
      </c>
      <c r="O130" s="10">
        <v>12</v>
      </c>
      <c r="P130" s="10">
        <v>14</v>
      </c>
      <c r="Q130" s="26">
        <f t="shared" si="3"/>
        <v>184</v>
      </c>
      <c r="R130" s="25">
        <v>1213</v>
      </c>
      <c r="S130" s="10">
        <v>1260</v>
      </c>
      <c r="T130" s="10">
        <v>2173</v>
      </c>
      <c r="U130" s="10">
        <v>1912</v>
      </c>
      <c r="V130" s="10">
        <v>1800</v>
      </c>
      <c r="W130" s="10">
        <v>3098</v>
      </c>
      <c r="X130" s="10">
        <v>3029</v>
      </c>
      <c r="Y130" s="10">
        <v>1914</v>
      </c>
      <c r="Z130" s="10">
        <v>910</v>
      </c>
      <c r="AA130" s="10">
        <v>1224</v>
      </c>
      <c r="AB130" s="10">
        <v>1139</v>
      </c>
      <c r="AC130" s="10">
        <v>1262</v>
      </c>
      <c r="AD130" s="26">
        <f t="shared" si="4"/>
        <v>20934</v>
      </c>
      <c r="AE130" s="25">
        <v>0</v>
      </c>
      <c r="AF130" s="10">
        <v>0</v>
      </c>
      <c r="AG130" s="10">
        <v>0</v>
      </c>
      <c r="AH130" s="10">
        <v>0</v>
      </c>
      <c r="AI130" s="10">
        <v>0</v>
      </c>
      <c r="AJ130" s="10">
        <v>0</v>
      </c>
      <c r="AK130" s="10">
        <v>0</v>
      </c>
      <c r="AL130" s="10">
        <v>0</v>
      </c>
      <c r="AM130" s="10">
        <v>0</v>
      </c>
      <c r="AN130" s="10">
        <v>0</v>
      </c>
      <c r="AO130" s="10">
        <v>0</v>
      </c>
      <c r="AP130" s="10">
        <v>0</v>
      </c>
      <c r="AQ130" s="26">
        <f t="shared" si="5"/>
        <v>0</v>
      </c>
    </row>
    <row r="131" spans="1:43" ht="17.25" customHeight="1" x14ac:dyDescent="0.45">
      <c r="A131" s="2" t="s">
        <v>10</v>
      </c>
      <c r="B131" s="2" t="s">
        <v>66</v>
      </c>
      <c r="C131" s="2" t="s">
        <v>134</v>
      </c>
      <c r="D131" s="2" t="s">
        <v>68</v>
      </c>
      <c r="E131" s="23">
        <v>231</v>
      </c>
      <c r="F131" s="1">
        <v>210</v>
      </c>
      <c r="G131" s="1">
        <v>252</v>
      </c>
      <c r="H131" s="1">
        <v>213</v>
      </c>
      <c r="I131" s="1">
        <v>163</v>
      </c>
      <c r="J131" s="1">
        <v>173</v>
      </c>
      <c r="K131" s="1">
        <v>187</v>
      </c>
      <c r="L131" s="1">
        <v>187</v>
      </c>
      <c r="M131" s="1">
        <v>117</v>
      </c>
      <c r="N131" s="1">
        <v>116</v>
      </c>
      <c r="O131" s="1">
        <v>182</v>
      </c>
      <c r="P131" s="1">
        <v>226</v>
      </c>
      <c r="Q131" s="24">
        <f t="shared" si="3"/>
        <v>2257</v>
      </c>
      <c r="R131" s="23">
        <v>38753</v>
      </c>
      <c r="S131" s="1">
        <v>33168</v>
      </c>
      <c r="T131" s="1">
        <v>42005</v>
      </c>
      <c r="U131" s="1">
        <v>34326</v>
      </c>
      <c r="V131" s="1">
        <v>28792</v>
      </c>
      <c r="W131" s="1">
        <v>28516</v>
      </c>
      <c r="X131" s="1">
        <v>31518</v>
      </c>
      <c r="Y131" s="1">
        <v>34031</v>
      </c>
      <c r="Z131" s="1">
        <v>20445</v>
      </c>
      <c r="AA131" s="1">
        <v>18866</v>
      </c>
      <c r="AB131" s="1">
        <v>25592</v>
      </c>
      <c r="AC131" s="1">
        <v>31677</v>
      </c>
      <c r="AD131" s="24">
        <f t="shared" si="4"/>
        <v>367689</v>
      </c>
      <c r="AE131" s="23">
        <v>88629.345212320026</v>
      </c>
      <c r="AF131" s="1">
        <v>70604.493712470023</v>
      </c>
      <c r="AG131" s="1">
        <v>44989.529393220015</v>
      </c>
      <c r="AH131" s="1">
        <v>35631.307763900004</v>
      </c>
      <c r="AI131" s="1">
        <v>35569.067579819995</v>
      </c>
      <c r="AJ131" s="1">
        <v>30525.240889460001</v>
      </c>
      <c r="AK131" s="1">
        <v>24171.39595871</v>
      </c>
      <c r="AL131" s="1">
        <v>34144.756735820003</v>
      </c>
      <c r="AM131" s="1">
        <v>44256</v>
      </c>
      <c r="AN131" s="1">
        <v>23184</v>
      </c>
      <c r="AO131" s="1">
        <v>38177.676056420001</v>
      </c>
      <c r="AP131" s="1">
        <v>48331.663253680003</v>
      </c>
      <c r="AQ131" s="24">
        <f t="shared" si="5"/>
        <v>518214.47655582015</v>
      </c>
    </row>
    <row r="132" spans="1:43" ht="17.25" customHeight="1" x14ac:dyDescent="0.45">
      <c r="A132" s="12" t="s">
        <v>10</v>
      </c>
      <c r="B132" s="12" t="s">
        <v>66</v>
      </c>
      <c r="C132" s="12" t="s">
        <v>135</v>
      </c>
      <c r="D132" s="12" t="s">
        <v>68</v>
      </c>
      <c r="E132" s="25">
        <v>165</v>
      </c>
      <c r="F132" s="10">
        <v>130</v>
      </c>
      <c r="G132" s="10">
        <v>131</v>
      </c>
      <c r="H132" s="10">
        <v>79</v>
      </c>
      <c r="I132" s="10">
        <v>89</v>
      </c>
      <c r="J132" s="10">
        <v>119</v>
      </c>
      <c r="K132" s="10">
        <v>123</v>
      </c>
      <c r="L132" s="10">
        <v>112</v>
      </c>
      <c r="M132" s="10">
        <v>82</v>
      </c>
      <c r="N132" s="10">
        <v>86</v>
      </c>
      <c r="O132" s="10">
        <v>122</v>
      </c>
      <c r="P132" s="10">
        <v>142</v>
      </c>
      <c r="Q132" s="26">
        <f t="shared" si="3"/>
        <v>1380</v>
      </c>
      <c r="R132" s="25">
        <v>18116</v>
      </c>
      <c r="S132" s="10">
        <v>14134</v>
      </c>
      <c r="T132" s="10">
        <v>18148</v>
      </c>
      <c r="U132" s="10">
        <v>11865</v>
      </c>
      <c r="V132" s="10">
        <v>10955</v>
      </c>
      <c r="W132" s="10">
        <v>16138</v>
      </c>
      <c r="X132" s="10">
        <v>17508</v>
      </c>
      <c r="Y132" s="10">
        <v>15033</v>
      </c>
      <c r="Z132" s="10">
        <v>10845</v>
      </c>
      <c r="AA132" s="10">
        <v>10971</v>
      </c>
      <c r="AB132" s="10">
        <v>13174</v>
      </c>
      <c r="AC132" s="10">
        <v>16152</v>
      </c>
      <c r="AD132" s="26">
        <f t="shared" si="4"/>
        <v>173039</v>
      </c>
      <c r="AE132" s="25">
        <v>0</v>
      </c>
      <c r="AF132" s="10">
        <v>0</v>
      </c>
      <c r="AG132" s="10">
        <v>0</v>
      </c>
      <c r="AH132" s="10">
        <v>0</v>
      </c>
      <c r="AI132" s="10">
        <v>0</v>
      </c>
      <c r="AJ132" s="10">
        <v>0</v>
      </c>
      <c r="AK132" s="10">
        <v>0</v>
      </c>
      <c r="AL132" s="10">
        <v>0</v>
      </c>
      <c r="AM132" s="10">
        <v>0</v>
      </c>
      <c r="AN132" s="10">
        <v>0</v>
      </c>
      <c r="AO132" s="10">
        <v>0</v>
      </c>
      <c r="AP132" s="10">
        <v>0</v>
      </c>
      <c r="AQ132" s="26">
        <f t="shared" si="5"/>
        <v>0</v>
      </c>
    </row>
    <row r="133" spans="1:43" ht="17.25" customHeight="1" x14ac:dyDescent="0.45">
      <c r="A133" s="2" t="s">
        <v>10</v>
      </c>
      <c r="B133" s="2" t="s">
        <v>66</v>
      </c>
      <c r="C133" s="2" t="s">
        <v>136</v>
      </c>
      <c r="D133" s="2" t="s">
        <v>65</v>
      </c>
      <c r="E133" s="23">
        <v>50</v>
      </c>
      <c r="F133" s="1">
        <v>47</v>
      </c>
      <c r="G133" s="1">
        <v>56</v>
      </c>
      <c r="H133" s="1">
        <v>39</v>
      </c>
      <c r="I133" s="1">
        <v>5</v>
      </c>
      <c r="J133" s="1">
        <v>1</v>
      </c>
      <c r="K133" s="1">
        <v>0</v>
      </c>
      <c r="L133" s="1">
        <v>0</v>
      </c>
      <c r="M133" s="1">
        <v>0</v>
      </c>
      <c r="N133" s="1">
        <v>2</v>
      </c>
      <c r="O133" s="1">
        <v>24</v>
      </c>
      <c r="P133" s="1">
        <v>42</v>
      </c>
      <c r="Q133" s="24">
        <f t="shared" si="3"/>
        <v>266</v>
      </c>
      <c r="R133" s="23">
        <v>8243</v>
      </c>
      <c r="S133" s="1">
        <v>7746</v>
      </c>
      <c r="T133" s="1">
        <v>9004</v>
      </c>
      <c r="U133" s="1">
        <v>6119</v>
      </c>
      <c r="V133" s="1">
        <v>769</v>
      </c>
      <c r="W133" s="1">
        <v>109</v>
      </c>
      <c r="X133" s="1">
        <v>0</v>
      </c>
      <c r="Y133" s="1">
        <v>0</v>
      </c>
      <c r="Z133" s="1">
        <v>0</v>
      </c>
      <c r="AA133" s="1">
        <v>50</v>
      </c>
      <c r="AB133" s="1">
        <v>3319</v>
      </c>
      <c r="AC133" s="1">
        <v>6183</v>
      </c>
      <c r="AD133" s="24">
        <f t="shared" si="4"/>
        <v>41542</v>
      </c>
      <c r="AE133" s="23">
        <v>0</v>
      </c>
      <c r="AF133" s="1">
        <v>0</v>
      </c>
      <c r="AG133" s="1">
        <v>0</v>
      </c>
      <c r="AH133" s="1">
        <v>0</v>
      </c>
      <c r="AI133" s="1">
        <v>0</v>
      </c>
      <c r="AJ133" s="1">
        <v>0</v>
      </c>
      <c r="AK133" s="1">
        <v>0</v>
      </c>
      <c r="AL133" s="1">
        <v>0</v>
      </c>
      <c r="AM133" s="1">
        <v>0</v>
      </c>
      <c r="AN133" s="1">
        <v>0</v>
      </c>
      <c r="AO133" s="1">
        <v>0</v>
      </c>
      <c r="AP133" s="1">
        <v>0</v>
      </c>
      <c r="AQ133" s="24">
        <f t="shared" si="5"/>
        <v>0</v>
      </c>
    </row>
    <row r="134" spans="1:43" ht="17.25" customHeight="1" x14ac:dyDescent="0.45">
      <c r="A134" s="12" t="s">
        <v>10</v>
      </c>
      <c r="B134" s="12" t="s">
        <v>66</v>
      </c>
      <c r="C134" s="12" t="s">
        <v>137</v>
      </c>
      <c r="D134" s="12" t="s">
        <v>138</v>
      </c>
      <c r="E134" s="25">
        <v>195</v>
      </c>
      <c r="F134" s="10">
        <v>199</v>
      </c>
      <c r="G134" s="10">
        <v>214</v>
      </c>
      <c r="H134" s="10">
        <v>195</v>
      </c>
      <c r="I134" s="10">
        <v>208</v>
      </c>
      <c r="J134" s="10">
        <v>200</v>
      </c>
      <c r="K134" s="10">
        <v>189</v>
      </c>
      <c r="L134" s="10">
        <v>189</v>
      </c>
      <c r="M134" s="10">
        <v>192</v>
      </c>
      <c r="N134" s="10">
        <v>179</v>
      </c>
      <c r="O134" s="10">
        <v>170</v>
      </c>
      <c r="P134" s="10">
        <v>177</v>
      </c>
      <c r="Q134" s="26">
        <f t="shared" si="3"/>
        <v>2307</v>
      </c>
      <c r="R134" s="25">
        <v>28112</v>
      </c>
      <c r="S134" s="10">
        <v>27872</v>
      </c>
      <c r="T134" s="10">
        <v>26711</v>
      </c>
      <c r="U134" s="10">
        <v>23765</v>
      </c>
      <c r="V134" s="10">
        <v>24632</v>
      </c>
      <c r="W134" s="10">
        <v>24969</v>
      </c>
      <c r="X134" s="10">
        <v>24157</v>
      </c>
      <c r="Y134" s="10">
        <v>22237</v>
      </c>
      <c r="Z134" s="10">
        <v>24432</v>
      </c>
      <c r="AA134" s="10">
        <v>24255</v>
      </c>
      <c r="AB134" s="10">
        <v>25045</v>
      </c>
      <c r="AC134" s="10">
        <v>24736</v>
      </c>
      <c r="AD134" s="26">
        <f t="shared" si="4"/>
        <v>300923</v>
      </c>
      <c r="AE134" s="25">
        <v>0</v>
      </c>
      <c r="AF134" s="10">
        <v>0</v>
      </c>
      <c r="AG134" s="10">
        <v>4732</v>
      </c>
      <c r="AH134" s="10">
        <v>3711</v>
      </c>
      <c r="AI134" s="10">
        <v>11918</v>
      </c>
      <c r="AJ134" s="10">
        <v>0</v>
      </c>
      <c r="AK134" s="10">
        <v>1178</v>
      </c>
      <c r="AL134" s="10">
        <v>9307</v>
      </c>
      <c r="AM134" s="10">
        <v>838</v>
      </c>
      <c r="AN134" s="10">
        <v>11553</v>
      </c>
      <c r="AO134" s="10">
        <v>14750</v>
      </c>
      <c r="AP134" s="10">
        <v>6253</v>
      </c>
      <c r="AQ134" s="26">
        <f t="shared" si="5"/>
        <v>64240</v>
      </c>
    </row>
    <row r="135" spans="1:43" ht="17.25" customHeight="1" x14ac:dyDescent="0.45">
      <c r="A135" s="2" t="s">
        <v>10</v>
      </c>
      <c r="B135" s="2" t="s">
        <v>66</v>
      </c>
      <c r="C135" s="2" t="s">
        <v>139</v>
      </c>
      <c r="D135" s="2" t="s">
        <v>140</v>
      </c>
      <c r="E135" s="23">
        <v>45</v>
      </c>
      <c r="F135" s="1">
        <v>42</v>
      </c>
      <c r="G135" s="1">
        <v>40</v>
      </c>
      <c r="H135" s="1">
        <v>29</v>
      </c>
      <c r="I135" s="1">
        <v>24</v>
      </c>
      <c r="J135" s="1">
        <v>13</v>
      </c>
      <c r="K135" s="1">
        <v>26</v>
      </c>
      <c r="L135" s="1">
        <v>26</v>
      </c>
      <c r="M135" s="1">
        <v>4</v>
      </c>
      <c r="N135" s="1">
        <v>16</v>
      </c>
      <c r="O135" s="1">
        <v>25</v>
      </c>
      <c r="P135" s="1">
        <v>30</v>
      </c>
      <c r="Q135" s="24">
        <f t="shared" si="3"/>
        <v>320</v>
      </c>
      <c r="R135" s="23">
        <v>17217</v>
      </c>
      <c r="S135" s="1">
        <v>16464</v>
      </c>
      <c r="T135" s="1">
        <v>16499</v>
      </c>
      <c r="U135" s="1">
        <v>11254</v>
      </c>
      <c r="V135" s="1">
        <v>9777</v>
      </c>
      <c r="W135" s="1">
        <v>5289</v>
      </c>
      <c r="X135" s="1">
        <v>7672</v>
      </c>
      <c r="Y135" s="1">
        <v>9524</v>
      </c>
      <c r="Z135" s="1">
        <v>1860</v>
      </c>
      <c r="AA135" s="1">
        <v>4037</v>
      </c>
      <c r="AB135" s="1">
        <v>9326</v>
      </c>
      <c r="AC135" s="1">
        <v>11072</v>
      </c>
      <c r="AD135" s="24">
        <f t="shared" si="4"/>
        <v>119991</v>
      </c>
      <c r="AE135" s="23">
        <v>25404</v>
      </c>
      <c r="AF135" s="1">
        <v>50039</v>
      </c>
      <c r="AG135" s="1">
        <v>40357</v>
      </c>
      <c r="AH135" s="1">
        <v>35421</v>
      </c>
      <c r="AI135" s="1">
        <v>25125</v>
      </c>
      <c r="AJ135" s="1">
        <v>70294</v>
      </c>
      <c r="AK135" s="1">
        <v>48754</v>
      </c>
      <c r="AL135" s="1">
        <v>16117</v>
      </c>
      <c r="AM135" s="1">
        <v>4244</v>
      </c>
      <c r="AN135" s="1">
        <v>4398</v>
      </c>
      <c r="AO135" s="1">
        <v>19829</v>
      </c>
      <c r="AP135" s="1">
        <v>38436</v>
      </c>
      <c r="AQ135" s="24">
        <f t="shared" si="5"/>
        <v>378418</v>
      </c>
    </row>
    <row r="136" spans="1:43" ht="17.25" customHeight="1" x14ac:dyDescent="0.45">
      <c r="A136" s="12" t="s">
        <v>10</v>
      </c>
      <c r="B136" s="12" t="s">
        <v>66</v>
      </c>
      <c r="C136" s="12" t="s">
        <v>141</v>
      </c>
      <c r="D136" s="12" t="s">
        <v>68</v>
      </c>
      <c r="E136" s="25">
        <v>152</v>
      </c>
      <c r="F136" s="10">
        <v>143</v>
      </c>
      <c r="G136" s="10">
        <v>153</v>
      </c>
      <c r="H136" s="10">
        <v>117</v>
      </c>
      <c r="I136" s="10">
        <v>114</v>
      </c>
      <c r="J136" s="10">
        <v>107</v>
      </c>
      <c r="K136" s="10">
        <v>109</v>
      </c>
      <c r="L136" s="10">
        <v>88</v>
      </c>
      <c r="M136" s="10">
        <v>47</v>
      </c>
      <c r="N136" s="10">
        <v>62</v>
      </c>
      <c r="O136" s="10">
        <v>83</v>
      </c>
      <c r="P136" s="10">
        <v>114</v>
      </c>
      <c r="Q136" s="26">
        <f t="shared" ref="Q136:Q199" si="6">SUM(E136:P136)</f>
        <v>1289</v>
      </c>
      <c r="R136" s="25">
        <v>22329</v>
      </c>
      <c r="S136" s="10">
        <v>21290</v>
      </c>
      <c r="T136" s="10">
        <v>25790</v>
      </c>
      <c r="U136" s="10">
        <v>20303</v>
      </c>
      <c r="V136" s="10">
        <v>18832</v>
      </c>
      <c r="W136" s="10">
        <v>18945</v>
      </c>
      <c r="X136" s="10">
        <v>19952</v>
      </c>
      <c r="Y136" s="10">
        <v>16540</v>
      </c>
      <c r="Z136" s="10">
        <v>7505</v>
      </c>
      <c r="AA136" s="10">
        <v>10065</v>
      </c>
      <c r="AB136" s="10">
        <v>12469</v>
      </c>
      <c r="AC136" s="10">
        <v>17894</v>
      </c>
      <c r="AD136" s="26">
        <f t="shared" ref="AD136:AD199" si="7">SUM(R136:AC136)</f>
        <v>211914</v>
      </c>
      <c r="AE136" s="25">
        <v>1421.10489521</v>
      </c>
      <c r="AF136" s="10">
        <v>259.90842801000002</v>
      </c>
      <c r="AG136" s="10">
        <v>680.388555</v>
      </c>
      <c r="AH136" s="10">
        <v>3074.9026754799997</v>
      </c>
      <c r="AI136" s="10">
        <v>4076.8882215599997</v>
      </c>
      <c r="AJ136" s="10">
        <v>2125.0802534500003</v>
      </c>
      <c r="AK136" s="10">
        <v>647.27631199000007</v>
      </c>
      <c r="AL136" s="10">
        <v>1542.66765037</v>
      </c>
      <c r="AM136" s="10">
        <v>3345.6973211200002</v>
      </c>
      <c r="AN136" s="10">
        <v>1345.8085617900001</v>
      </c>
      <c r="AO136" s="10">
        <v>3350.2332448200004</v>
      </c>
      <c r="AP136" s="10">
        <v>3501.2795040300002</v>
      </c>
      <c r="AQ136" s="26">
        <f t="shared" ref="AQ136:AQ199" si="8">SUM(AE136:AP136)</f>
        <v>25371.235622829998</v>
      </c>
    </row>
    <row r="137" spans="1:43" ht="17.25" customHeight="1" x14ac:dyDescent="0.45">
      <c r="A137" s="2" t="s">
        <v>10</v>
      </c>
      <c r="B137" s="2" t="s">
        <v>66</v>
      </c>
      <c r="C137" s="2" t="s">
        <v>142</v>
      </c>
      <c r="D137" s="2" t="s">
        <v>68</v>
      </c>
      <c r="E137" s="23">
        <v>62</v>
      </c>
      <c r="F137" s="1">
        <v>58</v>
      </c>
      <c r="G137" s="1">
        <v>62</v>
      </c>
      <c r="H137" s="1">
        <v>60</v>
      </c>
      <c r="I137" s="1">
        <v>62</v>
      </c>
      <c r="J137" s="1">
        <v>64</v>
      </c>
      <c r="K137" s="1">
        <v>65</v>
      </c>
      <c r="L137" s="1">
        <v>35</v>
      </c>
      <c r="M137" s="1">
        <v>30</v>
      </c>
      <c r="N137" s="1">
        <v>39</v>
      </c>
      <c r="O137" s="1">
        <v>77</v>
      </c>
      <c r="P137" s="1">
        <v>87</v>
      </c>
      <c r="Q137" s="24">
        <f t="shared" si="6"/>
        <v>701</v>
      </c>
      <c r="R137" s="23">
        <v>9268</v>
      </c>
      <c r="S137" s="1">
        <v>8842</v>
      </c>
      <c r="T137" s="1">
        <v>10791</v>
      </c>
      <c r="U137" s="1">
        <v>9582</v>
      </c>
      <c r="V137" s="1">
        <v>9128</v>
      </c>
      <c r="W137" s="1">
        <v>10877</v>
      </c>
      <c r="X137" s="1">
        <v>10819</v>
      </c>
      <c r="Y137" s="1">
        <v>6366</v>
      </c>
      <c r="Z137" s="1">
        <v>5351</v>
      </c>
      <c r="AA137" s="1">
        <v>6815</v>
      </c>
      <c r="AB137" s="1">
        <v>9565</v>
      </c>
      <c r="AC137" s="1">
        <v>11410</v>
      </c>
      <c r="AD137" s="24">
        <f t="shared" si="7"/>
        <v>108814</v>
      </c>
      <c r="AE137" s="23">
        <v>0.90718474000000004</v>
      </c>
      <c r="AF137" s="1">
        <v>34.019427750000006</v>
      </c>
      <c r="AG137" s="1">
        <v>42.184090410000003</v>
      </c>
      <c r="AH137" s="1">
        <v>0</v>
      </c>
      <c r="AI137" s="1">
        <v>0</v>
      </c>
      <c r="AJ137" s="1">
        <v>33.11224301</v>
      </c>
      <c r="AK137" s="1">
        <v>1.8143694800000001</v>
      </c>
      <c r="AL137" s="1">
        <v>0</v>
      </c>
      <c r="AM137" s="1">
        <v>0</v>
      </c>
      <c r="AN137" s="1">
        <v>24.947580349999999</v>
      </c>
      <c r="AO137" s="1">
        <v>4.9895160700000005</v>
      </c>
      <c r="AP137" s="1">
        <v>9.979032140000001</v>
      </c>
      <c r="AQ137" s="24">
        <f t="shared" si="8"/>
        <v>151.95344395000001</v>
      </c>
    </row>
    <row r="138" spans="1:43" ht="17.25" customHeight="1" x14ac:dyDescent="0.45">
      <c r="A138" s="12" t="s">
        <v>10</v>
      </c>
      <c r="B138" s="12" t="s">
        <v>66</v>
      </c>
      <c r="C138" s="12" t="s">
        <v>216</v>
      </c>
      <c r="D138" s="12" t="s">
        <v>68</v>
      </c>
      <c r="E138" s="25">
        <v>0</v>
      </c>
      <c r="F138" s="10">
        <v>0</v>
      </c>
      <c r="G138" s="10">
        <v>4</v>
      </c>
      <c r="H138" s="10">
        <v>1</v>
      </c>
      <c r="I138" s="10">
        <v>0</v>
      </c>
      <c r="J138" s="10">
        <v>4</v>
      </c>
      <c r="K138" s="10">
        <v>4</v>
      </c>
      <c r="L138" s="10">
        <v>1</v>
      </c>
      <c r="M138" s="10">
        <v>0</v>
      </c>
      <c r="N138" s="10">
        <v>0</v>
      </c>
      <c r="O138" s="10">
        <v>0</v>
      </c>
      <c r="P138" s="10">
        <v>0</v>
      </c>
      <c r="Q138" s="26">
        <f t="shared" si="6"/>
        <v>14</v>
      </c>
      <c r="R138" s="25">
        <v>0</v>
      </c>
      <c r="S138" s="10">
        <v>0</v>
      </c>
      <c r="T138" s="10">
        <v>537</v>
      </c>
      <c r="U138" s="10">
        <v>170</v>
      </c>
      <c r="V138" s="10">
        <v>0</v>
      </c>
      <c r="W138" s="10">
        <v>532</v>
      </c>
      <c r="X138" s="10">
        <v>656</v>
      </c>
      <c r="Y138" s="10">
        <v>157</v>
      </c>
      <c r="Z138" s="10">
        <v>0</v>
      </c>
      <c r="AA138" s="10">
        <v>0</v>
      </c>
      <c r="AB138" s="10">
        <v>0</v>
      </c>
      <c r="AC138" s="10">
        <v>0</v>
      </c>
      <c r="AD138" s="26">
        <f t="shared" si="7"/>
        <v>2052</v>
      </c>
      <c r="AE138" s="25">
        <v>0</v>
      </c>
      <c r="AF138" s="10">
        <v>0</v>
      </c>
      <c r="AG138" s="10">
        <v>0</v>
      </c>
      <c r="AH138" s="10">
        <v>0</v>
      </c>
      <c r="AI138" s="10">
        <v>0</v>
      </c>
      <c r="AJ138" s="10">
        <v>0</v>
      </c>
      <c r="AK138" s="10">
        <v>0</v>
      </c>
      <c r="AL138" s="10">
        <v>0</v>
      </c>
      <c r="AM138" s="10">
        <v>0</v>
      </c>
      <c r="AN138" s="10">
        <v>0</v>
      </c>
      <c r="AO138" s="10">
        <v>0</v>
      </c>
      <c r="AP138" s="10">
        <v>0</v>
      </c>
      <c r="AQ138" s="26">
        <f t="shared" si="8"/>
        <v>0</v>
      </c>
    </row>
    <row r="139" spans="1:43" ht="17.25" customHeight="1" x14ac:dyDescent="0.45">
      <c r="A139" s="2" t="s">
        <v>10</v>
      </c>
      <c r="B139" s="2" t="s">
        <v>66</v>
      </c>
      <c r="C139" s="2" t="s">
        <v>143</v>
      </c>
      <c r="D139" s="2" t="s">
        <v>68</v>
      </c>
      <c r="E139" s="23">
        <v>3</v>
      </c>
      <c r="F139" s="1">
        <v>4</v>
      </c>
      <c r="G139" s="1">
        <v>5</v>
      </c>
      <c r="H139" s="1">
        <v>2</v>
      </c>
      <c r="I139" s="1">
        <v>0</v>
      </c>
      <c r="J139" s="1">
        <v>0</v>
      </c>
      <c r="K139" s="1">
        <v>0</v>
      </c>
      <c r="L139" s="1">
        <v>0</v>
      </c>
      <c r="M139" s="1">
        <v>0</v>
      </c>
      <c r="N139" s="1">
        <v>0</v>
      </c>
      <c r="O139" s="1">
        <v>1</v>
      </c>
      <c r="P139" s="1">
        <v>5</v>
      </c>
      <c r="Q139" s="24">
        <f t="shared" si="6"/>
        <v>20</v>
      </c>
      <c r="R139" s="23">
        <v>444</v>
      </c>
      <c r="S139" s="1">
        <v>560</v>
      </c>
      <c r="T139" s="1">
        <v>659</v>
      </c>
      <c r="U139" s="1">
        <v>319</v>
      </c>
      <c r="V139" s="1">
        <v>0</v>
      </c>
      <c r="W139" s="1">
        <v>0</v>
      </c>
      <c r="X139" s="1">
        <v>0</v>
      </c>
      <c r="Y139" s="1">
        <v>0</v>
      </c>
      <c r="Z139" s="1">
        <v>0</v>
      </c>
      <c r="AA139" s="1">
        <v>0</v>
      </c>
      <c r="AB139" s="1">
        <v>64</v>
      </c>
      <c r="AC139" s="1">
        <v>803</v>
      </c>
      <c r="AD139" s="24">
        <f t="shared" si="7"/>
        <v>2849</v>
      </c>
      <c r="AE139" s="23">
        <v>16</v>
      </c>
      <c r="AF139" s="1">
        <v>23</v>
      </c>
      <c r="AG139" s="1">
        <v>0</v>
      </c>
      <c r="AH139" s="1">
        <v>0</v>
      </c>
      <c r="AI139" s="1">
        <v>0</v>
      </c>
      <c r="AJ139" s="1">
        <v>0</v>
      </c>
      <c r="AK139" s="1">
        <v>0</v>
      </c>
      <c r="AL139" s="1">
        <v>0</v>
      </c>
      <c r="AM139" s="1">
        <v>0</v>
      </c>
      <c r="AN139" s="1">
        <v>0</v>
      </c>
      <c r="AO139" s="1">
        <v>0</v>
      </c>
      <c r="AP139" s="1">
        <v>0</v>
      </c>
      <c r="AQ139" s="24">
        <f t="shared" si="8"/>
        <v>39</v>
      </c>
    </row>
    <row r="140" spans="1:43" ht="17.25" customHeight="1" x14ac:dyDescent="0.45">
      <c r="A140" s="12" t="s">
        <v>10</v>
      </c>
      <c r="B140" s="12" t="s">
        <v>66</v>
      </c>
      <c r="C140" s="12" t="s">
        <v>271</v>
      </c>
      <c r="D140" s="12" t="s">
        <v>159</v>
      </c>
      <c r="E140" s="25">
        <v>0</v>
      </c>
      <c r="F140" s="10">
        <v>0</v>
      </c>
      <c r="G140" s="10">
        <v>0</v>
      </c>
      <c r="H140" s="10">
        <v>0</v>
      </c>
      <c r="I140" s="10">
        <v>0</v>
      </c>
      <c r="J140" s="10">
        <v>0</v>
      </c>
      <c r="K140" s="10">
        <v>0</v>
      </c>
      <c r="L140" s="10">
        <v>0</v>
      </c>
      <c r="M140" s="10">
        <v>0</v>
      </c>
      <c r="N140" s="10">
        <v>5</v>
      </c>
      <c r="O140" s="10">
        <v>30</v>
      </c>
      <c r="P140" s="10">
        <v>31</v>
      </c>
      <c r="Q140" s="26">
        <f t="shared" si="6"/>
        <v>66</v>
      </c>
      <c r="R140" s="25">
        <v>0</v>
      </c>
      <c r="S140" s="10">
        <v>0</v>
      </c>
      <c r="T140" s="10">
        <v>0</v>
      </c>
      <c r="U140" s="10">
        <v>0</v>
      </c>
      <c r="V140" s="10">
        <v>0</v>
      </c>
      <c r="W140" s="10">
        <v>0</v>
      </c>
      <c r="X140" s="10">
        <v>0</v>
      </c>
      <c r="Y140" s="10">
        <v>0</v>
      </c>
      <c r="Z140" s="10">
        <v>0</v>
      </c>
      <c r="AA140" s="10">
        <v>454</v>
      </c>
      <c r="AB140" s="10">
        <v>3142</v>
      </c>
      <c r="AC140" s="10">
        <v>3135</v>
      </c>
      <c r="AD140" s="26">
        <f t="shared" si="7"/>
        <v>6731</v>
      </c>
      <c r="AE140" s="25">
        <v>0</v>
      </c>
      <c r="AF140" s="10">
        <v>0</v>
      </c>
      <c r="AG140" s="10">
        <v>0</v>
      </c>
      <c r="AH140" s="10">
        <v>0</v>
      </c>
      <c r="AI140" s="10">
        <v>0</v>
      </c>
      <c r="AJ140" s="10">
        <v>0</v>
      </c>
      <c r="AK140" s="10">
        <v>0</v>
      </c>
      <c r="AL140" s="10">
        <v>0</v>
      </c>
      <c r="AM140" s="10">
        <v>0</v>
      </c>
      <c r="AN140" s="10">
        <v>0</v>
      </c>
      <c r="AO140" s="10">
        <v>0</v>
      </c>
      <c r="AP140" s="10">
        <v>0</v>
      </c>
      <c r="AQ140" s="26">
        <f t="shared" si="8"/>
        <v>0</v>
      </c>
    </row>
    <row r="141" spans="1:43" ht="17.25" customHeight="1" x14ac:dyDescent="0.45">
      <c r="A141" s="2" t="s">
        <v>10</v>
      </c>
      <c r="B141" s="2" t="s">
        <v>66</v>
      </c>
      <c r="C141" s="2" t="s">
        <v>144</v>
      </c>
      <c r="D141" s="2" t="s">
        <v>65</v>
      </c>
      <c r="E141" s="23">
        <v>35</v>
      </c>
      <c r="F141" s="1">
        <v>33</v>
      </c>
      <c r="G141" s="1">
        <v>36</v>
      </c>
      <c r="H141" s="1">
        <v>32</v>
      </c>
      <c r="I141" s="1">
        <v>12</v>
      </c>
      <c r="J141" s="1">
        <v>10</v>
      </c>
      <c r="K141" s="1">
        <v>8</v>
      </c>
      <c r="L141" s="1">
        <v>8</v>
      </c>
      <c r="M141" s="1">
        <v>10</v>
      </c>
      <c r="N141" s="1">
        <v>11</v>
      </c>
      <c r="O141" s="1">
        <v>42</v>
      </c>
      <c r="P141" s="1">
        <v>48</v>
      </c>
      <c r="Q141" s="24">
        <f t="shared" si="6"/>
        <v>285</v>
      </c>
      <c r="R141" s="23">
        <v>6163</v>
      </c>
      <c r="S141" s="1">
        <v>5651</v>
      </c>
      <c r="T141" s="1">
        <v>6584</v>
      </c>
      <c r="U141" s="1">
        <v>5849</v>
      </c>
      <c r="V141" s="1">
        <v>2075</v>
      </c>
      <c r="W141" s="1">
        <v>1634</v>
      </c>
      <c r="X141" s="1">
        <v>1378</v>
      </c>
      <c r="Y141" s="1">
        <v>1488</v>
      </c>
      <c r="Z141" s="1">
        <v>1466</v>
      </c>
      <c r="AA141" s="1">
        <v>1335</v>
      </c>
      <c r="AB141" s="1">
        <v>6074</v>
      </c>
      <c r="AC141" s="1">
        <v>7401</v>
      </c>
      <c r="AD141" s="24">
        <f t="shared" si="7"/>
        <v>47098</v>
      </c>
      <c r="AE141" s="23">
        <v>0</v>
      </c>
      <c r="AF141" s="1">
        <v>0</v>
      </c>
      <c r="AG141" s="1">
        <v>0</v>
      </c>
      <c r="AH141" s="1">
        <v>0</v>
      </c>
      <c r="AI141" s="1">
        <v>0</v>
      </c>
      <c r="AJ141" s="1">
        <v>0</v>
      </c>
      <c r="AK141" s="1">
        <v>0</v>
      </c>
      <c r="AL141" s="1">
        <v>0</v>
      </c>
      <c r="AM141" s="1">
        <v>0</v>
      </c>
      <c r="AN141" s="1">
        <v>0</v>
      </c>
      <c r="AO141" s="1">
        <v>0</v>
      </c>
      <c r="AP141" s="1">
        <v>0</v>
      </c>
      <c r="AQ141" s="24">
        <f t="shared" si="8"/>
        <v>0</v>
      </c>
    </row>
    <row r="142" spans="1:43" ht="17.25" customHeight="1" x14ac:dyDescent="0.45">
      <c r="A142" s="12" t="s">
        <v>10</v>
      </c>
      <c r="B142" s="12" t="s">
        <v>66</v>
      </c>
      <c r="C142" s="12" t="s">
        <v>198</v>
      </c>
      <c r="D142" s="12" t="s">
        <v>199</v>
      </c>
      <c r="E142" s="25">
        <v>4</v>
      </c>
      <c r="F142" s="10">
        <v>0</v>
      </c>
      <c r="G142" s="10">
        <v>0</v>
      </c>
      <c r="H142" s="10">
        <v>0</v>
      </c>
      <c r="I142" s="10">
        <v>0</v>
      </c>
      <c r="J142" s="10">
        <v>0</v>
      </c>
      <c r="K142" s="10">
        <v>0</v>
      </c>
      <c r="L142" s="10">
        <v>0</v>
      </c>
      <c r="M142" s="10">
        <v>0</v>
      </c>
      <c r="N142" s="10">
        <v>0</v>
      </c>
      <c r="O142" s="10">
        <v>0</v>
      </c>
      <c r="P142" s="10">
        <v>0</v>
      </c>
      <c r="Q142" s="26">
        <f t="shared" si="6"/>
        <v>4</v>
      </c>
      <c r="R142" s="25">
        <v>499</v>
      </c>
      <c r="S142" s="10">
        <v>0</v>
      </c>
      <c r="T142" s="10">
        <v>0</v>
      </c>
      <c r="U142" s="10">
        <v>0</v>
      </c>
      <c r="V142" s="10">
        <v>0</v>
      </c>
      <c r="W142" s="10">
        <v>0</v>
      </c>
      <c r="X142" s="10">
        <v>0</v>
      </c>
      <c r="Y142" s="10">
        <v>0</v>
      </c>
      <c r="Z142" s="10">
        <v>0</v>
      </c>
      <c r="AA142" s="10">
        <v>0</v>
      </c>
      <c r="AB142" s="10">
        <v>0</v>
      </c>
      <c r="AC142" s="10">
        <v>0</v>
      </c>
      <c r="AD142" s="26">
        <f t="shared" si="7"/>
        <v>499</v>
      </c>
      <c r="AE142" s="25">
        <v>0</v>
      </c>
      <c r="AF142" s="10">
        <v>0</v>
      </c>
      <c r="AG142" s="10">
        <v>0</v>
      </c>
      <c r="AH142" s="10">
        <v>0</v>
      </c>
      <c r="AI142" s="10">
        <v>0</v>
      </c>
      <c r="AJ142" s="10">
        <v>0</v>
      </c>
      <c r="AK142" s="10">
        <v>0</v>
      </c>
      <c r="AL142" s="10">
        <v>0</v>
      </c>
      <c r="AM142" s="10">
        <v>0</v>
      </c>
      <c r="AN142" s="10">
        <v>0</v>
      </c>
      <c r="AO142" s="10">
        <v>0</v>
      </c>
      <c r="AP142" s="10">
        <v>0</v>
      </c>
      <c r="AQ142" s="26">
        <f t="shared" si="8"/>
        <v>0</v>
      </c>
    </row>
    <row r="143" spans="1:43" ht="17.25" customHeight="1" x14ac:dyDescent="0.45">
      <c r="A143" s="2" t="s">
        <v>10</v>
      </c>
      <c r="B143" s="2" t="s">
        <v>66</v>
      </c>
      <c r="C143" s="2" t="s">
        <v>145</v>
      </c>
      <c r="D143" s="2" t="s">
        <v>68</v>
      </c>
      <c r="E143" s="23">
        <v>15</v>
      </c>
      <c r="F143" s="1">
        <v>12</v>
      </c>
      <c r="G143" s="1">
        <v>14</v>
      </c>
      <c r="H143" s="1">
        <v>9</v>
      </c>
      <c r="I143" s="1">
        <v>9</v>
      </c>
      <c r="J143" s="1">
        <v>7</v>
      </c>
      <c r="K143" s="1">
        <v>4</v>
      </c>
      <c r="L143" s="1">
        <v>4</v>
      </c>
      <c r="M143" s="1">
        <v>4</v>
      </c>
      <c r="N143" s="1">
        <v>4</v>
      </c>
      <c r="O143" s="1">
        <v>0</v>
      </c>
      <c r="P143" s="1">
        <v>2</v>
      </c>
      <c r="Q143" s="24">
        <f t="shared" si="6"/>
        <v>84</v>
      </c>
      <c r="R143" s="23">
        <v>1147</v>
      </c>
      <c r="S143" s="1">
        <v>926</v>
      </c>
      <c r="T143" s="1">
        <v>1455</v>
      </c>
      <c r="U143" s="1">
        <v>712</v>
      </c>
      <c r="V143" s="1">
        <v>940</v>
      </c>
      <c r="W143" s="1">
        <v>799</v>
      </c>
      <c r="X143" s="1">
        <v>613</v>
      </c>
      <c r="Y143" s="1">
        <v>487</v>
      </c>
      <c r="Z143" s="1">
        <v>346</v>
      </c>
      <c r="AA143" s="1">
        <v>460</v>
      </c>
      <c r="AB143" s="1">
        <v>0</v>
      </c>
      <c r="AC143" s="1">
        <v>262</v>
      </c>
      <c r="AD143" s="24">
        <f t="shared" si="7"/>
        <v>8147</v>
      </c>
      <c r="AE143" s="23">
        <v>0</v>
      </c>
      <c r="AF143" s="1">
        <v>0</v>
      </c>
      <c r="AG143" s="1">
        <v>0</v>
      </c>
      <c r="AH143" s="1">
        <v>0</v>
      </c>
      <c r="AI143" s="1">
        <v>0</v>
      </c>
      <c r="AJ143" s="1">
        <v>0</v>
      </c>
      <c r="AK143" s="1">
        <v>0</v>
      </c>
      <c r="AL143" s="1">
        <v>0</v>
      </c>
      <c r="AM143" s="1">
        <v>0</v>
      </c>
      <c r="AN143" s="1">
        <v>0</v>
      </c>
      <c r="AO143" s="1">
        <v>0</v>
      </c>
      <c r="AP143" s="1">
        <v>0</v>
      </c>
      <c r="AQ143" s="24">
        <f t="shared" si="8"/>
        <v>0</v>
      </c>
    </row>
    <row r="144" spans="1:43" ht="17.25" customHeight="1" x14ac:dyDescent="0.45">
      <c r="A144" s="12" t="s">
        <v>10</v>
      </c>
      <c r="B144" s="12" t="s">
        <v>66</v>
      </c>
      <c r="C144" s="12" t="s">
        <v>146</v>
      </c>
      <c r="D144" s="12" t="s">
        <v>65</v>
      </c>
      <c r="E144" s="25">
        <v>21</v>
      </c>
      <c r="F144" s="10">
        <v>20</v>
      </c>
      <c r="G144" s="10">
        <v>22</v>
      </c>
      <c r="H144" s="10">
        <v>13</v>
      </c>
      <c r="I144" s="10">
        <v>0</v>
      </c>
      <c r="J144" s="10">
        <v>0</v>
      </c>
      <c r="K144" s="10">
        <v>0</v>
      </c>
      <c r="L144" s="10">
        <v>0</v>
      </c>
      <c r="M144" s="10">
        <v>0</v>
      </c>
      <c r="N144" s="10">
        <v>1</v>
      </c>
      <c r="O144" s="10">
        <v>9</v>
      </c>
      <c r="P144" s="10">
        <v>21</v>
      </c>
      <c r="Q144" s="26">
        <f t="shared" si="6"/>
        <v>107</v>
      </c>
      <c r="R144" s="25">
        <v>3213</v>
      </c>
      <c r="S144" s="10">
        <v>3052</v>
      </c>
      <c r="T144" s="10">
        <v>2637</v>
      </c>
      <c r="U144" s="10">
        <v>1690</v>
      </c>
      <c r="V144" s="10">
        <v>0</v>
      </c>
      <c r="W144" s="10">
        <v>0</v>
      </c>
      <c r="X144" s="10">
        <v>0</v>
      </c>
      <c r="Y144" s="10">
        <v>0</v>
      </c>
      <c r="Z144" s="10">
        <v>0</v>
      </c>
      <c r="AA144" s="10">
        <v>32</v>
      </c>
      <c r="AB144" s="10">
        <v>1273</v>
      </c>
      <c r="AC144" s="10">
        <v>2878</v>
      </c>
      <c r="AD144" s="26">
        <f t="shared" si="7"/>
        <v>14775</v>
      </c>
      <c r="AE144" s="25">
        <v>0</v>
      </c>
      <c r="AF144" s="10">
        <v>0</v>
      </c>
      <c r="AG144" s="10">
        <v>0</v>
      </c>
      <c r="AH144" s="10">
        <v>0</v>
      </c>
      <c r="AI144" s="10">
        <v>0</v>
      </c>
      <c r="AJ144" s="10">
        <v>0</v>
      </c>
      <c r="AK144" s="10">
        <v>0</v>
      </c>
      <c r="AL144" s="10">
        <v>0</v>
      </c>
      <c r="AM144" s="10">
        <v>0</v>
      </c>
      <c r="AN144" s="10">
        <v>0</v>
      </c>
      <c r="AO144" s="10">
        <v>0</v>
      </c>
      <c r="AP144" s="10">
        <v>0</v>
      </c>
      <c r="AQ144" s="26">
        <f t="shared" si="8"/>
        <v>0</v>
      </c>
    </row>
    <row r="145" spans="1:43" ht="17.25" customHeight="1" x14ac:dyDescent="0.45">
      <c r="A145" s="2" t="s">
        <v>10</v>
      </c>
      <c r="B145" s="2" t="s">
        <v>66</v>
      </c>
      <c r="C145" s="2" t="s">
        <v>147</v>
      </c>
      <c r="D145" s="2" t="s">
        <v>128</v>
      </c>
      <c r="E145" s="23">
        <v>5</v>
      </c>
      <c r="F145" s="1">
        <v>4</v>
      </c>
      <c r="G145" s="1">
        <v>4</v>
      </c>
      <c r="H145" s="1">
        <v>5</v>
      </c>
      <c r="I145" s="1">
        <v>1</v>
      </c>
      <c r="J145" s="1">
        <v>5</v>
      </c>
      <c r="K145" s="1">
        <v>4</v>
      </c>
      <c r="L145" s="1">
        <v>4</v>
      </c>
      <c r="M145" s="1">
        <v>0</v>
      </c>
      <c r="N145" s="1">
        <v>0</v>
      </c>
      <c r="O145" s="1">
        <v>0</v>
      </c>
      <c r="P145" s="1">
        <v>6</v>
      </c>
      <c r="Q145" s="24">
        <f t="shared" si="6"/>
        <v>38</v>
      </c>
      <c r="R145" s="23">
        <v>667</v>
      </c>
      <c r="S145" s="1">
        <v>510</v>
      </c>
      <c r="T145" s="1">
        <v>606</v>
      </c>
      <c r="U145" s="1">
        <v>774</v>
      </c>
      <c r="V145" s="1">
        <v>142</v>
      </c>
      <c r="W145" s="1">
        <v>572</v>
      </c>
      <c r="X145" s="1">
        <v>663</v>
      </c>
      <c r="Y145" s="1">
        <v>657</v>
      </c>
      <c r="Z145" s="1">
        <v>0</v>
      </c>
      <c r="AA145" s="1">
        <v>0</v>
      </c>
      <c r="AB145" s="1">
        <v>0</v>
      </c>
      <c r="AC145" s="1">
        <v>1771</v>
      </c>
      <c r="AD145" s="24">
        <f t="shared" si="7"/>
        <v>6362</v>
      </c>
      <c r="AE145" s="23">
        <v>0</v>
      </c>
      <c r="AF145" s="1">
        <v>0</v>
      </c>
      <c r="AG145" s="1">
        <v>6658</v>
      </c>
      <c r="AH145" s="1">
        <v>2252</v>
      </c>
      <c r="AI145" s="1">
        <v>2266</v>
      </c>
      <c r="AJ145" s="1">
        <v>0</v>
      </c>
      <c r="AK145" s="1">
        <v>0</v>
      </c>
      <c r="AL145" s="1">
        <v>0</v>
      </c>
      <c r="AM145" s="1">
        <v>0</v>
      </c>
      <c r="AN145" s="1">
        <v>0</v>
      </c>
      <c r="AO145" s="1">
        <v>0</v>
      </c>
      <c r="AP145" s="1">
        <v>15459</v>
      </c>
      <c r="AQ145" s="24">
        <f t="shared" si="8"/>
        <v>26635</v>
      </c>
    </row>
    <row r="146" spans="1:43" ht="17.25" customHeight="1" x14ac:dyDescent="0.45">
      <c r="A146" s="12" t="s">
        <v>10</v>
      </c>
      <c r="B146" s="12" t="s">
        <v>66</v>
      </c>
      <c r="C146" s="12" t="s">
        <v>148</v>
      </c>
      <c r="D146" s="12" t="s">
        <v>68</v>
      </c>
      <c r="E146" s="25">
        <v>55</v>
      </c>
      <c r="F146" s="10">
        <v>48</v>
      </c>
      <c r="G146" s="10">
        <v>56</v>
      </c>
      <c r="H146" s="10">
        <v>38</v>
      </c>
      <c r="I146" s="10">
        <v>31</v>
      </c>
      <c r="J146" s="10">
        <v>30</v>
      </c>
      <c r="K146" s="10">
        <v>31</v>
      </c>
      <c r="L146" s="10">
        <v>27</v>
      </c>
      <c r="M146" s="10">
        <v>26</v>
      </c>
      <c r="N146" s="10">
        <v>26</v>
      </c>
      <c r="O146" s="10">
        <v>29</v>
      </c>
      <c r="P146" s="10">
        <v>44</v>
      </c>
      <c r="Q146" s="26">
        <f t="shared" si="6"/>
        <v>441</v>
      </c>
      <c r="R146" s="25">
        <v>9218</v>
      </c>
      <c r="S146" s="10">
        <v>8060</v>
      </c>
      <c r="T146" s="10">
        <v>9383</v>
      </c>
      <c r="U146" s="10">
        <v>6533</v>
      </c>
      <c r="V146" s="10">
        <v>5260</v>
      </c>
      <c r="W146" s="10">
        <v>5168</v>
      </c>
      <c r="X146" s="10">
        <v>5113</v>
      </c>
      <c r="Y146" s="10">
        <v>4734</v>
      </c>
      <c r="Z146" s="10">
        <v>4501</v>
      </c>
      <c r="AA146" s="10">
        <v>4438</v>
      </c>
      <c r="AB146" s="10">
        <v>4736</v>
      </c>
      <c r="AC146" s="10">
        <v>6928</v>
      </c>
      <c r="AD146" s="26">
        <f t="shared" si="7"/>
        <v>74072</v>
      </c>
      <c r="AE146" s="25">
        <v>0</v>
      </c>
      <c r="AF146" s="10">
        <v>0</v>
      </c>
      <c r="AG146" s="10">
        <v>0</v>
      </c>
      <c r="AH146" s="10">
        <v>0</v>
      </c>
      <c r="AI146" s="10">
        <v>0</v>
      </c>
      <c r="AJ146" s="10">
        <v>0</v>
      </c>
      <c r="AK146" s="10">
        <v>0</v>
      </c>
      <c r="AL146" s="10">
        <v>0</v>
      </c>
      <c r="AM146" s="10">
        <v>0</v>
      </c>
      <c r="AN146" s="10">
        <v>0</v>
      </c>
      <c r="AO146" s="10">
        <v>0</v>
      </c>
      <c r="AP146" s="10">
        <v>0</v>
      </c>
      <c r="AQ146" s="26">
        <f t="shared" si="8"/>
        <v>0</v>
      </c>
    </row>
    <row r="147" spans="1:43" ht="17.25" customHeight="1" x14ac:dyDescent="0.45">
      <c r="A147" s="2" t="s">
        <v>10</v>
      </c>
      <c r="B147" s="2" t="s">
        <v>66</v>
      </c>
      <c r="C147" s="2" t="s">
        <v>149</v>
      </c>
      <c r="D147" s="2" t="s">
        <v>68</v>
      </c>
      <c r="E147" s="23">
        <v>1</v>
      </c>
      <c r="F147" s="1">
        <v>0</v>
      </c>
      <c r="G147" s="1">
        <v>8</v>
      </c>
      <c r="H147" s="1">
        <v>5</v>
      </c>
      <c r="I147" s="1">
        <v>8</v>
      </c>
      <c r="J147" s="1">
        <v>45</v>
      </c>
      <c r="K147" s="1">
        <v>47</v>
      </c>
      <c r="L147" s="1">
        <v>8</v>
      </c>
      <c r="M147" s="1">
        <v>0</v>
      </c>
      <c r="N147" s="1">
        <v>4</v>
      </c>
      <c r="O147" s="1">
        <v>5</v>
      </c>
      <c r="P147" s="1">
        <v>4</v>
      </c>
      <c r="Q147" s="24">
        <f t="shared" si="6"/>
        <v>135</v>
      </c>
      <c r="R147" s="23">
        <v>132</v>
      </c>
      <c r="S147" s="1">
        <v>0</v>
      </c>
      <c r="T147" s="1">
        <v>888</v>
      </c>
      <c r="U147" s="1">
        <v>510</v>
      </c>
      <c r="V147" s="1">
        <v>920</v>
      </c>
      <c r="W147" s="1">
        <v>7030</v>
      </c>
      <c r="X147" s="1">
        <v>7657</v>
      </c>
      <c r="Y147" s="1">
        <v>1422</v>
      </c>
      <c r="Z147" s="1">
        <v>0</v>
      </c>
      <c r="AA147" s="1">
        <v>479</v>
      </c>
      <c r="AB147" s="1">
        <v>534</v>
      </c>
      <c r="AC147" s="1">
        <v>436</v>
      </c>
      <c r="AD147" s="24">
        <f t="shared" si="7"/>
        <v>20008</v>
      </c>
      <c r="AE147" s="23">
        <v>0</v>
      </c>
      <c r="AF147" s="1">
        <v>0</v>
      </c>
      <c r="AG147" s="1">
        <v>0</v>
      </c>
      <c r="AH147" s="1">
        <v>0</v>
      </c>
      <c r="AI147" s="1">
        <v>0</v>
      </c>
      <c r="AJ147" s="1">
        <v>0</v>
      </c>
      <c r="AK147" s="1">
        <v>0</v>
      </c>
      <c r="AL147" s="1">
        <v>0</v>
      </c>
      <c r="AM147" s="1">
        <v>0</v>
      </c>
      <c r="AN147" s="1">
        <v>0</v>
      </c>
      <c r="AO147" s="1">
        <v>0</v>
      </c>
      <c r="AP147" s="1">
        <v>0</v>
      </c>
      <c r="AQ147" s="24">
        <f t="shared" si="8"/>
        <v>0</v>
      </c>
    </row>
    <row r="148" spans="1:43" ht="17.25" customHeight="1" x14ac:dyDescent="0.45">
      <c r="A148" s="12" t="s">
        <v>10</v>
      </c>
      <c r="B148" s="12" t="s">
        <v>66</v>
      </c>
      <c r="C148" s="12" t="s">
        <v>150</v>
      </c>
      <c r="D148" s="12" t="s">
        <v>68</v>
      </c>
      <c r="E148" s="25">
        <v>7</v>
      </c>
      <c r="F148" s="10">
        <v>4</v>
      </c>
      <c r="G148" s="10">
        <v>5</v>
      </c>
      <c r="H148" s="10">
        <v>2</v>
      </c>
      <c r="I148" s="10">
        <v>0</v>
      </c>
      <c r="J148" s="10">
        <v>0</v>
      </c>
      <c r="K148" s="10">
        <v>0</v>
      </c>
      <c r="L148" s="10">
        <v>0</v>
      </c>
      <c r="M148" s="10">
        <v>0</v>
      </c>
      <c r="N148" s="10">
        <v>0</v>
      </c>
      <c r="O148" s="10">
        <v>0</v>
      </c>
      <c r="P148" s="10">
        <v>0</v>
      </c>
      <c r="Q148" s="26">
        <f t="shared" si="6"/>
        <v>18</v>
      </c>
      <c r="R148" s="25">
        <v>1089</v>
      </c>
      <c r="S148" s="10">
        <v>404</v>
      </c>
      <c r="T148" s="10">
        <v>546</v>
      </c>
      <c r="U148" s="10">
        <v>331</v>
      </c>
      <c r="V148" s="10">
        <v>0</v>
      </c>
      <c r="W148" s="10">
        <v>0</v>
      </c>
      <c r="X148" s="10">
        <v>0</v>
      </c>
      <c r="Y148" s="10">
        <v>0</v>
      </c>
      <c r="Z148" s="10">
        <v>0</v>
      </c>
      <c r="AA148" s="10">
        <v>0</v>
      </c>
      <c r="AB148" s="10">
        <v>0</v>
      </c>
      <c r="AC148" s="10">
        <v>0</v>
      </c>
      <c r="AD148" s="26">
        <f t="shared" si="7"/>
        <v>2370</v>
      </c>
      <c r="AE148" s="25">
        <v>12</v>
      </c>
      <c r="AF148" s="10">
        <v>27</v>
      </c>
      <c r="AG148" s="10">
        <v>0</v>
      </c>
      <c r="AH148" s="10">
        <v>0</v>
      </c>
      <c r="AI148" s="10">
        <v>0</v>
      </c>
      <c r="AJ148" s="10">
        <v>0</v>
      </c>
      <c r="AK148" s="10">
        <v>0</v>
      </c>
      <c r="AL148" s="10">
        <v>0</v>
      </c>
      <c r="AM148" s="10">
        <v>0</v>
      </c>
      <c r="AN148" s="10">
        <v>0</v>
      </c>
      <c r="AO148" s="10">
        <v>0</v>
      </c>
      <c r="AP148" s="10">
        <v>0</v>
      </c>
      <c r="AQ148" s="26">
        <f t="shared" si="8"/>
        <v>39</v>
      </c>
    </row>
    <row r="149" spans="1:43" ht="17.25" customHeight="1" x14ac:dyDescent="0.45">
      <c r="A149" s="2" t="s">
        <v>10</v>
      </c>
      <c r="B149" s="2" t="s">
        <v>66</v>
      </c>
      <c r="C149" s="2" t="s">
        <v>151</v>
      </c>
      <c r="D149" s="2" t="s">
        <v>68</v>
      </c>
      <c r="E149" s="23">
        <v>96</v>
      </c>
      <c r="F149" s="1">
        <v>87</v>
      </c>
      <c r="G149" s="1">
        <v>93</v>
      </c>
      <c r="H149" s="1">
        <v>77</v>
      </c>
      <c r="I149" s="1">
        <v>68</v>
      </c>
      <c r="J149" s="1">
        <v>75</v>
      </c>
      <c r="K149" s="1">
        <v>73</v>
      </c>
      <c r="L149" s="1">
        <v>60</v>
      </c>
      <c r="M149" s="1">
        <v>34</v>
      </c>
      <c r="N149" s="1">
        <v>40</v>
      </c>
      <c r="O149" s="1">
        <v>77</v>
      </c>
      <c r="P149" s="1">
        <v>105</v>
      </c>
      <c r="Q149" s="24">
        <f t="shared" si="6"/>
        <v>885</v>
      </c>
      <c r="R149" s="23">
        <v>15008</v>
      </c>
      <c r="S149" s="1">
        <v>12381</v>
      </c>
      <c r="T149" s="1">
        <v>13271</v>
      </c>
      <c r="U149" s="1">
        <v>12874</v>
      </c>
      <c r="V149" s="1">
        <v>11133</v>
      </c>
      <c r="W149" s="1">
        <v>12663</v>
      </c>
      <c r="X149" s="1">
        <v>11898</v>
      </c>
      <c r="Y149" s="1">
        <v>10059</v>
      </c>
      <c r="Z149" s="1">
        <v>5797</v>
      </c>
      <c r="AA149" s="1">
        <v>6096</v>
      </c>
      <c r="AB149" s="1">
        <v>11589</v>
      </c>
      <c r="AC149" s="1">
        <v>16131</v>
      </c>
      <c r="AD149" s="24">
        <f t="shared" si="7"/>
        <v>138900</v>
      </c>
      <c r="AE149" s="23">
        <v>381</v>
      </c>
      <c r="AF149" s="1">
        <v>500</v>
      </c>
      <c r="AG149" s="1">
        <v>1093</v>
      </c>
      <c r="AH149" s="1">
        <v>427</v>
      </c>
      <c r="AI149" s="1">
        <v>671</v>
      </c>
      <c r="AJ149" s="1">
        <v>364</v>
      </c>
      <c r="AK149" s="1">
        <v>52</v>
      </c>
      <c r="AL149" s="1">
        <v>1294</v>
      </c>
      <c r="AM149" s="1">
        <v>13</v>
      </c>
      <c r="AN149" s="1">
        <v>1052</v>
      </c>
      <c r="AO149" s="1">
        <v>2891</v>
      </c>
      <c r="AP149" s="1">
        <v>2050</v>
      </c>
      <c r="AQ149" s="24">
        <f t="shared" si="8"/>
        <v>10788</v>
      </c>
    </row>
    <row r="150" spans="1:43" ht="17.25" customHeight="1" x14ac:dyDescent="0.45">
      <c r="A150" s="12" t="s">
        <v>10</v>
      </c>
      <c r="B150" s="12" t="s">
        <v>66</v>
      </c>
      <c r="C150" s="12" t="s">
        <v>152</v>
      </c>
      <c r="D150" s="12" t="s">
        <v>153</v>
      </c>
      <c r="E150" s="25">
        <v>83</v>
      </c>
      <c r="F150" s="10">
        <v>64</v>
      </c>
      <c r="G150" s="10">
        <v>72</v>
      </c>
      <c r="H150" s="10">
        <v>64</v>
      </c>
      <c r="I150" s="10">
        <v>66</v>
      </c>
      <c r="J150" s="10">
        <v>65</v>
      </c>
      <c r="K150" s="10">
        <v>81</v>
      </c>
      <c r="L150" s="10">
        <v>83</v>
      </c>
      <c r="M150" s="10">
        <v>80</v>
      </c>
      <c r="N150" s="10">
        <v>84</v>
      </c>
      <c r="O150" s="10">
        <v>87</v>
      </c>
      <c r="P150" s="10">
        <v>92</v>
      </c>
      <c r="Q150" s="26">
        <f t="shared" si="6"/>
        <v>921</v>
      </c>
      <c r="R150" s="25">
        <v>12762</v>
      </c>
      <c r="S150" s="10">
        <v>8322</v>
      </c>
      <c r="T150" s="10">
        <v>8264</v>
      </c>
      <c r="U150" s="10">
        <v>7229</v>
      </c>
      <c r="V150" s="10">
        <v>6404</v>
      </c>
      <c r="W150" s="10">
        <v>5970</v>
      </c>
      <c r="X150" s="10">
        <v>9769</v>
      </c>
      <c r="Y150" s="10">
        <v>7518</v>
      </c>
      <c r="Z150" s="10">
        <v>7846</v>
      </c>
      <c r="AA150" s="10">
        <v>7012</v>
      </c>
      <c r="AB150" s="10">
        <v>9025</v>
      </c>
      <c r="AC150" s="10">
        <v>10827</v>
      </c>
      <c r="AD150" s="26">
        <f t="shared" si="7"/>
        <v>100948</v>
      </c>
      <c r="AE150" s="25">
        <v>0</v>
      </c>
      <c r="AF150" s="10">
        <v>1252</v>
      </c>
      <c r="AG150" s="10">
        <v>0</v>
      </c>
      <c r="AH150" s="10">
        <v>0</v>
      </c>
      <c r="AI150" s="10">
        <v>0</v>
      </c>
      <c r="AJ150" s="10">
        <v>0</v>
      </c>
      <c r="AK150" s="10">
        <v>0</v>
      </c>
      <c r="AL150" s="10">
        <v>0</v>
      </c>
      <c r="AM150" s="10">
        <v>259</v>
      </c>
      <c r="AN150" s="10">
        <v>126</v>
      </c>
      <c r="AO150" s="10">
        <v>175</v>
      </c>
      <c r="AP150" s="10">
        <v>147</v>
      </c>
      <c r="AQ150" s="26">
        <f t="shared" si="8"/>
        <v>1959</v>
      </c>
    </row>
    <row r="151" spans="1:43" ht="17.25" customHeight="1" x14ac:dyDescent="0.45">
      <c r="A151" s="2" t="s">
        <v>10</v>
      </c>
      <c r="B151" s="2" t="s">
        <v>66</v>
      </c>
      <c r="C151" s="2" t="s">
        <v>298</v>
      </c>
      <c r="D151" s="2" t="s">
        <v>299</v>
      </c>
      <c r="E151" s="23">
        <v>0</v>
      </c>
      <c r="F151" s="1">
        <v>0</v>
      </c>
      <c r="G151" s="1">
        <v>0</v>
      </c>
      <c r="H151" s="1">
        <v>0</v>
      </c>
      <c r="I151" s="1">
        <v>0</v>
      </c>
      <c r="J151" s="1">
        <v>5</v>
      </c>
      <c r="K151" s="1">
        <v>0</v>
      </c>
      <c r="L151" s="1">
        <v>0</v>
      </c>
      <c r="M151" s="1">
        <v>0</v>
      </c>
      <c r="N151" s="1">
        <v>2</v>
      </c>
      <c r="O151" s="1">
        <v>0</v>
      </c>
      <c r="P151" s="1">
        <v>13</v>
      </c>
      <c r="Q151" s="24">
        <f t="shared" si="6"/>
        <v>20</v>
      </c>
      <c r="R151" s="23">
        <v>0</v>
      </c>
      <c r="S151" s="1">
        <v>0</v>
      </c>
      <c r="T151" s="1">
        <v>0</v>
      </c>
      <c r="U151" s="1">
        <v>0</v>
      </c>
      <c r="V151" s="1">
        <v>0</v>
      </c>
      <c r="W151" s="1">
        <v>576</v>
      </c>
      <c r="X151" s="1">
        <v>0</v>
      </c>
      <c r="Y151" s="1">
        <v>0</v>
      </c>
      <c r="Z151" s="1">
        <v>0</v>
      </c>
      <c r="AA151" s="1">
        <v>125</v>
      </c>
      <c r="AB151" s="1">
        <v>0</v>
      </c>
      <c r="AC151" s="1">
        <v>1129</v>
      </c>
      <c r="AD151" s="24">
        <f t="shared" si="7"/>
        <v>1830</v>
      </c>
      <c r="AE151" s="23">
        <v>0</v>
      </c>
      <c r="AF151" s="1">
        <v>0</v>
      </c>
      <c r="AG151" s="1">
        <v>0</v>
      </c>
      <c r="AH151" s="1">
        <v>0</v>
      </c>
      <c r="AI151" s="1">
        <v>0</v>
      </c>
      <c r="AJ151" s="1">
        <v>0</v>
      </c>
      <c r="AK151" s="1">
        <v>0</v>
      </c>
      <c r="AL151" s="1">
        <v>0</v>
      </c>
      <c r="AM151" s="1">
        <v>0</v>
      </c>
      <c r="AN151" s="1">
        <v>0</v>
      </c>
      <c r="AO151" s="1">
        <v>0</v>
      </c>
      <c r="AP151" s="1">
        <v>0</v>
      </c>
      <c r="AQ151" s="24">
        <f t="shared" si="8"/>
        <v>0</v>
      </c>
    </row>
    <row r="152" spans="1:43" ht="17.25" customHeight="1" x14ac:dyDescent="0.45">
      <c r="A152" s="12" t="s">
        <v>10</v>
      </c>
      <c r="B152" s="12" t="s">
        <v>66</v>
      </c>
      <c r="C152" s="12" t="s">
        <v>154</v>
      </c>
      <c r="D152" s="12" t="s">
        <v>155</v>
      </c>
      <c r="E152" s="25">
        <v>8</v>
      </c>
      <c r="F152" s="10">
        <v>2</v>
      </c>
      <c r="G152" s="10">
        <v>3</v>
      </c>
      <c r="H152" s="10">
        <v>0</v>
      </c>
      <c r="I152" s="10">
        <v>0</v>
      </c>
      <c r="J152" s="10">
        <v>0</v>
      </c>
      <c r="K152" s="10">
        <v>0</v>
      </c>
      <c r="L152" s="10">
        <v>0</v>
      </c>
      <c r="M152" s="10">
        <v>0</v>
      </c>
      <c r="N152" s="10">
        <v>0</v>
      </c>
      <c r="O152" s="10">
        <v>0</v>
      </c>
      <c r="P152" s="10">
        <v>0</v>
      </c>
      <c r="Q152" s="26">
        <f t="shared" si="6"/>
        <v>13</v>
      </c>
      <c r="R152" s="25">
        <v>641</v>
      </c>
      <c r="S152" s="10">
        <v>66</v>
      </c>
      <c r="T152" s="10">
        <v>381</v>
      </c>
      <c r="U152" s="10">
        <v>0</v>
      </c>
      <c r="V152" s="10">
        <v>0</v>
      </c>
      <c r="W152" s="10">
        <v>0</v>
      </c>
      <c r="X152" s="10">
        <v>0</v>
      </c>
      <c r="Y152" s="10">
        <v>0</v>
      </c>
      <c r="Z152" s="10">
        <v>0</v>
      </c>
      <c r="AA152" s="10">
        <v>0</v>
      </c>
      <c r="AB152" s="10">
        <v>0</v>
      </c>
      <c r="AC152" s="10">
        <v>0</v>
      </c>
      <c r="AD152" s="26">
        <f t="shared" si="7"/>
        <v>1088</v>
      </c>
      <c r="AE152" s="25">
        <v>0</v>
      </c>
      <c r="AF152" s="10">
        <v>0</v>
      </c>
      <c r="AG152" s="10">
        <v>0</v>
      </c>
      <c r="AH152" s="10">
        <v>0</v>
      </c>
      <c r="AI152" s="10">
        <v>0</v>
      </c>
      <c r="AJ152" s="10">
        <v>0</v>
      </c>
      <c r="AK152" s="10">
        <v>0</v>
      </c>
      <c r="AL152" s="10">
        <v>0</v>
      </c>
      <c r="AM152" s="10">
        <v>0</v>
      </c>
      <c r="AN152" s="10">
        <v>0</v>
      </c>
      <c r="AO152" s="10">
        <v>0</v>
      </c>
      <c r="AP152" s="10">
        <v>0</v>
      </c>
      <c r="AQ152" s="26">
        <f t="shared" si="8"/>
        <v>0</v>
      </c>
    </row>
    <row r="153" spans="1:43" ht="17.25" customHeight="1" x14ac:dyDescent="0.45">
      <c r="A153" s="2" t="s">
        <v>10</v>
      </c>
      <c r="B153" s="2" t="s">
        <v>66</v>
      </c>
      <c r="C153" s="2" t="s">
        <v>217</v>
      </c>
      <c r="D153" s="2" t="s">
        <v>96</v>
      </c>
      <c r="E153" s="23">
        <v>5</v>
      </c>
      <c r="F153" s="1">
        <v>4</v>
      </c>
      <c r="G153" s="1">
        <v>4</v>
      </c>
      <c r="H153" s="1">
        <v>4</v>
      </c>
      <c r="I153" s="1">
        <v>2</v>
      </c>
      <c r="J153" s="1">
        <v>0</v>
      </c>
      <c r="K153" s="1">
        <v>0</v>
      </c>
      <c r="L153" s="1">
        <v>0</v>
      </c>
      <c r="M153" s="1">
        <v>0</v>
      </c>
      <c r="N153" s="1">
        <v>0</v>
      </c>
      <c r="O153" s="1">
        <v>0</v>
      </c>
      <c r="P153" s="1">
        <v>0</v>
      </c>
      <c r="Q153" s="24">
        <f t="shared" si="6"/>
        <v>19</v>
      </c>
      <c r="R153" s="23">
        <v>282</v>
      </c>
      <c r="S153" s="1">
        <v>207</v>
      </c>
      <c r="T153" s="1">
        <v>313</v>
      </c>
      <c r="U153" s="1">
        <v>197</v>
      </c>
      <c r="V153" s="1">
        <v>103</v>
      </c>
      <c r="W153" s="1">
        <v>0</v>
      </c>
      <c r="X153" s="1">
        <v>0</v>
      </c>
      <c r="Y153" s="1">
        <v>0</v>
      </c>
      <c r="Z153" s="1">
        <v>0</v>
      </c>
      <c r="AA153" s="1">
        <v>0</v>
      </c>
      <c r="AB153" s="1">
        <v>0</v>
      </c>
      <c r="AC153" s="1">
        <v>0</v>
      </c>
      <c r="AD153" s="24">
        <f t="shared" si="7"/>
        <v>1102</v>
      </c>
      <c r="AE153" s="23">
        <v>0</v>
      </c>
      <c r="AF153" s="1">
        <v>0</v>
      </c>
      <c r="AG153" s="1">
        <v>0</v>
      </c>
      <c r="AH153" s="1">
        <v>0</v>
      </c>
      <c r="AI153" s="1">
        <v>0</v>
      </c>
      <c r="AJ153" s="1">
        <v>0</v>
      </c>
      <c r="AK153" s="1">
        <v>0</v>
      </c>
      <c r="AL153" s="1">
        <v>0</v>
      </c>
      <c r="AM153" s="1">
        <v>0</v>
      </c>
      <c r="AN153" s="1">
        <v>0</v>
      </c>
      <c r="AO153" s="1">
        <v>0</v>
      </c>
      <c r="AP153" s="1">
        <v>0</v>
      </c>
      <c r="AQ153" s="24">
        <f t="shared" si="8"/>
        <v>0</v>
      </c>
    </row>
    <row r="154" spans="1:43" ht="17.25" customHeight="1" x14ac:dyDescent="0.45">
      <c r="A154" s="12" t="s">
        <v>10</v>
      </c>
      <c r="B154" s="12" t="s">
        <v>66</v>
      </c>
      <c r="C154" s="12" t="s">
        <v>156</v>
      </c>
      <c r="D154" s="12" t="s">
        <v>157</v>
      </c>
      <c r="E154" s="25">
        <v>4</v>
      </c>
      <c r="F154" s="10">
        <v>4</v>
      </c>
      <c r="G154" s="10">
        <v>5</v>
      </c>
      <c r="H154" s="10">
        <v>5</v>
      </c>
      <c r="I154" s="10">
        <v>4</v>
      </c>
      <c r="J154" s="10">
        <v>5</v>
      </c>
      <c r="K154" s="10">
        <v>4</v>
      </c>
      <c r="L154" s="10">
        <v>4</v>
      </c>
      <c r="M154" s="10">
        <v>5</v>
      </c>
      <c r="N154" s="10">
        <v>4</v>
      </c>
      <c r="O154" s="10">
        <v>4</v>
      </c>
      <c r="P154" s="10">
        <v>9</v>
      </c>
      <c r="Q154" s="26">
        <f t="shared" si="6"/>
        <v>57</v>
      </c>
      <c r="R154" s="25">
        <v>1158</v>
      </c>
      <c r="S154" s="10">
        <v>1183</v>
      </c>
      <c r="T154" s="10">
        <v>1379</v>
      </c>
      <c r="U154" s="10">
        <v>1374</v>
      </c>
      <c r="V154" s="10">
        <v>875</v>
      </c>
      <c r="W154" s="10">
        <v>1376</v>
      </c>
      <c r="X154" s="10">
        <v>1143</v>
      </c>
      <c r="Y154" s="10">
        <v>949</v>
      </c>
      <c r="Z154" s="10">
        <v>1288</v>
      </c>
      <c r="AA154" s="10">
        <v>1053</v>
      </c>
      <c r="AB154" s="10">
        <v>1009</v>
      </c>
      <c r="AC154" s="10">
        <v>2108</v>
      </c>
      <c r="AD154" s="26">
        <f t="shared" si="7"/>
        <v>14895</v>
      </c>
      <c r="AE154" s="25">
        <v>0</v>
      </c>
      <c r="AF154" s="10">
        <v>0</v>
      </c>
      <c r="AG154" s="10">
        <v>0</v>
      </c>
      <c r="AH154" s="10">
        <v>0</v>
      </c>
      <c r="AI154" s="10">
        <v>0</v>
      </c>
      <c r="AJ154" s="10">
        <v>0</v>
      </c>
      <c r="AK154" s="10">
        <v>0</v>
      </c>
      <c r="AL154" s="10">
        <v>0</v>
      </c>
      <c r="AM154" s="10">
        <v>0</v>
      </c>
      <c r="AN154" s="10">
        <v>0</v>
      </c>
      <c r="AO154" s="10">
        <v>0</v>
      </c>
      <c r="AP154" s="10">
        <v>0</v>
      </c>
      <c r="AQ154" s="26">
        <f t="shared" si="8"/>
        <v>0</v>
      </c>
    </row>
    <row r="155" spans="1:43" ht="17.25" customHeight="1" x14ac:dyDescent="0.45">
      <c r="A155" s="2" t="s">
        <v>10</v>
      </c>
      <c r="B155" s="2" t="s">
        <v>66</v>
      </c>
      <c r="C155" s="2" t="s">
        <v>158</v>
      </c>
      <c r="D155" s="2" t="s">
        <v>159</v>
      </c>
      <c r="E155" s="23">
        <v>31</v>
      </c>
      <c r="F155" s="1">
        <v>29</v>
      </c>
      <c r="G155" s="1">
        <v>31</v>
      </c>
      <c r="H155" s="1">
        <v>30</v>
      </c>
      <c r="I155" s="1">
        <v>31</v>
      </c>
      <c r="J155" s="1">
        <v>30</v>
      </c>
      <c r="K155" s="1">
        <v>32</v>
      </c>
      <c r="L155" s="1">
        <v>32</v>
      </c>
      <c r="M155" s="1">
        <v>30</v>
      </c>
      <c r="N155" s="1">
        <v>28</v>
      </c>
      <c r="O155" s="1">
        <v>13</v>
      </c>
      <c r="P155" s="1">
        <v>11</v>
      </c>
      <c r="Q155" s="24">
        <f t="shared" si="6"/>
        <v>328</v>
      </c>
      <c r="R155" s="23">
        <v>3278</v>
      </c>
      <c r="S155" s="1">
        <v>2873</v>
      </c>
      <c r="T155" s="1">
        <v>3254</v>
      </c>
      <c r="U155" s="1">
        <v>3228</v>
      </c>
      <c r="V155" s="1">
        <v>3080</v>
      </c>
      <c r="W155" s="1">
        <v>3218</v>
      </c>
      <c r="X155" s="1">
        <v>4283</v>
      </c>
      <c r="Y155" s="1">
        <v>3828</v>
      </c>
      <c r="Z155" s="1">
        <v>3242</v>
      </c>
      <c r="AA155" s="1">
        <v>3150</v>
      </c>
      <c r="AB155" s="1">
        <v>1195</v>
      </c>
      <c r="AC155" s="1">
        <v>1140</v>
      </c>
      <c r="AD155" s="24">
        <f t="shared" si="7"/>
        <v>35769</v>
      </c>
      <c r="AE155" s="23">
        <v>0</v>
      </c>
      <c r="AF155" s="1">
        <v>0</v>
      </c>
      <c r="AG155" s="1">
        <v>0</v>
      </c>
      <c r="AH155" s="1">
        <v>0</v>
      </c>
      <c r="AI155" s="1">
        <v>0</v>
      </c>
      <c r="AJ155" s="1">
        <v>0</v>
      </c>
      <c r="AK155" s="1">
        <v>0</v>
      </c>
      <c r="AL155" s="1">
        <v>0</v>
      </c>
      <c r="AM155" s="1">
        <v>0</v>
      </c>
      <c r="AN155" s="1">
        <v>0</v>
      </c>
      <c r="AO155" s="1">
        <v>0</v>
      </c>
      <c r="AP155" s="1">
        <v>0</v>
      </c>
      <c r="AQ155" s="24">
        <f t="shared" si="8"/>
        <v>0</v>
      </c>
    </row>
    <row r="156" spans="1:43" ht="17.25" customHeight="1" x14ac:dyDescent="0.45">
      <c r="A156" s="12" t="s">
        <v>10</v>
      </c>
      <c r="B156" s="12" t="s">
        <v>66</v>
      </c>
      <c r="C156" s="12" t="s">
        <v>160</v>
      </c>
      <c r="D156" s="12" t="s">
        <v>65</v>
      </c>
      <c r="E156" s="25">
        <v>17</v>
      </c>
      <c r="F156" s="10">
        <v>16</v>
      </c>
      <c r="G156" s="10">
        <v>17</v>
      </c>
      <c r="H156" s="10">
        <v>11</v>
      </c>
      <c r="I156" s="10">
        <v>3</v>
      </c>
      <c r="J156" s="10">
        <v>0</v>
      </c>
      <c r="K156" s="10">
        <v>0</v>
      </c>
      <c r="L156" s="10">
        <v>0</v>
      </c>
      <c r="M156" s="10">
        <v>0</v>
      </c>
      <c r="N156" s="10">
        <v>0</v>
      </c>
      <c r="O156" s="10">
        <v>9</v>
      </c>
      <c r="P156" s="10">
        <v>15</v>
      </c>
      <c r="Q156" s="26">
        <f t="shared" si="6"/>
        <v>88</v>
      </c>
      <c r="R156" s="25">
        <v>2728</v>
      </c>
      <c r="S156" s="10">
        <v>2537</v>
      </c>
      <c r="T156" s="10">
        <v>2325</v>
      </c>
      <c r="U156" s="10">
        <v>1767</v>
      </c>
      <c r="V156" s="10">
        <v>388</v>
      </c>
      <c r="W156" s="10">
        <v>0</v>
      </c>
      <c r="X156" s="10">
        <v>0</v>
      </c>
      <c r="Y156" s="10">
        <v>0</v>
      </c>
      <c r="Z156" s="10">
        <v>0</v>
      </c>
      <c r="AA156" s="10">
        <v>0</v>
      </c>
      <c r="AB156" s="10">
        <v>1272</v>
      </c>
      <c r="AC156" s="10">
        <v>2336</v>
      </c>
      <c r="AD156" s="26">
        <f t="shared" si="7"/>
        <v>13353</v>
      </c>
      <c r="AE156" s="25">
        <v>0</v>
      </c>
      <c r="AF156" s="10">
        <v>0</v>
      </c>
      <c r="AG156" s="10">
        <v>0</v>
      </c>
      <c r="AH156" s="10">
        <v>0</v>
      </c>
      <c r="AI156" s="10">
        <v>0</v>
      </c>
      <c r="AJ156" s="10">
        <v>0</v>
      </c>
      <c r="AK156" s="10">
        <v>0</v>
      </c>
      <c r="AL156" s="10">
        <v>0</v>
      </c>
      <c r="AM156" s="10">
        <v>0</v>
      </c>
      <c r="AN156" s="10">
        <v>0</v>
      </c>
      <c r="AO156" s="10">
        <v>0</v>
      </c>
      <c r="AP156" s="10">
        <v>0</v>
      </c>
      <c r="AQ156" s="26">
        <f t="shared" si="8"/>
        <v>0</v>
      </c>
    </row>
    <row r="157" spans="1:43" ht="17.25" customHeight="1" x14ac:dyDescent="0.45">
      <c r="A157" s="2" t="s">
        <v>10</v>
      </c>
      <c r="B157" s="2" t="s">
        <v>66</v>
      </c>
      <c r="C157" s="2" t="s">
        <v>161</v>
      </c>
      <c r="D157" s="2" t="s">
        <v>68</v>
      </c>
      <c r="E157" s="23">
        <v>80</v>
      </c>
      <c r="F157" s="1">
        <v>79</v>
      </c>
      <c r="G157" s="1">
        <v>86</v>
      </c>
      <c r="H157" s="1">
        <v>70</v>
      </c>
      <c r="I157" s="1">
        <v>61</v>
      </c>
      <c r="J157" s="1">
        <v>60</v>
      </c>
      <c r="K157" s="1">
        <v>61</v>
      </c>
      <c r="L157" s="1">
        <v>61</v>
      </c>
      <c r="M157" s="1">
        <v>49</v>
      </c>
      <c r="N157" s="1">
        <v>52</v>
      </c>
      <c r="O157" s="1">
        <v>67</v>
      </c>
      <c r="P157" s="1">
        <v>77</v>
      </c>
      <c r="Q157" s="24">
        <f t="shared" si="6"/>
        <v>803</v>
      </c>
      <c r="R157" s="23">
        <v>12305</v>
      </c>
      <c r="S157" s="1">
        <v>12046</v>
      </c>
      <c r="T157" s="1">
        <v>13734</v>
      </c>
      <c r="U157" s="1">
        <v>12017</v>
      </c>
      <c r="V157" s="1">
        <v>10232</v>
      </c>
      <c r="W157" s="1">
        <v>8886</v>
      </c>
      <c r="X157" s="1">
        <v>9085</v>
      </c>
      <c r="Y157" s="1">
        <v>9452</v>
      </c>
      <c r="Z157" s="1">
        <v>6977</v>
      </c>
      <c r="AA157" s="1">
        <v>7149</v>
      </c>
      <c r="AB157" s="1">
        <v>9735</v>
      </c>
      <c r="AC157" s="1">
        <v>12657</v>
      </c>
      <c r="AD157" s="24">
        <f t="shared" si="7"/>
        <v>124275</v>
      </c>
      <c r="AE157" s="23">
        <v>118</v>
      </c>
      <c r="AF157" s="1">
        <v>266</v>
      </c>
      <c r="AG157" s="1">
        <v>173</v>
      </c>
      <c r="AH157" s="1">
        <v>299</v>
      </c>
      <c r="AI157" s="1">
        <v>300</v>
      </c>
      <c r="AJ157" s="1">
        <v>776</v>
      </c>
      <c r="AK157" s="1">
        <v>150</v>
      </c>
      <c r="AL157" s="1">
        <v>91</v>
      </c>
      <c r="AM157" s="1">
        <v>0</v>
      </c>
      <c r="AN157" s="1">
        <v>125</v>
      </c>
      <c r="AO157" s="1">
        <v>57</v>
      </c>
      <c r="AP157" s="1">
        <v>120</v>
      </c>
      <c r="AQ157" s="24">
        <f t="shared" si="8"/>
        <v>2475</v>
      </c>
    </row>
    <row r="158" spans="1:43" ht="17.25" customHeight="1" x14ac:dyDescent="0.45">
      <c r="A158" s="12" t="s">
        <v>10</v>
      </c>
      <c r="B158" s="12" t="s">
        <v>66</v>
      </c>
      <c r="C158" s="12" t="s">
        <v>279</v>
      </c>
      <c r="D158" s="12" t="s">
        <v>65</v>
      </c>
      <c r="E158" s="25">
        <v>0</v>
      </c>
      <c r="F158" s="10">
        <v>0</v>
      </c>
      <c r="G158" s="10">
        <v>2</v>
      </c>
      <c r="H158" s="10">
        <v>4</v>
      </c>
      <c r="I158" s="10">
        <v>2</v>
      </c>
      <c r="J158" s="10">
        <v>0</v>
      </c>
      <c r="K158" s="10">
        <v>0</v>
      </c>
      <c r="L158" s="10">
        <v>0</v>
      </c>
      <c r="M158" s="10">
        <v>0</v>
      </c>
      <c r="N158" s="10">
        <v>0</v>
      </c>
      <c r="O158" s="10">
        <v>0</v>
      </c>
      <c r="P158" s="10">
        <v>0</v>
      </c>
      <c r="Q158" s="26">
        <f t="shared" si="6"/>
        <v>8</v>
      </c>
      <c r="R158" s="25">
        <v>0</v>
      </c>
      <c r="S158" s="10">
        <v>0</v>
      </c>
      <c r="T158" s="10">
        <v>319</v>
      </c>
      <c r="U158" s="10">
        <v>730</v>
      </c>
      <c r="V158" s="10">
        <v>369</v>
      </c>
      <c r="W158" s="10">
        <v>0</v>
      </c>
      <c r="X158" s="10">
        <v>0</v>
      </c>
      <c r="Y158" s="10">
        <v>0</v>
      </c>
      <c r="Z158" s="10">
        <v>0</v>
      </c>
      <c r="AA158" s="10">
        <v>0</v>
      </c>
      <c r="AB158" s="10">
        <v>0</v>
      </c>
      <c r="AC158" s="10">
        <v>0</v>
      </c>
      <c r="AD158" s="26">
        <f t="shared" si="7"/>
        <v>1418</v>
      </c>
      <c r="AE158" s="25">
        <v>0</v>
      </c>
      <c r="AF158" s="10">
        <v>0</v>
      </c>
      <c r="AG158" s="10">
        <v>0</v>
      </c>
      <c r="AH158" s="10">
        <v>0</v>
      </c>
      <c r="AI158" s="10">
        <v>0</v>
      </c>
      <c r="AJ158" s="10">
        <v>0</v>
      </c>
      <c r="AK158" s="10">
        <v>0</v>
      </c>
      <c r="AL158" s="10">
        <v>0</v>
      </c>
      <c r="AM158" s="10">
        <v>0</v>
      </c>
      <c r="AN158" s="10">
        <v>0</v>
      </c>
      <c r="AO158" s="10">
        <v>0</v>
      </c>
      <c r="AP158" s="10">
        <v>0</v>
      </c>
      <c r="AQ158" s="26">
        <f t="shared" si="8"/>
        <v>0</v>
      </c>
    </row>
    <row r="159" spans="1:43" ht="17.25" customHeight="1" x14ac:dyDescent="0.45">
      <c r="A159" s="2" t="s">
        <v>10</v>
      </c>
      <c r="B159" s="2" t="s">
        <v>66</v>
      </c>
      <c r="C159" s="2" t="s">
        <v>162</v>
      </c>
      <c r="D159" s="2" t="s">
        <v>68</v>
      </c>
      <c r="E159" s="23">
        <v>62</v>
      </c>
      <c r="F159" s="1">
        <v>58</v>
      </c>
      <c r="G159" s="1">
        <v>67</v>
      </c>
      <c r="H159" s="1">
        <v>63</v>
      </c>
      <c r="I159" s="1">
        <v>66</v>
      </c>
      <c r="J159" s="1">
        <v>88</v>
      </c>
      <c r="K159" s="1">
        <v>86</v>
      </c>
      <c r="L159" s="1">
        <v>58</v>
      </c>
      <c r="M159" s="1">
        <v>51</v>
      </c>
      <c r="N159" s="1">
        <v>67</v>
      </c>
      <c r="O159" s="1">
        <v>67</v>
      </c>
      <c r="P159" s="1">
        <v>75</v>
      </c>
      <c r="Q159" s="24">
        <f t="shared" si="6"/>
        <v>808</v>
      </c>
      <c r="R159" s="23">
        <v>10605</v>
      </c>
      <c r="S159" s="1">
        <v>10174</v>
      </c>
      <c r="T159" s="1">
        <v>12042</v>
      </c>
      <c r="U159" s="1">
        <v>9903</v>
      </c>
      <c r="V159" s="1">
        <v>9770</v>
      </c>
      <c r="W159" s="1">
        <v>13888</v>
      </c>
      <c r="X159" s="1">
        <v>13069</v>
      </c>
      <c r="Y159" s="1">
        <v>8523</v>
      </c>
      <c r="Z159" s="1">
        <v>6793</v>
      </c>
      <c r="AA159" s="1">
        <v>9439</v>
      </c>
      <c r="AB159" s="1">
        <v>8136</v>
      </c>
      <c r="AC159" s="1">
        <v>9902</v>
      </c>
      <c r="AD159" s="24">
        <f t="shared" si="7"/>
        <v>122244</v>
      </c>
      <c r="AE159" s="23">
        <v>0</v>
      </c>
      <c r="AF159" s="1">
        <v>0</v>
      </c>
      <c r="AG159" s="1">
        <v>0</v>
      </c>
      <c r="AH159" s="1">
        <v>0</v>
      </c>
      <c r="AI159" s="1">
        <v>0</v>
      </c>
      <c r="AJ159" s="1">
        <v>0</v>
      </c>
      <c r="AK159" s="1">
        <v>0</v>
      </c>
      <c r="AL159" s="1">
        <v>0</v>
      </c>
      <c r="AM159" s="1">
        <v>0</v>
      </c>
      <c r="AN159" s="1">
        <v>0</v>
      </c>
      <c r="AO159" s="1">
        <v>0</v>
      </c>
      <c r="AP159" s="1">
        <v>0</v>
      </c>
      <c r="AQ159" s="24">
        <f t="shared" si="8"/>
        <v>0</v>
      </c>
    </row>
    <row r="160" spans="1:43" ht="17.25" customHeight="1" x14ac:dyDescent="0.45">
      <c r="A160" s="12" t="s">
        <v>10</v>
      </c>
      <c r="B160" s="12" t="s">
        <v>66</v>
      </c>
      <c r="C160" s="12" t="s">
        <v>163</v>
      </c>
      <c r="D160" s="12" t="s">
        <v>68</v>
      </c>
      <c r="E160" s="25">
        <v>31</v>
      </c>
      <c r="F160" s="10">
        <v>29</v>
      </c>
      <c r="G160" s="10">
        <v>31</v>
      </c>
      <c r="H160" s="10">
        <v>30</v>
      </c>
      <c r="I160" s="10">
        <v>38</v>
      </c>
      <c r="J160" s="10">
        <v>42</v>
      </c>
      <c r="K160" s="10">
        <v>47</v>
      </c>
      <c r="L160" s="10">
        <v>35</v>
      </c>
      <c r="M160" s="10">
        <v>22</v>
      </c>
      <c r="N160" s="10">
        <v>33</v>
      </c>
      <c r="O160" s="10">
        <v>59</v>
      </c>
      <c r="P160" s="10">
        <v>62</v>
      </c>
      <c r="Q160" s="26">
        <f t="shared" si="6"/>
        <v>459</v>
      </c>
      <c r="R160" s="25">
        <v>3379</v>
      </c>
      <c r="S160" s="10">
        <v>3404</v>
      </c>
      <c r="T160" s="10">
        <v>4395</v>
      </c>
      <c r="U160" s="10">
        <v>3891</v>
      </c>
      <c r="V160" s="10">
        <v>4346</v>
      </c>
      <c r="W160" s="10">
        <v>5605</v>
      </c>
      <c r="X160" s="10">
        <v>5739</v>
      </c>
      <c r="Y160" s="10">
        <v>4763</v>
      </c>
      <c r="Z160" s="10">
        <v>2717</v>
      </c>
      <c r="AA160" s="10">
        <v>2777</v>
      </c>
      <c r="AB160" s="10">
        <v>4809</v>
      </c>
      <c r="AC160" s="10">
        <v>5448</v>
      </c>
      <c r="AD160" s="26">
        <f t="shared" si="7"/>
        <v>51273</v>
      </c>
      <c r="AE160" s="25">
        <v>0</v>
      </c>
      <c r="AF160" s="10">
        <v>0</v>
      </c>
      <c r="AG160" s="10">
        <v>0</v>
      </c>
      <c r="AH160" s="10">
        <v>0</v>
      </c>
      <c r="AI160" s="10">
        <v>0</v>
      </c>
      <c r="AJ160" s="10">
        <v>0</v>
      </c>
      <c r="AK160" s="10">
        <v>0</v>
      </c>
      <c r="AL160" s="10">
        <v>0</v>
      </c>
      <c r="AM160" s="10">
        <v>0</v>
      </c>
      <c r="AN160" s="10">
        <v>0</v>
      </c>
      <c r="AO160" s="10">
        <v>0</v>
      </c>
      <c r="AP160" s="10">
        <v>0</v>
      </c>
      <c r="AQ160" s="26">
        <f t="shared" si="8"/>
        <v>0</v>
      </c>
    </row>
    <row r="161" spans="1:43" ht="17.25" customHeight="1" x14ac:dyDescent="0.45">
      <c r="A161" s="2" t="s">
        <v>10</v>
      </c>
      <c r="B161" s="2" t="s">
        <v>66</v>
      </c>
      <c r="C161" s="2" t="s">
        <v>164</v>
      </c>
      <c r="D161" s="2" t="s">
        <v>65</v>
      </c>
      <c r="E161" s="23">
        <v>5</v>
      </c>
      <c r="F161" s="1">
        <v>4</v>
      </c>
      <c r="G161" s="1">
        <v>4</v>
      </c>
      <c r="H161" s="1">
        <v>2</v>
      </c>
      <c r="I161" s="1">
        <v>0</v>
      </c>
      <c r="J161" s="1">
        <v>0</v>
      </c>
      <c r="K161" s="1">
        <v>0</v>
      </c>
      <c r="L161" s="1">
        <v>0</v>
      </c>
      <c r="M161" s="1">
        <v>0</v>
      </c>
      <c r="N161" s="1">
        <v>0</v>
      </c>
      <c r="O161" s="1">
        <v>0</v>
      </c>
      <c r="P161" s="1">
        <v>3</v>
      </c>
      <c r="Q161" s="24">
        <f t="shared" si="6"/>
        <v>18</v>
      </c>
      <c r="R161" s="23">
        <v>792</v>
      </c>
      <c r="S161" s="1">
        <v>721</v>
      </c>
      <c r="T161" s="1">
        <v>668</v>
      </c>
      <c r="U161" s="1">
        <v>326</v>
      </c>
      <c r="V161" s="1">
        <v>0</v>
      </c>
      <c r="W161" s="1">
        <v>0</v>
      </c>
      <c r="X161" s="1">
        <v>0</v>
      </c>
      <c r="Y161" s="1">
        <v>0</v>
      </c>
      <c r="Z161" s="1">
        <v>0</v>
      </c>
      <c r="AA161" s="1">
        <v>0</v>
      </c>
      <c r="AB161" s="1">
        <v>0</v>
      </c>
      <c r="AC161" s="1">
        <v>518</v>
      </c>
      <c r="AD161" s="24">
        <f t="shared" si="7"/>
        <v>3025</v>
      </c>
      <c r="AE161" s="23">
        <v>0</v>
      </c>
      <c r="AF161" s="1">
        <v>0</v>
      </c>
      <c r="AG161" s="1">
        <v>0</v>
      </c>
      <c r="AH161" s="1">
        <v>0</v>
      </c>
      <c r="AI161" s="1">
        <v>0</v>
      </c>
      <c r="AJ161" s="1">
        <v>0</v>
      </c>
      <c r="AK161" s="1">
        <v>0</v>
      </c>
      <c r="AL161" s="1">
        <v>0</v>
      </c>
      <c r="AM161" s="1">
        <v>0</v>
      </c>
      <c r="AN161" s="1">
        <v>0</v>
      </c>
      <c r="AO161" s="1">
        <v>0</v>
      </c>
      <c r="AP161" s="1">
        <v>0</v>
      </c>
      <c r="AQ161" s="24">
        <f t="shared" si="8"/>
        <v>0</v>
      </c>
    </row>
    <row r="162" spans="1:43" ht="17.25" customHeight="1" x14ac:dyDescent="0.45">
      <c r="A162" s="12" t="s">
        <v>10</v>
      </c>
      <c r="B162" s="12" t="s">
        <v>66</v>
      </c>
      <c r="C162" s="12" t="s">
        <v>71</v>
      </c>
      <c r="D162" s="12" t="s">
        <v>65</v>
      </c>
      <c r="E162" s="25">
        <v>254</v>
      </c>
      <c r="F162" s="10">
        <v>232</v>
      </c>
      <c r="G162" s="10">
        <v>249</v>
      </c>
      <c r="H162" s="10">
        <v>238</v>
      </c>
      <c r="I162" s="10">
        <v>253</v>
      </c>
      <c r="J162" s="10">
        <v>190</v>
      </c>
      <c r="K162" s="10">
        <v>166</v>
      </c>
      <c r="L162" s="10">
        <v>174</v>
      </c>
      <c r="M162" s="10">
        <v>162</v>
      </c>
      <c r="N162" s="10">
        <v>191</v>
      </c>
      <c r="O162" s="10">
        <v>264</v>
      </c>
      <c r="P162" s="10">
        <v>287</v>
      </c>
      <c r="Q162" s="26">
        <f t="shared" si="6"/>
        <v>2660</v>
      </c>
      <c r="R162" s="25">
        <v>50269</v>
      </c>
      <c r="S162" s="10">
        <v>48874</v>
      </c>
      <c r="T162" s="10">
        <v>51124</v>
      </c>
      <c r="U162" s="10">
        <v>46010</v>
      </c>
      <c r="V162" s="10">
        <v>47268</v>
      </c>
      <c r="W162" s="10">
        <v>29620</v>
      </c>
      <c r="X162" s="10">
        <v>29275</v>
      </c>
      <c r="Y162" s="10">
        <v>32484</v>
      </c>
      <c r="Z162" s="10">
        <v>25702</v>
      </c>
      <c r="AA162" s="10">
        <v>30911</v>
      </c>
      <c r="AB162" s="10">
        <v>54670</v>
      </c>
      <c r="AC162" s="10">
        <v>60640</v>
      </c>
      <c r="AD162" s="26">
        <f t="shared" si="7"/>
        <v>506847</v>
      </c>
      <c r="AE162" s="25">
        <v>0</v>
      </c>
      <c r="AF162" s="10">
        <v>0</v>
      </c>
      <c r="AG162" s="10">
        <v>0</v>
      </c>
      <c r="AH162" s="10">
        <v>0</v>
      </c>
      <c r="AI162" s="10">
        <v>11324</v>
      </c>
      <c r="AJ162" s="10">
        <v>17032</v>
      </c>
      <c r="AK162" s="10">
        <v>10710</v>
      </c>
      <c r="AL162" s="10">
        <v>17853</v>
      </c>
      <c r="AM162" s="10">
        <v>32874</v>
      </c>
      <c r="AN162" s="10">
        <v>29562</v>
      </c>
      <c r="AO162" s="10">
        <v>24894</v>
      </c>
      <c r="AP162" s="10">
        <v>23377</v>
      </c>
      <c r="AQ162" s="26">
        <f t="shared" si="8"/>
        <v>167626</v>
      </c>
    </row>
    <row r="163" spans="1:43" ht="17.25" customHeight="1" x14ac:dyDescent="0.45">
      <c r="A163" s="2" t="s">
        <v>10</v>
      </c>
      <c r="B163" s="2" t="s">
        <v>66</v>
      </c>
      <c r="C163" s="2" t="s">
        <v>165</v>
      </c>
      <c r="D163" s="2" t="s">
        <v>65</v>
      </c>
      <c r="E163" s="23">
        <v>82</v>
      </c>
      <c r="F163" s="1">
        <v>86</v>
      </c>
      <c r="G163" s="1">
        <v>91</v>
      </c>
      <c r="H163" s="1">
        <v>82</v>
      </c>
      <c r="I163" s="1">
        <v>49</v>
      </c>
      <c r="J163" s="1">
        <v>24</v>
      </c>
      <c r="K163" s="1">
        <v>26</v>
      </c>
      <c r="L163" s="1">
        <v>28</v>
      </c>
      <c r="M163" s="1">
        <v>22</v>
      </c>
      <c r="N163" s="1">
        <v>54</v>
      </c>
      <c r="O163" s="1">
        <v>146</v>
      </c>
      <c r="P163" s="1">
        <v>162</v>
      </c>
      <c r="Q163" s="24">
        <f t="shared" si="6"/>
        <v>852</v>
      </c>
      <c r="R163" s="23">
        <v>16715</v>
      </c>
      <c r="S163" s="1">
        <v>16125</v>
      </c>
      <c r="T163" s="1">
        <v>17421</v>
      </c>
      <c r="U163" s="1">
        <v>16569</v>
      </c>
      <c r="V163" s="1">
        <v>8176</v>
      </c>
      <c r="W163" s="1">
        <v>3524</v>
      </c>
      <c r="X163" s="1">
        <v>4013</v>
      </c>
      <c r="Y163" s="1">
        <v>4447</v>
      </c>
      <c r="Z163" s="1">
        <v>3307</v>
      </c>
      <c r="AA163" s="1">
        <v>6129</v>
      </c>
      <c r="AB163" s="1">
        <v>20856</v>
      </c>
      <c r="AC163" s="1">
        <v>23335</v>
      </c>
      <c r="AD163" s="24">
        <f t="shared" si="7"/>
        <v>140617</v>
      </c>
      <c r="AE163" s="23">
        <v>0</v>
      </c>
      <c r="AF163" s="1">
        <v>0</v>
      </c>
      <c r="AG163" s="1">
        <v>0</v>
      </c>
      <c r="AH163" s="1">
        <v>0</v>
      </c>
      <c r="AI163" s="1">
        <v>1792</v>
      </c>
      <c r="AJ163" s="1">
        <v>2393</v>
      </c>
      <c r="AK163" s="1">
        <v>8425</v>
      </c>
      <c r="AL163" s="1">
        <v>839</v>
      </c>
      <c r="AM163" s="1">
        <v>381</v>
      </c>
      <c r="AN163" s="1">
        <v>1295</v>
      </c>
      <c r="AO163" s="1">
        <v>7</v>
      </c>
      <c r="AP163" s="1">
        <v>304</v>
      </c>
      <c r="AQ163" s="24">
        <f t="shared" si="8"/>
        <v>15436</v>
      </c>
    </row>
    <row r="164" spans="1:43" ht="17.25" customHeight="1" x14ac:dyDescent="0.45">
      <c r="A164" s="12" t="s">
        <v>10</v>
      </c>
      <c r="B164" s="12" t="s">
        <v>66</v>
      </c>
      <c r="C164" s="12" t="s">
        <v>166</v>
      </c>
      <c r="D164" s="12" t="s">
        <v>65</v>
      </c>
      <c r="E164" s="25">
        <v>9</v>
      </c>
      <c r="F164" s="10">
        <v>8</v>
      </c>
      <c r="G164" s="10">
        <v>9</v>
      </c>
      <c r="H164" s="10">
        <v>7</v>
      </c>
      <c r="I164" s="10">
        <v>3</v>
      </c>
      <c r="J164" s="10">
        <v>0</v>
      </c>
      <c r="K164" s="10">
        <v>0</v>
      </c>
      <c r="L164" s="10">
        <v>0</v>
      </c>
      <c r="M164" s="10">
        <v>0</v>
      </c>
      <c r="N164" s="10">
        <v>2</v>
      </c>
      <c r="O164" s="10">
        <v>9</v>
      </c>
      <c r="P164" s="10">
        <v>13</v>
      </c>
      <c r="Q164" s="26">
        <f t="shared" si="6"/>
        <v>60</v>
      </c>
      <c r="R164" s="25">
        <v>1495</v>
      </c>
      <c r="S164" s="10">
        <v>1272</v>
      </c>
      <c r="T164" s="10">
        <v>1368</v>
      </c>
      <c r="U164" s="10">
        <v>1073</v>
      </c>
      <c r="V164" s="10">
        <v>417</v>
      </c>
      <c r="W164" s="10">
        <v>0</v>
      </c>
      <c r="X164" s="10">
        <v>0</v>
      </c>
      <c r="Y164" s="10">
        <v>0</v>
      </c>
      <c r="Z164" s="10">
        <v>0</v>
      </c>
      <c r="AA164" s="10">
        <v>169</v>
      </c>
      <c r="AB164" s="10">
        <v>1347</v>
      </c>
      <c r="AC164" s="10">
        <v>1717</v>
      </c>
      <c r="AD164" s="26">
        <f t="shared" si="7"/>
        <v>8858</v>
      </c>
      <c r="AE164" s="25">
        <v>0</v>
      </c>
      <c r="AF164" s="10">
        <v>0</v>
      </c>
      <c r="AG164" s="10">
        <v>0</v>
      </c>
      <c r="AH164" s="10">
        <v>0</v>
      </c>
      <c r="AI164" s="10">
        <v>0</v>
      </c>
      <c r="AJ164" s="10">
        <v>0</v>
      </c>
      <c r="AK164" s="10">
        <v>0</v>
      </c>
      <c r="AL164" s="10">
        <v>0</v>
      </c>
      <c r="AM164" s="10">
        <v>0</v>
      </c>
      <c r="AN164" s="10">
        <v>0</v>
      </c>
      <c r="AO164" s="10">
        <v>0</v>
      </c>
      <c r="AP164" s="10">
        <v>0</v>
      </c>
      <c r="AQ164" s="26">
        <f t="shared" si="8"/>
        <v>0</v>
      </c>
    </row>
    <row r="165" spans="1:43" ht="17.25" customHeight="1" x14ac:dyDescent="0.45">
      <c r="A165" s="2" t="s">
        <v>10</v>
      </c>
      <c r="B165" s="2" t="s">
        <v>66</v>
      </c>
      <c r="C165" s="2" t="s">
        <v>167</v>
      </c>
      <c r="D165" s="2" t="s">
        <v>68</v>
      </c>
      <c r="E165" s="23">
        <v>68</v>
      </c>
      <c r="F165" s="1">
        <v>58</v>
      </c>
      <c r="G165" s="1">
        <v>62</v>
      </c>
      <c r="H165" s="1">
        <v>60</v>
      </c>
      <c r="I165" s="1">
        <v>62</v>
      </c>
      <c r="J165" s="1">
        <v>60</v>
      </c>
      <c r="K165" s="1">
        <v>60</v>
      </c>
      <c r="L165" s="1">
        <v>51</v>
      </c>
      <c r="M165" s="1">
        <v>35</v>
      </c>
      <c r="N165" s="1">
        <v>62</v>
      </c>
      <c r="O165" s="1">
        <v>60</v>
      </c>
      <c r="P165" s="1">
        <v>87</v>
      </c>
      <c r="Q165" s="24">
        <f t="shared" si="6"/>
        <v>725</v>
      </c>
      <c r="R165" s="23">
        <v>10950</v>
      </c>
      <c r="S165" s="1">
        <v>9087</v>
      </c>
      <c r="T165" s="1">
        <v>10379</v>
      </c>
      <c r="U165" s="1">
        <v>9552</v>
      </c>
      <c r="V165" s="1">
        <v>10104</v>
      </c>
      <c r="W165" s="1">
        <v>9784</v>
      </c>
      <c r="X165" s="1">
        <v>10233</v>
      </c>
      <c r="Y165" s="1">
        <v>8913</v>
      </c>
      <c r="Z165" s="1">
        <v>5628</v>
      </c>
      <c r="AA165" s="1">
        <v>8791</v>
      </c>
      <c r="AB165" s="1">
        <v>9478</v>
      </c>
      <c r="AC165" s="1">
        <v>12442</v>
      </c>
      <c r="AD165" s="24">
        <f t="shared" si="7"/>
        <v>115341</v>
      </c>
      <c r="AE165" s="23">
        <v>0</v>
      </c>
      <c r="AF165" s="1">
        <v>0</v>
      </c>
      <c r="AG165" s="1">
        <v>0</v>
      </c>
      <c r="AH165" s="1">
        <v>0</v>
      </c>
      <c r="AI165" s="1">
        <v>150</v>
      </c>
      <c r="AJ165" s="1">
        <v>0</v>
      </c>
      <c r="AK165" s="1">
        <v>0</v>
      </c>
      <c r="AL165" s="1">
        <v>1983</v>
      </c>
      <c r="AM165" s="1">
        <v>0</v>
      </c>
      <c r="AN165" s="1">
        <v>0</v>
      </c>
      <c r="AO165" s="1">
        <v>0</v>
      </c>
      <c r="AP165" s="1">
        <v>0</v>
      </c>
      <c r="AQ165" s="24">
        <f t="shared" si="8"/>
        <v>2133</v>
      </c>
    </row>
    <row r="166" spans="1:43" ht="17.25" customHeight="1" x14ac:dyDescent="0.45">
      <c r="A166" s="12" t="s">
        <v>10</v>
      </c>
      <c r="B166" s="12" t="s">
        <v>66</v>
      </c>
      <c r="C166" s="12" t="s">
        <v>168</v>
      </c>
      <c r="D166" s="12" t="s">
        <v>169</v>
      </c>
      <c r="E166" s="25">
        <v>8</v>
      </c>
      <c r="F166" s="10">
        <v>9</v>
      </c>
      <c r="G166" s="10">
        <v>8</v>
      </c>
      <c r="H166" s="10">
        <v>2</v>
      </c>
      <c r="I166" s="10">
        <v>0</v>
      </c>
      <c r="J166" s="10">
        <v>0</v>
      </c>
      <c r="K166" s="10">
        <v>0</v>
      </c>
      <c r="L166" s="10">
        <v>0</v>
      </c>
      <c r="M166" s="10">
        <v>0</v>
      </c>
      <c r="N166" s="10">
        <v>0</v>
      </c>
      <c r="O166" s="10">
        <v>0</v>
      </c>
      <c r="P166" s="10">
        <v>0</v>
      </c>
      <c r="Q166" s="26">
        <f t="shared" si="6"/>
        <v>27</v>
      </c>
      <c r="R166" s="25">
        <v>2459</v>
      </c>
      <c r="S166" s="10">
        <v>2654</v>
      </c>
      <c r="T166" s="10">
        <v>2300</v>
      </c>
      <c r="U166" s="10">
        <v>614</v>
      </c>
      <c r="V166" s="10">
        <v>0</v>
      </c>
      <c r="W166" s="10">
        <v>0</v>
      </c>
      <c r="X166" s="10">
        <v>0</v>
      </c>
      <c r="Y166" s="10">
        <v>0</v>
      </c>
      <c r="Z166" s="10">
        <v>0</v>
      </c>
      <c r="AA166" s="10">
        <v>0</v>
      </c>
      <c r="AB166" s="10">
        <v>0</v>
      </c>
      <c r="AC166" s="10">
        <v>0</v>
      </c>
      <c r="AD166" s="26">
        <f t="shared" si="7"/>
        <v>8027</v>
      </c>
      <c r="AE166" s="25">
        <v>0</v>
      </c>
      <c r="AF166" s="10">
        <v>2301</v>
      </c>
      <c r="AG166" s="10">
        <v>2936</v>
      </c>
      <c r="AH166" s="10">
        <v>3775</v>
      </c>
      <c r="AI166" s="10">
        <v>0</v>
      </c>
      <c r="AJ166" s="10">
        <v>0</v>
      </c>
      <c r="AK166" s="10">
        <v>0</v>
      </c>
      <c r="AL166" s="10">
        <v>0</v>
      </c>
      <c r="AM166" s="10">
        <v>0</v>
      </c>
      <c r="AN166" s="10">
        <v>0</v>
      </c>
      <c r="AO166" s="10">
        <v>0</v>
      </c>
      <c r="AP166" s="10">
        <v>0</v>
      </c>
      <c r="AQ166" s="26">
        <f t="shared" si="8"/>
        <v>9012</v>
      </c>
    </row>
    <row r="167" spans="1:43" ht="17.25" customHeight="1" x14ac:dyDescent="0.45">
      <c r="A167" s="2" t="s">
        <v>10</v>
      </c>
      <c r="B167" s="2" t="s">
        <v>66</v>
      </c>
      <c r="C167" s="2" t="s">
        <v>170</v>
      </c>
      <c r="D167" s="2" t="s">
        <v>65</v>
      </c>
      <c r="E167" s="23">
        <v>7</v>
      </c>
      <c r="F167" s="1">
        <v>4</v>
      </c>
      <c r="G167" s="1">
        <v>4</v>
      </c>
      <c r="H167" s="1">
        <v>2</v>
      </c>
      <c r="I167" s="1">
        <v>0</v>
      </c>
      <c r="J167" s="1">
        <v>0</v>
      </c>
      <c r="K167" s="1">
        <v>0</v>
      </c>
      <c r="L167" s="1">
        <v>0</v>
      </c>
      <c r="M167" s="1">
        <v>0</v>
      </c>
      <c r="N167" s="1">
        <v>0</v>
      </c>
      <c r="O167" s="1">
        <v>0</v>
      </c>
      <c r="P167" s="1">
        <v>3</v>
      </c>
      <c r="Q167" s="24">
        <f t="shared" si="6"/>
        <v>20</v>
      </c>
      <c r="R167" s="23">
        <v>1100</v>
      </c>
      <c r="S167" s="1">
        <v>727</v>
      </c>
      <c r="T167" s="1">
        <v>663</v>
      </c>
      <c r="U167" s="1">
        <v>318</v>
      </c>
      <c r="V167" s="1">
        <v>0</v>
      </c>
      <c r="W167" s="1">
        <v>0</v>
      </c>
      <c r="X167" s="1">
        <v>0</v>
      </c>
      <c r="Y167" s="1">
        <v>0</v>
      </c>
      <c r="Z167" s="1">
        <v>0</v>
      </c>
      <c r="AA167" s="1">
        <v>0</v>
      </c>
      <c r="AB167" s="1">
        <v>0</v>
      </c>
      <c r="AC167" s="1">
        <v>545</v>
      </c>
      <c r="AD167" s="24">
        <f t="shared" si="7"/>
        <v>3353</v>
      </c>
      <c r="AE167" s="23">
        <v>0</v>
      </c>
      <c r="AF167" s="1">
        <v>0</v>
      </c>
      <c r="AG167" s="1">
        <v>0</v>
      </c>
      <c r="AH167" s="1">
        <v>0</v>
      </c>
      <c r="AI167" s="1">
        <v>0</v>
      </c>
      <c r="AJ167" s="1">
        <v>0</v>
      </c>
      <c r="AK167" s="1">
        <v>0</v>
      </c>
      <c r="AL167" s="1">
        <v>0</v>
      </c>
      <c r="AM167" s="1">
        <v>0</v>
      </c>
      <c r="AN167" s="1">
        <v>0</v>
      </c>
      <c r="AO167" s="1">
        <v>0</v>
      </c>
      <c r="AP167" s="1">
        <v>0</v>
      </c>
      <c r="AQ167" s="24">
        <f t="shared" si="8"/>
        <v>0</v>
      </c>
    </row>
    <row r="168" spans="1:43" ht="17.25" customHeight="1" x14ac:dyDescent="0.45">
      <c r="A168" s="12" t="s">
        <v>10</v>
      </c>
      <c r="B168" s="12" t="s">
        <v>66</v>
      </c>
      <c r="C168" s="12" t="s">
        <v>171</v>
      </c>
      <c r="D168" s="12" t="s">
        <v>65</v>
      </c>
      <c r="E168" s="25">
        <v>44</v>
      </c>
      <c r="F168" s="10">
        <v>44</v>
      </c>
      <c r="G168" s="10">
        <v>48</v>
      </c>
      <c r="H168" s="10">
        <v>34</v>
      </c>
      <c r="I168" s="10">
        <v>5</v>
      </c>
      <c r="J168" s="10">
        <v>4</v>
      </c>
      <c r="K168" s="10">
        <v>0</v>
      </c>
      <c r="L168" s="10">
        <v>0</v>
      </c>
      <c r="M168" s="10">
        <v>0</v>
      </c>
      <c r="N168" s="10">
        <v>5</v>
      </c>
      <c r="O168" s="10">
        <v>31</v>
      </c>
      <c r="P168" s="10">
        <v>48</v>
      </c>
      <c r="Q168" s="26">
        <f t="shared" si="6"/>
        <v>263</v>
      </c>
      <c r="R168" s="25">
        <v>7324</v>
      </c>
      <c r="S168" s="10">
        <v>7344</v>
      </c>
      <c r="T168" s="10">
        <v>7659</v>
      </c>
      <c r="U168" s="10">
        <v>4687</v>
      </c>
      <c r="V168" s="10">
        <v>694</v>
      </c>
      <c r="W168" s="10">
        <v>367</v>
      </c>
      <c r="X168" s="10">
        <v>0</v>
      </c>
      <c r="Y168" s="10">
        <v>0</v>
      </c>
      <c r="Z168" s="10">
        <v>0</v>
      </c>
      <c r="AA168" s="10">
        <v>415</v>
      </c>
      <c r="AB168" s="10">
        <v>4150</v>
      </c>
      <c r="AC168" s="10">
        <v>6952</v>
      </c>
      <c r="AD168" s="26">
        <f t="shared" si="7"/>
        <v>39592</v>
      </c>
      <c r="AE168" s="25">
        <v>0</v>
      </c>
      <c r="AF168" s="10">
        <v>0</v>
      </c>
      <c r="AG168" s="10">
        <v>0</v>
      </c>
      <c r="AH168" s="10">
        <v>0</v>
      </c>
      <c r="AI168" s="10">
        <v>0</v>
      </c>
      <c r="AJ168" s="10">
        <v>0</v>
      </c>
      <c r="AK168" s="10">
        <v>0</v>
      </c>
      <c r="AL168" s="10">
        <v>0</v>
      </c>
      <c r="AM168" s="10">
        <v>0</v>
      </c>
      <c r="AN168" s="10">
        <v>0</v>
      </c>
      <c r="AO168" s="10">
        <v>0</v>
      </c>
      <c r="AP168" s="10">
        <v>0</v>
      </c>
      <c r="AQ168" s="26">
        <f t="shared" si="8"/>
        <v>0</v>
      </c>
    </row>
    <row r="169" spans="1:43" ht="17.25" customHeight="1" x14ac:dyDescent="0.45">
      <c r="A169" s="2" t="s">
        <v>10</v>
      </c>
      <c r="B169" s="2" t="s">
        <v>66</v>
      </c>
      <c r="C169" s="2" t="s">
        <v>469</v>
      </c>
      <c r="D169" s="2" t="s">
        <v>470</v>
      </c>
      <c r="E169" s="23">
        <v>13</v>
      </c>
      <c r="F169" s="1">
        <v>12</v>
      </c>
      <c r="G169" s="1">
        <v>13</v>
      </c>
      <c r="H169" s="1">
        <v>13</v>
      </c>
      <c r="I169" s="1">
        <v>9</v>
      </c>
      <c r="J169" s="1">
        <v>5</v>
      </c>
      <c r="K169" s="1">
        <v>7</v>
      </c>
      <c r="L169" s="1">
        <v>9</v>
      </c>
      <c r="M169" s="1">
        <v>5</v>
      </c>
      <c r="N169" s="1">
        <v>10</v>
      </c>
      <c r="O169" s="1">
        <v>11</v>
      </c>
      <c r="P169" s="1">
        <v>13</v>
      </c>
      <c r="Q169" s="24">
        <f t="shared" si="6"/>
        <v>120</v>
      </c>
      <c r="R169" s="23">
        <v>3662</v>
      </c>
      <c r="S169" s="1">
        <v>3364</v>
      </c>
      <c r="T169" s="1">
        <v>3879</v>
      </c>
      <c r="U169" s="1">
        <v>3723</v>
      </c>
      <c r="V169" s="1">
        <v>2670</v>
      </c>
      <c r="W169" s="1">
        <v>1427</v>
      </c>
      <c r="X169" s="1">
        <v>1904</v>
      </c>
      <c r="Y169" s="1">
        <v>2724</v>
      </c>
      <c r="Z169" s="1">
        <v>1436</v>
      </c>
      <c r="AA169" s="1">
        <v>2457</v>
      </c>
      <c r="AB169" s="1">
        <v>3191</v>
      </c>
      <c r="AC169" s="1">
        <v>3634</v>
      </c>
      <c r="AD169" s="24">
        <f t="shared" si="7"/>
        <v>34071</v>
      </c>
      <c r="AE169" s="23">
        <v>0</v>
      </c>
      <c r="AF169" s="1">
        <v>0</v>
      </c>
      <c r="AG169" s="1">
        <v>0</v>
      </c>
      <c r="AH169" s="1">
        <v>7</v>
      </c>
      <c r="AI169" s="1">
        <v>0</v>
      </c>
      <c r="AJ169" s="1">
        <v>0</v>
      </c>
      <c r="AK169" s="1">
        <v>25</v>
      </c>
      <c r="AL169" s="1">
        <v>0</v>
      </c>
      <c r="AM169" s="1">
        <v>0</v>
      </c>
      <c r="AN169" s="1">
        <v>0</v>
      </c>
      <c r="AO169" s="1">
        <v>49</v>
      </c>
      <c r="AP169" s="1">
        <v>0</v>
      </c>
      <c r="AQ169" s="24">
        <f t="shared" si="8"/>
        <v>81</v>
      </c>
    </row>
    <row r="170" spans="1:43" ht="17.25" customHeight="1" x14ac:dyDescent="0.45">
      <c r="A170" s="12" t="s">
        <v>219</v>
      </c>
      <c r="B170" s="12" t="s">
        <v>220</v>
      </c>
      <c r="C170" s="12" t="s">
        <v>10</v>
      </c>
      <c r="D170" s="12" t="s">
        <v>66</v>
      </c>
      <c r="E170" s="25">
        <v>12</v>
      </c>
      <c r="F170" s="10">
        <v>8</v>
      </c>
      <c r="G170" s="10">
        <v>10</v>
      </c>
      <c r="H170" s="10">
        <v>9</v>
      </c>
      <c r="I170" s="10">
        <v>9</v>
      </c>
      <c r="J170" s="10">
        <v>8</v>
      </c>
      <c r="K170" s="10">
        <v>8</v>
      </c>
      <c r="L170" s="10">
        <v>9</v>
      </c>
      <c r="M170" s="10">
        <v>9</v>
      </c>
      <c r="N170" s="10">
        <v>7</v>
      </c>
      <c r="O170" s="10">
        <v>5</v>
      </c>
      <c r="P170" s="10">
        <v>9</v>
      </c>
      <c r="Q170" s="26">
        <f t="shared" si="6"/>
        <v>103</v>
      </c>
      <c r="R170" s="25">
        <v>1380</v>
      </c>
      <c r="S170" s="10">
        <v>592</v>
      </c>
      <c r="T170" s="10">
        <v>783</v>
      </c>
      <c r="U170" s="10">
        <v>571</v>
      </c>
      <c r="V170" s="10">
        <v>460</v>
      </c>
      <c r="W170" s="10">
        <v>421</v>
      </c>
      <c r="X170" s="10">
        <v>595</v>
      </c>
      <c r="Y170" s="10">
        <v>1643</v>
      </c>
      <c r="Z170" s="10">
        <v>1230</v>
      </c>
      <c r="AA170" s="10">
        <v>855</v>
      </c>
      <c r="AB170" s="10">
        <v>661</v>
      </c>
      <c r="AC170" s="10">
        <v>2293</v>
      </c>
      <c r="AD170" s="26">
        <f t="shared" si="7"/>
        <v>11484</v>
      </c>
      <c r="AE170" s="25">
        <v>0</v>
      </c>
      <c r="AF170" s="10">
        <v>0</v>
      </c>
      <c r="AG170" s="10">
        <v>0</v>
      </c>
      <c r="AH170" s="10">
        <v>0</v>
      </c>
      <c r="AI170" s="10">
        <v>0</v>
      </c>
      <c r="AJ170" s="10">
        <v>0</v>
      </c>
      <c r="AK170" s="10">
        <v>0</v>
      </c>
      <c r="AL170" s="10">
        <v>0</v>
      </c>
      <c r="AM170" s="10">
        <v>0</v>
      </c>
      <c r="AN170" s="10">
        <v>0</v>
      </c>
      <c r="AO170" s="10">
        <v>0</v>
      </c>
      <c r="AP170" s="10">
        <v>0</v>
      </c>
      <c r="AQ170" s="26">
        <f t="shared" si="8"/>
        <v>0</v>
      </c>
    </row>
    <row r="171" spans="1:43" ht="17.25" customHeight="1" x14ac:dyDescent="0.45">
      <c r="A171" s="2" t="s">
        <v>219</v>
      </c>
      <c r="B171" s="2" t="s">
        <v>220</v>
      </c>
      <c r="C171" s="2" t="s">
        <v>14</v>
      </c>
      <c r="D171" s="2" t="s">
        <v>66</v>
      </c>
      <c r="E171" s="23">
        <v>6</v>
      </c>
      <c r="F171" s="1">
        <v>4</v>
      </c>
      <c r="G171" s="1">
        <v>5</v>
      </c>
      <c r="H171" s="1">
        <v>5</v>
      </c>
      <c r="I171" s="1">
        <v>4</v>
      </c>
      <c r="J171" s="1">
        <v>4</v>
      </c>
      <c r="K171" s="1">
        <v>6</v>
      </c>
      <c r="L171" s="1">
        <v>4</v>
      </c>
      <c r="M171" s="1">
        <v>4</v>
      </c>
      <c r="N171" s="1">
        <v>5</v>
      </c>
      <c r="O171" s="1">
        <v>4</v>
      </c>
      <c r="P171" s="1">
        <v>5</v>
      </c>
      <c r="Q171" s="24">
        <f t="shared" si="6"/>
        <v>56</v>
      </c>
      <c r="R171" s="23">
        <v>1222</v>
      </c>
      <c r="S171" s="1">
        <v>518</v>
      </c>
      <c r="T171" s="1">
        <v>518</v>
      </c>
      <c r="U171" s="1">
        <v>621</v>
      </c>
      <c r="V171" s="1">
        <v>409</v>
      </c>
      <c r="W171" s="1">
        <v>450</v>
      </c>
      <c r="X171" s="1">
        <v>789</v>
      </c>
      <c r="Y171" s="1">
        <v>1021</v>
      </c>
      <c r="Z171" s="1">
        <v>742</v>
      </c>
      <c r="AA171" s="1">
        <v>741</v>
      </c>
      <c r="AB171" s="1">
        <v>913</v>
      </c>
      <c r="AC171" s="1">
        <v>1073</v>
      </c>
      <c r="AD171" s="24">
        <f t="shared" si="7"/>
        <v>9017</v>
      </c>
      <c r="AE171" s="23">
        <v>0</v>
      </c>
      <c r="AF171" s="1">
        <v>0</v>
      </c>
      <c r="AG171" s="1">
        <v>0</v>
      </c>
      <c r="AH171" s="1">
        <v>0</v>
      </c>
      <c r="AI171" s="1">
        <v>0</v>
      </c>
      <c r="AJ171" s="1">
        <v>0</v>
      </c>
      <c r="AK171" s="1">
        <v>0</v>
      </c>
      <c r="AL171" s="1">
        <v>0</v>
      </c>
      <c r="AM171" s="1">
        <v>0</v>
      </c>
      <c r="AN171" s="1">
        <v>0</v>
      </c>
      <c r="AO171" s="1">
        <v>0</v>
      </c>
      <c r="AP171" s="1">
        <v>0</v>
      </c>
      <c r="AQ171" s="24">
        <f t="shared" si="8"/>
        <v>0</v>
      </c>
    </row>
    <row r="172" spans="1:43" ht="17.25" customHeight="1" x14ac:dyDescent="0.45">
      <c r="A172" s="12" t="s">
        <v>97</v>
      </c>
      <c r="B172" s="12" t="s">
        <v>68</v>
      </c>
      <c r="C172" s="12" t="s">
        <v>10</v>
      </c>
      <c r="D172" s="12" t="s">
        <v>66</v>
      </c>
      <c r="E172" s="25">
        <v>147</v>
      </c>
      <c r="F172" s="10">
        <v>143</v>
      </c>
      <c r="G172" s="10">
        <v>155</v>
      </c>
      <c r="H172" s="10">
        <v>146</v>
      </c>
      <c r="I172" s="10">
        <v>130</v>
      </c>
      <c r="J172" s="10">
        <v>125</v>
      </c>
      <c r="K172" s="10">
        <v>122</v>
      </c>
      <c r="L172" s="10">
        <v>93</v>
      </c>
      <c r="M172" s="10">
        <v>78</v>
      </c>
      <c r="N172" s="10">
        <v>105</v>
      </c>
      <c r="O172" s="10">
        <v>96</v>
      </c>
      <c r="P172" s="10">
        <v>130</v>
      </c>
      <c r="Q172" s="26">
        <f t="shared" si="6"/>
        <v>1470</v>
      </c>
      <c r="R172" s="25">
        <v>21499</v>
      </c>
      <c r="S172" s="10">
        <v>24371</v>
      </c>
      <c r="T172" s="10">
        <v>27576</v>
      </c>
      <c r="U172" s="10">
        <v>23845</v>
      </c>
      <c r="V172" s="10">
        <v>22614</v>
      </c>
      <c r="W172" s="10">
        <v>22531</v>
      </c>
      <c r="X172" s="10">
        <v>20938</v>
      </c>
      <c r="Y172" s="10">
        <v>16473</v>
      </c>
      <c r="Z172" s="10">
        <v>12982</v>
      </c>
      <c r="AA172" s="10">
        <v>17960</v>
      </c>
      <c r="AB172" s="10">
        <v>15319</v>
      </c>
      <c r="AC172" s="10">
        <v>22118</v>
      </c>
      <c r="AD172" s="26">
        <f t="shared" si="7"/>
        <v>248226</v>
      </c>
      <c r="AE172" s="25">
        <v>129.72741782000003</v>
      </c>
      <c r="AF172" s="10">
        <v>271.70182963000002</v>
      </c>
      <c r="AG172" s="10">
        <v>307.53562686000004</v>
      </c>
      <c r="AH172" s="10">
        <v>85</v>
      </c>
      <c r="AI172" s="10">
        <v>261.26920511999998</v>
      </c>
      <c r="AJ172" s="10">
        <v>354.25564097000006</v>
      </c>
      <c r="AK172" s="10">
        <v>180.07617089000001</v>
      </c>
      <c r="AL172" s="10">
        <v>49.441568330000003</v>
      </c>
      <c r="AM172" s="10">
        <v>315.24669714999999</v>
      </c>
      <c r="AN172" s="10">
        <v>63.956524170000002</v>
      </c>
      <c r="AO172" s="10">
        <v>59.420600470000004</v>
      </c>
      <c r="AP172" s="10">
        <v>26.761949829999999</v>
      </c>
      <c r="AQ172" s="26">
        <f t="shared" si="8"/>
        <v>2104.3932312400002</v>
      </c>
    </row>
    <row r="173" spans="1:43" ht="17.25" customHeight="1" x14ac:dyDescent="0.45">
      <c r="A173" s="2" t="s">
        <v>97</v>
      </c>
      <c r="B173" s="2" t="s">
        <v>68</v>
      </c>
      <c r="C173" s="2" t="s">
        <v>46</v>
      </c>
      <c r="D173" s="2" t="s">
        <v>66</v>
      </c>
      <c r="E173" s="23">
        <v>4</v>
      </c>
      <c r="F173" s="1">
        <v>4</v>
      </c>
      <c r="G173" s="1">
        <v>5</v>
      </c>
      <c r="H173" s="1">
        <v>4</v>
      </c>
      <c r="I173" s="1">
        <v>4</v>
      </c>
      <c r="J173" s="1">
        <v>5</v>
      </c>
      <c r="K173" s="1">
        <v>4</v>
      </c>
      <c r="L173" s="1">
        <v>1</v>
      </c>
      <c r="M173" s="1">
        <v>0</v>
      </c>
      <c r="N173" s="1">
        <v>3</v>
      </c>
      <c r="O173" s="1">
        <v>5</v>
      </c>
      <c r="P173" s="1">
        <v>4</v>
      </c>
      <c r="Q173" s="24">
        <f t="shared" si="6"/>
        <v>43</v>
      </c>
      <c r="R173" s="23">
        <v>511</v>
      </c>
      <c r="S173" s="1">
        <v>572</v>
      </c>
      <c r="T173" s="1">
        <v>712</v>
      </c>
      <c r="U173" s="1">
        <v>486</v>
      </c>
      <c r="V173" s="1">
        <v>545</v>
      </c>
      <c r="W173" s="1">
        <v>700</v>
      </c>
      <c r="X173" s="1">
        <v>526</v>
      </c>
      <c r="Y173" s="1">
        <v>138</v>
      </c>
      <c r="Z173" s="1">
        <v>0</v>
      </c>
      <c r="AA173" s="1">
        <v>439</v>
      </c>
      <c r="AB173" s="1">
        <v>656</v>
      </c>
      <c r="AC173" s="1">
        <v>530</v>
      </c>
      <c r="AD173" s="24">
        <f t="shared" si="7"/>
        <v>5815</v>
      </c>
      <c r="AE173" s="23">
        <v>0</v>
      </c>
      <c r="AF173" s="1">
        <v>0</v>
      </c>
      <c r="AG173" s="1">
        <v>0</v>
      </c>
      <c r="AH173" s="1">
        <v>0</v>
      </c>
      <c r="AI173" s="1">
        <v>0</v>
      </c>
      <c r="AJ173" s="1">
        <v>0</v>
      </c>
      <c r="AK173" s="1">
        <v>0</v>
      </c>
      <c r="AL173" s="1">
        <v>0</v>
      </c>
      <c r="AM173" s="1">
        <v>0</v>
      </c>
      <c r="AN173" s="1">
        <v>0</v>
      </c>
      <c r="AO173" s="1">
        <v>0</v>
      </c>
      <c r="AP173" s="1">
        <v>0</v>
      </c>
      <c r="AQ173" s="24">
        <f t="shared" si="8"/>
        <v>0</v>
      </c>
    </row>
    <row r="174" spans="1:43" ht="17.25" customHeight="1" x14ac:dyDescent="0.45">
      <c r="A174" s="12" t="s">
        <v>97</v>
      </c>
      <c r="B174" s="12" t="s">
        <v>68</v>
      </c>
      <c r="C174" s="12" t="s">
        <v>11</v>
      </c>
      <c r="D174" s="12" t="s">
        <v>66</v>
      </c>
      <c r="E174" s="25">
        <v>8</v>
      </c>
      <c r="F174" s="10">
        <v>9</v>
      </c>
      <c r="G174" s="10">
        <v>10</v>
      </c>
      <c r="H174" s="10">
        <v>11</v>
      </c>
      <c r="I174" s="10">
        <v>13</v>
      </c>
      <c r="J174" s="10">
        <v>13</v>
      </c>
      <c r="K174" s="10">
        <v>13</v>
      </c>
      <c r="L174" s="10">
        <v>14</v>
      </c>
      <c r="M174" s="10">
        <v>12</v>
      </c>
      <c r="N174" s="10">
        <v>14</v>
      </c>
      <c r="O174" s="10">
        <v>13</v>
      </c>
      <c r="P174" s="10">
        <v>13</v>
      </c>
      <c r="Q174" s="26">
        <f t="shared" si="6"/>
        <v>143</v>
      </c>
      <c r="R174" s="25">
        <v>1162</v>
      </c>
      <c r="S174" s="10">
        <v>1135</v>
      </c>
      <c r="T174" s="10">
        <v>1264</v>
      </c>
      <c r="U174" s="10">
        <v>1021</v>
      </c>
      <c r="V174" s="10">
        <v>1518</v>
      </c>
      <c r="W174" s="10">
        <v>2046</v>
      </c>
      <c r="X174" s="10">
        <v>1981</v>
      </c>
      <c r="Y174" s="10">
        <v>1662</v>
      </c>
      <c r="Z174" s="10">
        <v>1331</v>
      </c>
      <c r="AA174" s="10">
        <v>1790</v>
      </c>
      <c r="AB174" s="10">
        <v>1540</v>
      </c>
      <c r="AC174" s="10">
        <v>2162</v>
      </c>
      <c r="AD174" s="26">
        <f t="shared" si="7"/>
        <v>18612</v>
      </c>
      <c r="AE174" s="25">
        <v>0</v>
      </c>
      <c r="AF174" s="10">
        <v>0</v>
      </c>
      <c r="AG174" s="10">
        <v>0</v>
      </c>
      <c r="AH174" s="10">
        <v>0</v>
      </c>
      <c r="AI174" s="10">
        <v>0</v>
      </c>
      <c r="AJ174" s="10">
        <v>0</v>
      </c>
      <c r="AK174" s="10">
        <v>0</v>
      </c>
      <c r="AL174" s="10">
        <v>0</v>
      </c>
      <c r="AM174" s="10">
        <v>0</v>
      </c>
      <c r="AN174" s="10">
        <v>0</v>
      </c>
      <c r="AO174" s="10">
        <v>0</v>
      </c>
      <c r="AP174" s="10">
        <v>0</v>
      </c>
      <c r="AQ174" s="26">
        <f t="shared" si="8"/>
        <v>0</v>
      </c>
    </row>
    <row r="175" spans="1:43" ht="17.25" customHeight="1" x14ac:dyDescent="0.45">
      <c r="A175" s="2" t="s">
        <v>97</v>
      </c>
      <c r="B175" s="2" t="s">
        <v>68</v>
      </c>
      <c r="C175" s="2" t="s">
        <v>12</v>
      </c>
      <c r="D175" s="2" t="s">
        <v>66</v>
      </c>
      <c r="E175" s="23">
        <v>31</v>
      </c>
      <c r="F175" s="1">
        <v>29</v>
      </c>
      <c r="G175" s="1">
        <v>31</v>
      </c>
      <c r="H175" s="1">
        <v>30</v>
      </c>
      <c r="I175" s="1">
        <v>31</v>
      </c>
      <c r="J175" s="1">
        <v>30</v>
      </c>
      <c r="K175" s="1">
        <v>30</v>
      </c>
      <c r="L175" s="1">
        <v>31</v>
      </c>
      <c r="M175" s="1">
        <v>29</v>
      </c>
      <c r="N175" s="1">
        <v>21</v>
      </c>
      <c r="O175" s="1">
        <v>30</v>
      </c>
      <c r="P175" s="1">
        <v>31</v>
      </c>
      <c r="Q175" s="24">
        <f t="shared" si="6"/>
        <v>354</v>
      </c>
      <c r="R175" s="23">
        <v>4467</v>
      </c>
      <c r="S175" s="1">
        <v>4143</v>
      </c>
      <c r="T175" s="1">
        <v>4709</v>
      </c>
      <c r="U175" s="1">
        <v>4373</v>
      </c>
      <c r="V175" s="1">
        <v>4615</v>
      </c>
      <c r="W175" s="1">
        <v>4775</v>
      </c>
      <c r="X175" s="1">
        <v>4716</v>
      </c>
      <c r="Y175" s="1">
        <v>4467</v>
      </c>
      <c r="Z175" s="1">
        <v>3539</v>
      </c>
      <c r="AA175" s="1">
        <v>3228</v>
      </c>
      <c r="AB175" s="1">
        <v>4725</v>
      </c>
      <c r="AC175" s="1">
        <v>5066</v>
      </c>
      <c r="AD175" s="24">
        <f t="shared" si="7"/>
        <v>52823</v>
      </c>
      <c r="AE175" s="23">
        <v>2741.0586919100006</v>
      </c>
      <c r="AF175" s="1">
        <v>3323.9248873600004</v>
      </c>
      <c r="AG175" s="1">
        <v>3203.72290931</v>
      </c>
      <c r="AH175" s="1">
        <v>2705</v>
      </c>
      <c r="AI175" s="1">
        <v>1762.2063574499998</v>
      </c>
      <c r="AJ175" s="1">
        <v>4.9895160699999996</v>
      </c>
      <c r="AK175" s="1">
        <v>2.2679618500000003</v>
      </c>
      <c r="AL175" s="1">
        <v>238.13599425000001</v>
      </c>
      <c r="AM175" s="1">
        <v>1372.5705116199999</v>
      </c>
      <c r="AN175" s="1">
        <v>4189.3791293200002</v>
      </c>
      <c r="AO175" s="1">
        <v>2469.3568622800003</v>
      </c>
      <c r="AP175" s="1">
        <v>2200.3765868700002</v>
      </c>
      <c r="AQ175" s="24">
        <f t="shared" si="8"/>
        <v>24212.989408290003</v>
      </c>
    </row>
    <row r="176" spans="1:43" ht="17.25" customHeight="1" x14ac:dyDescent="0.45">
      <c r="A176" s="12" t="s">
        <v>97</v>
      </c>
      <c r="B176" s="12" t="s">
        <v>68</v>
      </c>
      <c r="C176" s="12" t="s">
        <v>48</v>
      </c>
      <c r="D176" s="12" t="s">
        <v>66</v>
      </c>
      <c r="E176" s="25">
        <v>31</v>
      </c>
      <c r="F176" s="10">
        <v>25</v>
      </c>
      <c r="G176" s="10">
        <v>23</v>
      </c>
      <c r="H176" s="10">
        <v>5</v>
      </c>
      <c r="I176" s="10">
        <v>4</v>
      </c>
      <c r="J176" s="10">
        <v>20</v>
      </c>
      <c r="K176" s="10">
        <v>19</v>
      </c>
      <c r="L176" s="10">
        <v>5</v>
      </c>
      <c r="M176" s="10">
        <v>0</v>
      </c>
      <c r="N176" s="10">
        <v>0</v>
      </c>
      <c r="O176" s="10">
        <v>4</v>
      </c>
      <c r="P176" s="10">
        <v>12</v>
      </c>
      <c r="Q176" s="26">
        <f t="shared" si="6"/>
        <v>148</v>
      </c>
      <c r="R176" s="25">
        <v>4017</v>
      </c>
      <c r="S176" s="10">
        <v>3976</v>
      </c>
      <c r="T176" s="10">
        <v>4229</v>
      </c>
      <c r="U176" s="10">
        <v>816</v>
      </c>
      <c r="V176" s="10">
        <v>681</v>
      </c>
      <c r="W176" s="10">
        <v>3621</v>
      </c>
      <c r="X176" s="10">
        <v>3372</v>
      </c>
      <c r="Y176" s="10">
        <v>830</v>
      </c>
      <c r="Z176" s="10">
        <v>0</v>
      </c>
      <c r="AA176" s="10">
        <v>0</v>
      </c>
      <c r="AB176" s="10">
        <v>661</v>
      </c>
      <c r="AC176" s="10">
        <v>2095</v>
      </c>
      <c r="AD176" s="26">
        <f t="shared" si="7"/>
        <v>24298</v>
      </c>
      <c r="AE176" s="25">
        <v>48.080791220000002</v>
      </c>
      <c r="AF176" s="10">
        <v>0</v>
      </c>
      <c r="AG176" s="10">
        <v>0</v>
      </c>
      <c r="AH176" s="10">
        <v>0</v>
      </c>
      <c r="AI176" s="10">
        <v>0.90718474000000004</v>
      </c>
      <c r="AJ176" s="10">
        <v>0</v>
      </c>
      <c r="AK176" s="10">
        <v>0</v>
      </c>
      <c r="AL176" s="10">
        <v>0</v>
      </c>
      <c r="AM176" s="10">
        <v>0</v>
      </c>
      <c r="AN176" s="10">
        <v>0</v>
      </c>
      <c r="AO176" s="10">
        <v>0</v>
      </c>
      <c r="AP176" s="10">
        <v>0</v>
      </c>
      <c r="AQ176" s="26">
        <f t="shared" si="8"/>
        <v>48.98797596</v>
      </c>
    </row>
    <row r="177" spans="1:43" ht="17.25" customHeight="1" x14ac:dyDescent="0.45">
      <c r="A177" s="2" t="s">
        <v>97</v>
      </c>
      <c r="B177" s="2" t="s">
        <v>68</v>
      </c>
      <c r="C177" s="2" t="s">
        <v>247</v>
      </c>
      <c r="D177" s="2" t="s">
        <v>66</v>
      </c>
      <c r="E177" s="23">
        <v>0</v>
      </c>
      <c r="F177" s="1">
        <v>0</v>
      </c>
      <c r="G177" s="1">
        <v>4</v>
      </c>
      <c r="H177" s="1">
        <v>30</v>
      </c>
      <c r="I177" s="1">
        <v>31</v>
      </c>
      <c r="J177" s="1">
        <v>30</v>
      </c>
      <c r="K177" s="1">
        <v>28</v>
      </c>
      <c r="L177" s="1">
        <v>30</v>
      </c>
      <c r="M177" s="1">
        <v>23</v>
      </c>
      <c r="N177" s="1">
        <v>19</v>
      </c>
      <c r="O177" s="1">
        <v>21</v>
      </c>
      <c r="P177" s="1">
        <v>25</v>
      </c>
      <c r="Q177" s="24">
        <f t="shared" si="6"/>
        <v>241</v>
      </c>
      <c r="R177" s="23">
        <v>0</v>
      </c>
      <c r="S177" s="1">
        <v>0</v>
      </c>
      <c r="T177" s="1">
        <v>660</v>
      </c>
      <c r="U177" s="1">
        <v>3095</v>
      </c>
      <c r="V177" s="1">
        <v>3862</v>
      </c>
      <c r="W177" s="1">
        <v>4401</v>
      </c>
      <c r="X177" s="1">
        <v>3796</v>
      </c>
      <c r="Y177" s="1">
        <v>3754</v>
      </c>
      <c r="Z177" s="1">
        <v>1821</v>
      </c>
      <c r="AA177" s="1">
        <v>2181</v>
      </c>
      <c r="AB177" s="1">
        <v>1849</v>
      </c>
      <c r="AC177" s="1">
        <v>2986</v>
      </c>
      <c r="AD177" s="24">
        <f t="shared" si="7"/>
        <v>28405</v>
      </c>
      <c r="AE177" s="23">
        <v>0</v>
      </c>
      <c r="AF177" s="1">
        <v>0</v>
      </c>
      <c r="AG177" s="1">
        <v>0</v>
      </c>
      <c r="AH177" s="1">
        <v>0</v>
      </c>
      <c r="AI177" s="1">
        <v>0</v>
      </c>
      <c r="AJ177" s="1">
        <v>0</v>
      </c>
      <c r="AK177" s="1">
        <v>0</v>
      </c>
      <c r="AL177" s="1">
        <v>0</v>
      </c>
      <c r="AM177" s="1">
        <v>0</v>
      </c>
      <c r="AN177" s="1">
        <v>9.5254397700000002</v>
      </c>
      <c r="AO177" s="1">
        <v>0</v>
      </c>
      <c r="AP177" s="1">
        <v>0</v>
      </c>
      <c r="AQ177" s="24">
        <f t="shared" si="8"/>
        <v>9.5254397700000002</v>
      </c>
    </row>
    <row r="178" spans="1:43" ht="17.25" customHeight="1" x14ac:dyDescent="0.45">
      <c r="A178" s="12" t="s">
        <v>72</v>
      </c>
      <c r="B178" s="12" t="s">
        <v>68</v>
      </c>
      <c r="C178" s="12" t="s">
        <v>16</v>
      </c>
      <c r="D178" s="12" t="s">
        <v>66</v>
      </c>
      <c r="E178" s="25">
        <v>18</v>
      </c>
      <c r="F178" s="10">
        <v>16</v>
      </c>
      <c r="G178" s="10">
        <v>18</v>
      </c>
      <c r="H178" s="10">
        <v>21</v>
      </c>
      <c r="I178" s="10">
        <v>22</v>
      </c>
      <c r="J178" s="10">
        <v>22</v>
      </c>
      <c r="K178" s="10">
        <v>22</v>
      </c>
      <c r="L178" s="10">
        <v>22</v>
      </c>
      <c r="M178" s="10">
        <v>21</v>
      </c>
      <c r="N178" s="10">
        <v>21</v>
      </c>
      <c r="O178" s="10">
        <v>22</v>
      </c>
      <c r="P178" s="10">
        <v>22</v>
      </c>
      <c r="Q178" s="26">
        <f t="shared" si="6"/>
        <v>247</v>
      </c>
      <c r="R178" s="25">
        <v>2060</v>
      </c>
      <c r="S178" s="10">
        <v>1815</v>
      </c>
      <c r="T178" s="10">
        <v>2099</v>
      </c>
      <c r="U178" s="10">
        <v>2416</v>
      </c>
      <c r="V178" s="10">
        <v>2658</v>
      </c>
      <c r="W178" s="10">
        <v>2852</v>
      </c>
      <c r="X178" s="10">
        <v>2749</v>
      </c>
      <c r="Y178" s="10">
        <v>2800</v>
      </c>
      <c r="Z178" s="10">
        <v>2659</v>
      </c>
      <c r="AA178" s="10">
        <v>2810</v>
      </c>
      <c r="AB178" s="10">
        <v>2925</v>
      </c>
      <c r="AC178" s="10">
        <v>3390</v>
      </c>
      <c r="AD178" s="26">
        <f t="shared" si="7"/>
        <v>31233</v>
      </c>
      <c r="AE178" s="25">
        <v>0</v>
      </c>
      <c r="AF178" s="10">
        <v>0</v>
      </c>
      <c r="AG178" s="10">
        <v>0</v>
      </c>
      <c r="AH178" s="10">
        <v>0</v>
      </c>
      <c r="AI178" s="10">
        <v>0</v>
      </c>
      <c r="AJ178" s="10">
        <v>0</v>
      </c>
      <c r="AK178" s="10">
        <v>0</v>
      </c>
      <c r="AL178" s="10">
        <v>0</v>
      </c>
      <c r="AM178" s="10">
        <v>0</v>
      </c>
      <c r="AN178" s="10">
        <v>0</v>
      </c>
      <c r="AO178" s="10">
        <v>0</v>
      </c>
      <c r="AP178" s="10">
        <v>0</v>
      </c>
      <c r="AQ178" s="26">
        <f t="shared" si="8"/>
        <v>0</v>
      </c>
    </row>
    <row r="179" spans="1:43" ht="17.25" customHeight="1" x14ac:dyDescent="0.45">
      <c r="A179" s="2" t="s">
        <v>72</v>
      </c>
      <c r="B179" s="2" t="s">
        <v>68</v>
      </c>
      <c r="C179" s="2" t="s">
        <v>10</v>
      </c>
      <c r="D179" s="2" t="s">
        <v>66</v>
      </c>
      <c r="E179" s="23">
        <v>363</v>
      </c>
      <c r="F179" s="1">
        <v>347</v>
      </c>
      <c r="G179" s="1">
        <v>354</v>
      </c>
      <c r="H179" s="1">
        <v>267</v>
      </c>
      <c r="I179" s="1">
        <v>231</v>
      </c>
      <c r="J179" s="1">
        <v>239</v>
      </c>
      <c r="K179" s="1">
        <v>240</v>
      </c>
      <c r="L179" s="1">
        <v>187</v>
      </c>
      <c r="M179" s="1">
        <v>160</v>
      </c>
      <c r="N179" s="1">
        <v>198</v>
      </c>
      <c r="O179" s="1">
        <v>196</v>
      </c>
      <c r="P179" s="1">
        <v>234</v>
      </c>
      <c r="Q179" s="24">
        <f t="shared" si="6"/>
        <v>3016</v>
      </c>
      <c r="R179" s="23">
        <v>55891</v>
      </c>
      <c r="S179" s="1">
        <v>59732</v>
      </c>
      <c r="T179" s="1">
        <v>63657</v>
      </c>
      <c r="U179" s="1">
        <v>39938</v>
      </c>
      <c r="V179" s="1">
        <v>39894</v>
      </c>
      <c r="W179" s="1">
        <v>40352</v>
      </c>
      <c r="X179" s="1">
        <v>39459</v>
      </c>
      <c r="Y179" s="1">
        <v>30809</v>
      </c>
      <c r="Z179" s="1">
        <v>24999</v>
      </c>
      <c r="AA179" s="1">
        <v>33299</v>
      </c>
      <c r="AB179" s="1">
        <v>36518</v>
      </c>
      <c r="AC179" s="1">
        <v>46705</v>
      </c>
      <c r="AD179" s="24">
        <f t="shared" si="7"/>
        <v>511253</v>
      </c>
      <c r="AE179" s="23">
        <v>17177.921695320001</v>
      </c>
      <c r="AF179" s="1">
        <v>1952.5402471899999</v>
      </c>
      <c r="AG179" s="1">
        <v>8111.90718474</v>
      </c>
      <c r="AH179" s="1">
        <v>3528</v>
      </c>
      <c r="AI179" s="1">
        <v>4983.0027833800004</v>
      </c>
      <c r="AJ179" s="1">
        <v>5500.7046130099998</v>
      </c>
      <c r="AK179" s="1">
        <v>5240.6081238500001</v>
      </c>
      <c r="AL179" s="1">
        <v>3680.1441034600002</v>
      </c>
      <c r="AM179" s="1">
        <v>4712.4253326200005</v>
      </c>
      <c r="AN179" s="1">
        <v>1879.2371596500002</v>
      </c>
      <c r="AO179" s="1">
        <v>6229.3682367300007</v>
      </c>
      <c r="AP179" s="1">
        <v>20630.512877959998</v>
      </c>
      <c r="AQ179" s="24">
        <f t="shared" si="8"/>
        <v>83626.372357910004</v>
      </c>
    </row>
    <row r="180" spans="1:43" ht="17.25" customHeight="1" x14ac:dyDescent="0.45">
      <c r="A180" s="12" t="s">
        <v>72</v>
      </c>
      <c r="B180" s="12" t="s">
        <v>68</v>
      </c>
      <c r="C180" s="12" t="s">
        <v>46</v>
      </c>
      <c r="D180" s="12" t="s">
        <v>66</v>
      </c>
      <c r="E180" s="25">
        <v>8</v>
      </c>
      <c r="F180" s="10">
        <v>10</v>
      </c>
      <c r="G180" s="10">
        <v>14</v>
      </c>
      <c r="H180" s="10">
        <v>4</v>
      </c>
      <c r="I180" s="10">
        <v>0</v>
      </c>
      <c r="J180" s="10">
        <v>0</v>
      </c>
      <c r="K180" s="10">
        <v>0</v>
      </c>
      <c r="L180" s="10">
        <v>0</v>
      </c>
      <c r="M180" s="10">
        <v>0</v>
      </c>
      <c r="N180" s="10">
        <v>0</v>
      </c>
      <c r="O180" s="10">
        <v>0</v>
      </c>
      <c r="P180" s="10">
        <v>6</v>
      </c>
      <c r="Q180" s="26">
        <f t="shared" si="6"/>
        <v>42</v>
      </c>
      <c r="R180" s="25">
        <v>1054</v>
      </c>
      <c r="S180" s="10">
        <v>1502</v>
      </c>
      <c r="T180" s="10">
        <v>1976</v>
      </c>
      <c r="U180" s="10">
        <v>515</v>
      </c>
      <c r="V180" s="10">
        <v>0</v>
      </c>
      <c r="W180" s="10">
        <v>0</v>
      </c>
      <c r="X180" s="10">
        <v>0</v>
      </c>
      <c r="Y180" s="10">
        <v>0</v>
      </c>
      <c r="Z180" s="10">
        <v>0</v>
      </c>
      <c r="AA180" s="10">
        <v>0</v>
      </c>
      <c r="AB180" s="10">
        <v>0</v>
      </c>
      <c r="AC180" s="10">
        <v>928</v>
      </c>
      <c r="AD180" s="26">
        <f t="shared" si="7"/>
        <v>5975</v>
      </c>
      <c r="AE180" s="25">
        <v>0</v>
      </c>
      <c r="AF180" s="10">
        <v>0</v>
      </c>
      <c r="AG180" s="10">
        <v>9.0718474000000011</v>
      </c>
      <c r="AH180" s="10">
        <v>0</v>
      </c>
      <c r="AI180" s="10">
        <v>0</v>
      </c>
      <c r="AJ180" s="10">
        <v>0</v>
      </c>
      <c r="AK180" s="10">
        <v>0</v>
      </c>
      <c r="AL180" s="10">
        <v>0</v>
      </c>
      <c r="AM180" s="10">
        <v>0</v>
      </c>
      <c r="AN180" s="10">
        <v>0</v>
      </c>
      <c r="AO180" s="10">
        <v>0</v>
      </c>
      <c r="AP180" s="10">
        <v>0</v>
      </c>
      <c r="AQ180" s="26">
        <f t="shared" si="8"/>
        <v>9.0718474000000011</v>
      </c>
    </row>
    <row r="181" spans="1:43" ht="17.25" customHeight="1" x14ac:dyDescent="0.45">
      <c r="A181" s="2" t="s">
        <v>72</v>
      </c>
      <c r="B181" s="2" t="s">
        <v>68</v>
      </c>
      <c r="C181" s="2" t="s">
        <v>22</v>
      </c>
      <c r="D181" s="2" t="s">
        <v>66</v>
      </c>
      <c r="E181" s="23">
        <v>48</v>
      </c>
      <c r="F181" s="1">
        <v>46</v>
      </c>
      <c r="G181" s="1">
        <v>49</v>
      </c>
      <c r="H181" s="1">
        <v>47</v>
      </c>
      <c r="I181" s="1">
        <v>49</v>
      </c>
      <c r="J181" s="1">
        <v>57</v>
      </c>
      <c r="K181" s="1">
        <v>56</v>
      </c>
      <c r="L181" s="1">
        <v>57</v>
      </c>
      <c r="M181" s="1">
        <v>57</v>
      </c>
      <c r="N181" s="1">
        <v>57</v>
      </c>
      <c r="O181" s="1">
        <v>56</v>
      </c>
      <c r="P181" s="1">
        <v>66</v>
      </c>
      <c r="Q181" s="24">
        <f t="shared" si="6"/>
        <v>645</v>
      </c>
      <c r="R181" s="23">
        <v>5970</v>
      </c>
      <c r="S181" s="1">
        <v>4797</v>
      </c>
      <c r="T181" s="1">
        <v>5841</v>
      </c>
      <c r="U181" s="1">
        <v>4386</v>
      </c>
      <c r="V181" s="1">
        <v>5431</v>
      </c>
      <c r="W181" s="1">
        <v>7366</v>
      </c>
      <c r="X181" s="1">
        <v>7291</v>
      </c>
      <c r="Y181" s="1">
        <v>6681</v>
      </c>
      <c r="Z181" s="1">
        <v>6279</v>
      </c>
      <c r="AA181" s="1">
        <v>6433</v>
      </c>
      <c r="AB181" s="1">
        <v>5806</v>
      </c>
      <c r="AC181" s="1">
        <v>10370</v>
      </c>
      <c r="AD181" s="24">
        <f t="shared" si="7"/>
        <v>76651</v>
      </c>
      <c r="AE181" s="23">
        <v>0</v>
      </c>
      <c r="AF181" s="1">
        <v>0</v>
      </c>
      <c r="AG181" s="1">
        <v>0</v>
      </c>
      <c r="AH181" s="1">
        <v>0</v>
      </c>
      <c r="AI181" s="1">
        <v>0</v>
      </c>
      <c r="AJ181" s="1">
        <v>0</v>
      </c>
      <c r="AK181" s="1">
        <v>0</v>
      </c>
      <c r="AL181" s="1">
        <v>0</v>
      </c>
      <c r="AM181" s="1">
        <v>333</v>
      </c>
      <c r="AN181" s="1">
        <v>180</v>
      </c>
      <c r="AO181" s="1">
        <v>0</v>
      </c>
      <c r="AP181" s="1">
        <v>0</v>
      </c>
      <c r="AQ181" s="24">
        <f t="shared" si="8"/>
        <v>513</v>
      </c>
    </row>
    <row r="182" spans="1:43" ht="17.25" customHeight="1" x14ac:dyDescent="0.45">
      <c r="A182" s="12" t="s">
        <v>72</v>
      </c>
      <c r="B182" s="12" t="s">
        <v>68</v>
      </c>
      <c r="C182" s="12" t="s">
        <v>42</v>
      </c>
      <c r="D182" s="12" t="s">
        <v>66</v>
      </c>
      <c r="E182" s="25">
        <v>9</v>
      </c>
      <c r="F182" s="10">
        <v>8</v>
      </c>
      <c r="G182" s="10">
        <v>9</v>
      </c>
      <c r="H182" s="10">
        <v>12</v>
      </c>
      <c r="I182" s="10">
        <v>14</v>
      </c>
      <c r="J182" s="10">
        <v>13</v>
      </c>
      <c r="K182" s="10">
        <v>13</v>
      </c>
      <c r="L182" s="10">
        <v>14</v>
      </c>
      <c r="M182" s="10">
        <v>12</v>
      </c>
      <c r="N182" s="10">
        <v>14</v>
      </c>
      <c r="O182" s="10">
        <v>13</v>
      </c>
      <c r="P182" s="10">
        <v>12</v>
      </c>
      <c r="Q182" s="26">
        <f t="shared" si="6"/>
        <v>143</v>
      </c>
      <c r="R182" s="25">
        <v>1048</v>
      </c>
      <c r="S182" s="10">
        <v>969</v>
      </c>
      <c r="T182" s="10">
        <v>1109</v>
      </c>
      <c r="U182" s="10">
        <v>1307</v>
      </c>
      <c r="V182" s="10">
        <v>1589</v>
      </c>
      <c r="W182" s="10">
        <v>1673</v>
      </c>
      <c r="X182" s="10">
        <v>1733</v>
      </c>
      <c r="Y182" s="10">
        <v>1802</v>
      </c>
      <c r="Z182" s="10">
        <v>1527</v>
      </c>
      <c r="AA182" s="10">
        <v>1715</v>
      </c>
      <c r="AB182" s="10">
        <v>1729</v>
      </c>
      <c r="AC182" s="10">
        <v>1775</v>
      </c>
      <c r="AD182" s="26">
        <f t="shared" si="7"/>
        <v>17976</v>
      </c>
      <c r="AE182" s="25">
        <v>0</v>
      </c>
      <c r="AF182" s="10">
        <v>0</v>
      </c>
      <c r="AG182" s="10">
        <v>0</v>
      </c>
      <c r="AH182" s="10">
        <v>0</v>
      </c>
      <c r="AI182" s="10">
        <v>0</v>
      </c>
      <c r="AJ182" s="10">
        <v>0</v>
      </c>
      <c r="AK182" s="10">
        <v>0</v>
      </c>
      <c r="AL182" s="10">
        <v>0</v>
      </c>
      <c r="AM182" s="10">
        <v>0</v>
      </c>
      <c r="AN182" s="10">
        <v>0</v>
      </c>
      <c r="AO182" s="10">
        <v>0</v>
      </c>
      <c r="AP182" s="10">
        <v>0</v>
      </c>
      <c r="AQ182" s="26">
        <f t="shared" si="8"/>
        <v>0</v>
      </c>
    </row>
    <row r="183" spans="1:43" ht="17.25" customHeight="1" x14ac:dyDescent="0.45">
      <c r="A183" s="2" t="s">
        <v>72</v>
      </c>
      <c r="B183" s="2" t="s">
        <v>68</v>
      </c>
      <c r="C183" s="2" t="s">
        <v>11</v>
      </c>
      <c r="D183" s="2" t="s">
        <v>66</v>
      </c>
      <c r="E183" s="23">
        <v>173</v>
      </c>
      <c r="F183" s="1">
        <v>144</v>
      </c>
      <c r="G183" s="1">
        <v>165</v>
      </c>
      <c r="H183" s="1">
        <v>121</v>
      </c>
      <c r="I183" s="1">
        <v>129</v>
      </c>
      <c r="J183" s="1">
        <v>145</v>
      </c>
      <c r="K183" s="1">
        <v>143</v>
      </c>
      <c r="L183" s="1">
        <v>144</v>
      </c>
      <c r="M183" s="1">
        <v>110</v>
      </c>
      <c r="N183" s="1">
        <v>124</v>
      </c>
      <c r="O183" s="1">
        <v>145</v>
      </c>
      <c r="P183" s="1">
        <v>171</v>
      </c>
      <c r="Q183" s="24">
        <f t="shared" si="6"/>
        <v>1714</v>
      </c>
      <c r="R183" s="23">
        <v>22520</v>
      </c>
      <c r="S183" s="1">
        <v>15776</v>
      </c>
      <c r="T183" s="1">
        <v>21418</v>
      </c>
      <c r="U183" s="1">
        <v>14884</v>
      </c>
      <c r="V183" s="1">
        <v>18638</v>
      </c>
      <c r="W183" s="1">
        <v>22852</v>
      </c>
      <c r="X183" s="1">
        <v>23729</v>
      </c>
      <c r="Y183" s="1">
        <v>21380</v>
      </c>
      <c r="Z183" s="1">
        <v>17563</v>
      </c>
      <c r="AA183" s="1">
        <v>20200</v>
      </c>
      <c r="AB183" s="1">
        <v>21304</v>
      </c>
      <c r="AC183" s="1">
        <v>29658</v>
      </c>
      <c r="AD183" s="24">
        <f t="shared" si="7"/>
        <v>249922</v>
      </c>
      <c r="AE183" s="23">
        <v>3439</v>
      </c>
      <c r="AF183" s="1">
        <v>3125</v>
      </c>
      <c r="AG183" s="1">
        <v>5003</v>
      </c>
      <c r="AH183" s="1">
        <v>2173</v>
      </c>
      <c r="AI183" s="1">
        <v>3747</v>
      </c>
      <c r="AJ183" s="1">
        <v>2794</v>
      </c>
      <c r="AK183" s="1">
        <v>2005</v>
      </c>
      <c r="AL183" s="1">
        <v>3196</v>
      </c>
      <c r="AM183" s="1">
        <v>3911</v>
      </c>
      <c r="AN183" s="1">
        <v>3562</v>
      </c>
      <c r="AO183" s="1">
        <v>3376</v>
      </c>
      <c r="AP183" s="1">
        <v>5080</v>
      </c>
      <c r="AQ183" s="24">
        <f t="shared" si="8"/>
        <v>41411</v>
      </c>
    </row>
    <row r="184" spans="1:43" ht="17.25" customHeight="1" x14ac:dyDescent="0.45">
      <c r="A184" s="12" t="s">
        <v>72</v>
      </c>
      <c r="B184" s="12" t="s">
        <v>68</v>
      </c>
      <c r="C184" s="12" t="s">
        <v>51</v>
      </c>
      <c r="D184" s="12" t="s">
        <v>66</v>
      </c>
      <c r="E184" s="25">
        <v>4</v>
      </c>
      <c r="F184" s="10">
        <v>4</v>
      </c>
      <c r="G184" s="10">
        <v>5</v>
      </c>
      <c r="H184" s="10">
        <v>1</v>
      </c>
      <c r="I184" s="10">
        <v>0</v>
      </c>
      <c r="J184" s="10">
        <v>4</v>
      </c>
      <c r="K184" s="10">
        <v>0</v>
      </c>
      <c r="L184" s="10">
        <v>0</v>
      </c>
      <c r="M184" s="10">
        <v>0</v>
      </c>
      <c r="N184" s="10">
        <v>0</v>
      </c>
      <c r="O184" s="10">
        <v>0</v>
      </c>
      <c r="P184" s="10">
        <v>0</v>
      </c>
      <c r="Q184" s="26">
        <f t="shared" si="6"/>
        <v>18</v>
      </c>
      <c r="R184" s="25">
        <v>507</v>
      </c>
      <c r="S184" s="10">
        <v>605</v>
      </c>
      <c r="T184" s="10">
        <v>686</v>
      </c>
      <c r="U184" s="10">
        <v>4</v>
      </c>
      <c r="V184" s="10">
        <v>0</v>
      </c>
      <c r="W184" s="10">
        <v>97</v>
      </c>
      <c r="X184" s="10">
        <v>0</v>
      </c>
      <c r="Y184" s="10">
        <v>0</v>
      </c>
      <c r="Z184" s="10">
        <v>0</v>
      </c>
      <c r="AA184" s="10">
        <v>0</v>
      </c>
      <c r="AB184" s="10">
        <v>0</v>
      </c>
      <c r="AC184" s="10">
        <v>0</v>
      </c>
      <c r="AD184" s="26">
        <f t="shared" si="7"/>
        <v>1899</v>
      </c>
      <c r="AE184" s="25">
        <v>0</v>
      </c>
      <c r="AF184" s="10">
        <v>0</v>
      </c>
      <c r="AG184" s="10">
        <v>0</v>
      </c>
      <c r="AH184" s="10">
        <v>0</v>
      </c>
      <c r="AI184" s="10">
        <v>0</v>
      </c>
      <c r="AJ184" s="10">
        <v>0</v>
      </c>
      <c r="AK184" s="10">
        <v>0</v>
      </c>
      <c r="AL184" s="10">
        <v>0</v>
      </c>
      <c r="AM184" s="10">
        <v>0</v>
      </c>
      <c r="AN184" s="10">
        <v>0</v>
      </c>
      <c r="AO184" s="10">
        <v>0</v>
      </c>
      <c r="AP184" s="10">
        <v>0</v>
      </c>
      <c r="AQ184" s="26">
        <f t="shared" si="8"/>
        <v>0</v>
      </c>
    </row>
    <row r="185" spans="1:43" ht="17.25" customHeight="1" x14ac:dyDescent="0.45">
      <c r="A185" s="2" t="s">
        <v>72</v>
      </c>
      <c r="B185" s="2" t="s">
        <v>68</v>
      </c>
      <c r="C185" s="2" t="s">
        <v>52</v>
      </c>
      <c r="D185" s="2" t="s">
        <v>66</v>
      </c>
      <c r="E185" s="23">
        <v>8</v>
      </c>
      <c r="F185" s="1">
        <v>8</v>
      </c>
      <c r="G185" s="1">
        <v>10</v>
      </c>
      <c r="H185" s="1">
        <v>0</v>
      </c>
      <c r="I185" s="1">
        <v>0</v>
      </c>
      <c r="J185" s="1">
        <v>0</v>
      </c>
      <c r="K185" s="1">
        <v>0</v>
      </c>
      <c r="L185" s="1">
        <v>0</v>
      </c>
      <c r="M185" s="1">
        <v>0</v>
      </c>
      <c r="N185" s="1">
        <v>0</v>
      </c>
      <c r="O185" s="1">
        <v>0</v>
      </c>
      <c r="P185" s="1">
        <v>2</v>
      </c>
      <c r="Q185" s="24">
        <f t="shared" si="6"/>
        <v>28</v>
      </c>
      <c r="R185" s="23">
        <v>873</v>
      </c>
      <c r="S185" s="1">
        <v>964</v>
      </c>
      <c r="T185" s="1">
        <v>897</v>
      </c>
      <c r="U185" s="1">
        <v>0</v>
      </c>
      <c r="V185" s="1">
        <v>0</v>
      </c>
      <c r="W185" s="1">
        <v>0</v>
      </c>
      <c r="X185" s="1">
        <v>0</v>
      </c>
      <c r="Y185" s="1">
        <v>0</v>
      </c>
      <c r="Z185" s="1">
        <v>0</v>
      </c>
      <c r="AA185" s="1">
        <v>0</v>
      </c>
      <c r="AB185" s="1">
        <v>0</v>
      </c>
      <c r="AC185" s="1">
        <v>226</v>
      </c>
      <c r="AD185" s="24">
        <f t="shared" si="7"/>
        <v>2960</v>
      </c>
      <c r="AE185" s="23">
        <v>0</v>
      </c>
      <c r="AF185" s="1">
        <v>0</v>
      </c>
      <c r="AG185" s="1">
        <v>0</v>
      </c>
      <c r="AH185" s="1">
        <v>0</v>
      </c>
      <c r="AI185" s="1">
        <v>0</v>
      </c>
      <c r="AJ185" s="1">
        <v>0</v>
      </c>
      <c r="AK185" s="1">
        <v>0</v>
      </c>
      <c r="AL185" s="1">
        <v>0</v>
      </c>
      <c r="AM185" s="1">
        <v>0</v>
      </c>
      <c r="AN185" s="1">
        <v>0</v>
      </c>
      <c r="AO185" s="1">
        <v>0</v>
      </c>
      <c r="AP185" s="1">
        <v>0</v>
      </c>
      <c r="AQ185" s="24">
        <f t="shared" si="8"/>
        <v>0</v>
      </c>
    </row>
    <row r="186" spans="1:43" ht="17.25" customHeight="1" x14ac:dyDescent="0.45">
      <c r="A186" s="12" t="s">
        <v>72</v>
      </c>
      <c r="B186" s="12" t="s">
        <v>68</v>
      </c>
      <c r="C186" s="12" t="s">
        <v>12</v>
      </c>
      <c r="D186" s="12" t="s">
        <v>66</v>
      </c>
      <c r="E186" s="25">
        <v>211</v>
      </c>
      <c r="F186" s="10">
        <v>191</v>
      </c>
      <c r="G186" s="10">
        <v>209</v>
      </c>
      <c r="H186" s="10">
        <v>195</v>
      </c>
      <c r="I186" s="10">
        <v>203</v>
      </c>
      <c r="J186" s="10">
        <v>209</v>
      </c>
      <c r="K186" s="10">
        <v>232</v>
      </c>
      <c r="L186" s="10">
        <v>209</v>
      </c>
      <c r="M186" s="10">
        <v>165</v>
      </c>
      <c r="N186" s="10">
        <v>182</v>
      </c>
      <c r="O186" s="10">
        <v>196</v>
      </c>
      <c r="P186" s="10">
        <v>222</v>
      </c>
      <c r="Q186" s="26">
        <f t="shared" si="6"/>
        <v>2424</v>
      </c>
      <c r="R186" s="25">
        <v>30909</v>
      </c>
      <c r="S186" s="10">
        <v>27571</v>
      </c>
      <c r="T186" s="10">
        <v>31220</v>
      </c>
      <c r="U186" s="10">
        <v>25907</v>
      </c>
      <c r="V186" s="10">
        <v>31930</v>
      </c>
      <c r="W186" s="10">
        <v>34680</v>
      </c>
      <c r="X186" s="10">
        <v>39168</v>
      </c>
      <c r="Y186" s="10">
        <v>34906</v>
      </c>
      <c r="Z186" s="10">
        <v>27894</v>
      </c>
      <c r="AA186" s="10">
        <v>32683</v>
      </c>
      <c r="AB186" s="10">
        <v>31297</v>
      </c>
      <c r="AC186" s="10">
        <v>38365</v>
      </c>
      <c r="AD186" s="26">
        <f t="shared" si="7"/>
        <v>386530</v>
      </c>
      <c r="AE186" s="25">
        <v>20882.7</v>
      </c>
      <c r="AF186" s="10">
        <v>20203.3</v>
      </c>
      <c r="AG186" s="10">
        <v>33266.36</v>
      </c>
      <c r="AH186" s="10">
        <v>26493.599999999999</v>
      </c>
      <c r="AI186" s="10">
        <v>27742.2</v>
      </c>
      <c r="AJ186" s="10">
        <v>26553.200000000001</v>
      </c>
      <c r="AK186" s="10">
        <v>26844.3</v>
      </c>
      <c r="AL186" s="10">
        <v>23638.35</v>
      </c>
      <c r="AM186" s="10">
        <v>25839.100000000002</v>
      </c>
      <c r="AN186" s="10">
        <v>26320.5</v>
      </c>
      <c r="AO186" s="10">
        <v>19142.060000000001</v>
      </c>
      <c r="AP186" s="10">
        <v>13824</v>
      </c>
      <c r="AQ186" s="26">
        <f t="shared" si="8"/>
        <v>290749.67</v>
      </c>
    </row>
    <row r="187" spans="1:43" ht="17.25" customHeight="1" x14ac:dyDescent="0.45">
      <c r="A187" s="2" t="s">
        <v>72</v>
      </c>
      <c r="B187" s="2" t="s">
        <v>68</v>
      </c>
      <c r="C187" s="2" t="s">
        <v>13</v>
      </c>
      <c r="D187" s="2" t="s">
        <v>66</v>
      </c>
      <c r="E187" s="23">
        <v>52</v>
      </c>
      <c r="F187" s="1">
        <v>41</v>
      </c>
      <c r="G187" s="1">
        <v>46</v>
      </c>
      <c r="H187" s="1">
        <v>46</v>
      </c>
      <c r="I187" s="1">
        <v>49</v>
      </c>
      <c r="J187" s="1">
        <v>47</v>
      </c>
      <c r="K187" s="1">
        <v>50</v>
      </c>
      <c r="L187" s="1">
        <v>55</v>
      </c>
      <c r="M187" s="1">
        <v>47</v>
      </c>
      <c r="N187" s="1">
        <v>48</v>
      </c>
      <c r="O187" s="1">
        <v>75</v>
      </c>
      <c r="P187" s="1">
        <v>80</v>
      </c>
      <c r="Q187" s="24">
        <f t="shared" si="6"/>
        <v>636</v>
      </c>
      <c r="R187" s="23">
        <v>4076</v>
      </c>
      <c r="S187" s="1">
        <v>2972</v>
      </c>
      <c r="T187" s="1">
        <v>4271</v>
      </c>
      <c r="U187" s="1">
        <v>4481</v>
      </c>
      <c r="V187" s="1">
        <v>4758</v>
      </c>
      <c r="W187" s="1">
        <v>5038</v>
      </c>
      <c r="X187" s="1">
        <v>5961</v>
      </c>
      <c r="Y187" s="1">
        <v>6229</v>
      </c>
      <c r="Z187" s="1">
        <v>4926</v>
      </c>
      <c r="AA187" s="1">
        <v>5375</v>
      </c>
      <c r="AB187" s="1">
        <v>8371</v>
      </c>
      <c r="AC187" s="1">
        <v>11035</v>
      </c>
      <c r="AD187" s="24">
        <f t="shared" si="7"/>
        <v>67493</v>
      </c>
      <c r="AE187" s="23">
        <v>17367.8</v>
      </c>
      <c r="AF187" s="1">
        <v>1232</v>
      </c>
      <c r="AG187" s="1">
        <v>67</v>
      </c>
      <c r="AH187" s="1">
        <v>2317</v>
      </c>
      <c r="AI187" s="1">
        <v>0</v>
      </c>
      <c r="AJ187" s="1">
        <v>0</v>
      </c>
      <c r="AK187" s="1">
        <v>0</v>
      </c>
      <c r="AL187" s="1">
        <v>0</v>
      </c>
      <c r="AM187" s="1">
        <v>0</v>
      </c>
      <c r="AN187" s="1">
        <v>175</v>
      </c>
      <c r="AO187" s="1">
        <v>4728.2</v>
      </c>
      <c r="AP187" s="1">
        <v>9569.4</v>
      </c>
      <c r="AQ187" s="24">
        <f t="shared" si="8"/>
        <v>35456.400000000001</v>
      </c>
    </row>
    <row r="188" spans="1:43" ht="17.25" customHeight="1" x14ac:dyDescent="0.45">
      <c r="A188" s="12" t="s">
        <v>72</v>
      </c>
      <c r="B188" s="12" t="s">
        <v>68</v>
      </c>
      <c r="C188" s="12" t="s">
        <v>25</v>
      </c>
      <c r="D188" s="12" t="s">
        <v>66</v>
      </c>
      <c r="E188" s="25">
        <v>59</v>
      </c>
      <c r="F188" s="10">
        <v>60</v>
      </c>
      <c r="G188" s="10">
        <v>63</v>
      </c>
      <c r="H188" s="10">
        <v>75</v>
      </c>
      <c r="I188" s="10">
        <v>79</v>
      </c>
      <c r="J188" s="10">
        <v>78</v>
      </c>
      <c r="K188" s="10">
        <v>82</v>
      </c>
      <c r="L188" s="10">
        <v>81</v>
      </c>
      <c r="M188" s="10">
        <v>77</v>
      </c>
      <c r="N188" s="10">
        <v>78</v>
      </c>
      <c r="O188" s="10">
        <v>83</v>
      </c>
      <c r="P188" s="10">
        <v>89</v>
      </c>
      <c r="Q188" s="26">
        <f t="shared" si="6"/>
        <v>904</v>
      </c>
      <c r="R188" s="25">
        <v>8116</v>
      </c>
      <c r="S188" s="10">
        <v>7863</v>
      </c>
      <c r="T188" s="10">
        <v>8317</v>
      </c>
      <c r="U188" s="10">
        <v>6635</v>
      </c>
      <c r="V188" s="10">
        <v>8764</v>
      </c>
      <c r="W188" s="10">
        <v>11085</v>
      </c>
      <c r="X188" s="10">
        <v>11373</v>
      </c>
      <c r="Y188" s="10">
        <v>10179</v>
      </c>
      <c r="Z188" s="10">
        <v>9498</v>
      </c>
      <c r="AA188" s="10">
        <v>10333</v>
      </c>
      <c r="AB188" s="10">
        <v>10661</v>
      </c>
      <c r="AC188" s="10">
        <v>14501</v>
      </c>
      <c r="AD188" s="26">
        <f t="shared" si="7"/>
        <v>117325</v>
      </c>
      <c r="AE188" s="25">
        <v>0</v>
      </c>
      <c r="AF188" s="10">
        <v>0</v>
      </c>
      <c r="AG188" s="10">
        <v>0</v>
      </c>
      <c r="AH188" s="10">
        <v>0</v>
      </c>
      <c r="AI188" s="10">
        <v>0</v>
      </c>
      <c r="AJ188" s="10">
        <v>0</v>
      </c>
      <c r="AK188" s="10">
        <v>0</v>
      </c>
      <c r="AL188" s="10">
        <v>0</v>
      </c>
      <c r="AM188" s="10">
        <v>0</v>
      </c>
      <c r="AN188" s="10">
        <v>0</v>
      </c>
      <c r="AO188" s="10">
        <v>0</v>
      </c>
      <c r="AP188" s="10">
        <v>0</v>
      </c>
      <c r="AQ188" s="26">
        <f t="shared" si="8"/>
        <v>0</v>
      </c>
    </row>
    <row r="189" spans="1:43" ht="17.25" customHeight="1" x14ac:dyDescent="0.45">
      <c r="A189" s="2" t="s">
        <v>72</v>
      </c>
      <c r="B189" s="2" t="s">
        <v>68</v>
      </c>
      <c r="C189" s="2" t="s">
        <v>17</v>
      </c>
      <c r="D189" s="2" t="s">
        <v>66</v>
      </c>
      <c r="E189" s="23">
        <v>74</v>
      </c>
      <c r="F189" s="1">
        <v>62</v>
      </c>
      <c r="G189" s="1">
        <v>71</v>
      </c>
      <c r="H189" s="1">
        <v>60</v>
      </c>
      <c r="I189" s="1">
        <v>13</v>
      </c>
      <c r="J189" s="1">
        <v>5</v>
      </c>
      <c r="K189" s="1">
        <v>4</v>
      </c>
      <c r="L189" s="1">
        <v>3</v>
      </c>
      <c r="M189" s="1">
        <v>1</v>
      </c>
      <c r="N189" s="1">
        <v>12</v>
      </c>
      <c r="O189" s="1">
        <v>50</v>
      </c>
      <c r="P189" s="1">
        <v>69</v>
      </c>
      <c r="Q189" s="24">
        <f t="shared" si="6"/>
        <v>424</v>
      </c>
      <c r="R189" s="23">
        <v>9545</v>
      </c>
      <c r="S189" s="1">
        <v>9250</v>
      </c>
      <c r="T189" s="1">
        <v>9950</v>
      </c>
      <c r="U189" s="1">
        <v>6658</v>
      </c>
      <c r="V189" s="1">
        <v>1735</v>
      </c>
      <c r="W189" s="1">
        <v>715</v>
      </c>
      <c r="X189" s="1">
        <v>584</v>
      </c>
      <c r="Y189" s="1">
        <v>385</v>
      </c>
      <c r="Z189" s="1">
        <v>130</v>
      </c>
      <c r="AA189" s="1">
        <v>1780</v>
      </c>
      <c r="AB189" s="1">
        <v>6713</v>
      </c>
      <c r="AC189" s="1">
        <v>10234</v>
      </c>
      <c r="AD189" s="24">
        <f t="shared" si="7"/>
        <v>57679</v>
      </c>
      <c r="AE189" s="23">
        <v>963</v>
      </c>
      <c r="AF189" s="1">
        <v>518.20784165000009</v>
      </c>
      <c r="AG189" s="1">
        <v>386.90688790000002</v>
      </c>
      <c r="AH189" s="1">
        <v>1533</v>
      </c>
      <c r="AI189" s="1">
        <v>0</v>
      </c>
      <c r="AJ189" s="1">
        <v>0</v>
      </c>
      <c r="AK189" s="1">
        <v>0</v>
      </c>
      <c r="AL189" s="1">
        <v>0</v>
      </c>
      <c r="AM189" s="1">
        <v>0</v>
      </c>
      <c r="AN189" s="1">
        <v>418</v>
      </c>
      <c r="AO189" s="1">
        <v>1378.8038855499999</v>
      </c>
      <c r="AP189" s="1">
        <v>1096</v>
      </c>
      <c r="AQ189" s="24">
        <f t="shared" si="8"/>
        <v>6293.9186150999994</v>
      </c>
    </row>
    <row r="190" spans="1:43" ht="17.25" customHeight="1" x14ac:dyDescent="0.45">
      <c r="A190" s="12" t="s">
        <v>72</v>
      </c>
      <c r="B190" s="12" t="s">
        <v>68</v>
      </c>
      <c r="C190" s="12" t="s">
        <v>28</v>
      </c>
      <c r="D190" s="12" t="s">
        <v>66</v>
      </c>
      <c r="E190" s="25">
        <v>5</v>
      </c>
      <c r="F190" s="10">
        <v>4</v>
      </c>
      <c r="G190" s="10">
        <v>4</v>
      </c>
      <c r="H190" s="10">
        <v>9</v>
      </c>
      <c r="I190" s="10">
        <v>9</v>
      </c>
      <c r="J190" s="10">
        <v>8</v>
      </c>
      <c r="K190" s="10">
        <v>8</v>
      </c>
      <c r="L190" s="10">
        <v>9</v>
      </c>
      <c r="M190" s="10">
        <v>8</v>
      </c>
      <c r="N190" s="10">
        <v>9</v>
      </c>
      <c r="O190" s="10">
        <v>9</v>
      </c>
      <c r="P190" s="10">
        <v>10</v>
      </c>
      <c r="Q190" s="26">
        <f t="shared" si="6"/>
        <v>92</v>
      </c>
      <c r="R190" s="25">
        <v>677</v>
      </c>
      <c r="S190" s="10">
        <v>422</v>
      </c>
      <c r="T190" s="10">
        <v>521</v>
      </c>
      <c r="U190" s="10">
        <v>707</v>
      </c>
      <c r="V190" s="10">
        <v>980</v>
      </c>
      <c r="W190" s="10">
        <v>1107</v>
      </c>
      <c r="X190" s="10">
        <v>1202</v>
      </c>
      <c r="Y190" s="10">
        <v>1265</v>
      </c>
      <c r="Z190" s="10">
        <v>980</v>
      </c>
      <c r="AA190" s="10">
        <v>1205</v>
      </c>
      <c r="AB190" s="10">
        <v>1276</v>
      </c>
      <c r="AC190" s="10">
        <v>1793</v>
      </c>
      <c r="AD190" s="26">
        <f t="shared" si="7"/>
        <v>12135</v>
      </c>
      <c r="AE190" s="25">
        <v>0</v>
      </c>
      <c r="AF190" s="10">
        <v>0</v>
      </c>
      <c r="AG190" s="10">
        <v>0</v>
      </c>
      <c r="AH190" s="10">
        <v>0</v>
      </c>
      <c r="AI190" s="10">
        <v>0</v>
      </c>
      <c r="AJ190" s="10">
        <v>0</v>
      </c>
      <c r="AK190" s="10">
        <v>0</v>
      </c>
      <c r="AL190" s="10">
        <v>0</v>
      </c>
      <c r="AM190" s="10">
        <v>0</v>
      </c>
      <c r="AN190" s="10">
        <v>0</v>
      </c>
      <c r="AO190" s="10">
        <v>0</v>
      </c>
      <c r="AP190" s="10">
        <v>0</v>
      </c>
      <c r="AQ190" s="26">
        <f t="shared" si="8"/>
        <v>0</v>
      </c>
    </row>
    <row r="191" spans="1:43" ht="17.25" customHeight="1" x14ac:dyDescent="0.45">
      <c r="A191" s="2" t="s">
        <v>72</v>
      </c>
      <c r="B191" s="2" t="s">
        <v>68</v>
      </c>
      <c r="C191" s="2" t="s">
        <v>48</v>
      </c>
      <c r="D191" s="2" t="s">
        <v>66</v>
      </c>
      <c r="E191" s="23">
        <v>73</v>
      </c>
      <c r="F191" s="1">
        <v>68</v>
      </c>
      <c r="G191" s="1">
        <v>85</v>
      </c>
      <c r="H191" s="1">
        <v>70</v>
      </c>
      <c r="I191" s="1">
        <v>40</v>
      </c>
      <c r="J191" s="1">
        <v>40</v>
      </c>
      <c r="K191" s="1">
        <v>39</v>
      </c>
      <c r="L191" s="1">
        <v>16</v>
      </c>
      <c r="M191" s="1">
        <v>8</v>
      </c>
      <c r="N191" s="1">
        <v>47</v>
      </c>
      <c r="O191" s="1">
        <v>65</v>
      </c>
      <c r="P191" s="1">
        <v>73</v>
      </c>
      <c r="Q191" s="24">
        <f t="shared" si="6"/>
        <v>624</v>
      </c>
      <c r="R191" s="23">
        <v>9393</v>
      </c>
      <c r="S191" s="1">
        <v>10092</v>
      </c>
      <c r="T191" s="1">
        <v>12373</v>
      </c>
      <c r="U191" s="1">
        <v>8271</v>
      </c>
      <c r="V191" s="1">
        <v>6144</v>
      </c>
      <c r="W191" s="1">
        <v>6389</v>
      </c>
      <c r="X191" s="1">
        <v>6373</v>
      </c>
      <c r="Y191" s="1">
        <v>2348</v>
      </c>
      <c r="Z191" s="1">
        <v>1100</v>
      </c>
      <c r="AA191" s="1">
        <v>6908</v>
      </c>
      <c r="AB191" s="1">
        <v>9602</v>
      </c>
      <c r="AC191" s="1">
        <v>11092</v>
      </c>
      <c r="AD191" s="24">
        <f t="shared" si="7"/>
        <v>90085</v>
      </c>
      <c r="AE191" s="23">
        <v>1138.28709276</v>
      </c>
      <c r="AF191" s="1">
        <v>197.31268094999999</v>
      </c>
      <c r="AG191" s="1">
        <v>7.2574779200000004</v>
      </c>
      <c r="AH191" s="1">
        <v>1295</v>
      </c>
      <c r="AI191" s="1">
        <v>0</v>
      </c>
      <c r="AJ191" s="1">
        <v>2.2679618500000003</v>
      </c>
      <c r="AK191" s="1">
        <v>48.080791220000002</v>
      </c>
      <c r="AL191" s="1">
        <v>0</v>
      </c>
      <c r="AM191" s="1">
        <v>0</v>
      </c>
      <c r="AN191" s="1">
        <v>0</v>
      </c>
      <c r="AO191" s="1">
        <v>301.63892605000007</v>
      </c>
      <c r="AP191" s="1">
        <v>493.02991168</v>
      </c>
      <c r="AQ191" s="24">
        <f t="shared" si="8"/>
        <v>3482.8748424300002</v>
      </c>
    </row>
    <row r="192" spans="1:43" ht="17.25" customHeight="1" x14ac:dyDescent="0.45">
      <c r="A192" s="12" t="s">
        <v>72</v>
      </c>
      <c r="B192" s="12" t="s">
        <v>68</v>
      </c>
      <c r="C192" s="12" t="s">
        <v>14</v>
      </c>
      <c r="D192" s="12" t="s">
        <v>66</v>
      </c>
      <c r="E192" s="25">
        <v>3</v>
      </c>
      <c r="F192" s="10">
        <v>4</v>
      </c>
      <c r="G192" s="10">
        <v>5</v>
      </c>
      <c r="H192" s="10">
        <v>4</v>
      </c>
      <c r="I192" s="10">
        <v>5</v>
      </c>
      <c r="J192" s="10">
        <v>4</v>
      </c>
      <c r="K192" s="10">
        <v>0</v>
      </c>
      <c r="L192" s="10">
        <v>0</v>
      </c>
      <c r="M192" s="10">
        <v>0</v>
      </c>
      <c r="N192" s="10">
        <v>0</v>
      </c>
      <c r="O192" s="10">
        <v>0</v>
      </c>
      <c r="P192" s="10">
        <v>0</v>
      </c>
      <c r="Q192" s="26">
        <f t="shared" si="6"/>
        <v>25</v>
      </c>
      <c r="R192" s="25">
        <v>0</v>
      </c>
      <c r="S192" s="10">
        <v>0</v>
      </c>
      <c r="T192" s="10">
        <v>0</v>
      </c>
      <c r="U192" s="10">
        <v>0</v>
      </c>
      <c r="V192" s="10">
        <v>0</v>
      </c>
      <c r="W192" s="10">
        <v>0</v>
      </c>
      <c r="X192" s="10">
        <v>0</v>
      </c>
      <c r="Y192" s="10">
        <v>0</v>
      </c>
      <c r="Z192" s="10">
        <v>0</v>
      </c>
      <c r="AA192" s="10">
        <v>0</v>
      </c>
      <c r="AB192" s="10">
        <v>0</v>
      </c>
      <c r="AC192" s="10">
        <v>0</v>
      </c>
      <c r="AD192" s="26">
        <f t="shared" si="7"/>
        <v>0</v>
      </c>
      <c r="AE192" s="25">
        <v>32034.48</v>
      </c>
      <c r="AF192" s="10">
        <v>74487.149999999994</v>
      </c>
      <c r="AG192" s="10">
        <v>108525.12</v>
      </c>
      <c r="AH192" s="10">
        <v>82037.5</v>
      </c>
      <c r="AI192" s="10">
        <v>4746</v>
      </c>
      <c r="AJ192" s="10">
        <v>14398.34</v>
      </c>
      <c r="AK192" s="10">
        <v>0</v>
      </c>
      <c r="AL192" s="10">
        <v>0</v>
      </c>
      <c r="AM192" s="10">
        <v>0</v>
      </c>
      <c r="AN192" s="10">
        <v>0</v>
      </c>
      <c r="AO192" s="10">
        <v>0</v>
      </c>
      <c r="AP192" s="10">
        <v>0</v>
      </c>
      <c r="AQ192" s="26">
        <f t="shared" si="8"/>
        <v>316228.59000000003</v>
      </c>
    </row>
    <row r="193" spans="1:43" ht="17.25" customHeight="1" x14ac:dyDescent="0.45">
      <c r="A193" s="2" t="s">
        <v>72</v>
      </c>
      <c r="B193" s="2" t="s">
        <v>68</v>
      </c>
      <c r="C193" s="2" t="s">
        <v>247</v>
      </c>
      <c r="D193" s="2" t="s">
        <v>66</v>
      </c>
      <c r="E193" s="23">
        <v>0</v>
      </c>
      <c r="F193" s="1">
        <v>0</v>
      </c>
      <c r="G193" s="1">
        <v>0</v>
      </c>
      <c r="H193" s="1">
        <v>4</v>
      </c>
      <c r="I193" s="1">
        <v>12</v>
      </c>
      <c r="J193" s="1">
        <v>30</v>
      </c>
      <c r="K193" s="1">
        <v>29</v>
      </c>
      <c r="L193" s="1">
        <v>20</v>
      </c>
      <c r="M193" s="1">
        <v>8</v>
      </c>
      <c r="N193" s="1">
        <v>21</v>
      </c>
      <c r="O193" s="1">
        <v>22</v>
      </c>
      <c r="P193" s="1">
        <v>25</v>
      </c>
      <c r="Q193" s="24">
        <f t="shared" si="6"/>
        <v>171</v>
      </c>
      <c r="R193" s="23">
        <v>0</v>
      </c>
      <c r="S193" s="1">
        <v>0</v>
      </c>
      <c r="T193" s="1">
        <v>0</v>
      </c>
      <c r="U193" s="1">
        <v>404</v>
      </c>
      <c r="V193" s="1">
        <v>1685</v>
      </c>
      <c r="W193" s="1">
        <v>4597</v>
      </c>
      <c r="X193" s="1">
        <v>4047</v>
      </c>
      <c r="Y193" s="1">
        <v>2678</v>
      </c>
      <c r="Z193" s="1">
        <v>639</v>
      </c>
      <c r="AA193" s="1">
        <v>2555</v>
      </c>
      <c r="AB193" s="1">
        <v>2738</v>
      </c>
      <c r="AC193" s="1">
        <v>3803</v>
      </c>
      <c r="AD193" s="24">
        <f t="shared" si="7"/>
        <v>23146</v>
      </c>
      <c r="AE193" s="23">
        <v>0</v>
      </c>
      <c r="AF193" s="1">
        <v>0</v>
      </c>
      <c r="AG193" s="1">
        <v>0</v>
      </c>
      <c r="AH193" s="1">
        <v>0</v>
      </c>
      <c r="AI193" s="1">
        <v>0</v>
      </c>
      <c r="AJ193" s="1">
        <v>0</v>
      </c>
      <c r="AK193" s="1">
        <v>0</v>
      </c>
      <c r="AL193" s="1">
        <v>0</v>
      </c>
      <c r="AM193" s="1">
        <v>0</v>
      </c>
      <c r="AN193" s="1">
        <v>0</v>
      </c>
      <c r="AO193" s="1">
        <v>0</v>
      </c>
      <c r="AP193" s="1">
        <v>0</v>
      </c>
      <c r="AQ193" s="24">
        <f t="shared" si="8"/>
        <v>0</v>
      </c>
    </row>
    <row r="194" spans="1:43" ht="17.25" customHeight="1" x14ac:dyDescent="0.45">
      <c r="A194" s="12" t="s">
        <v>72</v>
      </c>
      <c r="B194" s="12" t="s">
        <v>68</v>
      </c>
      <c r="C194" s="12" t="s">
        <v>62</v>
      </c>
      <c r="D194" s="12" t="s">
        <v>66</v>
      </c>
      <c r="E194" s="25">
        <v>16</v>
      </c>
      <c r="F194" s="10">
        <v>13</v>
      </c>
      <c r="G194" s="10">
        <v>13</v>
      </c>
      <c r="H194" s="10">
        <v>18</v>
      </c>
      <c r="I194" s="10">
        <v>18</v>
      </c>
      <c r="J194" s="10">
        <v>16</v>
      </c>
      <c r="K194" s="10">
        <v>18</v>
      </c>
      <c r="L194" s="10">
        <v>18</v>
      </c>
      <c r="M194" s="10">
        <v>15</v>
      </c>
      <c r="N194" s="10">
        <v>18</v>
      </c>
      <c r="O194" s="10">
        <v>17</v>
      </c>
      <c r="P194" s="10">
        <v>18</v>
      </c>
      <c r="Q194" s="26">
        <f t="shared" si="6"/>
        <v>198</v>
      </c>
      <c r="R194" s="25">
        <v>1549</v>
      </c>
      <c r="S194" s="10">
        <v>1430</v>
      </c>
      <c r="T194" s="10">
        <v>1564</v>
      </c>
      <c r="U194" s="10">
        <v>1866</v>
      </c>
      <c r="V194" s="10">
        <v>2142</v>
      </c>
      <c r="W194" s="10">
        <v>2081</v>
      </c>
      <c r="X194" s="10">
        <v>2322</v>
      </c>
      <c r="Y194" s="10">
        <v>2266</v>
      </c>
      <c r="Z194" s="10">
        <v>1972</v>
      </c>
      <c r="AA194" s="10">
        <v>2391</v>
      </c>
      <c r="AB194" s="10">
        <v>1794</v>
      </c>
      <c r="AC194" s="10">
        <v>2658</v>
      </c>
      <c r="AD194" s="26">
        <f t="shared" si="7"/>
        <v>24035</v>
      </c>
      <c r="AE194" s="25">
        <v>0</v>
      </c>
      <c r="AF194" s="10">
        <v>0</v>
      </c>
      <c r="AG194" s="10">
        <v>0</v>
      </c>
      <c r="AH194" s="10">
        <v>0</v>
      </c>
      <c r="AI194" s="10">
        <v>0</v>
      </c>
      <c r="AJ194" s="10">
        <v>0</v>
      </c>
      <c r="AK194" s="10">
        <v>0</v>
      </c>
      <c r="AL194" s="10">
        <v>0</v>
      </c>
      <c r="AM194" s="10">
        <v>0</v>
      </c>
      <c r="AN194" s="10">
        <v>0</v>
      </c>
      <c r="AO194" s="10">
        <v>0</v>
      </c>
      <c r="AP194" s="10">
        <v>0</v>
      </c>
      <c r="AQ194" s="26">
        <f t="shared" si="8"/>
        <v>0</v>
      </c>
    </row>
    <row r="195" spans="1:43" ht="17.25" customHeight="1" x14ac:dyDescent="0.45">
      <c r="A195" s="2" t="s">
        <v>19</v>
      </c>
      <c r="B195" s="2" t="s">
        <v>66</v>
      </c>
      <c r="C195" s="2" t="s">
        <v>67</v>
      </c>
      <c r="D195" s="2" t="s">
        <v>68</v>
      </c>
      <c r="E195" s="23">
        <v>62</v>
      </c>
      <c r="F195" s="1">
        <v>58</v>
      </c>
      <c r="G195" s="1">
        <v>62</v>
      </c>
      <c r="H195" s="1">
        <v>60</v>
      </c>
      <c r="I195" s="1">
        <v>60</v>
      </c>
      <c r="J195" s="1">
        <v>60</v>
      </c>
      <c r="K195" s="1">
        <v>91</v>
      </c>
      <c r="L195" s="1">
        <v>92</v>
      </c>
      <c r="M195" s="1">
        <v>89</v>
      </c>
      <c r="N195" s="1">
        <v>92</v>
      </c>
      <c r="O195" s="1">
        <v>86</v>
      </c>
      <c r="P195" s="1">
        <v>91</v>
      </c>
      <c r="Q195" s="24">
        <f t="shared" si="6"/>
        <v>903</v>
      </c>
      <c r="R195" s="23">
        <v>3560</v>
      </c>
      <c r="S195" s="1">
        <v>3125</v>
      </c>
      <c r="T195" s="1">
        <v>3597</v>
      </c>
      <c r="U195" s="1">
        <v>3433</v>
      </c>
      <c r="V195" s="1">
        <v>3408</v>
      </c>
      <c r="W195" s="1">
        <v>3449</v>
      </c>
      <c r="X195" s="1">
        <v>5208</v>
      </c>
      <c r="Y195" s="1">
        <v>4791</v>
      </c>
      <c r="Z195" s="1">
        <v>4550</v>
      </c>
      <c r="AA195" s="1">
        <v>4692</v>
      </c>
      <c r="AB195" s="1">
        <v>4147</v>
      </c>
      <c r="AC195" s="1">
        <v>4276</v>
      </c>
      <c r="AD195" s="24">
        <f t="shared" si="7"/>
        <v>48236</v>
      </c>
      <c r="AE195" s="23">
        <v>0</v>
      </c>
      <c r="AF195" s="1">
        <v>0</v>
      </c>
      <c r="AG195" s="1">
        <v>0</v>
      </c>
      <c r="AH195" s="1">
        <v>0</v>
      </c>
      <c r="AI195" s="1">
        <v>0</v>
      </c>
      <c r="AJ195" s="1">
        <v>0</v>
      </c>
      <c r="AK195" s="1">
        <v>0</v>
      </c>
      <c r="AL195" s="1">
        <v>0</v>
      </c>
      <c r="AM195" s="1">
        <v>0</v>
      </c>
      <c r="AN195" s="1">
        <v>0</v>
      </c>
      <c r="AO195" s="1">
        <v>0</v>
      </c>
      <c r="AP195" s="1">
        <v>0</v>
      </c>
      <c r="AQ195" s="24">
        <f t="shared" si="8"/>
        <v>0</v>
      </c>
    </row>
    <row r="196" spans="1:43" ht="17.25" customHeight="1" x14ac:dyDescent="0.45">
      <c r="A196" s="12" t="s">
        <v>19</v>
      </c>
      <c r="B196" s="12" t="s">
        <v>66</v>
      </c>
      <c r="C196" s="12" t="s">
        <v>100</v>
      </c>
      <c r="D196" s="12" t="s">
        <v>68</v>
      </c>
      <c r="E196" s="25">
        <v>9</v>
      </c>
      <c r="F196" s="10">
        <v>8</v>
      </c>
      <c r="G196" s="10">
        <v>9</v>
      </c>
      <c r="H196" s="10">
        <v>13</v>
      </c>
      <c r="I196" s="10">
        <v>13</v>
      </c>
      <c r="J196" s="10">
        <v>13</v>
      </c>
      <c r="K196" s="10">
        <v>13</v>
      </c>
      <c r="L196" s="10">
        <v>13</v>
      </c>
      <c r="M196" s="10">
        <v>13</v>
      </c>
      <c r="N196" s="10">
        <v>14</v>
      </c>
      <c r="O196" s="10">
        <v>12</v>
      </c>
      <c r="P196" s="10">
        <v>14</v>
      </c>
      <c r="Q196" s="26">
        <f t="shared" si="6"/>
        <v>144</v>
      </c>
      <c r="R196" s="25">
        <v>1243</v>
      </c>
      <c r="S196" s="10">
        <v>1006</v>
      </c>
      <c r="T196" s="10">
        <v>1281</v>
      </c>
      <c r="U196" s="10">
        <v>1441</v>
      </c>
      <c r="V196" s="10">
        <v>1578</v>
      </c>
      <c r="W196" s="10">
        <v>1947</v>
      </c>
      <c r="X196" s="10">
        <v>1973</v>
      </c>
      <c r="Y196" s="10">
        <v>1778</v>
      </c>
      <c r="Z196" s="10">
        <v>1647</v>
      </c>
      <c r="AA196" s="10">
        <v>1693</v>
      </c>
      <c r="AB196" s="10">
        <v>1420</v>
      </c>
      <c r="AC196" s="10">
        <v>2020</v>
      </c>
      <c r="AD196" s="26">
        <f t="shared" si="7"/>
        <v>19027</v>
      </c>
      <c r="AE196" s="25">
        <v>0</v>
      </c>
      <c r="AF196" s="10">
        <v>0</v>
      </c>
      <c r="AG196" s="10">
        <v>0</v>
      </c>
      <c r="AH196" s="10">
        <v>0</v>
      </c>
      <c r="AI196" s="10">
        <v>0</v>
      </c>
      <c r="AJ196" s="10">
        <v>0</v>
      </c>
      <c r="AK196" s="10">
        <v>0</v>
      </c>
      <c r="AL196" s="10">
        <v>0</v>
      </c>
      <c r="AM196" s="10">
        <v>0</v>
      </c>
      <c r="AN196" s="10">
        <v>0</v>
      </c>
      <c r="AO196" s="10">
        <v>0</v>
      </c>
      <c r="AP196" s="10">
        <v>0</v>
      </c>
      <c r="AQ196" s="26">
        <f t="shared" si="8"/>
        <v>0</v>
      </c>
    </row>
    <row r="197" spans="1:43" ht="17.25" customHeight="1" x14ac:dyDescent="0.45">
      <c r="A197" s="2" t="s">
        <v>98</v>
      </c>
      <c r="B197" s="2" t="s">
        <v>68</v>
      </c>
      <c r="C197" s="2" t="s">
        <v>10</v>
      </c>
      <c r="D197" s="2" t="s">
        <v>66</v>
      </c>
      <c r="E197" s="23">
        <v>40</v>
      </c>
      <c r="F197" s="1">
        <v>31</v>
      </c>
      <c r="G197" s="1">
        <v>54</v>
      </c>
      <c r="H197" s="1">
        <v>38</v>
      </c>
      <c r="I197" s="1">
        <v>34</v>
      </c>
      <c r="J197" s="1">
        <v>35</v>
      </c>
      <c r="K197" s="1">
        <v>34</v>
      </c>
      <c r="L197" s="1">
        <v>18</v>
      </c>
      <c r="M197" s="1">
        <v>4</v>
      </c>
      <c r="N197" s="1">
        <v>4</v>
      </c>
      <c r="O197" s="1">
        <v>12</v>
      </c>
      <c r="P197" s="1">
        <v>35</v>
      </c>
      <c r="Q197" s="24">
        <f t="shared" si="6"/>
        <v>339</v>
      </c>
      <c r="R197" s="23">
        <v>3860</v>
      </c>
      <c r="S197" s="1">
        <v>3650</v>
      </c>
      <c r="T197" s="1">
        <v>7851</v>
      </c>
      <c r="U197" s="1">
        <v>4242</v>
      </c>
      <c r="V197" s="1">
        <v>4100</v>
      </c>
      <c r="W197" s="1">
        <v>5141</v>
      </c>
      <c r="X197" s="1">
        <v>4191</v>
      </c>
      <c r="Y197" s="1">
        <v>2173</v>
      </c>
      <c r="Z197" s="1">
        <v>668</v>
      </c>
      <c r="AA197" s="1">
        <v>637</v>
      </c>
      <c r="AB197" s="1">
        <v>1982</v>
      </c>
      <c r="AC197" s="1">
        <v>5693</v>
      </c>
      <c r="AD197" s="24">
        <f t="shared" si="7"/>
        <v>44188</v>
      </c>
      <c r="AE197" s="23">
        <v>0</v>
      </c>
      <c r="AF197" s="1">
        <v>0</v>
      </c>
      <c r="AG197" s="1">
        <v>0</v>
      </c>
      <c r="AH197" s="1">
        <v>0</v>
      </c>
      <c r="AI197" s="1">
        <v>0</v>
      </c>
      <c r="AJ197" s="1">
        <v>0</v>
      </c>
      <c r="AK197" s="1">
        <v>0</v>
      </c>
      <c r="AL197" s="1">
        <v>0</v>
      </c>
      <c r="AM197" s="1">
        <v>0</v>
      </c>
      <c r="AN197" s="1">
        <v>0</v>
      </c>
      <c r="AO197" s="1">
        <v>0</v>
      </c>
      <c r="AP197" s="1">
        <v>0</v>
      </c>
      <c r="AQ197" s="24">
        <f t="shared" si="8"/>
        <v>0</v>
      </c>
    </row>
    <row r="198" spans="1:43" ht="17.25" customHeight="1" x14ac:dyDescent="0.45">
      <c r="A198" s="12" t="s">
        <v>259</v>
      </c>
      <c r="B198" s="12" t="s">
        <v>68</v>
      </c>
      <c r="C198" s="12" t="s">
        <v>10</v>
      </c>
      <c r="D198" s="12" t="s">
        <v>66</v>
      </c>
      <c r="E198" s="25">
        <v>0</v>
      </c>
      <c r="F198" s="10">
        <v>0</v>
      </c>
      <c r="G198" s="10">
        <v>8</v>
      </c>
      <c r="H198" s="10">
        <v>5</v>
      </c>
      <c r="I198" s="10">
        <v>4</v>
      </c>
      <c r="J198" s="10">
        <v>10</v>
      </c>
      <c r="K198" s="10">
        <v>8</v>
      </c>
      <c r="L198" s="10">
        <v>2</v>
      </c>
      <c r="M198" s="10">
        <v>0</v>
      </c>
      <c r="N198" s="10">
        <v>0</v>
      </c>
      <c r="O198" s="10">
        <v>0</v>
      </c>
      <c r="P198" s="10">
        <v>0</v>
      </c>
      <c r="Q198" s="26">
        <f t="shared" si="6"/>
        <v>37</v>
      </c>
      <c r="R198" s="25">
        <v>0</v>
      </c>
      <c r="S198" s="10">
        <v>0</v>
      </c>
      <c r="T198" s="10">
        <v>1343</v>
      </c>
      <c r="U198" s="10">
        <v>607</v>
      </c>
      <c r="V198" s="10">
        <v>620</v>
      </c>
      <c r="W198" s="10">
        <v>1451</v>
      </c>
      <c r="X198" s="10">
        <v>1028</v>
      </c>
      <c r="Y198" s="10">
        <v>171</v>
      </c>
      <c r="Z198" s="10">
        <v>0</v>
      </c>
      <c r="AA198" s="10">
        <v>0</v>
      </c>
      <c r="AB198" s="10">
        <v>0</v>
      </c>
      <c r="AC198" s="10">
        <v>0</v>
      </c>
      <c r="AD198" s="26">
        <f t="shared" si="7"/>
        <v>5220</v>
      </c>
      <c r="AE198" s="25">
        <v>0</v>
      </c>
      <c r="AF198" s="10">
        <v>0</v>
      </c>
      <c r="AG198" s="10">
        <v>0</v>
      </c>
      <c r="AH198" s="10">
        <v>0</v>
      </c>
      <c r="AI198" s="10">
        <v>0</v>
      </c>
      <c r="AJ198" s="10">
        <v>0</v>
      </c>
      <c r="AK198" s="10">
        <v>0</v>
      </c>
      <c r="AL198" s="10">
        <v>0</v>
      </c>
      <c r="AM198" s="10">
        <v>0</v>
      </c>
      <c r="AN198" s="10">
        <v>0</v>
      </c>
      <c r="AO198" s="10">
        <v>0</v>
      </c>
      <c r="AP198" s="10">
        <v>0</v>
      </c>
      <c r="AQ198" s="26">
        <f t="shared" si="8"/>
        <v>0</v>
      </c>
    </row>
    <row r="199" spans="1:43" ht="17.25" customHeight="1" x14ac:dyDescent="0.45">
      <c r="A199" s="2" t="s">
        <v>173</v>
      </c>
      <c r="B199" s="2" t="s">
        <v>65</v>
      </c>
      <c r="C199" s="2" t="s">
        <v>17</v>
      </c>
      <c r="D199" s="2" t="s">
        <v>66</v>
      </c>
      <c r="E199" s="23">
        <v>9</v>
      </c>
      <c r="F199" s="1">
        <v>8</v>
      </c>
      <c r="G199" s="1">
        <v>9</v>
      </c>
      <c r="H199" s="1">
        <v>8</v>
      </c>
      <c r="I199" s="1">
        <v>0</v>
      </c>
      <c r="J199" s="1">
        <v>0</v>
      </c>
      <c r="K199" s="1">
        <v>0</v>
      </c>
      <c r="L199" s="1">
        <v>0</v>
      </c>
      <c r="M199" s="1">
        <v>0</v>
      </c>
      <c r="N199" s="1">
        <v>0</v>
      </c>
      <c r="O199" s="1">
        <v>4</v>
      </c>
      <c r="P199" s="1">
        <v>8</v>
      </c>
      <c r="Q199" s="24">
        <f t="shared" si="6"/>
        <v>46</v>
      </c>
      <c r="R199" s="23">
        <v>1519</v>
      </c>
      <c r="S199" s="1">
        <v>1286</v>
      </c>
      <c r="T199" s="1">
        <v>1318</v>
      </c>
      <c r="U199" s="1">
        <v>694</v>
      </c>
      <c r="V199" s="1">
        <v>0</v>
      </c>
      <c r="W199" s="1">
        <v>0</v>
      </c>
      <c r="X199" s="1">
        <v>0</v>
      </c>
      <c r="Y199" s="1">
        <v>0</v>
      </c>
      <c r="Z199" s="1">
        <v>0</v>
      </c>
      <c r="AA199" s="1">
        <v>0</v>
      </c>
      <c r="AB199" s="1">
        <v>525</v>
      </c>
      <c r="AC199" s="1">
        <v>1001</v>
      </c>
      <c r="AD199" s="24">
        <f t="shared" si="7"/>
        <v>6343</v>
      </c>
      <c r="AE199" s="23">
        <v>0</v>
      </c>
      <c r="AF199" s="1">
        <v>0</v>
      </c>
      <c r="AG199" s="1">
        <v>0</v>
      </c>
      <c r="AH199" s="1">
        <v>0</v>
      </c>
      <c r="AI199" s="1">
        <v>0</v>
      </c>
      <c r="AJ199" s="1">
        <v>0</v>
      </c>
      <c r="AK199" s="1">
        <v>0</v>
      </c>
      <c r="AL199" s="1">
        <v>0</v>
      </c>
      <c r="AM199" s="1">
        <v>0</v>
      </c>
      <c r="AN199" s="1">
        <v>0</v>
      </c>
      <c r="AO199" s="1">
        <v>0</v>
      </c>
      <c r="AP199" s="1">
        <v>0</v>
      </c>
      <c r="AQ199" s="24">
        <f t="shared" si="8"/>
        <v>0</v>
      </c>
    </row>
    <row r="200" spans="1:43" ht="17.25" customHeight="1" x14ac:dyDescent="0.45">
      <c r="A200" s="12" t="s">
        <v>99</v>
      </c>
      <c r="B200" s="12" t="s">
        <v>68</v>
      </c>
      <c r="C200" s="12" t="s">
        <v>10</v>
      </c>
      <c r="D200" s="12" t="s">
        <v>66</v>
      </c>
      <c r="E200" s="25">
        <v>21</v>
      </c>
      <c r="F200" s="10">
        <v>20</v>
      </c>
      <c r="G200" s="10">
        <v>23</v>
      </c>
      <c r="H200" s="10">
        <v>18</v>
      </c>
      <c r="I200" s="10">
        <v>17</v>
      </c>
      <c r="J200" s="10">
        <v>18</v>
      </c>
      <c r="K200" s="10">
        <v>18</v>
      </c>
      <c r="L200" s="10">
        <v>9</v>
      </c>
      <c r="M200" s="10">
        <v>5</v>
      </c>
      <c r="N200" s="10">
        <v>4</v>
      </c>
      <c r="O200" s="10">
        <v>8</v>
      </c>
      <c r="P200" s="10">
        <v>17</v>
      </c>
      <c r="Q200" s="26">
        <f t="shared" ref="Q200:Q263" si="9">SUM(E200:P200)</f>
        <v>178</v>
      </c>
      <c r="R200" s="25">
        <v>1741</v>
      </c>
      <c r="S200" s="10">
        <v>2279</v>
      </c>
      <c r="T200" s="10">
        <v>3075</v>
      </c>
      <c r="U200" s="10">
        <v>1627</v>
      </c>
      <c r="V200" s="10">
        <v>1737</v>
      </c>
      <c r="W200" s="10">
        <v>2876</v>
      </c>
      <c r="X200" s="10">
        <v>2255</v>
      </c>
      <c r="Y200" s="10">
        <v>853</v>
      </c>
      <c r="Z200" s="10">
        <v>622</v>
      </c>
      <c r="AA200" s="10">
        <v>556</v>
      </c>
      <c r="AB200" s="10">
        <v>807</v>
      </c>
      <c r="AC200" s="10">
        <v>2245</v>
      </c>
      <c r="AD200" s="26">
        <f t="shared" ref="AD200:AD263" si="10">SUM(R200:AC200)</f>
        <v>20673</v>
      </c>
      <c r="AE200" s="25">
        <v>0</v>
      </c>
      <c r="AF200" s="10">
        <v>0</v>
      </c>
      <c r="AG200" s="10">
        <v>0</v>
      </c>
      <c r="AH200" s="10">
        <v>0</v>
      </c>
      <c r="AI200" s="10">
        <v>0</v>
      </c>
      <c r="AJ200" s="10">
        <v>0</v>
      </c>
      <c r="AK200" s="10">
        <v>0</v>
      </c>
      <c r="AL200" s="10">
        <v>0</v>
      </c>
      <c r="AM200" s="10">
        <v>0</v>
      </c>
      <c r="AN200" s="10">
        <v>0</v>
      </c>
      <c r="AO200" s="10">
        <v>0</v>
      </c>
      <c r="AP200" s="10">
        <v>0</v>
      </c>
      <c r="AQ200" s="26">
        <f t="shared" ref="AQ200:AQ263" si="11">SUM(AE200:AP200)</f>
        <v>0</v>
      </c>
    </row>
    <row r="201" spans="1:43" ht="17.25" customHeight="1" x14ac:dyDescent="0.45">
      <c r="A201" s="2" t="s">
        <v>99</v>
      </c>
      <c r="B201" s="2" t="s">
        <v>68</v>
      </c>
      <c r="C201" s="2" t="s">
        <v>48</v>
      </c>
      <c r="D201" s="2" t="s">
        <v>66</v>
      </c>
      <c r="E201" s="23">
        <v>0</v>
      </c>
      <c r="F201" s="1">
        <v>0</v>
      </c>
      <c r="G201" s="1">
        <v>0</v>
      </c>
      <c r="H201" s="1">
        <v>0</v>
      </c>
      <c r="I201" s="1">
        <v>1</v>
      </c>
      <c r="J201" s="1">
        <v>5</v>
      </c>
      <c r="K201" s="1">
        <v>1</v>
      </c>
      <c r="L201" s="1">
        <v>0</v>
      </c>
      <c r="M201" s="1">
        <v>0</v>
      </c>
      <c r="N201" s="1">
        <v>0</v>
      </c>
      <c r="O201" s="1">
        <v>0</v>
      </c>
      <c r="P201" s="1">
        <v>0</v>
      </c>
      <c r="Q201" s="24">
        <f t="shared" si="9"/>
        <v>7</v>
      </c>
      <c r="R201" s="23">
        <v>0</v>
      </c>
      <c r="S201" s="1">
        <v>0</v>
      </c>
      <c r="T201" s="1">
        <v>0</v>
      </c>
      <c r="U201" s="1">
        <v>0</v>
      </c>
      <c r="V201" s="1">
        <v>177</v>
      </c>
      <c r="W201" s="1">
        <v>519</v>
      </c>
      <c r="X201" s="1">
        <v>18</v>
      </c>
      <c r="Y201" s="1">
        <v>0</v>
      </c>
      <c r="Z201" s="1">
        <v>0</v>
      </c>
      <c r="AA201" s="1">
        <v>0</v>
      </c>
      <c r="AB201" s="1">
        <v>0</v>
      </c>
      <c r="AC201" s="1">
        <v>0</v>
      </c>
      <c r="AD201" s="24">
        <f t="shared" si="10"/>
        <v>714</v>
      </c>
      <c r="AE201" s="23">
        <v>0</v>
      </c>
      <c r="AF201" s="1">
        <v>0</v>
      </c>
      <c r="AG201" s="1">
        <v>0</v>
      </c>
      <c r="AH201" s="1">
        <v>0</v>
      </c>
      <c r="AI201" s="1">
        <v>0</v>
      </c>
      <c r="AJ201" s="1">
        <v>0</v>
      </c>
      <c r="AK201" s="1">
        <v>0</v>
      </c>
      <c r="AL201" s="1">
        <v>0</v>
      </c>
      <c r="AM201" s="1">
        <v>0</v>
      </c>
      <c r="AN201" s="1">
        <v>0</v>
      </c>
      <c r="AO201" s="1">
        <v>0</v>
      </c>
      <c r="AP201" s="1">
        <v>0</v>
      </c>
      <c r="AQ201" s="24">
        <f t="shared" si="11"/>
        <v>0</v>
      </c>
    </row>
    <row r="202" spans="1:43" ht="17.25" customHeight="1" x14ac:dyDescent="0.45">
      <c r="A202" s="12" t="s">
        <v>46</v>
      </c>
      <c r="B202" s="12" t="s">
        <v>66</v>
      </c>
      <c r="C202" s="12" t="s">
        <v>77</v>
      </c>
      <c r="D202" s="12" t="s">
        <v>68</v>
      </c>
      <c r="E202" s="25">
        <v>31</v>
      </c>
      <c r="F202" s="10">
        <v>29</v>
      </c>
      <c r="G202" s="10">
        <v>31</v>
      </c>
      <c r="H202" s="10">
        <v>30</v>
      </c>
      <c r="I202" s="10">
        <v>9</v>
      </c>
      <c r="J202" s="10">
        <v>1</v>
      </c>
      <c r="K202" s="10">
        <v>0</v>
      </c>
      <c r="L202" s="10">
        <v>0</v>
      </c>
      <c r="M202" s="10">
        <v>0</v>
      </c>
      <c r="N202" s="10">
        <v>0</v>
      </c>
      <c r="O202" s="10">
        <v>0</v>
      </c>
      <c r="P202" s="10">
        <v>13</v>
      </c>
      <c r="Q202" s="26">
        <f t="shared" si="9"/>
        <v>144</v>
      </c>
      <c r="R202" s="25">
        <v>3852</v>
      </c>
      <c r="S202" s="10">
        <v>3735</v>
      </c>
      <c r="T202" s="10">
        <v>4488</v>
      </c>
      <c r="U202" s="10">
        <v>4302</v>
      </c>
      <c r="V202" s="10">
        <v>1276</v>
      </c>
      <c r="W202" s="10">
        <v>139</v>
      </c>
      <c r="X202" s="10">
        <v>0</v>
      </c>
      <c r="Y202" s="10">
        <v>0</v>
      </c>
      <c r="Z202" s="10">
        <v>0</v>
      </c>
      <c r="AA202" s="10">
        <v>0</v>
      </c>
      <c r="AB202" s="10">
        <v>0</v>
      </c>
      <c r="AC202" s="10">
        <v>1225</v>
      </c>
      <c r="AD202" s="26">
        <f t="shared" si="10"/>
        <v>19017</v>
      </c>
      <c r="AE202" s="25">
        <v>0</v>
      </c>
      <c r="AF202" s="10">
        <v>0</v>
      </c>
      <c r="AG202" s="10">
        <v>0</v>
      </c>
      <c r="AH202" s="10">
        <v>0</v>
      </c>
      <c r="AI202" s="10">
        <v>0</v>
      </c>
      <c r="AJ202" s="10">
        <v>0</v>
      </c>
      <c r="AK202" s="10">
        <v>0</v>
      </c>
      <c r="AL202" s="10">
        <v>0</v>
      </c>
      <c r="AM202" s="10">
        <v>0</v>
      </c>
      <c r="AN202" s="10">
        <v>0</v>
      </c>
      <c r="AO202" s="10">
        <v>0</v>
      </c>
      <c r="AP202" s="10">
        <v>0</v>
      </c>
      <c r="AQ202" s="26">
        <f t="shared" si="11"/>
        <v>0</v>
      </c>
    </row>
    <row r="203" spans="1:43" ht="17.25" customHeight="1" x14ac:dyDescent="0.45">
      <c r="A203" s="2" t="s">
        <v>46</v>
      </c>
      <c r="B203" s="2" t="s">
        <v>66</v>
      </c>
      <c r="C203" s="2" t="s">
        <v>78</v>
      </c>
      <c r="D203" s="2" t="s">
        <v>68</v>
      </c>
      <c r="E203" s="23">
        <v>0</v>
      </c>
      <c r="F203" s="1">
        <v>0</v>
      </c>
      <c r="G203" s="1">
        <v>4</v>
      </c>
      <c r="H203" s="1">
        <v>1</v>
      </c>
      <c r="I203" s="1">
        <v>0</v>
      </c>
      <c r="J203" s="1">
        <v>4</v>
      </c>
      <c r="K203" s="1">
        <v>4</v>
      </c>
      <c r="L203" s="1">
        <v>1</v>
      </c>
      <c r="M203" s="1">
        <v>0</v>
      </c>
      <c r="N203" s="1">
        <v>0</v>
      </c>
      <c r="O203" s="1">
        <v>0</v>
      </c>
      <c r="P203" s="1">
        <v>0</v>
      </c>
      <c r="Q203" s="24">
        <f t="shared" si="9"/>
        <v>14</v>
      </c>
      <c r="R203" s="23">
        <v>0</v>
      </c>
      <c r="S203" s="1">
        <v>0</v>
      </c>
      <c r="T203" s="1">
        <v>443</v>
      </c>
      <c r="U203" s="1">
        <v>136</v>
      </c>
      <c r="V203" s="1">
        <v>0</v>
      </c>
      <c r="W203" s="1">
        <v>545</v>
      </c>
      <c r="X203" s="1">
        <v>531</v>
      </c>
      <c r="Y203" s="1">
        <v>171</v>
      </c>
      <c r="Z203" s="1">
        <v>0</v>
      </c>
      <c r="AA203" s="1">
        <v>0</v>
      </c>
      <c r="AB203" s="1">
        <v>0</v>
      </c>
      <c r="AC203" s="1">
        <v>0</v>
      </c>
      <c r="AD203" s="24">
        <f t="shared" si="10"/>
        <v>1826</v>
      </c>
      <c r="AE203" s="23">
        <v>0</v>
      </c>
      <c r="AF203" s="1">
        <v>0</v>
      </c>
      <c r="AG203" s="1">
        <v>0</v>
      </c>
      <c r="AH203" s="1">
        <v>0</v>
      </c>
      <c r="AI203" s="1">
        <v>0</v>
      </c>
      <c r="AJ203" s="1">
        <v>0</v>
      </c>
      <c r="AK203" s="1">
        <v>0</v>
      </c>
      <c r="AL203" s="1">
        <v>0</v>
      </c>
      <c r="AM203" s="1">
        <v>0</v>
      </c>
      <c r="AN203" s="1">
        <v>0</v>
      </c>
      <c r="AO203" s="1">
        <v>0</v>
      </c>
      <c r="AP203" s="1">
        <v>0</v>
      </c>
      <c r="AQ203" s="24">
        <f t="shared" si="11"/>
        <v>0</v>
      </c>
    </row>
    <row r="204" spans="1:43" ht="17.25" customHeight="1" x14ac:dyDescent="0.45">
      <c r="A204" s="12" t="s">
        <v>46</v>
      </c>
      <c r="B204" s="12" t="s">
        <v>66</v>
      </c>
      <c r="C204" s="12" t="s">
        <v>97</v>
      </c>
      <c r="D204" s="12" t="s">
        <v>68</v>
      </c>
      <c r="E204" s="25">
        <v>4</v>
      </c>
      <c r="F204" s="10">
        <v>4</v>
      </c>
      <c r="G204" s="10">
        <v>5</v>
      </c>
      <c r="H204" s="10">
        <v>4</v>
      </c>
      <c r="I204" s="10">
        <v>4</v>
      </c>
      <c r="J204" s="10">
        <v>5</v>
      </c>
      <c r="K204" s="10">
        <v>4</v>
      </c>
      <c r="L204" s="10">
        <v>1</v>
      </c>
      <c r="M204" s="10">
        <v>0</v>
      </c>
      <c r="N204" s="10">
        <v>3</v>
      </c>
      <c r="O204" s="10">
        <v>5</v>
      </c>
      <c r="P204" s="10">
        <v>4</v>
      </c>
      <c r="Q204" s="26">
        <f t="shared" si="9"/>
        <v>43</v>
      </c>
      <c r="R204" s="25">
        <v>563</v>
      </c>
      <c r="S204" s="10">
        <v>579</v>
      </c>
      <c r="T204" s="10">
        <v>691</v>
      </c>
      <c r="U204" s="10">
        <v>585</v>
      </c>
      <c r="V204" s="10">
        <v>549</v>
      </c>
      <c r="W204" s="10">
        <v>732</v>
      </c>
      <c r="X204" s="10">
        <v>544</v>
      </c>
      <c r="Y204" s="10">
        <v>148</v>
      </c>
      <c r="Z204" s="10">
        <v>0</v>
      </c>
      <c r="AA204" s="10">
        <v>378</v>
      </c>
      <c r="AB204" s="10">
        <v>724</v>
      </c>
      <c r="AC204" s="10">
        <v>541</v>
      </c>
      <c r="AD204" s="26">
        <f t="shared" si="10"/>
        <v>6034</v>
      </c>
      <c r="AE204" s="25">
        <v>0</v>
      </c>
      <c r="AF204" s="10">
        <v>0</v>
      </c>
      <c r="AG204" s="10">
        <v>0</v>
      </c>
      <c r="AH204" s="10">
        <v>0</v>
      </c>
      <c r="AI204" s="10">
        <v>0</v>
      </c>
      <c r="AJ204" s="10">
        <v>0</v>
      </c>
      <c r="AK204" s="10">
        <v>0</v>
      </c>
      <c r="AL204" s="10">
        <v>0</v>
      </c>
      <c r="AM204" s="10">
        <v>0</v>
      </c>
      <c r="AN204" s="10">
        <v>0</v>
      </c>
      <c r="AO204" s="10">
        <v>0</v>
      </c>
      <c r="AP204" s="10">
        <v>0</v>
      </c>
      <c r="AQ204" s="26">
        <f t="shared" si="11"/>
        <v>0</v>
      </c>
    </row>
    <row r="205" spans="1:43" ht="17.25" customHeight="1" x14ac:dyDescent="0.45">
      <c r="A205" s="2" t="s">
        <v>46</v>
      </c>
      <c r="B205" s="2" t="s">
        <v>66</v>
      </c>
      <c r="C205" s="2" t="s">
        <v>72</v>
      </c>
      <c r="D205" s="2" t="s">
        <v>68</v>
      </c>
      <c r="E205" s="23">
        <v>8</v>
      </c>
      <c r="F205" s="1">
        <v>10</v>
      </c>
      <c r="G205" s="1">
        <v>14</v>
      </c>
      <c r="H205" s="1">
        <v>4</v>
      </c>
      <c r="I205" s="1">
        <v>0</v>
      </c>
      <c r="J205" s="1">
        <v>0</v>
      </c>
      <c r="K205" s="1">
        <v>0</v>
      </c>
      <c r="L205" s="1">
        <v>0</v>
      </c>
      <c r="M205" s="1">
        <v>0</v>
      </c>
      <c r="N205" s="1">
        <v>0</v>
      </c>
      <c r="O205" s="1">
        <v>0</v>
      </c>
      <c r="P205" s="1">
        <v>5</v>
      </c>
      <c r="Q205" s="24">
        <f t="shared" si="9"/>
        <v>41</v>
      </c>
      <c r="R205" s="23">
        <v>1070</v>
      </c>
      <c r="S205" s="1">
        <v>1512</v>
      </c>
      <c r="T205" s="1">
        <v>1964</v>
      </c>
      <c r="U205" s="1">
        <v>572</v>
      </c>
      <c r="V205" s="1">
        <v>0</v>
      </c>
      <c r="W205" s="1">
        <v>0</v>
      </c>
      <c r="X205" s="1">
        <v>0</v>
      </c>
      <c r="Y205" s="1">
        <v>0</v>
      </c>
      <c r="Z205" s="1">
        <v>0</v>
      </c>
      <c r="AA205" s="1">
        <v>0</v>
      </c>
      <c r="AB205" s="1">
        <v>0</v>
      </c>
      <c r="AC205" s="1">
        <v>329</v>
      </c>
      <c r="AD205" s="24">
        <f t="shared" si="10"/>
        <v>5447</v>
      </c>
      <c r="AE205" s="23">
        <v>0</v>
      </c>
      <c r="AF205" s="1">
        <v>0</v>
      </c>
      <c r="AG205" s="1">
        <v>10.43262451</v>
      </c>
      <c r="AH205" s="1">
        <v>0</v>
      </c>
      <c r="AI205" s="1">
        <v>0</v>
      </c>
      <c r="AJ205" s="1">
        <v>0</v>
      </c>
      <c r="AK205" s="1">
        <v>0</v>
      </c>
      <c r="AL205" s="1">
        <v>0</v>
      </c>
      <c r="AM205" s="1">
        <v>0</v>
      </c>
      <c r="AN205" s="1">
        <v>0</v>
      </c>
      <c r="AO205" s="1">
        <v>0</v>
      </c>
      <c r="AP205" s="1">
        <v>0</v>
      </c>
      <c r="AQ205" s="24">
        <f t="shared" si="11"/>
        <v>10.43262451</v>
      </c>
    </row>
    <row r="206" spans="1:43" ht="17.25" customHeight="1" x14ac:dyDescent="0.45">
      <c r="A206" s="12" t="s">
        <v>46</v>
      </c>
      <c r="B206" s="12" t="s">
        <v>66</v>
      </c>
      <c r="C206" s="12" t="s">
        <v>67</v>
      </c>
      <c r="D206" s="12" t="s">
        <v>68</v>
      </c>
      <c r="E206" s="25">
        <v>61</v>
      </c>
      <c r="F206" s="10">
        <v>58</v>
      </c>
      <c r="G206" s="10">
        <v>64</v>
      </c>
      <c r="H206" s="10">
        <v>37</v>
      </c>
      <c r="I206" s="10">
        <v>35</v>
      </c>
      <c r="J206" s="10">
        <v>35</v>
      </c>
      <c r="K206" s="10">
        <v>34</v>
      </c>
      <c r="L206" s="10">
        <v>32</v>
      </c>
      <c r="M206" s="10">
        <v>14</v>
      </c>
      <c r="N206" s="10">
        <v>30</v>
      </c>
      <c r="O206" s="10">
        <v>34</v>
      </c>
      <c r="P206" s="10">
        <v>42</v>
      </c>
      <c r="Q206" s="26">
        <f t="shared" si="9"/>
        <v>476</v>
      </c>
      <c r="R206" s="25">
        <v>7566</v>
      </c>
      <c r="S206" s="10">
        <v>7607</v>
      </c>
      <c r="T206" s="10">
        <v>9171</v>
      </c>
      <c r="U206" s="10">
        <v>5488</v>
      </c>
      <c r="V206" s="10">
        <v>5254</v>
      </c>
      <c r="W206" s="10">
        <v>5777</v>
      </c>
      <c r="X206" s="10">
        <v>5263</v>
      </c>
      <c r="Y206" s="10">
        <v>4041</v>
      </c>
      <c r="Z206" s="10">
        <v>1618</v>
      </c>
      <c r="AA206" s="10">
        <v>3240</v>
      </c>
      <c r="AB206" s="10">
        <v>4753</v>
      </c>
      <c r="AC206" s="10">
        <v>5745</v>
      </c>
      <c r="AD206" s="26">
        <f t="shared" si="10"/>
        <v>65523</v>
      </c>
      <c r="AE206" s="25">
        <v>35.833797230000002</v>
      </c>
      <c r="AF206" s="10">
        <v>57.152638620000005</v>
      </c>
      <c r="AG206" s="10">
        <v>0</v>
      </c>
      <c r="AH206" s="10">
        <v>52.163122549999997</v>
      </c>
      <c r="AI206" s="10">
        <v>0</v>
      </c>
      <c r="AJ206" s="10">
        <v>8.1646626599999994</v>
      </c>
      <c r="AK206" s="10">
        <v>0</v>
      </c>
      <c r="AL206" s="10">
        <v>61.688562320000003</v>
      </c>
      <c r="AM206" s="10">
        <v>39.916128560000004</v>
      </c>
      <c r="AN206" s="10">
        <v>0</v>
      </c>
      <c r="AO206" s="10">
        <v>63.502931800000006</v>
      </c>
      <c r="AP206" s="10">
        <v>492.14772145000006</v>
      </c>
      <c r="AQ206" s="26">
        <f t="shared" si="11"/>
        <v>810.56956519000005</v>
      </c>
    </row>
    <row r="207" spans="1:43" ht="17.25" customHeight="1" x14ac:dyDescent="0.45">
      <c r="A207" s="2" t="s">
        <v>46</v>
      </c>
      <c r="B207" s="2" t="s">
        <v>66</v>
      </c>
      <c r="C207" s="2" t="s">
        <v>100</v>
      </c>
      <c r="D207" s="2" t="s">
        <v>68</v>
      </c>
      <c r="E207" s="23">
        <v>5</v>
      </c>
      <c r="F207" s="1">
        <v>6</v>
      </c>
      <c r="G207" s="1">
        <v>13</v>
      </c>
      <c r="H207" s="1">
        <v>5</v>
      </c>
      <c r="I207" s="1">
        <v>4</v>
      </c>
      <c r="J207" s="1">
        <v>5</v>
      </c>
      <c r="K207" s="1">
        <v>4</v>
      </c>
      <c r="L207" s="1">
        <v>3</v>
      </c>
      <c r="M207" s="1">
        <v>1</v>
      </c>
      <c r="N207" s="1">
        <v>4</v>
      </c>
      <c r="O207" s="1">
        <v>5</v>
      </c>
      <c r="P207" s="1">
        <v>4</v>
      </c>
      <c r="Q207" s="24">
        <f t="shared" si="9"/>
        <v>59</v>
      </c>
      <c r="R207" s="23">
        <v>776</v>
      </c>
      <c r="S207" s="1">
        <v>889</v>
      </c>
      <c r="T207" s="1">
        <v>1752</v>
      </c>
      <c r="U207" s="1">
        <v>715</v>
      </c>
      <c r="V207" s="1">
        <v>582</v>
      </c>
      <c r="W207" s="1">
        <v>792</v>
      </c>
      <c r="X207" s="1">
        <v>535</v>
      </c>
      <c r="Y207" s="1">
        <v>431</v>
      </c>
      <c r="Z207" s="1">
        <v>71</v>
      </c>
      <c r="AA207" s="1">
        <v>402</v>
      </c>
      <c r="AB207" s="1">
        <v>706</v>
      </c>
      <c r="AC207" s="1">
        <v>546</v>
      </c>
      <c r="AD207" s="24">
        <f t="shared" si="10"/>
        <v>8197</v>
      </c>
      <c r="AE207" s="23">
        <v>0</v>
      </c>
      <c r="AF207" s="1">
        <v>0</v>
      </c>
      <c r="AG207" s="1">
        <v>0</v>
      </c>
      <c r="AH207" s="1">
        <v>0</v>
      </c>
      <c r="AI207" s="1">
        <v>0</v>
      </c>
      <c r="AJ207" s="1">
        <v>0</v>
      </c>
      <c r="AK207" s="1">
        <v>0</v>
      </c>
      <c r="AL207" s="1">
        <v>0</v>
      </c>
      <c r="AM207" s="1">
        <v>0</v>
      </c>
      <c r="AN207" s="1">
        <v>0</v>
      </c>
      <c r="AO207" s="1">
        <v>0</v>
      </c>
      <c r="AP207" s="1">
        <v>0</v>
      </c>
      <c r="AQ207" s="24">
        <f t="shared" si="11"/>
        <v>0</v>
      </c>
    </row>
    <row r="208" spans="1:43" ht="17.25" customHeight="1" x14ac:dyDescent="0.45">
      <c r="A208" s="12" t="s">
        <v>46</v>
      </c>
      <c r="B208" s="12" t="s">
        <v>66</v>
      </c>
      <c r="C208" s="12" t="s">
        <v>69</v>
      </c>
      <c r="D208" s="12" t="s">
        <v>68</v>
      </c>
      <c r="E208" s="25">
        <v>54</v>
      </c>
      <c r="F208" s="10">
        <v>50</v>
      </c>
      <c r="G208" s="10">
        <v>60</v>
      </c>
      <c r="H208" s="10">
        <v>62</v>
      </c>
      <c r="I208" s="10">
        <v>61</v>
      </c>
      <c r="J208" s="10">
        <v>60</v>
      </c>
      <c r="K208" s="10">
        <v>58</v>
      </c>
      <c r="L208" s="10">
        <v>35</v>
      </c>
      <c r="M208" s="10">
        <v>30</v>
      </c>
      <c r="N208" s="10">
        <v>31</v>
      </c>
      <c r="O208" s="10">
        <v>30</v>
      </c>
      <c r="P208" s="10">
        <v>31</v>
      </c>
      <c r="Q208" s="26">
        <f t="shared" si="9"/>
        <v>562</v>
      </c>
      <c r="R208" s="25">
        <v>6232</v>
      </c>
      <c r="S208" s="10">
        <v>5685</v>
      </c>
      <c r="T208" s="10">
        <v>6827</v>
      </c>
      <c r="U208" s="10">
        <v>6827</v>
      </c>
      <c r="V208" s="10">
        <v>7188</v>
      </c>
      <c r="W208" s="10">
        <v>8469</v>
      </c>
      <c r="X208" s="10">
        <v>7418</v>
      </c>
      <c r="Y208" s="10">
        <v>4789</v>
      </c>
      <c r="Z208" s="10">
        <v>4288</v>
      </c>
      <c r="AA208" s="10">
        <v>3853</v>
      </c>
      <c r="AB208" s="10">
        <v>3883</v>
      </c>
      <c r="AC208" s="10">
        <v>3879</v>
      </c>
      <c r="AD208" s="26">
        <f t="shared" si="10"/>
        <v>69338</v>
      </c>
      <c r="AE208" s="25">
        <v>0</v>
      </c>
      <c r="AF208" s="10">
        <v>0</v>
      </c>
      <c r="AG208" s="10">
        <v>0</v>
      </c>
      <c r="AH208" s="10">
        <v>0</v>
      </c>
      <c r="AI208" s="10">
        <v>0</v>
      </c>
      <c r="AJ208" s="10">
        <v>0</v>
      </c>
      <c r="AK208" s="10">
        <v>0</v>
      </c>
      <c r="AL208" s="10">
        <v>0</v>
      </c>
      <c r="AM208" s="10">
        <v>0</v>
      </c>
      <c r="AN208" s="10">
        <v>0</v>
      </c>
      <c r="AO208" s="10">
        <v>0</v>
      </c>
      <c r="AP208" s="10">
        <v>0</v>
      </c>
      <c r="AQ208" s="26">
        <f t="shared" si="11"/>
        <v>0</v>
      </c>
    </row>
    <row r="209" spans="1:43" ht="17.25" customHeight="1" x14ac:dyDescent="0.45">
      <c r="A209" s="2" t="s">
        <v>46</v>
      </c>
      <c r="B209" s="2" t="s">
        <v>66</v>
      </c>
      <c r="C209" s="2" t="s">
        <v>126</v>
      </c>
      <c r="D209" s="2" t="s">
        <v>68</v>
      </c>
      <c r="E209" s="23">
        <v>31</v>
      </c>
      <c r="F209" s="1">
        <v>29</v>
      </c>
      <c r="G209" s="1">
        <v>30</v>
      </c>
      <c r="H209" s="1">
        <v>30</v>
      </c>
      <c r="I209" s="1">
        <v>31</v>
      </c>
      <c r="J209" s="1">
        <v>30</v>
      </c>
      <c r="K209" s="1">
        <v>31</v>
      </c>
      <c r="L209" s="1">
        <v>30</v>
      </c>
      <c r="M209" s="1">
        <v>3</v>
      </c>
      <c r="N209" s="1">
        <v>25</v>
      </c>
      <c r="O209" s="1">
        <v>24</v>
      </c>
      <c r="P209" s="1">
        <v>27</v>
      </c>
      <c r="Q209" s="24">
        <f t="shared" si="9"/>
        <v>321</v>
      </c>
      <c r="R209" s="23">
        <v>2683</v>
      </c>
      <c r="S209" s="1">
        <v>2441</v>
      </c>
      <c r="T209" s="1">
        <v>2934</v>
      </c>
      <c r="U209" s="1">
        <v>2044</v>
      </c>
      <c r="V209" s="1">
        <v>2159</v>
      </c>
      <c r="W209" s="1">
        <v>2126</v>
      </c>
      <c r="X209" s="1">
        <v>1936</v>
      </c>
      <c r="Y209" s="1">
        <v>2129</v>
      </c>
      <c r="Z209" s="1">
        <v>216</v>
      </c>
      <c r="AA209" s="1">
        <v>1369</v>
      </c>
      <c r="AB209" s="1">
        <v>1484</v>
      </c>
      <c r="AC209" s="1">
        <v>1687</v>
      </c>
      <c r="AD209" s="24">
        <f t="shared" si="10"/>
        <v>23208</v>
      </c>
      <c r="AE209" s="23">
        <v>0</v>
      </c>
      <c r="AF209" s="1">
        <v>60.781377579999997</v>
      </c>
      <c r="AG209" s="1">
        <v>67.131670760000006</v>
      </c>
      <c r="AH209" s="1">
        <v>1.8143694800000001</v>
      </c>
      <c r="AI209" s="1">
        <v>0</v>
      </c>
      <c r="AJ209" s="1">
        <v>0</v>
      </c>
      <c r="AK209" s="1">
        <v>0</v>
      </c>
      <c r="AL209" s="1">
        <v>0</v>
      </c>
      <c r="AM209" s="1">
        <v>0</v>
      </c>
      <c r="AN209" s="1">
        <v>0</v>
      </c>
      <c r="AO209" s="1">
        <v>0</v>
      </c>
      <c r="AP209" s="1">
        <v>0</v>
      </c>
      <c r="AQ209" s="24">
        <f t="shared" si="11"/>
        <v>129.72741782</v>
      </c>
    </row>
    <row r="210" spans="1:43" ht="17.25" customHeight="1" x14ac:dyDescent="0.45">
      <c r="A210" s="12" t="s">
        <v>46</v>
      </c>
      <c r="B210" s="12" t="s">
        <v>66</v>
      </c>
      <c r="C210" s="12" t="s">
        <v>130</v>
      </c>
      <c r="D210" s="12" t="s">
        <v>68</v>
      </c>
      <c r="E210" s="25">
        <v>24</v>
      </c>
      <c r="F210" s="10">
        <v>27</v>
      </c>
      <c r="G210" s="10">
        <v>31</v>
      </c>
      <c r="H210" s="10">
        <v>8</v>
      </c>
      <c r="I210" s="10">
        <v>0</v>
      </c>
      <c r="J210" s="10">
        <v>0</v>
      </c>
      <c r="K210" s="10">
        <v>0</v>
      </c>
      <c r="L210" s="10">
        <v>0</v>
      </c>
      <c r="M210" s="10">
        <v>0</v>
      </c>
      <c r="N210" s="10">
        <v>0</v>
      </c>
      <c r="O210" s="10">
        <v>0</v>
      </c>
      <c r="P210" s="10">
        <v>10</v>
      </c>
      <c r="Q210" s="26">
        <f t="shared" si="9"/>
        <v>100</v>
      </c>
      <c r="R210" s="25">
        <v>2647</v>
      </c>
      <c r="S210" s="10">
        <v>3464</v>
      </c>
      <c r="T210" s="10">
        <v>4670</v>
      </c>
      <c r="U210" s="10">
        <v>1152</v>
      </c>
      <c r="V210" s="10">
        <v>0</v>
      </c>
      <c r="W210" s="10">
        <v>0</v>
      </c>
      <c r="X210" s="10">
        <v>0</v>
      </c>
      <c r="Y210" s="10">
        <v>0</v>
      </c>
      <c r="Z210" s="10">
        <v>0</v>
      </c>
      <c r="AA210" s="10">
        <v>0</v>
      </c>
      <c r="AB210" s="10">
        <v>0</v>
      </c>
      <c r="AC210" s="10">
        <v>711</v>
      </c>
      <c r="AD210" s="26">
        <f t="shared" si="10"/>
        <v>12644</v>
      </c>
      <c r="AE210" s="25">
        <v>0</v>
      </c>
      <c r="AF210" s="10">
        <v>0</v>
      </c>
      <c r="AG210" s="10">
        <v>0</v>
      </c>
      <c r="AH210" s="10">
        <v>0</v>
      </c>
      <c r="AI210" s="10">
        <v>0</v>
      </c>
      <c r="AJ210" s="10">
        <v>0</v>
      </c>
      <c r="AK210" s="10">
        <v>0</v>
      </c>
      <c r="AL210" s="10">
        <v>0</v>
      </c>
      <c r="AM210" s="10">
        <v>0</v>
      </c>
      <c r="AN210" s="10">
        <v>0</v>
      </c>
      <c r="AO210" s="10">
        <v>0</v>
      </c>
      <c r="AP210" s="10">
        <v>0</v>
      </c>
      <c r="AQ210" s="26">
        <f t="shared" si="11"/>
        <v>0</v>
      </c>
    </row>
    <row r="211" spans="1:43" ht="17.25" customHeight="1" x14ac:dyDescent="0.45">
      <c r="A211" s="2" t="s">
        <v>46</v>
      </c>
      <c r="B211" s="2" t="s">
        <v>66</v>
      </c>
      <c r="C211" s="2" t="s">
        <v>70</v>
      </c>
      <c r="D211" s="2" t="s">
        <v>65</v>
      </c>
      <c r="E211" s="23">
        <v>4</v>
      </c>
      <c r="F211" s="1">
        <v>4</v>
      </c>
      <c r="G211" s="1">
        <v>5</v>
      </c>
      <c r="H211" s="1">
        <v>4</v>
      </c>
      <c r="I211" s="1">
        <v>0</v>
      </c>
      <c r="J211" s="1">
        <v>0</v>
      </c>
      <c r="K211" s="1">
        <v>0</v>
      </c>
      <c r="L211" s="1">
        <v>0</v>
      </c>
      <c r="M211" s="1">
        <v>0</v>
      </c>
      <c r="N211" s="1">
        <v>0</v>
      </c>
      <c r="O211" s="1">
        <v>0</v>
      </c>
      <c r="P211" s="1">
        <v>6</v>
      </c>
      <c r="Q211" s="24">
        <f t="shared" si="9"/>
        <v>23</v>
      </c>
      <c r="R211" s="23">
        <v>641</v>
      </c>
      <c r="S211" s="1">
        <v>629</v>
      </c>
      <c r="T211" s="1">
        <v>855</v>
      </c>
      <c r="U211" s="1">
        <v>688</v>
      </c>
      <c r="V211" s="1">
        <v>0</v>
      </c>
      <c r="W211" s="1">
        <v>0</v>
      </c>
      <c r="X211" s="1">
        <v>0</v>
      </c>
      <c r="Y211" s="1">
        <v>0</v>
      </c>
      <c r="Z211" s="1">
        <v>0</v>
      </c>
      <c r="AA211" s="1">
        <v>0</v>
      </c>
      <c r="AB211" s="1">
        <v>0</v>
      </c>
      <c r="AC211" s="1">
        <v>640</v>
      </c>
      <c r="AD211" s="24">
        <f t="shared" si="10"/>
        <v>3453</v>
      </c>
      <c r="AE211" s="23">
        <v>0</v>
      </c>
      <c r="AF211" s="1">
        <v>0</v>
      </c>
      <c r="AG211" s="1">
        <v>0</v>
      </c>
      <c r="AH211" s="1">
        <v>0</v>
      </c>
      <c r="AI211" s="1">
        <v>0</v>
      </c>
      <c r="AJ211" s="1">
        <v>0</v>
      </c>
      <c r="AK211" s="1">
        <v>0</v>
      </c>
      <c r="AL211" s="1">
        <v>0</v>
      </c>
      <c r="AM211" s="1">
        <v>0</v>
      </c>
      <c r="AN211" s="1">
        <v>0</v>
      </c>
      <c r="AO211" s="1">
        <v>0</v>
      </c>
      <c r="AP211" s="1">
        <v>0</v>
      </c>
      <c r="AQ211" s="24">
        <f t="shared" si="11"/>
        <v>0</v>
      </c>
    </row>
    <row r="212" spans="1:43" ht="17.25" customHeight="1" x14ac:dyDescent="0.45">
      <c r="A212" s="12" t="s">
        <v>46</v>
      </c>
      <c r="B212" s="12" t="s">
        <v>66</v>
      </c>
      <c r="C212" s="12" t="s">
        <v>71</v>
      </c>
      <c r="D212" s="12" t="s">
        <v>65</v>
      </c>
      <c r="E212" s="25">
        <v>8</v>
      </c>
      <c r="F212" s="10">
        <v>9</v>
      </c>
      <c r="G212" s="10">
        <v>9</v>
      </c>
      <c r="H212" s="10">
        <v>5</v>
      </c>
      <c r="I212" s="10">
        <v>1</v>
      </c>
      <c r="J212" s="10">
        <v>0</v>
      </c>
      <c r="K212" s="10">
        <v>0</v>
      </c>
      <c r="L212" s="10">
        <v>0</v>
      </c>
      <c r="M212" s="10">
        <v>0</v>
      </c>
      <c r="N212" s="10">
        <v>0</v>
      </c>
      <c r="O212" s="10">
        <v>5</v>
      </c>
      <c r="P212" s="10">
        <v>12</v>
      </c>
      <c r="Q212" s="26">
        <f t="shared" si="9"/>
        <v>49</v>
      </c>
      <c r="R212" s="25">
        <v>990</v>
      </c>
      <c r="S212" s="10">
        <v>1240</v>
      </c>
      <c r="T212" s="10">
        <v>1332</v>
      </c>
      <c r="U212" s="10">
        <v>734</v>
      </c>
      <c r="V212" s="10">
        <v>161</v>
      </c>
      <c r="W212" s="10">
        <v>0</v>
      </c>
      <c r="X212" s="10">
        <v>0</v>
      </c>
      <c r="Y212" s="10">
        <v>0</v>
      </c>
      <c r="Z212" s="10">
        <v>0</v>
      </c>
      <c r="AA212" s="10">
        <v>0</v>
      </c>
      <c r="AB212" s="10">
        <v>544</v>
      </c>
      <c r="AC212" s="10">
        <v>1586</v>
      </c>
      <c r="AD212" s="26">
        <f t="shared" si="10"/>
        <v>6587</v>
      </c>
      <c r="AE212" s="25">
        <v>0</v>
      </c>
      <c r="AF212" s="10">
        <v>0</v>
      </c>
      <c r="AG212" s="10">
        <v>0</v>
      </c>
      <c r="AH212" s="10">
        <v>0</v>
      </c>
      <c r="AI212" s="10">
        <v>0</v>
      </c>
      <c r="AJ212" s="10">
        <v>0</v>
      </c>
      <c r="AK212" s="10">
        <v>0</v>
      </c>
      <c r="AL212" s="10">
        <v>0</v>
      </c>
      <c r="AM212" s="10">
        <v>0</v>
      </c>
      <c r="AN212" s="10">
        <v>0</v>
      </c>
      <c r="AO212" s="10">
        <v>0</v>
      </c>
      <c r="AP212" s="10">
        <v>0</v>
      </c>
      <c r="AQ212" s="26">
        <f t="shared" si="11"/>
        <v>0</v>
      </c>
    </row>
    <row r="213" spans="1:43" ht="17.25" customHeight="1" x14ac:dyDescent="0.45">
      <c r="A213" s="2" t="s">
        <v>21</v>
      </c>
      <c r="B213" s="2" t="s">
        <v>66</v>
      </c>
      <c r="C213" s="2" t="s">
        <v>142</v>
      </c>
      <c r="D213" s="2" t="s">
        <v>68</v>
      </c>
      <c r="E213" s="23">
        <v>4</v>
      </c>
      <c r="F213" s="1">
        <v>4</v>
      </c>
      <c r="G213" s="1">
        <v>5</v>
      </c>
      <c r="H213" s="1">
        <v>8</v>
      </c>
      <c r="I213" s="1">
        <v>9</v>
      </c>
      <c r="J213" s="1">
        <v>9</v>
      </c>
      <c r="K213" s="1">
        <v>9</v>
      </c>
      <c r="L213" s="1">
        <v>8</v>
      </c>
      <c r="M213" s="1">
        <v>9</v>
      </c>
      <c r="N213" s="1">
        <v>9</v>
      </c>
      <c r="O213" s="1">
        <v>8</v>
      </c>
      <c r="P213" s="1">
        <v>9</v>
      </c>
      <c r="Q213" s="24">
        <f t="shared" si="9"/>
        <v>91</v>
      </c>
      <c r="R213" s="23">
        <v>611</v>
      </c>
      <c r="S213" s="1">
        <v>512</v>
      </c>
      <c r="T213" s="1">
        <v>821</v>
      </c>
      <c r="U213" s="1">
        <v>920</v>
      </c>
      <c r="V213" s="1">
        <v>988</v>
      </c>
      <c r="W213" s="1">
        <v>1088</v>
      </c>
      <c r="X213" s="1">
        <v>1400</v>
      </c>
      <c r="Y213" s="1">
        <v>927</v>
      </c>
      <c r="Z213" s="1">
        <v>869</v>
      </c>
      <c r="AA213" s="1">
        <v>996</v>
      </c>
      <c r="AB213" s="1">
        <v>925</v>
      </c>
      <c r="AC213" s="1">
        <v>1157</v>
      </c>
      <c r="AD213" s="24">
        <f t="shared" si="10"/>
        <v>11214</v>
      </c>
      <c r="AE213" s="23">
        <v>0</v>
      </c>
      <c r="AF213" s="1">
        <v>0</v>
      </c>
      <c r="AG213" s="1">
        <v>0</v>
      </c>
      <c r="AH213" s="1">
        <v>0</v>
      </c>
      <c r="AI213" s="1">
        <v>0</v>
      </c>
      <c r="AJ213" s="1">
        <v>0</v>
      </c>
      <c r="AK213" s="1">
        <v>0</v>
      </c>
      <c r="AL213" s="1">
        <v>0</v>
      </c>
      <c r="AM213" s="1">
        <v>0</v>
      </c>
      <c r="AN213" s="1">
        <v>0</v>
      </c>
      <c r="AO213" s="1">
        <v>0</v>
      </c>
      <c r="AP213" s="1">
        <v>0</v>
      </c>
      <c r="AQ213" s="24">
        <f t="shared" si="11"/>
        <v>0</v>
      </c>
    </row>
    <row r="214" spans="1:43" ht="17.25" customHeight="1" x14ac:dyDescent="0.45">
      <c r="A214" s="12" t="s">
        <v>67</v>
      </c>
      <c r="B214" s="12" t="s">
        <v>68</v>
      </c>
      <c r="C214" s="12" t="s">
        <v>9</v>
      </c>
      <c r="D214" s="12" t="s">
        <v>66</v>
      </c>
      <c r="E214" s="25">
        <v>0</v>
      </c>
      <c r="F214" s="10">
        <v>0</v>
      </c>
      <c r="G214" s="10">
        <v>0</v>
      </c>
      <c r="H214" s="10">
        <v>0</v>
      </c>
      <c r="I214" s="10">
        <v>0</v>
      </c>
      <c r="J214" s="10">
        <v>0</v>
      </c>
      <c r="K214" s="10">
        <v>0</v>
      </c>
      <c r="L214" s="10">
        <v>0</v>
      </c>
      <c r="M214" s="10">
        <v>0</v>
      </c>
      <c r="N214" s="10">
        <v>0</v>
      </c>
      <c r="O214" s="10">
        <v>5</v>
      </c>
      <c r="P214" s="10">
        <v>8</v>
      </c>
      <c r="Q214" s="26">
        <f t="shared" si="9"/>
        <v>13</v>
      </c>
      <c r="R214" s="25">
        <v>0</v>
      </c>
      <c r="S214" s="10">
        <v>0</v>
      </c>
      <c r="T214" s="10">
        <v>0</v>
      </c>
      <c r="U214" s="10">
        <v>0</v>
      </c>
      <c r="V214" s="10">
        <v>0</v>
      </c>
      <c r="W214" s="10">
        <v>0</v>
      </c>
      <c r="X214" s="10">
        <v>0</v>
      </c>
      <c r="Y214" s="10">
        <v>0</v>
      </c>
      <c r="Z214" s="10">
        <v>0</v>
      </c>
      <c r="AA214" s="10">
        <v>0</v>
      </c>
      <c r="AB214" s="10">
        <v>346</v>
      </c>
      <c r="AC214" s="10">
        <v>520</v>
      </c>
      <c r="AD214" s="26">
        <f t="shared" si="10"/>
        <v>866</v>
      </c>
      <c r="AE214" s="25">
        <v>0</v>
      </c>
      <c r="AF214" s="10">
        <v>0</v>
      </c>
      <c r="AG214" s="10">
        <v>0</v>
      </c>
      <c r="AH214" s="10">
        <v>0</v>
      </c>
      <c r="AI214" s="10">
        <v>0</v>
      </c>
      <c r="AJ214" s="10">
        <v>0</v>
      </c>
      <c r="AK214" s="10">
        <v>0</v>
      </c>
      <c r="AL214" s="10">
        <v>0</v>
      </c>
      <c r="AM214" s="10">
        <v>0</v>
      </c>
      <c r="AN214" s="10">
        <v>0</v>
      </c>
      <c r="AO214" s="10">
        <v>0</v>
      </c>
      <c r="AP214" s="10">
        <v>0</v>
      </c>
      <c r="AQ214" s="26">
        <f t="shared" si="11"/>
        <v>0</v>
      </c>
    </row>
    <row r="215" spans="1:43" ht="17.25" customHeight="1" x14ac:dyDescent="0.45">
      <c r="A215" s="2" t="s">
        <v>67</v>
      </c>
      <c r="B215" s="2" t="s">
        <v>68</v>
      </c>
      <c r="C215" s="2" t="s">
        <v>16</v>
      </c>
      <c r="D215" s="2" t="s">
        <v>66</v>
      </c>
      <c r="E215" s="23">
        <v>62</v>
      </c>
      <c r="F215" s="1">
        <v>58</v>
      </c>
      <c r="G215" s="1">
        <v>62</v>
      </c>
      <c r="H215" s="1">
        <v>59</v>
      </c>
      <c r="I215" s="1">
        <v>61</v>
      </c>
      <c r="J215" s="1">
        <v>60</v>
      </c>
      <c r="K215" s="1">
        <v>61</v>
      </c>
      <c r="L215" s="1">
        <v>62</v>
      </c>
      <c r="M215" s="1">
        <v>60</v>
      </c>
      <c r="N215" s="1">
        <v>62</v>
      </c>
      <c r="O215" s="1">
        <v>59</v>
      </c>
      <c r="P215" s="1">
        <v>61</v>
      </c>
      <c r="Q215" s="24">
        <f t="shared" si="9"/>
        <v>727</v>
      </c>
      <c r="R215" s="23">
        <v>3178</v>
      </c>
      <c r="S215" s="1">
        <v>2725</v>
      </c>
      <c r="T215" s="1">
        <v>3208</v>
      </c>
      <c r="U215" s="1">
        <v>3494</v>
      </c>
      <c r="V215" s="1">
        <v>3292</v>
      </c>
      <c r="W215" s="1">
        <v>3550</v>
      </c>
      <c r="X215" s="1">
        <v>3676</v>
      </c>
      <c r="Y215" s="1">
        <v>3359</v>
      </c>
      <c r="Z215" s="1">
        <v>3378</v>
      </c>
      <c r="AA215" s="1">
        <v>3320</v>
      </c>
      <c r="AB215" s="1">
        <v>3533</v>
      </c>
      <c r="AC215" s="1">
        <v>3941</v>
      </c>
      <c r="AD215" s="24">
        <f t="shared" si="10"/>
        <v>40654</v>
      </c>
      <c r="AE215" s="23">
        <v>0</v>
      </c>
      <c r="AF215" s="1">
        <v>0</v>
      </c>
      <c r="AG215" s="1">
        <v>0</v>
      </c>
      <c r="AH215" s="1">
        <v>0</v>
      </c>
      <c r="AI215" s="1">
        <v>0</v>
      </c>
      <c r="AJ215" s="1">
        <v>0</v>
      </c>
      <c r="AK215" s="1">
        <v>0</v>
      </c>
      <c r="AL215" s="1">
        <v>0</v>
      </c>
      <c r="AM215" s="1">
        <v>0</v>
      </c>
      <c r="AN215" s="1">
        <v>0</v>
      </c>
      <c r="AO215" s="1">
        <v>0</v>
      </c>
      <c r="AP215" s="1">
        <v>0</v>
      </c>
      <c r="AQ215" s="24">
        <f t="shared" si="11"/>
        <v>0</v>
      </c>
    </row>
    <row r="216" spans="1:43" ht="17.25" customHeight="1" x14ac:dyDescent="0.45">
      <c r="A216" s="12" t="s">
        <v>67</v>
      </c>
      <c r="B216" s="12" t="s">
        <v>68</v>
      </c>
      <c r="C216" s="12" t="s">
        <v>10</v>
      </c>
      <c r="D216" s="12" t="s">
        <v>66</v>
      </c>
      <c r="E216" s="25">
        <v>330</v>
      </c>
      <c r="F216" s="10">
        <v>307</v>
      </c>
      <c r="G216" s="10">
        <v>340</v>
      </c>
      <c r="H216" s="10">
        <v>302</v>
      </c>
      <c r="I216" s="10">
        <v>333</v>
      </c>
      <c r="J216" s="10">
        <v>363</v>
      </c>
      <c r="K216" s="10">
        <v>344</v>
      </c>
      <c r="L216" s="10">
        <v>252</v>
      </c>
      <c r="M216" s="10">
        <v>202</v>
      </c>
      <c r="N216" s="10">
        <v>220</v>
      </c>
      <c r="O216" s="10">
        <v>234</v>
      </c>
      <c r="P216" s="10">
        <v>275</v>
      </c>
      <c r="Q216" s="26">
        <f t="shared" si="9"/>
        <v>3502</v>
      </c>
      <c r="R216" s="25">
        <v>43726</v>
      </c>
      <c r="S216" s="10">
        <v>50091</v>
      </c>
      <c r="T216" s="10">
        <v>59417</v>
      </c>
      <c r="U216" s="10">
        <v>44160</v>
      </c>
      <c r="V216" s="10">
        <v>57824</v>
      </c>
      <c r="W216" s="10">
        <v>64695</v>
      </c>
      <c r="X216" s="10">
        <v>59626</v>
      </c>
      <c r="Y216" s="10">
        <v>40620</v>
      </c>
      <c r="Z216" s="10">
        <v>33294</v>
      </c>
      <c r="AA216" s="10">
        <v>38708</v>
      </c>
      <c r="AB216" s="10">
        <v>37357</v>
      </c>
      <c r="AC216" s="10">
        <v>46267</v>
      </c>
      <c r="AD216" s="26">
        <f t="shared" si="10"/>
        <v>575785</v>
      </c>
      <c r="AE216" s="25">
        <v>10912.07164509</v>
      </c>
      <c r="AF216" s="10">
        <v>17255.10734717</v>
      </c>
      <c r="AG216" s="10">
        <v>8934.4089118900029</v>
      </c>
      <c r="AH216" s="10">
        <v>14392</v>
      </c>
      <c r="AI216" s="10">
        <v>8508.0320840900004</v>
      </c>
      <c r="AJ216" s="10">
        <v>8599.6577428300006</v>
      </c>
      <c r="AK216" s="10">
        <v>7946.9383223999994</v>
      </c>
      <c r="AL216" s="10">
        <v>4481.4926156000001</v>
      </c>
      <c r="AM216" s="10">
        <v>13704.839867180001</v>
      </c>
      <c r="AN216" s="10">
        <v>2741.9658766500006</v>
      </c>
      <c r="AO216" s="10">
        <v>16680.859406749998</v>
      </c>
      <c r="AP216" s="10">
        <v>10946.998257579999</v>
      </c>
      <c r="AQ216" s="26">
        <f t="shared" si="11"/>
        <v>125104.37207723</v>
      </c>
    </row>
    <row r="217" spans="1:43" ht="17.25" customHeight="1" x14ac:dyDescent="0.45">
      <c r="A217" s="2" t="s">
        <v>67</v>
      </c>
      <c r="B217" s="2" t="s">
        <v>68</v>
      </c>
      <c r="C217" s="2" t="s">
        <v>19</v>
      </c>
      <c r="D217" s="2" t="s">
        <v>66</v>
      </c>
      <c r="E217" s="23">
        <v>62</v>
      </c>
      <c r="F217" s="1">
        <v>58</v>
      </c>
      <c r="G217" s="1">
        <v>62</v>
      </c>
      <c r="H217" s="1">
        <v>60</v>
      </c>
      <c r="I217" s="1">
        <v>61</v>
      </c>
      <c r="J217" s="1">
        <v>60</v>
      </c>
      <c r="K217" s="1">
        <v>92</v>
      </c>
      <c r="L217" s="1">
        <v>92</v>
      </c>
      <c r="M217" s="1">
        <v>90</v>
      </c>
      <c r="N217" s="1">
        <v>92</v>
      </c>
      <c r="O217" s="1">
        <v>86</v>
      </c>
      <c r="P217" s="1">
        <v>91</v>
      </c>
      <c r="Q217" s="24">
        <f t="shared" si="9"/>
        <v>906</v>
      </c>
      <c r="R217" s="23">
        <v>3286</v>
      </c>
      <c r="S217" s="1">
        <v>3235</v>
      </c>
      <c r="T217" s="1">
        <v>3516</v>
      </c>
      <c r="U217" s="1">
        <v>3443</v>
      </c>
      <c r="V217" s="1">
        <v>3414</v>
      </c>
      <c r="W217" s="1">
        <v>3489</v>
      </c>
      <c r="X217" s="1">
        <v>4929</v>
      </c>
      <c r="Y217" s="1">
        <v>4863</v>
      </c>
      <c r="Z217" s="1">
        <v>4454</v>
      </c>
      <c r="AA217" s="1">
        <v>4879</v>
      </c>
      <c r="AB217" s="1">
        <v>4395</v>
      </c>
      <c r="AC217" s="1">
        <v>4963</v>
      </c>
      <c r="AD217" s="24">
        <f t="shared" si="10"/>
        <v>48866</v>
      </c>
      <c r="AE217" s="23">
        <v>0</v>
      </c>
      <c r="AF217" s="1">
        <v>0</v>
      </c>
      <c r="AG217" s="1">
        <v>0</v>
      </c>
      <c r="AH217" s="1">
        <v>0</v>
      </c>
      <c r="AI217" s="1">
        <v>0</v>
      </c>
      <c r="AJ217" s="1">
        <v>0</v>
      </c>
      <c r="AK217" s="1">
        <v>0</v>
      </c>
      <c r="AL217" s="1">
        <v>0</v>
      </c>
      <c r="AM217" s="1">
        <v>0</v>
      </c>
      <c r="AN217" s="1">
        <v>0</v>
      </c>
      <c r="AO217" s="1">
        <v>0</v>
      </c>
      <c r="AP217" s="1">
        <v>0</v>
      </c>
      <c r="AQ217" s="24">
        <f t="shared" si="11"/>
        <v>0</v>
      </c>
    </row>
    <row r="218" spans="1:43" ht="17.25" customHeight="1" x14ac:dyDescent="0.45">
      <c r="A218" s="12" t="s">
        <v>67</v>
      </c>
      <c r="B218" s="12" t="s">
        <v>68</v>
      </c>
      <c r="C218" s="12" t="s">
        <v>46</v>
      </c>
      <c r="D218" s="12" t="s">
        <v>66</v>
      </c>
      <c r="E218" s="25">
        <v>62</v>
      </c>
      <c r="F218" s="10">
        <v>58</v>
      </c>
      <c r="G218" s="10">
        <v>64</v>
      </c>
      <c r="H218" s="10">
        <v>37</v>
      </c>
      <c r="I218" s="10">
        <v>35</v>
      </c>
      <c r="J218" s="10">
        <v>35</v>
      </c>
      <c r="K218" s="10">
        <v>34</v>
      </c>
      <c r="L218" s="10">
        <v>31</v>
      </c>
      <c r="M218" s="10">
        <v>14</v>
      </c>
      <c r="N218" s="10">
        <v>30</v>
      </c>
      <c r="O218" s="10">
        <v>34</v>
      </c>
      <c r="P218" s="10">
        <v>43</v>
      </c>
      <c r="Q218" s="26">
        <f t="shared" si="9"/>
        <v>477</v>
      </c>
      <c r="R218" s="25">
        <v>6913</v>
      </c>
      <c r="S218" s="10">
        <v>7871</v>
      </c>
      <c r="T218" s="10">
        <v>9126</v>
      </c>
      <c r="U218" s="10">
        <v>4759</v>
      </c>
      <c r="V218" s="10">
        <v>5429</v>
      </c>
      <c r="W218" s="10">
        <v>5731</v>
      </c>
      <c r="X218" s="10">
        <v>5368</v>
      </c>
      <c r="Y218" s="10">
        <v>3753</v>
      </c>
      <c r="Z218" s="10">
        <v>1601</v>
      </c>
      <c r="AA218" s="10">
        <v>3775</v>
      </c>
      <c r="AB218" s="10">
        <v>4911</v>
      </c>
      <c r="AC218" s="10">
        <v>6478</v>
      </c>
      <c r="AD218" s="26">
        <f t="shared" si="10"/>
        <v>65715</v>
      </c>
      <c r="AE218" s="25">
        <v>64.86370891</v>
      </c>
      <c r="AF218" s="10">
        <v>46.266421739999998</v>
      </c>
      <c r="AG218" s="10">
        <v>70.760409720000013</v>
      </c>
      <c r="AH218" s="10">
        <v>0</v>
      </c>
      <c r="AI218" s="10">
        <v>39.916128560000004</v>
      </c>
      <c r="AJ218" s="10">
        <v>59.420600470000004</v>
      </c>
      <c r="AK218" s="10">
        <v>0</v>
      </c>
      <c r="AL218" s="10">
        <v>0</v>
      </c>
      <c r="AM218" s="10">
        <v>4.0823313299999997</v>
      </c>
      <c r="AN218" s="10">
        <v>77.564295270000002</v>
      </c>
      <c r="AO218" s="10">
        <v>221.35307656000003</v>
      </c>
      <c r="AP218" s="10">
        <v>343.82301646000002</v>
      </c>
      <c r="AQ218" s="26">
        <f t="shared" si="11"/>
        <v>928.04998902000011</v>
      </c>
    </row>
    <row r="219" spans="1:43" ht="17.25" customHeight="1" x14ac:dyDescent="0.45">
      <c r="A219" s="2" t="s">
        <v>67</v>
      </c>
      <c r="B219" s="2" t="s">
        <v>68</v>
      </c>
      <c r="C219" s="2" t="s">
        <v>22</v>
      </c>
      <c r="D219" s="2" t="s">
        <v>66</v>
      </c>
      <c r="E219" s="23">
        <v>70</v>
      </c>
      <c r="F219" s="1">
        <v>66</v>
      </c>
      <c r="G219" s="1">
        <v>70</v>
      </c>
      <c r="H219" s="1">
        <v>67</v>
      </c>
      <c r="I219" s="1">
        <v>66</v>
      </c>
      <c r="J219" s="1">
        <v>96</v>
      </c>
      <c r="K219" s="1">
        <v>100</v>
      </c>
      <c r="L219" s="1">
        <v>99</v>
      </c>
      <c r="M219" s="1">
        <v>99</v>
      </c>
      <c r="N219" s="1">
        <v>105</v>
      </c>
      <c r="O219" s="1">
        <v>98</v>
      </c>
      <c r="P219" s="1">
        <v>105</v>
      </c>
      <c r="Q219" s="24">
        <f t="shared" si="9"/>
        <v>1041</v>
      </c>
      <c r="R219" s="23">
        <v>9503</v>
      </c>
      <c r="S219" s="1">
        <v>8046</v>
      </c>
      <c r="T219" s="1">
        <v>9368</v>
      </c>
      <c r="U219" s="1">
        <v>8744</v>
      </c>
      <c r="V219" s="1">
        <v>9535</v>
      </c>
      <c r="W219" s="1">
        <v>12720</v>
      </c>
      <c r="X219" s="1">
        <v>12551</v>
      </c>
      <c r="Y219" s="1">
        <v>11410</v>
      </c>
      <c r="Z219" s="1">
        <v>12116</v>
      </c>
      <c r="AA219" s="1">
        <v>12774</v>
      </c>
      <c r="AB219" s="1">
        <v>13230</v>
      </c>
      <c r="AC219" s="1">
        <v>16258</v>
      </c>
      <c r="AD219" s="24">
        <f t="shared" si="10"/>
        <v>136255</v>
      </c>
      <c r="AE219" s="23">
        <v>0</v>
      </c>
      <c r="AF219" s="1">
        <v>897.6593002300001</v>
      </c>
      <c r="AG219" s="1">
        <v>7.2574779200000012</v>
      </c>
      <c r="AH219" s="1">
        <v>0</v>
      </c>
      <c r="AI219" s="1">
        <v>92.532843480000011</v>
      </c>
      <c r="AJ219" s="1">
        <v>43.091275150000001</v>
      </c>
      <c r="AK219" s="1">
        <v>77.564295270000002</v>
      </c>
      <c r="AL219" s="1">
        <v>44.452052260000002</v>
      </c>
      <c r="AM219" s="1">
        <v>185.06568696000002</v>
      </c>
      <c r="AN219" s="1">
        <v>23.133210869999999</v>
      </c>
      <c r="AO219" s="1">
        <v>540.2285126700001</v>
      </c>
      <c r="AP219" s="1">
        <v>451.77800052000009</v>
      </c>
      <c r="AQ219" s="24">
        <f t="shared" si="11"/>
        <v>2362.7626553300006</v>
      </c>
    </row>
    <row r="220" spans="1:43" ht="17.25" customHeight="1" x14ac:dyDescent="0.45">
      <c r="A220" s="12" t="s">
        <v>67</v>
      </c>
      <c r="B220" s="12" t="s">
        <v>68</v>
      </c>
      <c r="C220" s="12" t="s">
        <v>42</v>
      </c>
      <c r="D220" s="12" t="s">
        <v>66</v>
      </c>
      <c r="E220" s="25">
        <v>31</v>
      </c>
      <c r="F220" s="10">
        <v>29</v>
      </c>
      <c r="G220" s="10">
        <v>31</v>
      </c>
      <c r="H220" s="10">
        <v>29</v>
      </c>
      <c r="I220" s="10">
        <v>31</v>
      </c>
      <c r="J220" s="10">
        <v>29</v>
      </c>
      <c r="K220" s="10">
        <v>30</v>
      </c>
      <c r="L220" s="10">
        <v>31</v>
      </c>
      <c r="M220" s="10">
        <v>30</v>
      </c>
      <c r="N220" s="10">
        <v>31</v>
      </c>
      <c r="O220" s="10">
        <v>29</v>
      </c>
      <c r="P220" s="10">
        <v>41</v>
      </c>
      <c r="Q220" s="26">
        <f t="shared" si="9"/>
        <v>372</v>
      </c>
      <c r="R220" s="25">
        <v>2131</v>
      </c>
      <c r="S220" s="10">
        <v>2012</v>
      </c>
      <c r="T220" s="10">
        <v>2040</v>
      </c>
      <c r="U220" s="10">
        <v>1752</v>
      </c>
      <c r="V220" s="10">
        <v>1912</v>
      </c>
      <c r="W220" s="10">
        <v>3424</v>
      </c>
      <c r="X220" s="10">
        <v>3652</v>
      </c>
      <c r="Y220" s="10">
        <v>3157</v>
      </c>
      <c r="Z220" s="10">
        <v>2069</v>
      </c>
      <c r="AA220" s="10">
        <v>2175</v>
      </c>
      <c r="AB220" s="10">
        <v>3263</v>
      </c>
      <c r="AC220" s="10">
        <v>4747</v>
      </c>
      <c r="AD220" s="26">
        <f t="shared" si="10"/>
        <v>32334</v>
      </c>
      <c r="AE220" s="25">
        <v>0</v>
      </c>
      <c r="AF220" s="10">
        <v>0</v>
      </c>
      <c r="AG220" s="10">
        <v>0</v>
      </c>
      <c r="AH220" s="10">
        <v>0</v>
      </c>
      <c r="AI220" s="10">
        <v>0</v>
      </c>
      <c r="AJ220" s="10">
        <v>57.60623099</v>
      </c>
      <c r="AK220" s="10">
        <v>0</v>
      </c>
      <c r="AL220" s="10">
        <v>0</v>
      </c>
      <c r="AM220" s="10">
        <v>0</v>
      </c>
      <c r="AN220" s="10">
        <v>0</v>
      </c>
      <c r="AO220" s="10">
        <v>0</v>
      </c>
      <c r="AP220" s="10">
        <v>133.35615678000002</v>
      </c>
      <c r="AQ220" s="26">
        <f t="shared" si="11"/>
        <v>190.96238777000002</v>
      </c>
    </row>
    <row r="221" spans="1:43" ht="17.25" customHeight="1" x14ac:dyDescent="0.45">
      <c r="A221" s="2" t="s">
        <v>67</v>
      </c>
      <c r="B221" s="2" t="s">
        <v>68</v>
      </c>
      <c r="C221" s="2" t="s">
        <v>11</v>
      </c>
      <c r="D221" s="2" t="s">
        <v>66</v>
      </c>
      <c r="E221" s="23">
        <v>134</v>
      </c>
      <c r="F221" s="1">
        <v>128</v>
      </c>
      <c r="G221" s="1">
        <v>137</v>
      </c>
      <c r="H221" s="1">
        <v>125</v>
      </c>
      <c r="I221" s="1">
        <v>129</v>
      </c>
      <c r="J221" s="1">
        <v>127</v>
      </c>
      <c r="K221" s="1">
        <v>132</v>
      </c>
      <c r="L221" s="1">
        <v>131</v>
      </c>
      <c r="M221" s="1">
        <v>129</v>
      </c>
      <c r="N221" s="1">
        <v>132</v>
      </c>
      <c r="O221" s="1">
        <v>124</v>
      </c>
      <c r="P221" s="1">
        <v>150</v>
      </c>
      <c r="Q221" s="24">
        <f t="shared" si="9"/>
        <v>1578</v>
      </c>
      <c r="R221" s="23">
        <v>17015</v>
      </c>
      <c r="S221" s="1">
        <v>12900</v>
      </c>
      <c r="T221" s="1">
        <v>15727</v>
      </c>
      <c r="U221" s="1">
        <v>15478</v>
      </c>
      <c r="V221" s="1">
        <v>17525</v>
      </c>
      <c r="W221" s="1">
        <v>20245</v>
      </c>
      <c r="X221" s="1">
        <v>21491</v>
      </c>
      <c r="Y221" s="1">
        <v>16358</v>
      </c>
      <c r="Z221" s="1">
        <v>16260</v>
      </c>
      <c r="AA221" s="1">
        <v>19844</v>
      </c>
      <c r="AB221" s="1">
        <v>18918</v>
      </c>
      <c r="AC221" s="1">
        <v>24555</v>
      </c>
      <c r="AD221" s="24">
        <f t="shared" si="10"/>
        <v>216316</v>
      </c>
      <c r="AE221" s="23">
        <v>6478.6598207100005</v>
      </c>
      <c r="AF221" s="1">
        <v>5634.9780125100015</v>
      </c>
      <c r="AG221" s="1">
        <v>5399.5635724800004</v>
      </c>
      <c r="AH221" s="1">
        <v>7166</v>
      </c>
      <c r="AI221" s="1">
        <v>6149.3517600900004</v>
      </c>
      <c r="AJ221" s="1">
        <v>7785.0058463100022</v>
      </c>
      <c r="AK221" s="1">
        <v>9583.4995933600021</v>
      </c>
      <c r="AL221" s="1">
        <v>8265.8137585099994</v>
      </c>
      <c r="AM221" s="1">
        <v>8367.4184493899993</v>
      </c>
      <c r="AN221" s="1">
        <v>8880.4314198600005</v>
      </c>
      <c r="AO221" s="1">
        <v>8858.2053937300007</v>
      </c>
      <c r="AP221" s="1">
        <v>4470.6063987200005</v>
      </c>
      <c r="AQ221" s="24">
        <f t="shared" si="11"/>
        <v>87039.53402567</v>
      </c>
    </row>
    <row r="222" spans="1:43" ht="17.25" customHeight="1" x14ac:dyDescent="0.45">
      <c r="A222" s="12" t="s">
        <v>67</v>
      </c>
      <c r="B222" s="12" t="s">
        <v>68</v>
      </c>
      <c r="C222" s="12" t="s">
        <v>51</v>
      </c>
      <c r="D222" s="12" t="s">
        <v>66</v>
      </c>
      <c r="E222" s="25">
        <v>18</v>
      </c>
      <c r="F222" s="10">
        <v>23</v>
      </c>
      <c r="G222" s="10">
        <v>31</v>
      </c>
      <c r="H222" s="10">
        <v>10</v>
      </c>
      <c r="I222" s="10">
        <v>2</v>
      </c>
      <c r="J222" s="10">
        <v>8</v>
      </c>
      <c r="K222" s="10">
        <v>9</v>
      </c>
      <c r="L222" s="10">
        <v>1</v>
      </c>
      <c r="M222" s="10">
        <v>0</v>
      </c>
      <c r="N222" s="10">
        <v>0</v>
      </c>
      <c r="O222" s="10">
        <v>15</v>
      </c>
      <c r="P222" s="10">
        <v>27</v>
      </c>
      <c r="Q222" s="26">
        <f t="shared" si="9"/>
        <v>144</v>
      </c>
      <c r="R222" s="25">
        <v>1260</v>
      </c>
      <c r="S222" s="10">
        <v>1627</v>
      </c>
      <c r="T222" s="10">
        <v>2030</v>
      </c>
      <c r="U222" s="10">
        <v>603</v>
      </c>
      <c r="V222" s="10">
        <v>105</v>
      </c>
      <c r="W222" s="10">
        <v>527</v>
      </c>
      <c r="X222" s="10">
        <v>604</v>
      </c>
      <c r="Y222" s="10">
        <v>60</v>
      </c>
      <c r="Z222" s="10">
        <v>0</v>
      </c>
      <c r="AA222" s="10">
        <v>0</v>
      </c>
      <c r="AB222" s="10">
        <v>1008</v>
      </c>
      <c r="AC222" s="10">
        <v>1889</v>
      </c>
      <c r="AD222" s="26">
        <f t="shared" si="10"/>
        <v>9713</v>
      </c>
      <c r="AE222" s="25">
        <v>0</v>
      </c>
      <c r="AF222" s="10">
        <v>0</v>
      </c>
      <c r="AG222" s="10">
        <v>0</v>
      </c>
      <c r="AH222" s="10">
        <v>0</v>
      </c>
      <c r="AI222" s="10">
        <v>0</v>
      </c>
      <c r="AJ222" s="10">
        <v>0</v>
      </c>
      <c r="AK222" s="10">
        <v>0</v>
      </c>
      <c r="AL222" s="10">
        <v>0</v>
      </c>
      <c r="AM222" s="10">
        <v>0</v>
      </c>
      <c r="AN222" s="10">
        <v>0</v>
      </c>
      <c r="AO222" s="10">
        <v>0</v>
      </c>
      <c r="AP222" s="10">
        <v>0</v>
      </c>
      <c r="AQ222" s="26">
        <f t="shared" si="11"/>
        <v>0</v>
      </c>
    </row>
    <row r="223" spans="1:43" ht="17.25" customHeight="1" x14ac:dyDescent="0.45">
      <c r="A223" s="2" t="s">
        <v>67</v>
      </c>
      <c r="B223" s="2" t="s">
        <v>68</v>
      </c>
      <c r="C223" s="2" t="s">
        <v>52</v>
      </c>
      <c r="D223" s="2" t="s">
        <v>66</v>
      </c>
      <c r="E223" s="23">
        <v>31</v>
      </c>
      <c r="F223" s="1">
        <v>29</v>
      </c>
      <c r="G223" s="1">
        <v>31</v>
      </c>
      <c r="H223" s="1">
        <v>3</v>
      </c>
      <c r="I223" s="1">
        <v>0</v>
      </c>
      <c r="J223" s="1">
        <v>8</v>
      </c>
      <c r="K223" s="1">
        <v>9</v>
      </c>
      <c r="L223" s="1">
        <v>1</v>
      </c>
      <c r="M223" s="1">
        <v>0</v>
      </c>
      <c r="N223" s="1">
        <v>0</v>
      </c>
      <c r="O223" s="1">
        <v>14</v>
      </c>
      <c r="P223" s="1">
        <v>25</v>
      </c>
      <c r="Q223" s="24">
        <f t="shared" si="9"/>
        <v>151</v>
      </c>
      <c r="R223" s="23">
        <v>1905</v>
      </c>
      <c r="S223" s="1">
        <v>1971</v>
      </c>
      <c r="T223" s="1">
        <v>1938</v>
      </c>
      <c r="U223" s="1">
        <v>114</v>
      </c>
      <c r="V223" s="1">
        <v>0</v>
      </c>
      <c r="W223" s="1">
        <v>574</v>
      </c>
      <c r="X223" s="1">
        <v>608</v>
      </c>
      <c r="Y223" s="1">
        <v>56</v>
      </c>
      <c r="Z223" s="1">
        <v>0</v>
      </c>
      <c r="AA223" s="1">
        <v>0</v>
      </c>
      <c r="AB223" s="1">
        <v>1092</v>
      </c>
      <c r="AC223" s="1">
        <v>1965</v>
      </c>
      <c r="AD223" s="24">
        <f t="shared" si="10"/>
        <v>10223</v>
      </c>
      <c r="AE223" s="23">
        <v>0</v>
      </c>
      <c r="AF223" s="1">
        <v>0</v>
      </c>
      <c r="AG223" s="1">
        <v>0</v>
      </c>
      <c r="AH223" s="1">
        <v>0</v>
      </c>
      <c r="AI223" s="1">
        <v>0</v>
      </c>
      <c r="AJ223" s="1">
        <v>0</v>
      </c>
      <c r="AK223" s="1">
        <v>0</v>
      </c>
      <c r="AL223" s="1">
        <v>0</v>
      </c>
      <c r="AM223" s="1">
        <v>0</v>
      </c>
      <c r="AN223" s="1">
        <v>0</v>
      </c>
      <c r="AO223" s="1">
        <v>85.728957930000007</v>
      </c>
      <c r="AP223" s="1">
        <v>399.61487797000001</v>
      </c>
      <c r="AQ223" s="24">
        <f t="shared" si="11"/>
        <v>485.34383590000004</v>
      </c>
    </row>
    <row r="224" spans="1:43" ht="17.25" customHeight="1" x14ac:dyDescent="0.45">
      <c r="A224" s="12" t="s">
        <v>67</v>
      </c>
      <c r="B224" s="12" t="s">
        <v>68</v>
      </c>
      <c r="C224" s="12" t="s">
        <v>54</v>
      </c>
      <c r="D224" s="12" t="s">
        <v>66</v>
      </c>
      <c r="E224" s="25">
        <v>9</v>
      </c>
      <c r="F224" s="10">
        <v>8</v>
      </c>
      <c r="G224" s="10">
        <v>9</v>
      </c>
      <c r="H224" s="10">
        <v>1</v>
      </c>
      <c r="I224" s="10">
        <v>0</v>
      </c>
      <c r="J224" s="10">
        <v>0</v>
      </c>
      <c r="K224" s="10">
        <v>0</v>
      </c>
      <c r="L224" s="10">
        <v>0</v>
      </c>
      <c r="M224" s="10">
        <v>0</v>
      </c>
      <c r="N224" s="10">
        <v>3</v>
      </c>
      <c r="O224" s="10">
        <v>5</v>
      </c>
      <c r="P224" s="10">
        <v>6</v>
      </c>
      <c r="Q224" s="26">
        <f t="shared" si="9"/>
        <v>41</v>
      </c>
      <c r="R224" s="25">
        <v>477</v>
      </c>
      <c r="S224" s="10">
        <v>498</v>
      </c>
      <c r="T224" s="10">
        <v>513</v>
      </c>
      <c r="U224" s="10">
        <v>16</v>
      </c>
      <c r="V224" s="10">
        <v>0</v>
      </c>
      <c r="W224" s="10">
        <v>0</v>
      </c>
      <c r="X224" s="10">
        <v>0</v>
      </c>
      <c r="Y224" s="10">
        <v>0</v>
      </c>
      <c r="Z224" s="10">
        <v>0</v>
      </c>
      <c r="AA224" s="10">
        <v>205</v>
      </c>
      <c r="AB224" s="10">
        <v>307</v>
      </c>
      <c r="AC224" s="10">
        <v>332</v>
      </c>
      <c r="AD224" s="26">
        <f t="shared" si="10"/>
        <v>2348</v>
      </c>
      <c r="AE224" s="25">
        <v>0</v>
      </c>
      <c r="AF224" s="10">
        <v>0</v>
      </c>
      <c r="AG224" s="10">
        <v>0</v>
      </c>
      <c r="AH224" s="10">
        <v>0</v>
      </c>
      <c r="AI224" s="10">
        <v>0</v>
      </c>
      <c r="AJ224" s="10">
        <v>0</v>
      </c>
      <c r="AK224" s="10">
        <v>0</v>
      </c>
      <c r="AL224" s="10">
        <v>0</v>
      </c>
      <c r="AM224" s="10">
        <v>0</v>
      </c>
      <c r="AN224" s="10">
        <v>0</v>
      </c>
      <c r="AO224" s="10">
        <v>0</v>
      </c>
      <c r="AP224" s="10">
        <v>0</v>
      </c>
      <c r="AQ224" s="26">
        <f t="shared" si="11"/>
        <v>0</v>
      </c>
    </row>
    <row r="225" spans="1:43" ht="17.25" customHeight="1" x14ac:dyDescent="0.45">
      <c r="A225" s="2" t="s">
        <v>67</v>
      </c>
      <c r="B225" s="2" t="s">
        <v>68</v>
      </c>
      <c r="C225" s="2" t="s">
        <v>56</v>
      </c>
      <c r="D225" s="2" t="s">
        <v>66</v>
      </c>
      <c r="E225" s="23">
        <v>9</v>
      </c>
      <c r="F225" s="1">
        <v>8</v>
      </c>
      <c r="G225" s="1">
        <v>9</v>
      </c>
      <c r="H225" s="1">
        <v>1</v>
      </c>
      <c r="I225" s="1">
        <v>0</v>
      </c>
      <c r="J225" s="1">
        <v>0</v>
      </c>
      <c r="K225" s="1">
        <v>0</v>
      </c>
      <c r="L225" s="1">
        <v>0</v>
      </c>
      <c r="M225" s="1">
        <v>0</v>
      </c>
      <c r="N225" s="1">
        <v>0</v>
      </c>
      <c r="O225" s="1">
        <v>5</v>
      </c>
      <c r="P225" s="1">
        <v>6</v>
      </c>
      <c r="Q225" s="24">
        <f t="shared" si="9"/>
        <v>38</v>
      </c>
      <c r="R225" s="23">
        <v>626</v>
      </c>
      <c r="S225" s="1">
        <v>544</v>
      </c>
      <c r="T225" s="1">
        <v>550</v>
      </c>
      <c r="U225" s="1">
        <v>43</v>
      </c>
      <c r="V225" s="1">
        <v>0</v>
      </c>
      <c r="W225" s="1">
        <v>0</v>
      </c>
      <c r="X225" s="1">
        <v>0</v>
      </c>
      <c r="Y225" s="1">
        <v>0</v>
      </c>
      <c r="Z225" s="1">
        <v>0</v>
      </c>
      <c r="AA225" s="1">
        <v>0</v>
      </c>
      <c r="AB225" s="1">
        <v>273</v>
      </c>
      <c r="AC225" s="1">
        <v>341</v>
      </c>
      <c r="AD225" s="24">
        <f t="shared" si="10"/>
        <v>2377</v>
      </c>
      <c r="AE225" s="23">
        <v>0</v>
      </c>
      <c r="AF225" s="1">
        <v>0</v>
      </c>
      <c r="AG225" s="1">
        <v>0</v>
      </c>
      <c r="AH225" s="1">
        <v>0</v>
      </c>
      <c r="AI225" s="1">
        <v>0</v>
      </c>
      <c r="AJ225" s="1">
        <v>0</v>
      </c>
      <c r="AK225" s="1">
        <v>0</v>
      </c>
      <c r="AL225" s="1">
        <v>0</v>
      </c>
      <c r="AM225" s="1">
        <v>0</v>
      </c>
      <c r="AN225" s="1">
        <v>0</v>
      </c>
      <c r="AO225" s="1">
        <v>0</v>
      </c>
      <c r="AP225" s="1">
        <v>0</v>
      </c>
      <c r="AQ225" s="24">
        <f t="shared" si="11"/>
        <v>0</v>
      </c>
    </row>
    <row r="226" spans="1:43" ht="17.25" customHeight="1" x14ac:dyDescent="0.45">
      <c r="A226" s="12" t="s">
        <v>67</v>
      </c>
      <c r="B226" s="12" t="s">
        <v>68</v>
      </c>
      <c r="C226" s="12" t="s">
        <v>40</v>
      </c>
      <c r="D226" s="12" t="s">
        <v>66</v>
      </c>
      <c r="E226" s="25">
        <v>31</v>
      </c>
      <c r="F226" s="10">
        <v>29</v>
      </c>
      <c r="G226" s="10">
        <v>31</v>
      </c>
      <c r="H226" s="10">
        <v>12</v>
      </c>
      <c r="I226" s="10">
        <v>4</v>
      </c>
      <c r="J226" s="10">
        <v>9</v>
      </c>
      <c r="K226" s="10">
        <v>9</v>
      </c>
      <c r="L226" s="10">
        <v>5</v>
      </c>
      <c r="M226" s="10">
        <v>4</v>
      </c>
      <c r="N226" s="10">
        <v>26</v>
      </c>
      <c r="O226" s="10">
        <v>29</v>
      </c>
      <c r="P226" s="10">
        <v>31</v>
      </c>
      <c r="Q226" s="26">
        <f t="shared" si="9"/>
        <v>220</v>
      </c>
      <c r="R226" s="25">
        <v>2683</v>
      </c>
      <c r="S226" s="10">
        <v>3436</v>
      </c>
      <c r="T226" s="10">
        <v>4037</v>
      </c>
      <c r="U226" s="10">
        <v>1556</v>
      </c>
      <c r="V226" s="10">
        <v>545</v>
      </c>
      <c r="W226" s="10">
        <v>1112</v>
      </c>
      <c r="X226" s="10">
        <v>1074</v>
      </c>
      <c r="Y226" s="10">
        <v>444</v>
      </c>
      <c r="Z226" s="10">
        <v>282</v>
      </c>
      <c r="AA226" s="10">
        <v>2905</v>
      </c>
      <c r="AB226" s="10">
        <v>3100</v>
      </c>
      <c r="AC226" s="10">
        <v>3798</v>
      </c>
      <c r="AD226" s="26">
        <f t="shared" si="10"/>
        <v>24972</v>
      </c>
      <c r="AE226" s="25">
        <v>0</v>
      </c>
      <c r="AF226" s="10">
        <v>4.5359237000000006</v>
      </c>
      <c r="AG226" s="10">
        <v>316.15388189000004</v>
      </c>
      <c r="AH226" s="10">
        <v>0</v>
      </c>
      <c r="AI226" s="10">
        <v>0</v>
      </c>
      <c r="AJ226" s="10">
        <v>0</v>
      </c>
      <c r="AK226" s="10">
        <v>0</v>
      </c>
      <c r="AL226" s="10">
        <v>0</v>
      </c>
      <c r="AM226" s="10">
        <v>0</v>
      </c>
      <c r="AN226" s="10">
        <v>0</v>
      </c>
      <c r="AO226" s="10">
        <v>0</v>
      </c>
      <c r="AP226" s="10">
        <v>0</v>
      </c>
      <c r="AQ226" s="26">
        <f t="shared" si="11"/>
        <v>320.68980559000005</v>
      </c>
    </row>
    <row r="227" spans="1:43" ht="17.25" customHeight="1" x14ac:dyDescent="0.45">
      <c r="A227" s="2" t="s">
        <v>67</v>
      </c>
      <c r="B227" s="2" t="s">
        <v>68</v>
      </c>
      <c r="C227" s="2" t="s">
        <v>23</v>
      </c>
      <c r="D227" s="2" t="s">
        <v>66</v>
      </c>
      <c r="E227" s="23">
        <v>32</v>
      </c>
      <c r="F227" s="1">
        <v>29</v>
      </c>
      <c r="G227" s="1">
        <v>32</v>
      </c>
      <c r="H227" s="1">
        <v>29</v>
      </c>
      <c r="I227" s="1">
        <v>29</v>
      </c>
      <c r="J227" s="1">
        <v>30</v>
      </c>
      <c r="K227" s="1">
        <v>29</v>
      </c>
      <c r="L227" s="1">
        <v>31</v>
      </c>
      <c r="M227" s="1">
        <v>7</v>
      </c>
      <c r="N227" s="1">
        <v>24</v>
      </c>
      <c r="O227" s="1">
        <v>28</v>
      </c>
      <c r="P227" s="1">
        <v>28</v>
      </c>
      <c r="Q227" s="24">
        <f t="shared" si="9"/>
        <v>328</v>
      </c>
      <c r="R227" s="23">
        <v>3238</v>
      </c>
      <c r="S227" s="1">
        <v>2998</v>
      </c>
      <c r="T227" s="1">
        <v>3412</v>
      </c>
      <c r="U227" s="1">
        <v>2635</v>
      </c>
      <c r="V227" s="1">
        <v>2291</v>
      </c>
      <c r="W227" s="1">
        <v>3416</v>
      </c>
      <c r="X227" s="1">
        <v>3298</v>
      </c>
      <c r="Y227" s="1">
        <v>2114</v>
      </c>
      <c r="Z227" s="1">
        <v>413</v>
      </c>
      <c r="AA227" s="1">
        <v>2591</v>
      </c>
      <c r="AB227" s="1">
        <v>3309</v>
      </c>
      <c r="AC227" s="1">
        <v>3295</v>
      </c>
      <c r="AD227" s="24">
        <f t="shared" si="10"/>
        <v>33010</v>
      </c>
      <c r="AE227" s="23">
        <v>0</v>
      </c>
      <c r="AF227" s="1">
        <v>110.67653828000002</v>
      </c>
      <c r="AG227" s="1">
        <v>4.0823313299999997</v>
      </c>
      <c r="AH227" s="1">
        <v>0</v>
      </c>
      <c r="AI227" s="1">
        <v>0</v>
      </c>
      <c r="AJ227" s="1">
        <v>48.987975960000007</v>
      </c>
      <c r="AK227" s="1">
        <v>15.422140580000001</v>
      </c>
      <c r="AL227" s="1">
        <v>0</v>
      </c>
      <c r="AM227" s="1">
        <v>0</v>
      </c>
      <c r="AN227" s="1">
        <v>0</v>
      </c>
      <c r="AO227" s="1">
        <v>0</v>
      </c>
      <c r="AP227" s="1">
        <v>0</v>
      </c>
      <c r="AQ227" s="24">
        <f t="shared" si="11"/>
        <v>179.16898615000002</v>
      </c>
    </row>
    <row r="228" spans="1:43" ht="17.25" customHeight="1" x14ac:dyDescent="0.45">
      <c r="A228" s="12" t="s">
        <v>67</v>
      </c>
      <c r="B228" s="12" t="s">
        <v>68</v>
      </c>
      <c r="C228" s="12" t="s">
        <v>12</v>
      </c>
      <c r="D228" s="12" t="s">
        <v>66</v>
      </c>
      <c r="E228" s="25">
        <v>167</v>
      </c>
      <c r="F228" s="10">
        <v>152</v>
      </c>
      <c r="G228" s="10">
        <v>163</v>
      </c>
      <c r="H228" s="10">
        <v>158</v>
      </c>
      <c r="I228" s="10">
        <v>168</v>
      </c>
      <c r="J228" s="10">
        <v>167</v>
      </c>
      <c r="K228" s="10">
        <v>173</v>
      </c>
      <c r="L228" s="10">
        <v>173</v>
      </c>
      <c r="M228" s="10">
        <v>193</v>
      </c>
      <c r="N228" s="10">
        <v>208</v>
      </c>
      <c r="O228" s="10">
        <v>218</v>
      </c>
      <c r="P228" s="10">
        <v>222</v>
      </c>
      <c r="Q228" s="26">
        <f t="shared" si="9"/>
        <v>2162</v>
      </c>
      <c r="R228" s="25">
        <v>22525</v>
      </c>
      <c r="S228" s="10">
        <v>20586</v>
      </c>
      <c r="T228" s="10">
        <v>22150</v>
      </c>
      <c r="U228" s="10">
        <v>21478</v>
      </c>
      <c r="V228" s="10">
        <v>24756</v>
      </c>
      <c r="W228" s="10">
        <v>25436</v>
      </c>
      <c r="X228" s="10">
        <v>26306</v>
      </c>
      <c r="Y228" s="10">
        <v>25155</v>
      </c>
      <c r="Z228" s="10">
        <v>25671</v>
      </c>
      <c r="AA228" s="10">
        <v>31876</v>
      </c>
      <c r="AB228" s="10">
        <v>31903</v>
      </c>
      <c r="AC228" s="10">
        <v>36946</v>
      </c>
      <c r="AD228" s="26">
        <f t="shared" si="10"/>
        <v>314788</v>
      </c>
      <c r="AE228" s="25">
        <v>13701.211128220002</v>
      </c>
      <c r="AF228" s="10">
        <v>10243.693574019995</v>
      </c>
      <c r="AG228" s="10">
        <v>14338.054815699998</v>
      </c>
      <c r="AH228" s="10">
        <v>11858</v>
      </c>
      <c r="AI228" s="10">
        <v>11160.640263849997</v>
      </c>
      <c r="AJ228" s="10">
        <v>7926.0730733799992</v>
      </c>
      <c r="AK228" s="10">
        <v>11886.841648219999</v>
      </c>
      <c r="AL228" s="10">
        <v>11401.951404690004</v>
      </c>
      <c r="AM228" s="10">
        <v>18232.145312149998</v>
      </c>
      <c r="AN228" s="10">
        <v>23174.034183299998</v>
      </c>
      <c r="AO228" s="10">
        <v>15660.855973780001</v>
      </c>
      <c r="AP228" s="10">
        <v>7877.9922821599994</v>
      </c>
      <c r="AQ228" s="26">
        <f t="shared" si="11"/>
        <v>157461.49365947</v>
      </c>
    </row>
    <row r="229" spans="1:43" ht="17.25" customHeight="1" x14ac:dyDescent="0.45">
      <c r="A229" s="2" t="s">
        <v>67</v>
      </c>
      <c r="B229" s="2" t="s">
        <v>68</v>
      </c>
      <c r="C229" s="2" t="s">
        <v>13</v>
      </c>
      <c r="D229" s="2" t="s">
        <v>66</v>
      </c>
      <c r="E229" s="23">
        <v>189</v>
      </c>
      <c r="F229" s="1">
        <v>174</v>
      </c>
      <c r="G229" s="1">
        <v>189</v>
      </c>
      <c r="H229" s="1">
        <v>177</v>
      </c>
      <c r="I229" s="1">
        <v>177</v>
      </c>
      <c r="J229" s="1">
        <v>210</v>
      </c>
      <c r="K229" s="1">
        <v>213</v>
      </c>
      <c r="L229" s="1">
        <v>210</v>
      </c>
      <c r="M229" s="1">
        <v>189</v>
      </c>
      <c r="N229" s="1">
        <v>203</v>
      </c>
      <c r="O229" s="1">
        <v>191</v>
      </c>
      <c r="P229" s="1">
        <v>200</v>
      </c>
      <c r="Q229" s="24">
        <f t="shared" si="9"/>
        <v>2322</v>
      </c>
      <c r="R229" s="23">
        <v>17239</v>
      </c>
      <c r="S229" s="1">
        <v>14605</v>
      </c>
      <c r="T229" s="1">
        <v>16448</v>
      </c>
      <c r="U229" s="1">
        <v>16806</v>
      </c>
      <c r="V229" s="1">
        <v>17560</v>
      </c>
      <c r="W229" s="1">
        <v>17961</v>
      </c>
      <c r="X229" s="1">
        <v>19866</v>
      </c>
      <c r="Y229" s="1">
        <v>18780</v>
      </c>
      <c r="Z229" s="1">
        <v>16721</v>
      </c>
      <c r="AA229" s="1">
        <v>19162</v>
      </c>
      <c r="AB229" s="1">
        <v>18244</v>
      </c>
      <c r="AC229" s="1">
        <v>19449</v>
      </c>
      <c r="AD229" s="24">
        <f t="shared" si="10"/>
        <v>212841</v>
      </c>
      <c r="AE229" s="23">
        <v>0</v>
      </c>
      <c r="AF229" s="1">
        <v>4.9895160700000005</v>
      </c>
      <c r="AG229" s="1">
        <v>121.56275515999999</v>
      </c>
      <c r="AH229" s="1">
        <v>25</v>
      </c>
      <c r="AI229" s="1">
        <v>0</v>
      </c>
      <c r="AJ229" s="1">
        <v>50.802345440000003</v>
      </c>
      <c r="AK229" s="1">
        <v>4.0823313299999997</v>
      </c>
      <c r="AL229" s="1">
        <v>2.7215542200000002</v>
      </c>
      <c r="AM229" s="1">
        <v>0</v>
      </c>
      <c r="AN229" s="1">
        <v>0</v>
      </c>
      <c r="AO229" s="1">
        <v>0</v>
      </c>
      <c r="AP229" s="1">
        <v>9.9790321399999993</v>
      </c>
      <c r="AQ229" s="24">
        <f t="shared" si="11"/>
        <v>219.13753435999999</v>
      </c>
    </row>
    <row r="230" spans="1:43" ht="17.25" customHeight="1" x14ac:dyDescent="0.45">
      <c r="A230" s="12" t="s">
        <v>67</v>
      </c>
      <c r="B230" s="12" t="s">
        <v>68</v>
      </c>
      <c r="C230" s="12" t="s">
        <v>25</v>
      </c>
      <c r="D230" s="12" t="s">
        <v>66</v>
      </c>
      <c r="E230" s="25">
        <v>31</v>
      </c>
      <c r="F230" s="10">
        <v>29</v>
      </c>
      <c r="G230" s="10">
        <v>31</v>
      </c>
      <c r="H230" s="10">
        <v>30</v>
      </c>
      <c r="I230" s="10">
        <v>31</v>
      </c>
      <c r="J230" s="10">
        <v>30</v>
      </c>
      <c r="K230" s="10">
        <v>30</v>
      </c>
      <c r="L230" s="10">
        <v>31</v>
      </c>
      <c r="M230" s="10">
        <v>30</v>
      </c>
      <c r="N230" s="10">
        <v>31</v>
      </c>
      <c r="O230" s="10">
        <v>29</v>
      </c>
      <c r="P230" s="10">
        <v>43</v>
      </c>
      <c r="Q230" s="26">
        <f t="shared" si="9"/>
        <v>376</v>
      </c>
      <c r="R230" s="25">
        <v>3665</v>
      </c>
      <c r="S230" s="10">
        <v>3246</v>
      </c>
      <c r="T230" s="10">
        <v>3635</v>
      </c>
      <c r="U230" s="10">
        <v>3096</v>
      </c>
      <c r="V230" s="10">
        <v>3496</v>
      </c>
      <c r="W230" s="10">
        <v>3676</v>
      </c>
      <c r="X230" s="10">
        <v>3671</v>
      </c>
      <c r="Y230" s="10">
        <v>3532</v>
      </c>
      <c r="Z230" s="10">
        <v>3315</v>
      </c>
      <c r="AA230" s="10">
        <v>3786</v>
      </c>
      <c r="AB230" s="10">
        <v>3533</v>
      </c>
      <c r="AC230" s="10">
        <v>5128</v>
      </c>
      <c r="AD230" s="26">
        <f t="shared" si="10"/>
        <v>43779</v>
      </c>
      <c r="AE230" s="25">
        <v>0</v>
      </c>
      <c r="AF230" s="10">
        <v>0</v>
      </c>
      <c r="AG230" s="10">
        <v>0</v>
      </c>
      <c r="AH230" s="10">
        <v>0</v>
      </c>
      <c r="AI230" s="10">
        <v>0</v>
      </c>
      <c r="AJ230" s="10">
        <v>0</v>
      </c>
      <c r="AK230" s="10">
        <v>0</v>
      </c>
      <c r="AL230" s="10">
        <v>0</v>
      </c>
      <c r="AM230" s="10">
        <v>0</v>
      </c>
      <c r="AN230" s="10">
        <v>153.76781342999999</v>
      </c>
      <c r="AO230" s="10">
        <v>39.916128560000004</v>
      </c>
      <c r="AP230" s="10">
        <v>0</v>
      </c>
      <c r="AQ230" s="26">
        <f t="shared" si="11"/>
        <v>193.68394198999999</v>
      </c>
    </row>
    <row r="231" spans="1:43" ht="17.25" customHeight="1" x14ac:dyDescent="0.45">
      <c r="A231" s="2" t="s">
        <v>67</v>
      </c>
      <c r="B231" s="2" t="s">
        <v>68</v>
      </c>
      <c r="C231" s="2" t="s">
        <v>26</v>
      </c>
      <c r="D231" s="2" t="s">
        <v>66</v>
      </c>
      <c r="E231" s="23">
        <v>31</v>
      </c>
      <c r="F231" s="1">
        <v>29</v>
      </c>
      <c r="G231" s="1">
        <v>32</v>
      </c>
      <c r="H231" s="1">
        <v>30</v>
      </c>
      <c r="I231" s="1">
        <v>31</v>
      </c>
      <c r="J231" s="1">
        <v>56</v>
      </c>
      <c r="K231" s="1">
        <v>61</v>
      </c>
      <c r="L231" s="1">
        <v>36</v>
      </c>
      <c r="M231" s="1">
        <v>30</v>
      </c>
      <c r="N231" s="1">
        <v>31</v>
      </c>
      <c r="O231" s="1">
        <v>56</v>
      </c>
      <c r="P231" s="1">
        <v>59</v>
      </c>
      <c r="Q231" s="24">
        <f t="shared" si="9"/>
        <v>482</v>
      </c>
      <c r="R231" s="23">
        <v>3940</v>
      </c>
      <c r="S231" s="1">
        <v>3752</v>
      </c>
      <c r="T231" s="1">
        <v>4353</v>
      </c>
      <c r="U231" s="1">
        <v>3557</v>
      </c>
      <c r="V231" s="1">
        <v>3709</v>
      </c>
      <c r="W231" s="1">
        <v>7213</v>
      </c>
      <c r="X231" s="1">
        <v>7551</v>
      </c>
      <c r="Y231" s="1">
        <v>4401</v>
      </c>
      <c r="Z231" s="1">
        <v>3612</v>
      </c>
      <c r="AA231" s="1">
        <v>4462</v>
      </c>
      <c r="AB231" s="1">
        <v>6962</v>
      </c>
      <c r="AC231" s="1">
        <v>7606</v>
      </c>
      <c r="AD231" s="24">
        <f t="shared" si="10"/>
        <v>61118</v>
      </c>
      <c r="AE231" s="23">
        <v>20.411656650000001</v>
      </c>
      <c r="AF231" s="1">
        <v>0</v>
      </c>
      <c r="AG231" s="1">
        <v>0</v>
      </c>
      <c r="AH231" s="1">
        <v>25</v>
      </c>
      <c r="AI231" s="1">
        <v>2.2679618500000003</v>
      </c>
      <c r="AJ231" s="1">
        <v>0</v>
      </c>
      <c r="AK231" s="1">
        <v>90.264881630000005</v>
      </c>
      <c r="AL231" s="1">
        <v>3.1751465900000002</v>
      </c>
      <c r="AM231" s="1">
        <v>2.7215542200000002</v>
      </c>
      <c r="AN231" s="1">
        <v>0</v>
      </c>
      <c r="AO231" s="1">
        <v>201.84860465</v>
      </c>
      <c r="AP231" s="1">
        <v>0</v>
      </c>
      <c r="AQ231" s="24">
        <f t="shared" si="11"/>
        <v>345.68980558999999</v>
      </c>
    </row>
    <row r="232" spans="1:43" ht="17.25" customHeight="1" x14ac:dyDescent="0.45">
      <c r="A232" s="12" t="s">
        <v>67</v>
      </c>
      <c r="B232" s="12" t="s">
        <v>68</v>
      </c>
      <c r="C232" s="12" t="s">
        <v>17</v>
      </c>
      <c r="D232" s="12" t="s">
        <v>66</v>
      </c>
      <c r="E232" s="25">
        <v>114</v>
      </c>
      <c r="F232" s="10">
        <v>112</v>
      </c>
      <c r="G232" s="10">
        <v>126</v>
      </c>
      <c r="H232" s="10">
        <v>92</v>
      </c>
      <c r="I232" s="10">
        <v>96</v>
      </c>
      <c r="J232" s="10">
        <v>126</v>
      </c>
      <c r="K232" s="10">
        <v>132</v>
      </c>
      <c r="L232" s="10">
        <v>103</v>
      </c>
      <c r="M232" s="10">
        <v>56</v>
      </c>
      <c r="N232" s="10">
        <v>84</v>
      </c>
      <c r="O232" s="10">
        <v>91</v>
      </c>
      <c r="P232" s="10">
        <v>100</v>
      </c>
      <c r="Q232" s="26">
        <f t="shared" si="9"/>
        <v>1232</v>
      </c>
      <c r="R232" s="25">
        <v>15457</v>
      </c>
      <c r="S232" s="10">
        <v>17138</v>
      </c>
      <c r="T232" s="10">
        <v>18108</v>
      </c>
      <c r="U232" s="10">
        <v>11977</v>
      </c>
      <c r="V232" s="10">
        <v>14491</v>
      </c>
      <c r="W232" s="10">
        <v>20957</v>
      </c>
      <c r="X232" s="10">
        <v>20685</v>
      </c>
      <c r="Y232" s="10">
        <v>13823</v>
      </c>
      <c r="Z232" s="10">
        <v>8463</v>
      </c>
      <c r="AA232" s="10">
        <v>14005</v>
      </c>
      <c r="AB232" s="10">
        <v>14846</v>
      </c>
      <c r="AC232" s="10">
        <v>16918</v>
      </c>
      <c r="AD232" s="26">
        <f t="shared" si="10"/>
        <v>186868</v>
      </c>
      <c r="AE232" s="25">
        <v>2522.4271695699999</v>
      </c>
      <c r="AF232" s="10">
        <v>1735.4444076200002</v>
      </c>
      <c r="AG232" s="10">
        <v>2201.2837716100003</v>
      </c>
      <c r="AH232" s="10">
        <v>2592</v>
      </c>
      <c r="AI232" s="10">
        <v>232.23929344000001</v>
      </c>
      <c r="AJ232" s="10">
        <v>1462.8353932500004</v>
      </c>
      <c r="AK232" s="10">
        <v>1651.9834115400001</v>
      </c>
      <c r="AL232" s="10">
        <v>1347.1693389</v>
      </c>
      <c r="AM232" s="10">
        <v>591.03085811000005</v>
      </c>
      <c r="AN232" s="10">
        <v>1296.36699346</v>
      </c>
      <c r="AO232" s="10">
        <v>1789.8754920200001</v>
      </c>
      <c r="AP232" s="10">
        <v>1819.8125884399999</v>
      </c>
      <c r="AQ232" s="26">
        <f t="shared" si="11"/>
        <v>19242.468717960001</v>
      </c>
    </row>
    <row r="233" spans="1:43" ht="17.25" customHeight="1" x14ac:dyDescent="0.45">
      <c r="A233" s="2" t="s">
        <v>67</v>
      </c>
      <c r="B233" s="2" t="s">
        <v>68</v>
      </c>
      <c r="C233" s="2" t="s">
        <v>28</v>
      </c>
      <c r="D233" s="2" t="s">
        <v>66</v>
      </c>
      <c r="E233" s="23">
        <v>90</v>
      </c>
      <c r="F233" s="1">
        <v>87</v>
      </c>
      <c r="G233" s="1">
        <v>94</v>
      </c>
      <c r="H233" s="1">
        <v>90</v>
      </c>
      <c r="I233" s="1">
        <v>89</v>
      </c>
      <c r="J233" s="1">
        <v>90</v>
      </c>
      <c r="K233" s="1">
        <v>93</v>
      </c>
      <c r="L233" s="1">
        <v>93</v>
      </c>
      <c r="M233" s="1">
        <v>90</v>
      </c>
      <c r="N233" s="1">
        <v>92</v>
      </c>
      <c r="O233" s="1">
        <v>88</v>
      </c>
      <c r="P233" s="1">
        <v>91</v>
      </c>
      <c r="Q233" s="24">
        <f t="shared" si="9"/>
        <v>1087</v>
      </c>
      <c r="R233" s="23">
        <v>10154</v>
      </c>
      <c r="S233" s="1">
        <v>9246</v>
      </c>
      <c r="T233" s="1">
        <v>11354</v>
      </c>
      <c r="U233" s="1">
        <v>10052</v>
      </c>
      <c r="V233" s="1">
        <v>11460</v>
      </c>
      <c r="W233" s="1">
        <v>13857</v>
      </c>
      <c r="X233" s="1">
        <v>14664</v>
      </c>
      <c r="Y233" s="1">
        <v>12812</v>
      </c>
      <c r="Z233" s="1">
        <v>11383</v>
      </c>
      <c r="AA233" s="1">
        <v>12685</v>
      </c>
      <c r="AB233" s="1">
        <v>12713</v>
      </c>
      <c r="AC233" s="1">
        <v>14811</v>
      </c>
      <c r="AD233" s="24">
        <f t="shared" si="10"/>
        <v>145191</v>
      </c>
      <c r="AE233" s="23">
        <v>571.52638620000005</v>
      </c>
      <c r="AF233" s="1">
        <v>530.70307290000005</v>
      </c>
      <c r="AG233" s="1">
        <v>440.43819127000006</v>
      </c>
      <c r="AH233" s="1">
        <v>252</v>
      </c>
      <c r="AI233" s="1">
        <v>275.78416096000001</v>
      </c>
      <c r="AJ233" s="1">
        <v>203.20938176000001</v>
      </c>
      <c r="AK233" s="1">
        <v>0</v>
      </c>
      <c r="AL233" s="1">
        <v>329.76165299000002</v>
      </c>
      <c r="AM233" s="1">
        <v>126.09867886000001</v>
      </c>
      <c r="AN233" s="1">
        <v>169.18995401000001</v>
      </c>
      <c r="AO233" s="1">
        <v>252.65095009000004</v>
      </c>
      <c r="AP233" s="1">
        <v>15.422140580000001</v>
      </c>
      <c r="AQ233" s="24">
        <f t="shared" si="11"/>
        <v>3166.7845696199997</v>
      </c>
    </row>
    <row r="234" spans="1:43" ht="17.25" customHeight="1" x14ac:dyDescent="0.45">
      <c r="A234" s="12" t="s">
        <v>67</v>
      </c>
      <c r="B234" s="12" t="s">
        <v>68</v>
      </c>
      <c r="C234" s="12" t="s">
        <v>48</v>
      </c>
      <c r="D234" s="12" t="s">
        <v>66</v>
      </c>
      <c r="E234" s="25">
        <v>136</v>
      </c>
      <c r="F234" s="10">
        <v>137</v>
      </c>
      <c r="G234" s="10">
        <v>155</v>
      </c>
      <c r="H234" s="10">
        <v>150</v>
      </c>
      <c r="I234" s="10">
        <v>153</v>
      </c>
      <c r="J234" s="10">
        <v>149</v>
      </c>
      <c r="K234" s="10">
        <v>150</v>
      </c>
      <c r="L234" s="10">
        <v>101</v>
      </c>
      <c r="M234" s="10">
        <v>73</v>
      </c>
      <c r="N234" s="10">
        <v>103</v>
      </c>
      <c r="O234" s="10">
        <v>127</v>
      </c>
      <c r="P234" s="10">
        <v>133</v>
      </c>
      <c r="Q234" s="26">
        <f t="shared" si="9"/>
        <v>1567</v>
      </c>
      <c r="R234" s="25">
        <v>18066</v>
      </c>
      <c r="S234" s="10">
        <v>20877</v>
      </c>
      <c r="T234" s="10">
        <v>25396</v>
      </c>
      <c r="U234" s="10">
        <v>21342</v>
      </c>
      <c r="V234" s="10">
        <v>24517</v>
      </c>
      <c r="W234" s="10">
        <v>26773</v>
      </c>
      <c r="X234" s="10">
        <v>26484</v>
      </c>
      <c r="Y234" s="10">
        <v>16585</v>
      </c>
      <c r="Z234" s="10">
        <v>12774</v>
      </c>
      <c r="AA234" s="10">
        <v>18008</v>
      </c>
      <c r="AB234" s="10">
        <v>19527</v>
      </c>
      <c r="AC234" s="10">
        <v>21139</v>
      </c>
      <c r="AD234" s="26">
        <f t="shared" si="10"/>
        <v>251488</v>
      </c>
      <c r="AE234" s="25">
        <v>4911.0445899900005</v>
      </c>
      <c r="AF234" s="10">
        <v>1660.6016665700001</v>
      </c>
      <c r="AG234" s="10">
        <v>2448.4916132599997</v>
      </c>
      <c r="AH234" s="10">
        <v>2572</v>
      </c>
      <c r="AI234" s="10">
        <v>1611.61369061</v>
      </c>
      <c r="AJ234" s="10">
        <v>1859.7287170000002</v>
      </c>
      <c r="AK234" s="10">
        <v>1953.1687452200003</v>
      </c>
      <c r="AL234" s="10">
        <v>1870.6149338799996</v>
      </c>
      <c r="AM234" s="10">
        <v>2020.75400835</v>
      </c>
      <c r="AN234" s="10">
        <v>1098.14712777</v>
      </c>
      <c r="AO234" s="10">
        <v>1146.22791899</v>
      </c>
      <c r="AP234" s="10">
        <v>1985.8273958600003</v>
      </c>
      <c r="AQ234" s="26">
        <f t="shared" si="11"/>
        <v>25138.220407500001</v>
      </c>
    </row>
    <row r="235" spans="1:43" ht="17.25" customHeight="1" x14ac:dyDescent="0.45">
      <c r="A235" s="2" t="s">
        <v>67</v>
      </c>
      <c r="B235" s="2" t="s">
        <v>68</v>
      </c>
      <c r="C235" s="2" t="s">
        <v>30</v>
      </c>
      <c r="D235" s="2" t="s">
        <v>66</v>
      </c>
      <c r="E235" s="23">
        <v>60</v>
      </c>
      <c r="F235" s="1">
        <v>58</v>
      </c>
      <c r="G235" s="1">
        <v>60</v>
      </c>
      <c r="H235" s="1">
        <v>57</v>
      </c>
      <c r="I235" s="1">
        <v>60</v>
      </c>
      <c r="J235" s="1">
        <v>60</v>
      </c>
      <c r="K235" s="1">
        <v>62</v>
      </c>
      <c r="L235" s="1">
        <v>62</v>
      </c>
      <c r="M235" s="1">
        <v>33</v>
      </c>
      <c r="N235" s="1">
        <v>31</v>
      </c>
      <c r="O235" s="1">
        <v>53</v>
      </c>
      <c r="P235" s="1">
        <v>60</v>
      </c>
      <c r="Q235" s="24">
        <f t="shared" si="9"/>
        <v>656</v>
      </c>
      <c r="R235" s="23">
        <v>4804</v>
      </c>
      <c r="S235" s="1">
        <v>4323</v>
      </c>
      <c r="T235" s="1">
        <v>5575</v>
      </c>
      <c r="U235" s="1">
        <v>4883</v>
      </c>
      <c r="V235" s="1">
        <v>6079</v>
      </c>
      <c r="W235" s="1">
        <v>6591</v>
      </c>
      <c r="X235" s="1">
        <v>7433</v>
      </c>
      <c r="Y235" s="1">
        <v>6619</v>
      </c>
      <c r="Z235" s="1">
        <v>3489</v>
      </c>
      <c r="AA235" s="1">
        <v>3844</v>
      </c>
      <c r="AB235" s="1">
        <v>5956</v>
      </c>
      <c r="AC235" s="1">
        <v>7194</v>
      </c>
      <c r="AD235" s="24">
        <f t="shared" si="10"/>
        <v>66790</v>
      </c>
      <c r="AE235" s="23">
        <v>0</v>
      </c>
      <c r="AF235" s="1">
        <v>0</v>
      </c>
      <c r="AG235" s="1">
        <v>98.883136660000019</v>
      </c>
      <c r="AH235" s="1">
        <v>0</v>
      </c>
      <c r="AI235" s="1">
        <v>44.452052260000002</v>
      </c>
      <c r="AJ235" s="1">
        <v>9.0718474000000011</v>
      </c>
      <c r="AK235" s="1">
        <v>99.336729030000015</v>
      </c>
      <c r="AL235" s="1">
        <v>0</v>
      </c>
      <c r="AM235" s="1">
        <v>0</v>
      </c>
      <c r="AN235" s="1">
        <v>0</v>
      </c>
      <c r="AO235" s="1">
        <v>29.029911680000001</v>
      </c>
      <c r="AP235" s="1">
        <v>52.163122550000004</v>
      </c>
      <c r="AQ235" s="24">
        <f t="shared" si="11"/>
        <v>332.93679958000007</v>
      </c>
    </row>
    <row r="236" spans="1:43" ht="17.25" customHeight="1" x14ac:dyDescent="0.45">
      <c r="A236" s="12" t="s">
        <v>67</v>
      </c>
      <c r="B236" s="12" t="s">
        <v>68</v>
      </c>
      <c r="C236" s="12" t="s">
        <v>33</v>
      </c>
      <c r="D236" s="12" t="s">
        <v>66</v>
      </c>
      <c r="E236" s="25">
        <v>34</v>
      </c>
      <c r="F236" s="10">
        <v>29</v>
      </c>
      <c r="G236" s="10">
        <v>31</v>
      </c>
      <c r="H236" s="10">
        <v>29</v>
      </c>
      <c r="I236" s="10">
        <v>31</v>
      </c>
      <c r="J236" s="10">
        <v>56</v>
      </c>
      <c r="K236" s="10">
        <v>62</v>
      </c>
      <c r="L236" s="10">
        <v>62</v>
      </c>
      <c r="M236" s="10">
        <v>60</v>
      </c>
      <c r="N236" s="10">
        <v>62</v>
      </c>
      <c r="O236" s="10">
        <v>58</v>
      </c>
      <c r="P236" s="10">
        <v>60</v>
      </c>
      <c r="Q236" s="26">
        <f t="shared" si="9"/>
        <v>574</v>
      </c>
      <c r="R236" s="25">
        <v>2088</v>
      </c>
      <c r="S236" s="10">
        <v>1916</v>
      </c>
      <c r="T236" s="10">
        <v>1949</v>
      </c>
      <c r="U236" s="10">
        <v>1830</v>
      </c>
      <c r="V236" s="10">
        <v>1949</v>
      </c>
      <c r="W236" s="10">
        <v>3288</v>
      </c>
      <c r="X236" s="10">
        <v>4121</v>
      </c>
      <c r="Y236" s="10">
        <v>3689</v>
      </c>
      <c r="Z236" s="10">
        <v>3273</v>
      </c>
      <c r="AA236" s="10">
        <v>3521</v>
      </c>
      <c r="AB236" s="10">
        <v>3417</v>
      </c>
      <c r="AC236" s="10">
        <v>3810</v>
      </c>
      <c r="AD236" s="26">
        <f t="shared" si="10"/>
        <v>34851</v>
      </c>
      <c r="AE236" s="25">
        <v>0</v>
      </c>
      <c r="AF236" s="10">
        <v>0</v>
      </c>
      <c r="AG236" s="10">
        <v>0</v>
      </c>
      <c r="AH236" s="10">
        <v>0</v>
      </c>
      <c r="AI236" s="10">
        <v>0</v>
      </c>
      <c r="AJ236" s="10">
        <v>0</v>
      </c>
      <c r="AK236" s="10">
        <v>0</v>
      </c>
      <c r="AL236" s="10">
        <v>0</v>
      </c>
      <c r="AM236" s="10">
        <v>0</v>
      </c>
      <c r="AN236" s="10">
        <v>0</v>
      </c>
      <c r="AO236" s="10">
        <v>0</v>
      </c>
      <c r="AP236" s="10">
        <v>0</v>
      </c>
      <c r="AQ236" s="26">
        <f t="shared" si="11"/>
        <v>0</v>
      </c>
    </row>
    <row r="237" spans="1:43" ht="17.25" customHeight="1" x14ac:dyDescent="0.45">
      <c r="A237" s="2" t="s">
        <v>67</v>
      </c>
      <c r="B237" s="2" t="s">
        <v>68</v>
      </c>
      <c r="C237" s="2" t="s">
        <v>247</v>
      </c>
      <c r="D237" s="2" t="s">
        <v>66</v>
      </c>
      <c r="E237" s="23">
        <v>0</v>
      </c>
      <c r="F237" s="1">
        <v>0</v>
      </c>
      <c r="G237" s="1">
        <v>8</v>
      </c>
      <c r="H237" s="1">
        <v>59</v>
      </c>
      <c r="I237" s="1">
        <v>59</v>
      </c>
      <c r="J237" s="1">
        <v>60</v>
      </c>
      <c r="K237" s="1">
        <v>57</v>
      </c>
      <c r="L237" s="1">
        <v>54</v>
      </c>
      <c r="M237" s="1">
        <v>32</v>
      </c>
      <c r="N237" s="1">
        <v>30</v>
      </c>
      <c r="O237" s="1">
        <v>29</v>
      </c>
      <c r="P237" s="1">
        <v>36</v>
      </c>
      <c r="Q237" s="24">
        <f t="shared" si="9"/>
        <v>424</v>
      </c>
      <c r="R237" s="23">
        <v>0</v>
      </c>
      <c r="S237" s="1">
        <v>0</v>
      </c>
      <c r="T237" s="1">
        <v>1289</v>
      </c>
      <c r="U237" s="1">
        <v>5827</v>
      </c>
      <c r="V237" s="1">
        <v>7467</v>
      </c>
      <c r="W237" s="1">
        <v>9559</v>
      </c>
      <c r="X237" s="1">
        <v>8541</v>
      </c>
      <c r="Y237" s="1">
        <v>6537</v>
      </c>
      <c r="Z237" s="1">
        <v>3848</v>
      </c>
      <c r="AA237" s="1">
        <v>4378</v>
      </c>
      <c r="AB237" s="1">
        <v>3938</v>
      </c>
      <c r="AC237" s="1">
        <v>5324</v>
      </c>
      <c r="AD237" s="24">
        <f t="shared" si="10"/>
        <v>56708</v>
      </c>
      <c r="AE237" s="23">
        <v>0</v>
      </c>
      <c r="AF237" s="1">
        <v>0</v>
      </c>
      <c r="AG237" s="1">
        <v>0</v>
      </c>
      <c r="AH237" s="1">
        <v>0</v>
      </c>
      <c r="AI237" s="1">
        <v>0</v>
      </c>
      <c r="AJ237" s="1">
        <v>18.143694800000002</v>
      </c>
      <c r="AK237" s="1">
        <v>0</v>
      </c>
      <c r="AL237" s="1">
        <v>81.193034230000009</v>
      </c>
      <c r="AM237" s="1">
        <v>0</v>
      </c>
      <c r="AN237" s="1">
        <v>0</v>
      </c>
      <c r="AO237" s="1">
        <v>0</v>
      </c>
      <c r="AP237" s="1">
        <v>0</v>
      </c>
      <c r="AQ237" s="24">
        <f t="shared" si="11"/>
        <v>99.336729030000015</v>
      </c>
    </row>
    <row r="238" spans="1:43" ht="17.25" customHeight="1" x14ac:dyDescent="0.45">
      <c r="A238" s="12" t="s">
        <v>67</v>
      </c>
      <c r="B238" s="12" t="s">
        <v>68</v>
      </c>
      <c r="C238" s="12" t="s">
        <v>35</v>
      </c>
      <c r="D238" s="12" t="s">
        <v>66</v>
      </c>
      <c r="E238" s="25">
        <v>0</v>
      </c>
      <c r="F238" s="10">
        <v>0</v>
      </c>
      <c r="G238" s="10">
        <v>0</v>
      </c>
      <c r="H238" s="10">
        <v>0</v>
      </c>
      <c r="I238" s="10">
        <v>0</v>
      </c>
      <c r="J238" s="10">
        <v>19</v>
      </c>
      <c r="K238" s="10">
        <v>30</v>
      </c>
      <c r="L238" s="10">
        <v>31</v>
      </c>
      <c r="M238" s="10">
        <v>30</v>
      </c>
      <c r="N238" s="10">
        <v>31</v>
      </c>
      <c r="O238" s="10">
        <v>29</v>
      </c>
      <c r="P238" s="10">
        <v>31</v>
      </c>
      <c r="Q238" s="26">
        <f t="shared" si="9"/>
        <v>201</v>
      </c>
      <c r="R238" s="25">
        <v>0</v>
      </c>
      <c r="S238" s="10">
        <v>0</v>
      </c>
      <c r="T238" s="10">
        <v>0</v>
      </c>
      <c r="U238" s="10">
        <v>0</v>
      </c>
      <c r="V238" s="10">
        <v>0</v>
      </c>
      <c r="W238" s="10">
        <v>1252</v>
      </c>
      <c r="X238" s="10">
        <v>1903</v>
      </c>
      <c r="Y238" s="10">
        <v>1741</v>
      </c>
      <c r="Z238" s="10">
        <v>1437</v>
      </c>
      <c r="AA238" s="10">
        <v>1637</v>
      </c>
      <c r="AB238" s="10">
        <v>1790</v>
      </c>
      <c r="AC238" s="10">
        <v>2009</v>
      </c>
      <c r="AD238" s="26">
        <f t="shared" si="10"/>
        <v>11769</v>
      </c>
      <c r="AE238" s="25">
        <v>0</v>
      </c>
      <c r="AF238" s="10">
        <v>0</v>
      </c>
      <c r="AG238" s="10">
        <v>0</v>
      </c>
      <c r="AH238" s="10">
        <v>0</v>
      </c>
      <c r="AI238" s="10">
        <v>0</v>
      </c>
      <c r="AJ238" s="10">
        <v>0</v>
      </c>
      <c r="AK238" s="10">
        <v>0</v>
      </c>
      <c r="AL238" s="10">
        <v>0</v>
      </c>
      <c r="AM238" s="10">
        <v>0</v>
      </c>
      <c r="AN238" s="10">
        <v>0</v>
      </c>
      <c r="AO238" s="10">
        <v>0</v>
      </c>
      <c r="AP238" s="10">
        <v>0</v>
      </c>
      <c r="AQ238" s="26">
        <f t="shared" si="11"/>
        <v>0</v>
      </c>
    </row>
    <row r="239" spans="1:43" ht="17.25" customHeight="1" x14ac:dyDescent="0.45">
      <c r="A239" s="2" t="s">
        <v>67</v>
      </c>
      <c r="B239" s="2" t="s">
        <v>68</v>
      </c>
      <c r="C239" s="2" t="s">
        <v>62</v>
      </c>
      <c r="D239" s="2" t="s">
        <v>66</v>
      </c>
      <c r="E239" s="23">
        <v>23</v>
      </c>
      <c r="F239" s="1">
        <v>25</v>
      </c>
      <c r="G239" s="1">
        <v>31</v>
      </c>
      <c r="H239" s="1">
        <v>10</v>
      </c>
      <c r="I239" s="1">
        <v>9</v>
      </c>
      <c r="J239" s="1">
        <v>27</v>
      </c>
      <c r="K239" s="1">
        <v>31</v>
      </c>
      <c r="L239" s="1">
        <v>31</v>
      </c>
      <c r="M239" s="1">
        <v>7</v>
      </c>
      <c r="N239" s="1">
        <v>18</v>
      </c>
      <c r="O239" s="1">
        <v>29</v>
      </c>
      <c r="P239" s="1">
        <v>31</v>
      </c>
      <c r="Q239" s="24">
        <f t="shared" si="9"/>
        <v>272</v>
      </c>
      <c r="R239" s="23">
        <v>1238</v>
      </c>
      <c r="S239" s="1">
        <v>1263</v>
      </c>
      <c r="T239" s="1">
        <v>1795</v>
      </c>
      <c r="U239" s="1">
        <v>516</v>
      </c>
      <c r="V239" s="1">
        <v>562</v>
      </c>
      <c r="W239" s="1">
        <v>1874</v>
      </c>
      <c r="X239" s="1">
        <v>2232</v>
      </c>
      <c r="Y239" s="1">
        <v>1747</v>
      </c>
      <c r="Z239" s="1">
        <v>422</v>
      </c>
      <c r="AA239" s="1">
        <v>1148</v>
      </c>
      <c r="AB239" s="1">
        <v>1598</v>
      </c>
      <c r="AC239" s="1">
        <v>2064</v>
      </c>
      <c r="AD239" s="24">
        <f t="shared" si="10"/>
        <v>16459</v>
      </c>
      <c r="AE239" s="23">
        <v>0</v>
      </c>
      <c r="AF239" s="1">
        <v>0</v>
      </c>
      <c r="AG239" s="1">
        <v>0</v>
      </c>
      <c r="AH239" s="1">
        <v>0</v>
      </c>
      <c r="AI239" s="1">
        <v>0</v>
      </c>
      <c r="AJ239" s="1">
        <v>0</v>
      </c>
      <c r="AK239" s="1">
        <v>0</v>
      </c>
      <c r="AL239" s="1">
        <v>0</v>
      </c>
      <c r="AM239" s="1">
        <v>0</v>
      </c>
      <c r="AN239" s="1">
        <v>0</v>
      </c>
      <c r="AO239" s="1">
        <v>0</v>
      </c>
      <c r="AP239" s="1">
        <v>0</v>
      </c>
      <c r="AQ239" s="24">
        <f t="shared" si="11"/>
        <v>0</v>
      </c>
    </row>
    <row r="240" spans="1:43" ht="17.25" customHeight="1" x14ac:dyDescent="0.45">
      <c r="A240" s="12" t="s">
        <v>22</v>
      </c>
      <c r="B240" s="12" t="s">
        <v>66</v>
      </c>
      <c r="C240" s="12" t="s">
        <v>77</v>
      </c>
      <c r="D240" s="12" t="s">
        <v>68</v>
      </c>
      <c r="E240" s="25">
        <v>0</v>
      </c>
      <c r="F240" s="10">
        <v>0</v>
      </c>
      <c r="G240" s="10">
        <v>18</v>
      </c>
      <c r="H240" s="10">
        <v>30</v>
      </c>
      <c r="I240" s="10">
        <v>31</v>
      </c>
      <c r="J240" s="10">
        <v>30</v>
      </c>
      <c r="K240" s="10">
        <v>31</v>
      </c>
      <c r="L240" s="10">
        <v>29</v>
      </c>
      <c r="M240" s="10">
        <v>26</v>
      </c>
      <c r="N240" s="10">
        <v>27</v>
      </c>
      <c r="O240" s="10">
        <v>30</v>
      </c>
      <c r="P240" s="10">
        <v>31</v>
      </c>
      <c r="Q240" s="26">
        <f t="shared" si="9"/>
        <v>283</v>
      </c>
      <c r="R240" s="25">
        <v>0</v>
      </c>
      <c r="S240" s="10">
        <v>0</v>
      </c>
      <c r="T240" s="10">
        <v>1557</v>
      </c>
      <c r="U240" s="10">
        <v>2553</v>
      </c>
      <c r="V240" s="10">
        <v>2521</v>
      </c>
      <c r="W240" s="10">
        <v>2404</v>
      </c>
      <c r="X240" s="10">
        <v>2846</v>
      </c>
      <c r="Y240" s="10">
        <v>2245</v>
      </c>
      <c r="Z240" s="10">
        <v>1930</v>
      </c>
      <c r="AA240" s="10">
        <v>1742</v>
      </c>
      <c r="AB240" s="10">
        <v>1999</v>
      </c>
      <c r="AC240" s="10">
        <v>1931</v>
      </c>
      <c r="AD240" s="26">
        <f t="shared" si="10"/>
        <v>21728</v>
      </c>
      <c r="AE240" s="25">
        <v>0</v>
      </c>
      <c r="AF240" s="10">
        <v>0</v>
      </c>
      <c r="AG240" s="10">
        <v>0</v>
      </c>
      <c r="AH240" s="10">
        <v>0</v>
      </c>
      <c r="AI240" s="10">
        <v>0</v>
      </c>
      <c r="AJ240" s="10">
        <v>0</v>
      </c>
      <c r="AK240" s="10">
        <v>0</v>
      </c>
      <c r="AL240" s="10">
        <v>0</v>
      </c>
      <c r="AM240" s="10">
        <v>0</v>
      </c>
      <c r="AN240" s="10">
        <v>0</v>
      </c>
      <c r="AO240" s="10">
        <v>0</v>
      </c>
      <c r="AP240" s="10">
        <v>0</v>
      </c>
      <c r="AQ240" s="26">
        <f t="shared" si="11"/>
        <v>0</v>
      </c>
    </row>
    <row r="241" spans="1:43" ht="17.25" customHeight="1" x14ac:dyDescent="0.45">
      <c r="A241" s="2" t="s">
        <v>22</v>
      </c>
      <c r="B241" s="2" t="s">
        <v>66</v>
      </c>
      <c r="C241" s="2" t="s">
        <v>72</v>
      </c>
      <c r="D241" s="2" t="s">
        <v>68</v>
      </c>
      <c r="E241" s="23">
        <v>49</v>
      </c>
      <c r="F241" s="1">
        <v>45</v>
      </c>
      <c r="G241" s="1">
        <v>49</v>
      </c>
      <c r="H241" s="1">
        <v>47</v>
      </c>
      <c r="I241" s="1">
        <v>48</v>
      </c>
      <c r="J241" s="1">
        <v>58</v>
      </c>
      <c r="K241" s="1">
        <v>57</v>
      </c>
      <c r="L241" s="1">
        <v>57</v>
      </c>
      <c r="M241" s="1">
        <v>56</v>
      </c>
      <c r="N241" s="1">
        <v>57</v>
      </c>
      <c r="O241" s="1">
        <v>57</v>
      </c>
      <c r="P241" s="1">
        <v>65</v>
      </c>
      <c r="Q241" s="24">
        <f t="shared" si="9"/>
        <v>645</v>
      </c>
      <c r="R241" s="23">
        <v>7891</v>
      </c>
      <c r="S241" s="1">
        <v>5639</v>
      </c>
      <c r="T241" s="1">
        <v>6347</v>
      </c>
      <c r="U241" s="1">
        <v>5600</v>
      </c>
      <c r="V241" s="1">
        <v>5483</v>
      </c>
      <c r="W241" s="1">
        <v>6112</v>
      </c>
      <c r="X241" s="1">
        <v>8682</v>
      </c>
      <c r="Y241" s="1">
        <v>8750</v>
      </c>
      <c r="Z241" s="1">
        <v>5700</v>
      </c>
      <c r="AA241" s="1">
        <v>5704</v>
      </c>
      <c r="AB241" s="1">
        <v>5106</v>
      </c>
      <c r="AC241" s="1">
        <v>6703</v>
      </c>
      <c r="AD241" s="24">
        <f t="shared" si="10"/>
        <v>77717</v>
      </c>
      <c r="AE241" s="23">
        <v>0</v>
      </c>
      <c r="AF241" s="1">
        <v>0</v>
      </c>
      <c r="AG241" s="1">
        <v>0</v>
      </c>
      <c r="AH241" s="1">
        <v>0</v>
      </c>
      <c r="AI241" s="1">
        <v>0</v>
      </c>
      <c r="AJ241" s="1">
        <v>0</v>
      </c>
      <c r="AK241" s="1">
        <v>0</v>
      </c>
      <c r="AL241" s="1">
        <v>0</v>
      </c>
      <c r="AM241" s="1">
        <v>0</v>
      </c>
      <c r="AN241" s="1">
        <v>0</v>
      </c>
      <c r="AO241" s="1">
        <v>0</v>
      </c>
      <c r="AP241" s="1">
        <v>0</v>
      </c>
      <c r="AQ241" s="24">
        <f t="shared" si="11"/>
        <v>0</v>
      </c>
    </row>
    <row r="242" spans="1:43" ht="17.25" customHeight="1" x14ac:dyDescent="0.45">
      <c r="A242" s="12" t="s">
        <v>22</v>
      </c>
      <c r="B242" s="12" t="s">
        <v>66</v>
      </c>
      <c r="C242" s="12" t="s">
        <v>67</v>
      </c>
      <c r="D242" s="12" t="s">
        <v>68</v>
      </c>
      <c r="E242" s="25">
        <v>71</v>
      </c>
      <c r="F242" s="10">
        <v>66</v>
      </c>
      <c r="G242" s="10">
        <v>70</v>
      </c>
      <c r="H242" s="10">
        <v>67</v>
      </c>
      <c r="I242" s="10">
        <v>67</v>
      </c>
      <c r="J242" s="10">
        <v>94</v>
      </c>
      <c r="K242" s="10">
        <v>100</v>
      </c>
      <c r="L242" s="10">
        <v>101</v>
      </c>
      <c r="M242" s="10">
        <v>98</v>
      </c>
      <c r="N242" s="10">
        <v>105</v>
      </c>
      <c r="O242" s="10">
        <v>97</v>
      </c>
      <c r="P242" s="10">
        <v>104</v>
      </c>
      <c r="Q242" s="26">
        <f t="shared" si="9"/>
        <v>1040</v>
      </c>
      <c r="R242" s="25">
        <v>11549</v>
      </c>
      <c r="S242" s="10">
        <v>9553</v>
      </c>
      <c r="T242" s="10">
        <v>10236</v>
      </c>
      <c r="U242" s="10">
        <v>9478</v>
      </c>
      <c r="V242" s="10">
        <v>9235</v>
      </c>
      <c r="W242" s="10">
        <v>10175</v>
      </c>
      <c r="X242" s="10">
        <v>13238</v>
      </c>
      <c r="Y242" s="10">
        <v>13435</v>
      </c>
      <c r="Z242" s="10">
        <v>11577</v>
      </c>
      <c r="AA242" s="10">
        <v>10724</v>
      </c>
      <c r="AB242" s="10">
        <v>10712</v>
      </c>
      <c r="AC242" s="10">
        <v>10906</v>
      </c>
      <c r="AD242" s="26">
        <f t="shared" si="10"/>
        <v>130818</v>
      </c>
      <c r="AE242" s="25">
        <v>599.64911314000005</v>
      </c>
      <c r="AF242" s="10">
        <v>1030.10827227</v>
      </c>
      <c r="AG242" s="10">
        <v>6.3502931800000004</v>
      </c>
      <c r="AH242" s="10">
        <v>300.27814899999998</v>
      </c>
      <c r="AI242" s="10">
        <v>92.986435850000007</v>
      </c>
      <c r="AJ242" s="10">
        <v>0</v>
      </c>
      <c r="AK242" s="10">
        <v>34.926612490000004</v>
      </c>
      <c r="AL242" s="10">
        <v>150.13907447</v>
      </c>
      <c r="AM242" s="10">
        <v>180.07617089000001</v>
      </c>
      <c r="AN242" s="10">
        <v>219.99229945000002</v>
      </c>
      <c r="AO242" s="10">
        <v>490.33335197000008</v>
      </c>
      <c r="AP242" s="10">
        <v>138.79926522</v>
      </c>
      <c r="AQ242" s="26">
        <f t="shared" si="11"/>
        <v>3243.6390379300001</v>
      </c>
    </row>
    <row r="243" spans="1:43" ht="17.25" customHeight="1" x14ac:dyDescent="0.45">
      <c r="A243" s="2" t="s">
        <v>22</v>
      </c>
      <c r="B243" s="2" t="s">
        <v>66</v>
      </c>
      <c r="C243" s="2" t="s">
        <v>174</v>
      </c>
      <c r="D243" s="2" t="s">
        <v>68</v>
      </c>
      <c r="E243" s="23">
        <v>14</v>
      </c>
      <c r="F243" s="1">
        <v>12</v>
      </c>
      <c r="G243" s="1">
        <v>14</v>
      </c>
      <c r="H243" s="1">
        <v>13</v>
      </c>
      <c r="I243" s="1">
        <v>13</v>
      </c>
      <c r="J243" s="1">
        <v>12</v>
      </c>
      <c r="K243" s="1">
        <v>14</v>
      </c>
      <c r="L243" s="1">
        <v>13</v>
      </c>
      <c r="M243" s="1">
        <v>9</v>
      </c>
      <c r="N243" s="1">
        <v>13</v>
      </c>
      <c r="O243" s="1">
        <v>13</v>
      </c>
      <c r="P243" s="1">
        <v>13</v>
      </c>
      <c r="Q243" s="24">
        <f t="shared" si="9"/>
        <v>153</v>
      </c>
      <c r="R243" s="23">
        <v>2400</v>
      </c>
      <c r="S243" s="1">
        <v>2073</v>
      </c>
      <c r="T243" s="1">
        <v>2145</v>
      </c>
      <c r="U243" s="1">
        <v>1749</v>
      </c>
      <c r="V243" s="1">
        <v>1548</v>
      </c>
      <c r="W243" s="1">
        <v>1268</v>
      </c>
      <c r="X243" s="1">
        <v>2197</v>
      </c>
      <c r="Y243" s="1">
        <v>1798</v>
      </c>
      <c r="Z243" s="1">
        <v>867</v>
      </c>
      <c r="AA243" s="1">
        <v>1264</v>
      </c>
      <c r="AB243" s="1">
        <v>1421</v>
      </c>
      <c r="AC243" s="1">
        <v>1368</v>
      </c>
      <c r="AD243" s="24">
        <f t="shared" si="10"/>
        <v>20098</v>
      </c>
      <c r="AE243" s="23">
        <v>0</v>
      </c>
      <c r="AF243" s="1">
        <v>0</v>
      </c>
      <c r="AG243" s="1">
        <v>0</v>
      </c>
      <c r="AH243" s="1">
        <v>0</v>
      </c>
      <c r="AI243" s="1">
        <v>0</v>
      </c>
      <c r="AJ243" s="1">
        <v>0</v>
      </c>
      <c r="AK243" s="1">
        <v>0</v>
      </c>
      <c r="AL243" s="1">
        <v>0</v>
      </c>
      <c r="AM243" s="1">
        <v>0</v>
      </c>
      <c r="AN243" s="1">
        <v>0</v>
      </c>
      <c r="AO243" s="1">
        <v>0</v>
      </c>
      <c r="AP243" s="1">
        <v>0</v>
      </c>
      <c r="AQ243" s="24">
        <f t="shared" si="11"/>
        <v>0</v>
      </c>
    </row>
    <row r="244" spans="1:43" ht="17.25" customHeight="1" x14ac:dyDescent="0.45">
      <c r="A244" s="12" t="s">
        <v>22</v>
      </c>
      <c r="B244" s="12" t="s">
        <v>66</v>
      </c>
      <c r="C244" s="12" t="s">
        <v>69</v>
      </c>
      <c r="D244" s="12" t="s">
        <v>68</v>
      </c>
      <c r="E244" s="25">
        <v>110</v>
      </c>
      <c r="F244" s="10">
        <v>101</v>
      </c>
      <c r="G244" s="10">
        <v>109</v>
      </c>
      <c r="H244" s="10">
        <v>107</v>
      </c>
      <c r="I244" s="10">
        <v>110</v>
      </c>
      <c r="J244" s="10">
        <v>105</v>
      </c>
      <c r="K244" s="10">
        <v>102</v>
      </c>
      <c r="L244" s="10">
        <v>109</v>
      </c>
      <c r="M244" s="10">
        <v>107</v>
      </c>
      <c r="N244" s="10">
        <v>110</v>
      </c>
      <c r="O244" s="10">
        <v>106</v>
      </c>
      <c r="P244" s="10">
        <v>109</v>
      </c>
      <c r="Q244" s="26">
        <f t="shared" si="9"/>
        <v>1285</v>
      </c>
      <c r="R244" s="25">
        <v>9838</v>
      </c>
      <c r="S244" s="10">
        <v>9425</v>
      </c>
      <c r="T244" s="10">
        <v>11341</v>
      </c>
      <c r="U244" s="10">
        <v>8131</v>
      </c>
      <c r="V244" s="10">
        <v>8414</v>
      </c>
      <c r="W244" s="10">
        <v>9148</v>
      </c>
      <c r="X244" s="10">
        <v>12771</v>
      </c>
      <c r="Y244" s="10">
        <v>11128</v>
      </c>
      <c r="Z244" s="10">
        <v>8763</v>
      </c>
      <c r="AA244" s="10">
        <v>8334</v>
      </c>
      <c r="AB244" s="10">
        <v>7889</v>
      </c>
      <c r="AC244" s="10">
        <v>9433</v>
      </c>
      <c r="AD244" s="26">
        <f t="shared" si="10"/>
        <v>114615</v>
      </c>
      <c r="AE244" s="25">
        <v>955</v>
      </c>
      <c r="AF244" s="10">
        <v>2026</v>
      </c>
      <c r="AG244" s="10">
        <v>2207</v>
      </c>
      <c r="AH244" s="10">
        <v>2259</v>
      </c>
      <c r="AI244" s="10">
        <v>4993</v>
      </c>
      <c r="AJ244" s="10">
        <v>776</v>
      </c>
      <c r="AK244" s="10">
        <v>2593</v>
      </c>
      <c r="AL244" s="10">
        <v>3551</v>
      </c>
      <c r="AM244" s="10">
        <v>3840</v>
      </c>
      <c r="AN244" s="10">
        <v>1010</v>
      </c>
      <c r="AO244" s="10">
        <v>1915</v>
      </c>
      <c r="AP244" s="10">
        <v>2094</v>
      </c>
      <c r="AQ244" s="26">
        <f t="shared" si="11"/>
        <v>28219</v>
      </c>
    </row>
    <row r="245" spans="1:43" ht="17.25" customHeight="1" x14ac:dyDescent="0.45">
      <c r="A245" s="2" t="s">
        <v>22</v>
      </c>
      <c r="B245" s="2" t="s">
        <v>66</v>
      </c>
      <c r="C245" s="2" t="s">
        <v>73</v>
      </c>
      <c r="D245" s="2" t="s">
        <v>68</v>
      </c>
      <c r="E245" s="23">
        <v>18</v>
      </c>
      <c r="F245" s="1">
        <v>16</v>
      </c>
      <c r="G245" s="1">
        <v>18</v>
      </c>
      <c r="H245" s="1">
        <v>12</v>
      </c>
      <c r="I245" s="1">
        <v>14</v>
      </c>
      <c r="J245" s="1">
        <v>18</v>
      </c>
      <c r="K245" s="1">
        <v>17</v>
      </c>
      <c r="L245" s="1">
        <v>18</v>
      </c>
      <c r="M245" s="1">
        <v>17</v>
      </c>
      <c r="N245" s="1">
        <v>17</v>
      </c>
      <c r="O245" s="1">
        <v>18</v>
      </c>
      <c r="P245" s="1">
        <v>23</v>
      </c>
      <c r="Q245" s="24">
        <f t="shared" si="9"/>
        <v>206</v>
      </c>
      <c r="R245" s="23">
        <v>3204</v>
      </c>
      <c r="S245" s="1">
        <v>2739</v>
      </c>
      <c r="T245" s="1">
        <v>2889</v>
      </c>
      <c r="U245" s="1">
        <v>2020</v>
      </c>
      <c r="V245" s="1">
        <v>2177</v>
      </c>
      <c r="W245" s="1">
        <v>2386</v>
      </c>
      <c r="X245" s="1">
        <v>2733</v>
      </c>
      <c r="Y245" s="1">
        <v>2749</v>
      </c>
      <c r="Z245" s="1">
        <v>2414</v>
      </c>
      <c r="AA245" s="1">
        <v>2336</v>
      </c>
      <c r="AB245" s="1">
        <v>2629</v>
      </c>
      <c r="AC245" s="1">
        <v>3502</v>
      </c>
      <c r="AD245" s="24">
        <f t="shared" si="10"/>
        <v>31778</v>
      </c>
      <c r="AE245" s="23">
        <v>0</v>
      </c>
      <c r="AF245" s="1">
        <v>0</v>
      </c>
      <c r="AG245" s="1">
        <v>0</v>
      </c>
      <c r="AH245" s="1">
        <v>0</v>
      </c>
      <c r="AI245" s="1">
        <v>0</v>
      </c>
      <c r="AJ245" s="1">
        <v>0</v>
      </c>
      <c r="AK245" s="1">
        <v>0</v>
      </c>
      <c r="AL245" s="1">
        <v>0</v>
      </c>
      <c r="AM245" s="1">
        <v>0</v>
      </c>
      <c r="AN245" s="1">
        <v>0</v>
      </c>
      <c r="AO245" s="1">
        <v>0</v>
      </c>
      <c r="AP245" s="1">
        <v>0</v>
      </c>
      <c r="AQ245" s="24">
        <f t="shared" si="11"/>
        <v>0</v>
      </c>
    </row>
    <row r="246" spans="1:43" ht="17.25" customHeight="1" x14ac:dyDescent="0.45">
      <c r="A246" s="12" t="s">
        <v>22</v>
      </c>
      <c r="B246" s="12" t="s">
        <v>66</v>
      </c>
      <c r="C246" s="12" t="s">
        <v>175</v>
      </c>
      <c r="D246" s="12" t="s">
        <v>68</v>
      </c>
      <c r="E246" s="25">
        <v>22</v>
      </c>
      <c r="F246" s="10">
        <v>21</v>
      </c>
      <c r="G246" s="10">
        <v>22</v>
      </c>
      <c r="H246" s="10">
        <v>21</v>
      </c>
      <c r="I246" s="10">
        <v>22</v>
      </c>
      <c r="J246" s="10">
        <v>26</v>
      </c>
      <c r="K246" s="10">
        <v>26</v>
      </c>
      <c r="L246" s="10">
        <v>27</v>
      </c>
      <c r="M246" s="10">
        <v>26</v>
      </c>
      <c r="N246" s="10">
        <v>26</v>
      </c>
      <c r="O246" s="10">
        <v>26</v>
      </c>
      <c r="P246" s="10">
        <v>27</v>
      </c>
      <c r="Q246" s="26">
        <f t="shared" si="9"/>
        <v>292</v>
      </c>
      <c r="R246" s="25">
        <v>3874</v>
      </c>
      <c r="S246" s="10">
        <v>3562</v>
      </c>
      <c r="T246" s="10">
        <v>3167</v>
      </c>
      <c r="U246" s="10">
        <v>2952</v>
      </c>
      <c r="V246" s="10">
        <v>3101</v>
      </c>
      <c r="W246" s="10">
        <v>2766</v>
      </c>
      <c r="X246" s="10">
        <v>4015</v>
      </c>
      <c r="Y246" s="10">
        <v>3686</v>
      </c>
      <c r="Z246" s="10">
        <v>2760</v>
      </c>
      <c r="AA246" s="10">
        <v>2790</v>
      </c>
      <c r="AB246" s="10">
        <v>2889</v>
      </c>
      <c r="AC246" s="10">
        <v>3435</v>
      </c>
      <c r="AD246" s="26">
        <f t="shared" si="10"/>
        <v>38997</v>
      </c>
      <c r="AE246" s="25">
        <v>0</v>
      </c>
      <c r="AF246" s="10">
        <v>0</v>
      </c>
      <c r="AG246" s="10">
        <v>0</v>
      </c>
      <c r="AH246" s="10">
        <v>0</v>
      </c>
      <c r="AI246" s="10">
        <v>0</v>
      </c>
      <c r="AJ246" s="10">
        <v>0</v>
      </c>
      <c r="AK246" s="10">
        <v>0</v>
      </c>
      <c r="AL246" s="10">
        <v>0</v>
      </c>
      <c r="AM246" s="10">
        <v>0</v>
      </c>
      <c r="AN246" s="10">
        <v>0</v>
      </c>
      <c r="AO246" s="10">
        <v>0</v>
      </c>
      <c r="AP246" s="10">
        <v>0</v>
      </c>
      <c r="AQ246" s="26">
        <f t="shared" si="11"/>
        <v>0</v>
      </c>
    </row>
    <row r="247" spans="1:43" ht="17.25" customHeight="1" x14ac:dyDescent="0.45">
      <c r="A247" s="2" t="s">
        <v>22</v>
      </c>
      <c r="B247" s="2" t="s">
        <v>66</v>
      </c>
      <c r="C247" s="2" t="s">
        <v>176</v>
      </c>
      <c r="D247" s="2" t="s">
        <v>68</v>
      </c>
      <c r="E247" s="23">
        <v>9</v>
      </c>
      <c r="F247" s="1">
        <v>8</v>
      </c>
      <c r="G247" s="1">
        <v>9</v>
      </c>
      <c r="H247" s="1">
        <v>8</v>
      </c>
      <c r="I247" s="1">
        <v>9</v>
      </c>
      <c r="J247" s="1">
        <v>13</v>
      </c>
      <c r="K247" s="1">
        <v>14</v>
      </c>
      <c r="L247" s="1">
        <v>12</v>
      </c>
      <c r="M247" s="1">
        <v>14</v>
      </c>
      <c r="N247" s="1">
        <v>13</v>
      </c>
      <c r="O247" s="1">
        <v>12</v>
      </c>
      <c r="P247" s="1">
        <v>14</v>
      </c>
      <c r="Q247" s="24">
        <f t="shared" si="9"/>
        <v>135</v>
      </c>
      <c r="R247" s="23">
        <v>1590</v>
      </c>
      <c r="S247" s="1">
        <v>1414</v>
      </c>
      <c r="T247" s="1">
        <v>1371</v>
      </c>
      <c r="U247" s="1">
        <v>1295</v>
      </c>
      <c r="V247" s="1">
        <v>1378</v>
      </c>
      <c r="W247" s="1">
        <v>1372</v>
      </c>
      <c r="X247" s="1">
        <v>2159</v>
      </c>
      <c r="Y247" s="1">
        <v>1745</v>
      </c>
      <c r="Z247" s="1">
        <v>1581</v>
      </c>
      <c r="AA247" s="1">
        <v>1536</v>
      </c>
      <c r="AB247" s="1">
        <v>1361</v>
      </c>
      <c r="AC247" s="1">
        <v>1752</v>
      </c>
      <c r="AD247" s="24">
        <f t="shared" si="10"/>
        <v>18554</v>
      </c>
      <c r="AE247" s="23">
        <v>0</v>
      </c>
      <c r="AF247" s="1">
        <v>0</v>
      </c>
      <c r="AG247" s="1">
        <v>0</v>
      </c>
      <c r="AH247" s="1">
        <v>0</v>
      </c>
      <c r="AI247" s="1">
        <v>0</v>
      </c>
      <c r="AJ247" s="1">
        <v>0</v>
      </c>
      <c r="AK247" s="1">
        <v>0</v>
      </c>
      <c r="AL247" s="1">
        <v>0</v>
      </c>
      <c r="AM247" s="1">
        <v>0</v>
      </c>
      <c r="AN247" s="1">
        <v>0</v>
      </c>
      <c r="AO247" s="1">
        <v>0</v>
      </c>
      <c r="AP247" s="1">
        <v>0</v>
      </c>
      <c r="AQ247" s="24">
        <f t="shared" si="11"/>
        <v>0</v>
      </c>
    </row>
    <row r="248" spans="1:43" ht="17.25" customHeight="1" x14ac:dyDescent="0.45">
      <c r="A248" s="12" t="s">
        <v>22</v>
      </c>
      <c r="B248" s="12" t="s">
        <v>66</v>
      </c>
      <c r="C248" s="12" t="s">
        <v>149</v>
      </c>
      <c r="D248" s="12" t="s">
        <v>68</v>
      </c>
      <c r="E248" s="25">
        <v>10</v>
      </c>
      <c r="F248" s="10">
        <v>8</v>
      </c>
      <c r="G248" s="10">
        <v>9</v>
      </c>
      <c r="H248" s="10">
        <v>9</v>
      </c>
      <c r="I248" s="10">
        <v>8</v>
      </c>
      <c r="J248" s="10">
        <v>11</v>
      </c>
      <c r="K248" s="10">
        <v>9</v>
      </c>
      <c r="L248" s="10">
        <v>8</v>
      </c>
      <c r="M248" s="10">
        <v>7</v>
      </c>
      <c r="N248" s="10">
        <v>11</v>
      </c>
      <c r="O248" s="10">
        <v>12</v>
      </c>
      <c r="P248" s="10">
        <v>13</v>
      </c>
      <c r="Q248" s="26">
        <f t="shared" si="9"/>
        <v>115</v>
      </c>
      <c r="R248" s="25">
        <v>1357</v>
      </c>
      <c r="S248" s="10">
        <v>839</v>
      </c>
      <c r="T248" s="10">
        <v>1076</v>
      </c>
      <c r="U248" s="10">
        <v>913</v>
      </c>
      <c r="V248" s="10">
        <v>860</v>
      </c>
      <c r="W248" s="10">
        <v>1139</v>
      </c>
      <c r="X248" s="10">
        <v>1453</v>
      </c>
      <c r="Y248" s="10">
        <v>1046</v>
      </c>
      <c r="Z248" s="10">
        <v>841</v>
      </c>
      <c r="AA248" s="10">
        <v>1084</v>
      </c>
      <c r="AB248" s="10">
        <v>1225</v>
      </c>
      <c r="AC248" s="10">
        <v>1321</v>
      </c>
      <c r="AD248" s="26">
        <f t="shared" si="10"/>
        <v>13154</v>
      </c>
      <c r="AE248" s="25">
        <v>0</v>
      </c>
      <c r="AF248" s="10">
        <v>0</v>
      </c>
      <c r="AG248" s="10">
        <v>0</v>
      </c>
      <c r="AH248" s="10">
        <v>0</v>
      </c>
      <c r="AI248" s="10">
        <v>0</v>
      </c>
      <c r="AJ248" s="10">
        <v>0</v>
      </c>
      <c r="AK248" s="10">
        <v>0</v>
      </c>
      <c r="AL248" s="10">
        <v>0</v>
      </c>
      <c r="AM248" s="10">
        <v>0</v>
      </c>
      <c r="AN248" s="10">
        <v>0</v>
      </c>
      <c r="AO248" s="10">
        <v>0</v>
      </c>
      <c r="AP248" s="10">
        <v>0</v>
      </c>
      <c r="AQ248" s="26">
        <f t="shared" si="11"/>
        <v>0</v>
      </c>
    </row>
    <row r="249" spans="1:43" ht="17.25" customHeight="1" x14ac:dyDescent="0.45">
      <c r="A249" s="2" t="s">
        <v>22</v>
      </c>
      <c r="B249" s="2" t="s">
        <v>66</v>
      </c>
      <c r="C249" s="2" t="s">
        <v>177</v>
      </c>
      <c r="D249" s="2" t="s">
        <v>68</v>
      </c>
      <c r="E249" s="23">
        <v>9</v>
      </c>
      <c r="F249" s="1">
        <v>8</v>
      </c>
      <c r="G249" s="1">
        <v>9</v>
      </c>
      <c r="H249" s="1">
        <v>9</v>
      </c>
      <c r="I249" s="1">
        <v>9</v>
      </c>
      <c r="J249" s="1">
        <v>12</v>
      </c>
      <c r="K249" s="1">
        <v>14</v>
      </c>
      <c r="L249" s="1">
        <v>13</v>
      </c>
      <c r="M249" s="1">
        <v>12</v>
      </c>
      <c r="N249" s="1">
        <v>14</v>
      </c>
      <c r="O249" s="1">
        <v>13</v>
      </c>
      <c r="P249" s="1">
        <v>15</v>
      </c>
      <c r="Q249" s="24">
        <f t="shared" si="9"/>
        <v>137</v>
      </c>
      <c r="R249" s="23">
        <v>1548</v>
      </c>
      <c r="S249" s="1">
        <v>1330</v>
      </c>
      <c r="T249" s="1">
        <v>1262</v>
      </c>
      <c r="U249" s="1">
        <v>1153</v>
      </c>
      <c r="V249" s="1">
        <v>1040</v>
      </c>
      <c r="W249" s="1">
        <v>946</v>
      </c>
      <c r="X249" s="1">
        <v>2042</v>
      </c>
      <c r="Y249" s="1">
        <v>1564</v>
      </c>
      <c r="Z249" s="1">
        <v>1023</v>
      </c>
      <c r="AA249" s="1">
        <v>1117</v>
      </c>
      <c r="AB249" s="1">
        <v>1149</v>
      </c>
      <c r="AC249" s="1">
        <v>1438</v>
      </c>
      <c r="AD249" s="24">
        <f t="shared" si="10"/>
        <v>15612</v>
      </c>
      <c r="AE249" s="23">
        <v>0</v>
      </c>
      <c r="AF249" s="1">
        <v>0</v>
      </c>
      <c r="AG249" s="1">
        <v>0</v>
      </c>
      <c r="AH249" s="1">
        <v>0</v>
      </c>
      <c r="AI249" s="1">
        <v>0</v>
      </c>
      <c r="AJ249" s="1">
        <v>0</v>
      </c>
      <c r="AK249" s="1">
        <v>0</v>
      </c>
      <c r="AL249" s="1">
        <v>0</v>
      </c>
      <c r="AM249" s="1">
        <v>0</v>
      </c>
      <c r="AN249" s="1">
        <v>0</v>
      </c>
      <c r="AO249" s="1">
        <v>0</v>
      </c>
      <c r="AP249" s="1">
        <v>0</v>
      </c>
      <c r="AQ249" s="24">
        <f t="shared" si="11"/>
        <v>0</v>
      </c>
    </row>
    <row r="250" spans="1:43" ht="17.25" customHeight="1" x14ac:dyDescent="0.45">
      <c r="A250" s="12" t="s">
        <v>100</v>
      </c>
      <c r="B250" s="12" t="s">
        <v>68</v>
      </c>
      <c r="C250" s="12" t="s">
        <v>10</v>
      </c>
      <c r="D250" s="12" t="s">
        <v>66</v>
      </c>
      <c r="E250" s="25">
        <v>166</v>
      </c>
      <c r="F250" s="10">
        <v>151</v>
      </c>
      <c r="G250" s="10">
        <v>206</v>
      </c>
      <c r="H250" s="10">
        <v>164</v>
      </c>
      <c r="I250" s="10">
        <v>163</v>
      </c>
      <c r="J250" s="10">
        <v>180</v>
      </c>
      <c r="K250" s="10">
        <v>182</v>
      </c>
      <c r="L250" s="10">
        <v>116</v>
      </c>
      <c r="M250" s="10">
        <v>70</v>
      </c>
      <c r="N250" s="10">
        <v>104</v>
      </c>
      <c r="O250" s="10">
        <v>108</v>
      </c>
      <c r="P250" s="10">
        <v>133</v>
      </c>
      <c r="Q250" s="26">
        <f t="shared" si="9"/>
        <v>1743</v>
      </c>
      <c r="R250" s="25">
        <v>28572</v>
      </c>
      <c r="S250" s="10">
        <v>28115</v>
      </c>
      <c r="T250" s="10">
        <v>37007</v>
      </c>
      <c r="U250" s="10">
        <v>24913</v>
      </c>
      <c r="V250" s="10">
        <v>26750</v>
      </c>
      <c r="W250" s="10">
        <v>29471</v>
      </c>
      <c r="X250" s="10">
        <v>28257</v>
      </c>
      <c r="Y250" s="10">
        <v>16509</v>
      </c>
      <c r="Z250" s="10">
        <v>11451</v>
      </c>
      <c r="AA250" s="10">
        <v>17641</v>
      </c>
      <c r="AB250" s="10">
        <v>21951</v>
      </c>
      <c r="AC250" s="10">
        <v>27407</v>
      </c>
      <c r="AD250" s="26">
        <f t="shared" si="10"/>
        <v>298044</v>
      </c>
      <c r="AE250" s="25">
        <v>0</v>
      </c>
      <c r="AF250" s="10">
        <v>0</v>
      </c>
      <c r="AG250" s="10">
        <v>0</v>
      </c>
      <c r="AH250" s="10">
        <v>732</v>
      </c>
      <c r="AI250" s="10">
        <v>0</v>
      </c>
      <c r="AJ250" s="10">
        <v>152</v>
      </c>
      <c r="AK250" s="10">
        <v>0</v>
      </c>
      <c r="AL250" s="10">
        <v>2277</v>
      </c>
      <c r="AM250" s="10">
        <v>37</v>
      </c>
      <c r="AN250" s="10">
        <v>1</v>
      </c>
      <c r="AO250" s="10">
        <v>732</v>
      </c>
      <c r="AP250" s="10">
        <v>0</v>
      </c>
      <c r="AQ250" s="26">
        <f t="shared" si="11"/>
        <v>3931</v>
      </c>
    </row>
    <row r="251" spans="1:43" ht="17.25" customHeight="1" x14ac:dyDescent="0.45">
      <c r="A251" s="2" t="s">
        <v>100</v>
      </c>
      <c r="B251" s="2" t="s">
        <v>68</v>
      </c>
      <c r="C251" s="2" t="s">
        <v>19</v>
      </c>
      <c r="D251" s="2" t="s">
        <v>66</v>
      </c>
      <c r="E251" s="23">
        <v>9</v>
      </c>
      <c r="F251" s="1">
        <v>8</v>
      </c>
      <c r="G251" s="1">
        <v>9</v>
      </c>
      <c r="H251" s="1">
        <v>13</v>
      </c>
      <c r="I251" s="1">
        <v>13</v>
      </c>
      <c r="J251" s="1">
        <v>13</v>
      </c>
      <c r="K251" s="1">
        <v>13</v>
      </c>
      <c r="L251" s="1">
        <v>13</v>
      </c>
      <c r="M251" s="1">
        <v>13</v>
      </c>
      <c r="N251" s="1">
        <v>14</v>
      </c>
      <c r="O251" s="1">
        <v>12</v>
      </c>
      <c r="P251" s="1">
        <v>14</v>
      </c>
      <c r="Q251" s="24">
        <f t="shared" si="9"/>
        <v>144</v>
      </c>
      <c r="R251" s="23">
        <v>1159</v>
      </c>
      <c r="S251" s="1">
        <v>929</v>
      </c>
      <c r="T251" s="1">
        <v>1194</v>
      </c>
      <c r="U251" s="1">
        <v>1498</v>
      </c>
      <c r="V251" s="1">
        <v>1585</v>
      </c>
      <c r="W251" s="1">
        <v>1727</v>
      </c>
      <c r="X251" s="1">
        <v>1924</v>
      </c>
      <c r="Y251" s="1">
        <v>1681</v>
      </c>
      <c r="Z251" s="1">
        <v>1495</v>
      </c>
      <c r="AA251" s="1">
        <v>1709</v>
      </c>
      <c r="AB251" s="1">
        <v>1208</v>
      </c>
      <c r="AC251" s="1">
        <v>1796</v>
      </c>
      <c r="AD251" s="24">
        <f t="shared" si="10"/>
        <v>17905</v>
      </c>
      <c r="AE251" s="23">
        <v>0</v>
      </c>
      <c r="AF251" s="1">
        <v>0</v>
      </c>
      <c r="AG251" s="1">
        <v>0</v>
      </c>
      <c r="AH251" s="1">
        <v>0</v>
      </c>
      <c r="AI251" s="1">
        <v>0</v>
      </c>
      <c r="AJ251" s="1">
        <v>0</v>
      </c>
      <c r="AK251" s="1">
        <v>0</v>
      </c>
      <c r="AL251" s="1">
        <v>0</v>
      </c>
      <c r="AM251" s="1">
        <v>0</v>
      </c>
      <c r="AN251" s="1">
        <v>0</v>
      </c>
      <c r="AO251" s="1">
        <v>0</v>
      </c>
      <c r="AP251" s="1">
        <v>0</v>
      </c>
      <c r="AQ251" s="24">
        <f t="shared" si="11"/>
        <v>0</v>
      </c>
    </row>
    <row r="252" spans="1:43" ht="17.25" customHeight="1" x14ac:dyDescent="0.45">
      <c r="A252" s="12" t="s">
        <v>100</v>
      </c>
      <c r="B252" s="12" t="s">
        <v>68</v>
      </c>
      <c r="C252" s="12" t="s">
        <v>46</v>
      </c>
      <c r="D252" s="12" t="s">
        <v>66</v>
      </c>
      <c r="E252" s="25">
        <v>5</v>
      </c>
      <c r="F252" s="10">
        <v>6</v>
      </c>
      <c r="G252" s="10">
        <v>13</v>
      </c>
      <c r="H252" s="10">
        <v>5</v>
      </c>
      <c r="I252" s="10">
        <v>4</v>
      </c>
      <c r="J252" s="10">
        <v>5</v>
      </c>
      <c r="K252" s="10">
        <v>4</v>
      </c>
      <c r="L252" s="10">
        <v>3</v>
      </c>
      <c r="M252" s="10">
        <v>1</v>
      </c>
      <c r="N252" s="10">
        <v>4</v>
      </c>
      <c r="O252" s="10">
        <v>5</v>
      </c>
      <c r="P252" s="10">
        <v>4</v>
      </c>
      <c r="Q252" s="26">
        <f t="shared" si="9"/>
        <v>59</v>
      </c>
      <c r="R252" s="25">
        <v>685</v>
      </c>
      <c r="S252" s="10">
        <v>825</v>
      </c>
      <c r="T252" s="10">
        <v>1743</v>
      </c>
      <c r="U252" s="10">
        <v>614</v>
      </c>
      <c r="V252" s="10">
        <v>615</v>
      </c>
      <c r="W252" s="10">
        <v>717</v>
      </c>
      <c r="X252" s="10">
        <v>497</v>
      </c>
      <c r="Y252" s="10">
        <v>349</v>
      </c>
      <c r="Z252" s="10">
        <v>70</v>
      </c>
      <c r="AA252" s="10">
        <v>599</v>
      </c>
      <c r="AB252" s="10">
        <v>666</v>
      </c>
      <c r="AC252" s="10">
        <v>618</v>
      </c>
      <c r="AD252" s="26">
        <f t="shared" si="10"/>
        <v>7998</v>
      </c>
      <c r="AE252" s="25">
        <v>0</v>
      </c>
      <c r="AF252" s="10">
        <v>0</v>
      </c>
      <c r="AG252" s="10">
        <v>0</v>
      </c>
      <c r="AH252" s="10">
        <v>0</v>
      </c>
      <c r="AI252" s="10">
        <v>0</v>
      </c>
      <c r="AJ252" s="10">
        <v>0</v>
      </c>
      <c r="AK252" s="10">
        <v>0</v>
      </c>
      <c r="AL252" s="10">
        <v>0</v>
      </c>
      <c r="AM252" s="10">
        <v>0</v>
      </c>
      <c r="AN252" s="10">
        <v>0</v>
      </c>
      <c r="AO252" s="10">
        <v>0</v>
      </c>
      <c r="AP252" s="10">
        <v>0</v>
      </c>
      <c r="AQ252" s="26">
        <f t="shared" si="11"/>
        <v>0</v>
      </c>
    </row>
    <row r="253" spans="1:43" ht="17.25" customHeight="1" x14ac:dyDescent="0.45">
      <c r="A253" s="2" t="s">
        <v>100</v>
      </c>
      <c r="B253" s="2" t="s">
        <v>68</v>
      </c>
      <c r="C253" s="2" t="s">
        <v>11</v>
      </c>
      <c r="D253" s="2" t="s">
        <v>66</v>
      </c>
      <c r="E253" s="23">
        <v>31</v>
      </c>
      <c r="F253" s="1">
        <v>30</v>
      </c>
      <c r="G253" s="1">
        <v>30</v>
      </c>
      <c r="H253" s="1">
        <v>29</v>
      </c>
      <c r="I253" s="1">
        <v>31</v>
      </c>
      <c r="J253" s="1">
        <v>30</v>
      </c>
      <c r="K253" s="1">
        <v>31</v>
      </c>
      <c r="L253" s="1">
        <v>31</v>
      </c>
      <c r="M253" s="1">
        <v>30</v>
      </c>
      <c r="N253" s="1">
        <v>31</v>
      </c>
      <c r="O253" s="1">
        <v>30</v>
      </c>
      <c r="P253" s="1">
        <v>34</v>
      </c>
      <c r="Q253" s="24">
        <f t="shared" si="9"/>
        <v>368</v>
      </c>
      <c r="R253" s="23">
        <v>4159</v>
      </c>
      <c r="S253" s="1">
        <v>3647</v>
      </c>
      <c r="T253" s="1">
        <v>4074</v>
      </c>
      <c r="U253" s="1">
        <v>3431</v>
      </c>
      <c r="V253" s="1">
        <v>3947</v>
      </c>
      <c r="W253" s="1">
        <v>4578</v>
      </c>
      <c r="X253" s="1">
        <v>4433</v>
      </c>
      <c r="Y253" s="1">
        <v>3893</v>
      </c>
      <c r="Z253" s="1">
        <v>3827</v>
      </c>
      <c r="AA253" s="1">
        <v>4013</v>
      </c>
      <c r="AB253" s="1">
        <v>3872</v>
      </c>
      <c r="AC253" s="1">
        <v>5449</v>
      </c>
      <c r="AD253" s="24">
        <f t="shared" si="10"/>
        <v>49323</v>
      </c>
      <c r="AE253" s="23">
        <v>0</v>
      </c>
      <c r="AF253" s="1">
        <v>0</v>
      </c>
      <c r="AG253" s="1">
        <v>0</v>
      </c>
      <c r="AH253" s="1">
        <v>0</v>
      </c>
      <c r="AI253" s="1">
        <v>0</v>
      </c>
      <c r="AJ253" s="1">
        <v>0</v>
      </c>
      <c r="AK253" s="1">
        <v>0</v>
      </c>
      <c r="AL253" s="1">
        <v>0</v>
      </c>
      <c r="AM253" s="1">
        <v>0</v>
      </c>
      <c r="AN253" s="1">
        <v>0</v>
      </c>
      <c r="AO253" s="1">
        <v>0</v>
      </c>
      <c r="AP253" s="1">
        <v>0</v>
      </c>
      <c r="AQ253" s="24">
        <f t="shared" si="11"/>
        <v>0</v>
      </c>
    </row>
    <row r="254" spans="1:43" ht="17.25" customHeight="1" x14ac:dyDescent="0.45">
      <c r="A254" s="12" t="s">
        <v>100</v>
      </c>
      <c r="B254" s="12" t="s">
        <v>68</v>
      </c>
      <c r="C254" s="12" t="s">
        <v>12</v>
      </c>
      <c r="D254" s="12" t="s">
        <v>66</v>
      </c>
      <c r="E254" s="25">
        <v>79</v>
      </c>
      <c r="F254" s="10">
        <v>51</v>
      </c>
      <c r="G254" s="10">
        <v>79</v>
      </c>
      <c r="H254" s="10">
        <v>48</v>
      </c>
      <c r="I254" s="10">
        <v>49</v>
      </c>
      <c r="J254" s="10">
        <v>47</v>
      </c>
      <c r="K254" s="10">
        <v>49</v>
      </c>
      <c r="L254" s="10">
        <v>49</v>
      </c>
      <c r="M254" s="10">
        <v>47</v>
      </c>
      <c r="N254" s="10">
        <v>50</v>
      </c>
      <c r="O254" s="10">
        <v>60</v>
      </c>
      <c r="P254" s="10">
        <v>86</v>
      </c>
      <c r="Q254" s="26">
        <f t="shared" si="9"/>
        <v>694</v>
      </c>
      <c r="R254" s="25">
        <v>11048</v>
      </c>
      <c r="S254" s="10">
        <v>7737</v>
      </c>
      <c r="T254" s="10">
        <v>11049</v>
      </c>
      <c r="U254" s="10">
        <v>6872</v>
      </c>
      <c r="V254" s="10">
        <v>6394</v>
      </c>
      <c r="W254" s="10">
        <v>7685</v>
      </c>
      <c r="X254" s="10">
        <v>8315</v>
      </c>
      <c r="Y254" s="10">
        <v>8021</v>
      </c>
      <c r="Z254" s="10">
        <v>6524</v>
      </c>
      <c r="AA254" s="10">
        <v>7828</v>
      </c>
      <c r="AB254" s="10">
        <v>7932</v>
      </c>
      <c r="AC254" s="10">
        <v>13992</v>
      </c>
      <c r="AD254" s="26">
        <f t="shared" si="10"/>
        <v>103397</v>
      </c>
      <c r="AE254" s="25">
        <v>0</v>
      </c>
      <c r="AF254" s="10">
        <v>0</v>
      </c>
      <c r="AG254" s="10">
        <v>0</v>
      </c>
      <c r="AH254" s="10">
        <v>0</v>
      </c>
      <c r="AI254" s="10">
        <v>25</v>
      </c>
      <c r="AJ254" s="10">
        <v>0</v>
      </c>
      <c r="AK254" s="10">
        <v>0</v>
      </c>
      <c r="AL254" s="10">
        <v>46</v>
      </c>
      <c r="AM254" s="10">
        <v>0</v>
      </c>
      <c r="AN254" s="10">
        <v>0</v>
      </c>
      <c r="AO254" s="10">
        <v>0</v>
      </c>
      <c r="AP254" s="10">
        <v>0</v>
      </c>
      <c r="AQ254" s="26">
        <f t="shared" si="11"/>
        <v>71</v>
      </c>
    </row>
    <row r="255" spans="1:43" ht="17.25" customHeight="1" x14ac:dyDescent="0.45">
      <c r="A255" s="2" t="s">
        <v>100</v>
      </c>
      <c r="B255" s="2" t="s">
        <v>68</v>
      </c>
      <c r="C255" s="2" t="s">
        <v>13</v>
      </c>
      <c r="D255" s="2" t="s">
        <v>66</v>
      </c>
      <c r="E255" s="23">
        <v>2</v>
      </c>
      <c r="F255" s="1">
        <v>9</v>
      </c>
      <c r="G255" s="1">
        <v>10</v>
      </c>
      <c r="H255" s="1">
        <v>9</v>
      </c>
      <c r="I255" s="1">
        <v>8</v>
      </c>
      <c r="J255" s="1">
        <v>9</v>
      </c>
      <c r="K255" s="1">
        <v>8</v>
      </c>
      <c r="L255" s="1">
        <v>9</v>
      </c>
      <c r="M255" s="1">
        <v>9</v>
      </c>
      <c r="N255" s="1">
        <v>9</v>
      </c>
      <c r="O255" s="1">
        <v>9</v>
      </c>
      <c r="P255" s="1">
        <v>14</v>
      </c>
      <c r="Q255" s="24">
        <f t="shared" si="9"/>
        <v>105</v>
      </c>
      <c r="R255" s="23">
        <v>170</v>
      </c>
      <c r="S255" s="1">
        <v>1043</v>
      </c>
      <c r="T255" s="1">
        <v>1421</v>
      </c>
      <c r="U255" s="1">
        <v>973</v>
      </c>
      <c r="V255" s="1">
        <v>678</v>
      </c>
      <c r="W255" s="1">
        <v>954</v>
      </c>
      <c r="X255" s="1">
        <v>1147</v>
      </c>
      <c r="Y255" s="1">
        <v>1312</v>
      </c>
      <c r="Z255" s="1">
        <v>1063</v>
      </c>
      <c r="AA255" s="1">
        <v>1272</v>
      </c>
      <c r="AB255" s="1">
        <v>1260</v>
      </c>
      <c r="AC255" s="1">
        <v>2479</v>
      </c>
      <c r="AD255" s="24">
        <f t="shared" si="10"/>
        <v>13772</v>
      </c>
      <c r="AE255" s="23">
        <v>0</v>
      </c>
      <c r="AF255" s="1">
        <v>0</v>
      </c>
      <c r="AG255" s="1">
        <v>0</v>
      </c>
      <c r="AH255" s="1">
        <v>0</v>
      </c>
      <c r="AI255" s="1">
        <v>0</v>
      </c>
      <c r="AJ255" s="1">
        <v>0</v>
      </c>
      <c r="AK255" s="1">
        <v>0</v>
      </c>
      <c r="AL255" s="1">
        <v>0</v>
      </c>
      <c r="AM255" s="1">
        <v>0</v>
      </c>
      <c r="AN255" s="1">
        <v>0</v>
      </c>
      <c r="AO255" s="1">
        <v>0</v>
      </c>
      <c r="AP255" s="1">
        <v>0</v>
      </c>
      <c r="AQ255" s="24">
        <f t="shared" si="11"/>
        <v>0</v>
      </c>
    </row>
    <row r="256" spans="1:43" ht="17.25" customHeight="1" x14ac:dyDescent="0.45">
      <c r="A256" s="12" t="s">
        <v>100</v>
      </c>
      <c r="B256" s="12" t="s">
        <v>68</v>
      </c>
      <c r="C256" s="12" t="s">
        <v>17</v>
      </c>
      <c r="D256" s="12" t="s">
        <v>66</v>
      </c>
      <c r="E256" s="25">
        <v>99</v>
      </c>
      <c r="F256" s="10">
        <v>90</v>
      </c>
      <c r="G256" s="10">
        <v>104</v>
      </c>
      <c r="H256" s="10">
        <v>67</v>
      </c>
      <c r="I256" s="10">
        <v>58</v>
      </c>
      <c r="J256" s="10">
        <v>65</v>
      </c>
      <c r="K256" s="10">
        <v>63</v>
      </c>
      <c r="L256" s="10">
        <v>29</v>
      </c>
      <c r="M256" s="10">
        <v>13</v>
      </c>
      <c r="N256" s="10">
        <v>51</v>
      </c>
      <c r="O256" s="10">
        <v>95</v>
      </c>
      <c r="P256" s="10">
        <v>88</v>
      </c>
      <c r="Q256" s="26">
        <f t="shared" si="9"/>
        <v>822</v>
      </c>
      <c r="R256" s="25">
        <v>12812</v>
      </c>
      <c r="S256" s="10">
        <v>12496</v>
      </c>
      <c r="T256" s="10">
        <v>15110</v>
      </c>
      <c r="U256" s="10">
        <v>9405</v>
      </c>
      <c r="V256" s="10">
        <v>8730</v>
      </c>
      <c r="W256" s="10">
        <v>10127</v>
      </c>
      <c r="X256" s="10">
        <v>8922</v>
      </c>
      <c r="Y256" s="10">
        <v>3575</v>
      </c>
      <c r="Z256" s="10">
        <v>1770</v>
      </c>
      <c r="AA256" s="10">
        <v>8062</v>
      </c>
      <c r="AB256" s="10">
        <v>12705</v>
      </c>
      <c r="AC256" s="10">
        <v>13037</v>
      </c>
      <c r="AD256" s="26">
        <f t="shared" si="10"/>
        <v>116751</v>
      </c>
      <c r="AE256" s="25">
        <v>0</v>
      </c>
      <c r="AF256" s="10">
        <v>0</v>
      </c>
      <c r="AG256" s="10">
        <v>39</v>
      </c>
      <c r="AH256" s="10">
        <v>0</v>
      </c>
      <c r="AI256" s="10">
        <v>0</v>
      </c>
      <c r="AJ256" s="10">
        <v>0</v>
      </c>
      <c r="AK256" s="10">
        <v>318</v>
      </c>
      <c r="AL256" s="10">
        <v>12</v>
      </c>
      <c r="AM256" s="10">
        <v>0</v>
      </c>
      <c r="AN256" s="10">
        <v>145</v>
      </c>
      <c r="AO256" s="10">
        <v>1493</v>
      </c>
      <c r="AP256" s="10">
        <v>57</v>
      </c>
      <c r="AQ256" s="26">
        <f t="shared" si="11"/>
        <v>2064</v>
      </c>
    </row>
    <row r="257" spans="1:43" ht="17.25" customHeight="1" x14ac:dyDescent="0.45">
      <c r="A257" s="2" t="s">
        <v>100</v>
      </c>
      <c r="B257" s="2" t="s">
        <v>68</v>
      </c>
      <c r="C257" s="2" t="s">
        <v>48</v>
      </c>
      <c r="D257" s="2" t="s">
        <v>66</v>
      </c>
      <c r="E257" s="23">
        <v>91</v>
      </c>
      <c r="F257" s="1">
        <v>82</v>
      </c>
      <c r="G257" s="1">
        <v>101</v>
      </c>
      <c r="H257" s="1">
        <v>98</v>
      </c>
      <c r="I257" s="1">
        <v>71</v>
      </c>
      <c r="J257" s="1">
        <v>70</v>
      </c>
      <c r="K257" s="1">
        <v>70</v>
      </c>
      <c r="L257" s="1">
        <v>41</v>
      </c>
      <c r="M257" s="1">
        <v>38</v>
      </c>
      <c r="N257" s="1">
        <v>70</v>
      </c>
      <c r="O257" s="1">
        <v>97</v>
      </c>
      <c r="P257" s="1">
        <v>100</v>
      </c>
      <c r="Q257" s="24">
        <f t="shared" si="9"/>
        <v>929</v>
      </c>
      <c r="R257" s="23">
        <v>11807</v>
      </c>
      <c r="S257" s="1">
        <v>11981</v>
      </c>
      <c r="T257" s="1">
        <v>15104</v>
      </c>
      <c r="U257" s="1">
        <v>13192</v>
      </c>
      <c r="V257" s="1">
        <v>10946</v>
      </c>
      <c r="W257" s="1">
        <v>10371</v>
      </c>
      <c r="X257" s="1">
        <v>9546</v>
      </c>
      <c r="Y257" s="1">
        <v>5146</v>
      </c>
      <c r="Z257" s="1">
        <v>5570</v>
      </c>
      <c r="AA257" s="1">
        <v>10702</v>
      </c>
      <c r="AB257" s="1">
        <v>12659</v>
      </c>
      <c r="AC257" s="1">
        <v>13471</v>
      </c>
      <c r="AD257" s="24">
        <f t="shared" si="10"/>
        <v>130495</v>
      </c>
      <c r="AE257" s="23">
        <v>0</v>
      </c>
      <c r="AF257" s="1">
        <v>1128</v>
      </c>
      <c r="AG257" s="1">
        <v>0</v>
      </c>
      <c r="AH257" s="1">
        <v>623</v>
      </c>
      <c r="AI257" s="1">
        <v>0</v>
      </c>
      <c r="AJ257" s="1">
        <v>0</v>
      </c>
      <c r="AK257" s="1">
        <v>0</v>
      </c>
      <c r="AL257" s="1">
        <v>0</v>
      </c>
      <c r="AM257" s="1">
        <v>0</v>
      </c>
      <c r="AN257" s="1">
        <v>0</v>
      </c>
      <c r="AO257" s="1">
        <v>0</v>
      </c>
      <c r="AP257" s="1">
        <v>536</v>
      </c>
      <c r="AQ257" s="24">
        <f t="shared" si="11"/>
        <v>2287</v>
      </c>
    </row>
    <row r="258" spans="1:43" ht="17.25" customHeight="1" x14ac:dyDescent="0.45">
      <c r="A258" s="12" t="s">
        <v>101</v>
      </c>
      <c r="B258" s="12" t="s">
        <v>68</v>
      </c>
      <c r="C258" s="12" t="s">
        <v>10</v>
      </c>
      <c r="D258" s="12" t="s">
        <v>66</v>
      </c>
      <c r="E258" s="25">
        <v>162</v>
      </c>
      <c r="F258" s="10">
        <v>150</v>
      </c>
      <c r="G258" s="10">
        <v>140</v>
      </c>
      <c r="H258" s="10">
        <v>94</v>
      </c>
      <c r="I258" s="10">
        <v>80</v>
      </c>
      <c r="J258" s="10">
        <v>78</v>
      </c>
      <c r="K258" s="10">
        <v>77</v>
      </c>
      <c r="L258" s="10">
        <v>72</v>
      </c>
      <c r="M258" s="10">
        <v>47</v>
      </c>
      <c r="N258" s="10">
        <v>49</v>
      </c>
      <c r="O258" s="10">
        <v>77</v>
      </c>
      <c r="P258" s="10">
        <v>127</v>
      </c>
      <c r="Q258" s="26">
        <f t="shared" si="9"/>
        <v>1153</v>
      </c>
      <c r="R258" s="25">
        <v>21764</v>
      </c>
      <c r="S258" s="10">
        <v>25933</v>
      </c>
      <c r="T258" s="10">
        <v>23001</v>
      </c>
      <c r="U258" s="10">
        <v>14902</v>
      </c>
      <c r="V258" s="10">
        <v>13404</v>
      </c>
      <c r="W258" s="10">
        <v>13332</v>
      </c>
      <c r="X258" s="10">
        <v>12050</v>
      </c>
      <c r="Y258" s="10">
        <v>12307</v>
      </c>
      <c r="Z258" s="10">
        <v>6974</v>
      </c>
      <c r="AA258" s="10">
        <v>8373</v>
      </c>
      <c r="AB258" s="10">
        <v>12729</v>
      </c>
      <c r="AC258" s="10">
        <v>21324</v>
      </c>
      <c r="AD258" s="26">
        <f t="shared" si="10"/>
        <v>186093</v>
      </c>
      <c r="AE258" s="25">
        <v>1705</v>
      </c>
      <c r="AF258" s="10">
        <v>0</v>
      </c>
      <c r="AG258" s="10">
        <v>0</v>
      </c>
      <c r="AH258" s="10">
        <v>130</v>
      </c>
      <c r="AI258" s="10">
        <v>4453</v>
      </c>
      <c r="AJ258" s="10">
        <v>0</v>
      </c>
      <c r="AK258" s="10">
        <v>0</v>
      </c>
      <c r="AL258" s="10">
        <v>78</v>
      </c>
      <c r="AM258" s="10">
        <v>0</v>
      </c>
      <c r="AN258" s="10">
        <v>0</v>
      </c>
      <c r="AO258" s="10">
        <v>0</v>
      </c>
      <c r="AP258" s="10">
        <v>128</v>
      </c>
      <c r="AQ258" s="26">
        <f t="shared" si="11"/>
        <v>6494</v>
      </c>
    </row>
    <row r="259" spans="1:43" ht="17.25" customHeight="1" x14ac:dyDescent="0.45">
      <c r="A259" s="2" t="s">
        <v>101</v>
      </c>
      <c r="B259" s="2" t="s">
        <v>68</v>
      </c>
      <c r="C259" s="2" t="s">
        <v>11</v>
      </c>
      <c r="D259" s="2" t="s">
        <v>66</v>
      </c>
      <c r="E259" s="23">
        <v>0</v>
      </c>
      <c r="F259" s="1">
        <v>0</v>
      </c>
      <c r="G259" s="1">
        <v>17</v>
      </c>
      <c r="H259" s="1">
        <v>0</v>
      </c>
      <c r="I259" s="1">
        <v>0</v>
      </c>
      <c r="J259" s="1">
        <v>0</v>
      </c>
      <c r="K259" s="1">
        <v>0</v>
      </c>
      <c r="L259" s="1">
        <v>0</v>
      </c>
      <c r="M259" s="1">
        <v>0</v>
      </c>
      <c r="N259" s="1">
        <v>0</v>
      </c>
      <c r="O259" s="1">
        <v>0</v>
      </c>
      <c r="P259" s="1">
        <v>0</v>
      </c>
      <c r="Q259" s="24">
        <f t="shared" si="9"/>
        <v>17</v>
      </c>
      <c r="R259" s="23">
        <v>0</v>
      </c>
      <c r="S259" s="1">
        <v>0</v>
      </c>
      <c r="T259" s="1">
        <v>629</v>
      </c>
      <c r="U259" s="1">
        <v>0</v>
      </c>
      <c r="V259" s="1">
        <v>0</v>
      </c>
      <c r="W259" s="1">
        <v>0</v>
      </c>
      <c r="X259" s="1">
        <v>0</v>
      </c>
      <c r="Y259" s="1">
        <v>0</v>
      </c>
      <c r="Z259" s="1">
        <v>0</v>
      </c>
      <c r="AA259" s="1">
        <v>0</v>
      </c>
      <c r="AB259" s="1">
        <v>0</v>
      </c>
      <c r="AC259" s="1">
        <v>0</v>
      </c>
      <c r="AD259" s="24">
        <f t="shared" si="10"/>
        <v>629</v>
      </c>
      <c r="AE259" s="23">
        <v>0</v>
      </c>
      <c r="AF259" s="1">
        <v>0</v>
      </c>
      <c r="AG259" s="1">
        <v>1</v>
      </c>
      <c r="AH259" s="1">
        <v>0</v>
      </c>
      <c r="AI259" s="1">
        <v>0</v>
      </c>
      <c r="AJ259" s="1">
        <v>0</v>
      </c>
      <c r="AK259" s="1">
        <v>0</v>
      </c>
      <c r="AL259" s="1">
        <v>0</v>
      </c>
      <c r="AM259" s="1">
        <v>0</v>
      </c>
      <c r="AN259" s="1">
        <v>0</v>
      </c>
      <c r="AO259" s="1">
        <v>0</v>
      </c>
      <c r="AP259" s="1">
        <v>0</v>
      </c>
      <c r="AQ259" s="24">
        <f t="shared" si="11"/>
        <v>1</v>
      </c>
    </row>
    <row r="260" spans="1:43" ht="17.25" customHeight="1" x14ac:dyDescent="0.45">
      <c r="A260" s="12" t="s">
        <v>101</v>
      </c>
      <c r="B260" s="12" t="s">
        <v>68</v>
      </c>
      <c r="C260" s="12" t="s">
        <v>12</v>
      </c>
      <c r="D260" s="12" t="s">
        <v>66</v>
      </c>
      <c r="E260" s="25">
        <v>31</v>
      </c>
      <c r="F260" s="10">
        <v>29</v>
      </c>
      <c r="G260" s="10">
        <v>31</v>
      </c>
      <c r="H260" s="10">
        <v>29</v>
      </c>
      <c r="I260" s="10">
        <v>31</v>
      </c>
      <c r="J260" s="10">
        <v>30</v>
      </c>
      <c r="K260" s="10">
        <v>30</v>
      </c>
      <c r="L260" s="10">
        <v>31</v>
      </c>
      <c r="M260" s="10">
        <v>29</v>
      </c>
      <c r="N260" s="10">
        <v>31</v>
      </c>
      <c r="O260" s="10">
        <v>30</v>
      </c>
      <c r="P260" s="10">
        <v>31</v>
      </c>
      <c r="Q260" s="26">
        <f t="shared" si="9"/>
        <v>363</v>
      </c>
      <c r="R260" s="25">
        <v>4642</v>
      </c>
      <c r="S260" s="10">
        <v>4617</v>
      </c>
      <c r="T260" s="10">
        <v>4772</v>
      </c>
      <c r="U260" s="10">
        <v>4322</v>
      </c>
      <c r="V260" s="10">
        <v>5148</v>
      </c>
      <c r="W260" s="10">
        <v>3660</v>
      </c>
      <c r="X260" s="10">
        <v>3609</v>
      </c>
      <c r="Y260" s="10">
        <v>3760</v>
      </c>
      <c r="Z260" s="10">
        <v>3307</v>
      </c>
      <c r="AA260" s="10">
        <v>3890</v>
      </c>
      <c r="AB260" s="10">
        <v>3532</v>
      </c>
      <c r="AC260" s="10">
        <v>3858</v>
      </c>
      <c r="AD260" s="26">
        <f t="shared" si="10"/>
        <v>49117</v>
      </c>
      <c r="AE260" s="25">
        <v>3740</v>
      </c>
      <c r="AF260" s="10">
        <v>4766</v>
      </c>
      <c r="AG260" s="10">
        <v>5894</v>
      </c>
      <c r="AH260" s="10">
        <v>2010</v>
      </c>
      <c r="AI260" s="10">
        <v>5053</v>
      </c>
      <c r="AJ260" s="10">
        <v>3391</v>
      </c>
      <c r="AK260" s="10">
        <v>2049</v>
      </c>
      <c r="AL260" s="10">
        <v>2824</v>
      </c>
      <c r="AM260" s="10">
        <v>2050</v>
      </c>
      <c r="AN260" s="10">
        <v>2937</v>
      </c>
      <c r="AO260" s="10">
        <v>1572</v>
      </c>
      <c r="AP260" s="10">
        <v>2004</v>
      </c>
      <c r="AQ260" s="26">
        <f t="shared" si="11"/>
        <v>38290</v>
      </c>
    </row>
    <row r="261" spans="1:43" ht="17.25" customHeight="1" x14ac:dyDescent="0.45">
      <c r="A261" s="2" t="s">
        <v>101</v>
      </c>
      <c r="B261" s="2" t="s">
        <v>68</v>
      </c>
      <c r="C261" s="2" t="s">
        <v>13</v>
      </c>
      <c r="D261" s="2" t="s">
        <v>66</v>
      </c>
      <c r="E261" s="23">
        <v>28</v>
      </c>
      <c r="F261" s="1">
        <v>28</v>
      </c>
      <c r="G261" s="1">
        <v>30</v>
      </c>
      <c r="H261" s="1">
        <v>26</v>
      </c>
      <c r="I261" s="1">
        <v>27</v>
      </c>
      <c r="J261" s="1">
        <v>27</v>
      </c>
      <c r="K261" s="1">
        <v>31</v>
      </c>
      <c r="L261" s="1">
        <v>31</v>
      </c>
      <c r="M261" s="1">
        <v>22</v>
      </c>
      <c r="N261" s="1">
        <v>23</v>
      </c>
      <c r="O261" s="1">
        <v>23</v>
      </c>
      <c r="P261" s="1">
        <v>23</v>
      </c>
      <c r="Q261" s="24">
        <f t="shared" si="9"/>
        <v>319</v>
      </c>
      <c r="R261" s="23">
        <v>1434</v>
      </c>
      <c r="S261" s="1">
        <v>1503</v>
      </c>
      <c r="T261" s="1">
        <v>1677</v>
      </c>
      <c r="U261" s="1">
        <v>1649</v>
      </c>
      <c r="V261" s="1">
        <v>1585</v>
      </c>
      <c r="W261" s="1">
        <v>1964</v>
      </c>
      <c r="X261" s="1">
        <v>2222</v>
      </c>
      <c r="Y261" s="1">
        <v>1850</v>
      </c>
      <c r="Z261" s="1">
        <v>1316</v>
      </c>
      <c r="AA261" s="1">
        <v>1715</v>
      </c>
      <c r="AB261" s="1">
        <v>1619</v>
      </c>
      <c r="AC261" s="1">
        <v>1850</v>
      </c>
      <c r="AD261" s="24">
        <f t="shared" si="10"/>
        <v>20384</v>
      </c>
      <c r="AE261" s="23">
        <v>1</v>
      </c>
      <c r="AF261" s="1">
        <v>4</v>
      </c>
      <c r="AG261" s="1">
        <v>1</v>
      </c>
      <c r="AH261" s="1">
        <v>4</v>
      </c>
      <c r="AI261" s="1">
        <v>7</v>
      </c>
      <c r="AJ261" s="1">
        <v>2</v>
      </c>
      <c r="AK261" s="1">
        <v>3</v>
      </c>
      <c r="AL261" s="1">
        <v>5</v>
      </c>
      <c r="AM261" s="1">
        <v>0</v>
      </c>
      <c r="AN261" s="1">
        <v>3</v>
      </c>
      <c r="AO261" s="1">
        <v>2</v>
      </c>
      <c r="AP261" s="1">
        <v>6</v>
      </c>
      <c r="AQ261" s="24">
        <f t="shared" si="11"/>
        <v>38</v>
      </c>
    </row>
    <row r="262" spans="1:43" ht="17.25" customHeight="1" x14ac:dyDescent="0.45">
      <c r="A262" s="12" t="s">
        <v>101</v>
      </c>
      <c r="B262" s="12" t="s">
        <v>68</v>
      </c>
      <c r="C262" s="12" t="s">
        <v>17</v>
      </c>
      <c r="D262" s="12" t="s">
        <v>66</v>
      </c>
      <c r="E262" s="25">
        <v>28</v>
      </c>
      <c r="F262" s="10">
        <v>27</v>
      </c>
      <c r="G262" s="10">
        <v>31</v>
      </c>
      <c r="H262" s="10">
        <v>8</v>
      </c>
      <c r="I262" s="10">
        <v>0</v>
      </c>
      <c r="J262" s="10">
        <v>0</v>
      </c>
      <c r="K262" s="10">
        <v>0</v>
      </c>
      <c r="L262" s="10">
        <v>0</v>
      </c>
      <c r="M262" s="10">
        <v>0</v>
      </c>
      <c r="N262" s="10">
        <v>0</v>
      </c>
      <c r="O262" s="10">
        <v>0</v>
      </c>
      <c r="P262" s="10">
        <v>13</v>
      </c>
      <c r="Q262" s="26">
        <f t="shared" si="9"/>
        <v>107</v>
      </c>
      <c r="R262" s="25">
        <v>3732</v>
      </c>
      <c r="S262" s="10">
        <v>4267</v>
      </c>
      <c r="T262" s="10">
        <v>4640</v>
      </c>
      <c r="U262" s="10">
        <v>642</v>
      </c>
      <c r="V262" s="10">
        <v>0</v>
      </c>
      <c r="W262" s="10">
        <v>0</v>
      </c>
      <c r="X262" s="10">
        <v>0</v>
      </c>
      <c r="Y262" s="10">
        <v>0</v>
      </c>
      <c r="Z262" s="10">
        <v>0</v>
      </c>
      <c r="AA262" s="10">
        <v>0</v>
      </c>
      <c r="AB262" s="10">
        <v>0</v>
      </c>
      <c r="AC262" s="10">
        <v>2141</v>
      </c>
      <c r="AD262" s="26">
        <f t="shared" si="10"/>
        <v>15422</v>
      </c>
      <c r="AE262" s="25">
        <v>0</v>
      </c>
      <c r="AF262" s="10">
        <v>0</v>
      </c>
      <c r="AG262" s="10">
        <v>0</v>
      </c>
      <c r="AH262" s="10">
        <v>0</v>
      </c>
      <c r="AI262" s="10">
        <v>0</v>
      </c>
      <c r="AJ262" s="10">
        <v>0</v>
      </c>
      <c r="AK262" s="10">
        <v>0</v>
      </c>
      <c r="AL262" s="10">
        <v>0</v>
      </c>
      <c r="AM262" s="10">
        <v>0</v>
      </c>
      <c r="AN262" s="10">
        <v>0</v>
      </c>
      <c r="AO262" s="10">
        <v>0</v>
      </c>
      <c r="AP262" s="10">
        <v>0</v>
      </c>
      <c r="AQ262" s="26">
        <f t="shared" si="11"/>
        <v>0</v>
      </c>
    </row>
    <row r="263" spans="1:43" ht="17.25" customHeight="1" x14ac:dyDescent="0.45">
      <c r="A263" s="2" t="s">
        <v>101</v>
      </c>
      <c r="B263" s="2" t="s">
        <v>68</v>
      </c>
      <c r="C263" s="2" t="s">
        <v>28</v>
      </c>
      <c r="D263" s="2" t="s">
        <v>66</v>
      </c>
      <c r="E263" s="23">
        <v>19</v>
      </c>
      <c r="F263" s="1">
        <v>25</v>
      </c>
      <c r="G263" s="1">
        <v>25</v>
      </c>
      <c r="H263" s="1">
        <v>26</v>
      </c>
      <c r="I263" s="1">
        <v>27</v>
      </c>
      <c r="J263" s="1">
        <v>25</v>
      </c>
      <c r="K263" s="1">
        <v>27</v>
      </c>
      <c r="L263" s="1">
        <v>23</v>
      </c>
      <c r="M263" s="1">
        <v>16</v>
      </c>
      <c r="N263" s="1">
        <v>19</v>
      </c>
      <c r="O263" s="1">
        <v>20</v>
      </c>
      <c r="P263" s="1">
        <v>20</v>
      </c>
      <c r="Q263" s="24">
        <f t="shared" si="9"/>
        <v>272</v>
      </c>
      <c r="R263" s="23">
        <v>1077</v>
      </c>
      <c r="S263" s="1">
        <v>1691</v>
      </c>
      <c r="T263" s="1">
        <v>1841</v>
      </c>
      <c r="U263" s="1">
        <v>1680</v>
      </c>
      <c r="V263" s="1">
        <v>1796</v>
      </c>
      <c r="W263" s="1">
        <v>2078</v>
      </c>
      <c r="X263" s="1">
        <v>2068</v>
      </c>
      <c r="Y263" s="1">
        <v>1468</v>
      </c>
      <c r="Z263" s="1">
        <v>973</v>
      </c>
      <c r="AA263" s="1">
        <v>1405</v>
      </c>
      <c r="AB263" s="1">
        <v>1451</v>
      </c>
      <c r="AC263" s="1">
        <v>1814</v>
      </c>
      <c r="AD263" s="24">
        <f t="shared" si="10"/>
        <v>19342</v>
      </c>
      <c r="AE263" s="23">
        <v>0</v>
      </c>
      <c r="AF263" s="1">
        <v>2</v>
      </c>
      <c r="AG263" s="1">
        <v>1</v>
      </c>
      <c r="AH263" s="1">
        <v>6</v>
      </c>
      <c r="AI263" s="1">
        <v>6</v>
      </c>
      <c r="AJ263" s="1">
        <v>3</v>
      </c>
      <c r="AK263" s="1">
        <v>1</v>
      </c>
      <c r="AL263" s="1">
        <v>4</v>
      </c>
      <c r="AM263" s="1">
        <v>0</v>
      </c>
      <c r="AN263" s="1">
        <v>2</v>
      </c>
      <c r="AO263" s="1">
        <v>0</v>
      </c>
      <c r="AP263" s="1">
        <v>4</v>
      </c>
      <c r="AQ263" s="24">
        <f t="shared" si="11"/>
        <v>29</v>
      </c>
    </row>
    <row r="264" spans="1:43" ht="17.25" customHeight="1" x14ac:dyDescent="0.45">
      <c r="A264" s="12" t="s">
        <v>101</v>
      </c>
      <c r="B264" s="12" t="s">
        <v>68</v>
      </c>
      <c r="C264" s="12" t="s">
        <v>48</v>
      </c>
      <c r="D264" s="12" t="s">
        <v>66</v>
      </c>
      <c r="E264" s="25">
        <v>31</v>
      </c>
      <c r="F264" s="10">
        <v>29</v>
      </c>
      <c r="G264" s="10">
        <v>31</v>
      </c>
      <c r="H264" s="10">
        <v>8</v>
      </c>
      <c r="I264" s="10">
        <v>0</v>
      </c>
      <c r="J264" s="10">
        <v>0</v>
      </c>
      <c r="K264" s="10">
        <v>0</v>
      </c>
      <c r="L264" s="10">
        <v>0</v>
      </c>
      <c r="M264" s="10">
        <v>0</v>
      </c>
      <c r="N264" s="10">
        <v>0</v>
      </c>
      <c r="O264" s="10">
        <v>0</v>
      </c>
      <c r="P264" s="10">
        <v>15</v>
      </c>
      <c r="Q264" s="26">
        <f t="shared" ref="Q264:Q327" si="12">SUM(E264:P264)</f>
        <v>114</v>
      </c>
      <c r="R264" s="25">
        <v>4035</v>
      </c>
      <c r="S264" s="10">
        <v>4652</v>
      </c>
      <c r="T264" s="10">
        <v>4992</v>
      </c>
      <c r="U264" s="10">
        <v>919</v>
      </c>
      <c r="V264" s="10">
        <v>0</v>
      </c>
      <c r="W264" s="10">
        <v>0</v>
      </c>
      <c r="X264" s="10">
        <v>0</v>
      </c>
      <c r="Y264" s="10">
        <v>0</v>
      </c>
      <c r="Z264" s="10">
        <v>0</v>
      </c>
      <c r="AA264" s="10">
        <v>0</v>
      </c>
      <c r="AB264" s="10">
        <v>0</v>
      </c>
      <c r="AC264" s="10">
        <v>2341</v>
      </c>
      <c r="AD264" s="26">
        <f t="shared" ref="AD264:AD327" si="13">SUM(R264:AC264)</f>
        <v>16939</v>
      </c>
      <c r="AE264" s="25">
        <v>0</v>
      </c>
      <c r="AF264" s="10">
        <v>0</v>
      </c>
      <c r="AG264" s="10">
        <v>0</v>
      </c>
      <c r="AH264" s="10">
        <v>0</v>
      </c>
      <c r="AI264" s="10">
        <v>0</v>
      </c>
      <c r="AJ264" s="10">
        <v>0</v>
      </c>
      <c r="AK264" s="10">
        <v>0</v>
      </c>
      <c r="AL264" s="10">
        <v>0</v>
      </c>
      <c r="AM264" s="10">
        <v>0</v>
      </c>
      <c r="AN264" s="10">
        <v>0</v>
      </c>
      <c r="AO264" s="10">
        <v>0</v>
      </c>
      <c r="AP264" s="10">
        <v>0</v>
      </c>
      <c r="AQ264" s="26">
        <f t="shared" ref="AQ264:AQ327" si="14">SUM(AE264:AP264)</f>
        <v>0</v>
      </c>
    </row>
    <row r="265" spans="1:43" ht="17.25" customHeight="1" x14ac:dyDescent="0.45">
      <c r="A265" s="2" t="s">
        <v>178</v>
      </c>
      <c r="B265" s="2" t="s">
        <v>179</v>
      </c>
      <c r="C265" s="2" t="s">
        <v>14</v>
      </c>
      <c r="D265" s="2" t="s">
        <v>66</v>
      </c>
      <c r="E265" s="23">
        <v>33</v>
      </c>
      <c r="F265" s="1">
        <v>31</v>
      </c>
      <c r="G265" s="1">
        <v>31</v>
      </c>
      <c r="H265" s="1">
        <v>30</v>
      </c>
      <c r="I265" s="1">
        <v>31</v>
      </c>
      <c r="J265" s="1">
        <v>28</v>
      </c>
      <c r="K265" s="1">
        <v>29</v>
      </c>
      <c r="L265" s="1">
        <v>26</v>
      </c>
      <c r="M265" s="1">
        <v>23</v>
      </c>
      <c r="N265" s="1">
        <v>16</v>
      </c>
      <c r="O265" s="1">
        <v>17</v>
      </c>
      <c r="P265" s="1">
        <v>21</v>
      </c>
      <c r="Q265" s="24">
        <f t="shared" si="12"/>
        <v>316</v>
      </c>
      <c r="R265" s="23">
        <v>0</v>
      </c>
      <c r="S265" s="1">
        <v>0</v>
      </c>
      <c r="T265" s="1">
        <v>0</v>
      </c>
      <c r="U265" s="1">
        <v>0</v>
      </c>
      <c r="V265" s="1">
        <v>0</v>
      </c>
      <c r="W265" s="1">
        <v>0</v>
      </c>
      <c r="X265" s="1">
        <v>0</v>
      </c>
      <c r="Y265" s="1">
        <v>0</v>
      </c>
      <c r="Z265" s="1">
        <v>0</v>
      </c>
      <c r="AA265" s="1">
        <v>0</v>
      </c>
      <c r="AB265" s="1">
        <v>0</v>
      </c>
      <c r="AC265" s="1">
        <v>0</v>
      </c>
      <c r="AD265" s="24">
        <f t="shared" si="13"/>
        <v>0</v>
      </c>
      <c r="AE265" s="23">
        <v>2423158.84</v>
      </c>
      <c r="AF265" s="1">
        <v>2173836</v>
      </c>
      <c r="AG265" s="1">
        <v>2509788</v>
      </c>
      <c r="AH265" s="1">
        <v>1973142.5999999996</v>
      </c>
      <c r="AI265" s="1">
        <v>1879153.3</v>
      </c>
      <c r="AJ265" s="1">
        <v>1840494.5</v>
      </c>
      <c r="AK265" s="1">
        <v>2144117.0699999998</v>
      </c>
      <c r="AL265" s="1">
        <v>1764751.45</v>
      </c>
      <c r="AM265" s="1">
        <v>1740701.4000000001</v>
      </c>
      <c r="AN265" s="1">
        <v>1403066.9</v>
      </c>
      <c r="AO265" s="1">
        <v>1491018</v>
      </c>
      <c r="AP265" s="1">
        <v>1764643</v>
      </c>
      <c r="AQ265" s="24">
        <f t="shared" si="14"/>
        <v>23107871.059999999</v>
      </c>
    </row>
    <row r="266" spans="1:43" ht="17.25" customHeight="1" x14ac:dyDescent="0.45">
      <c r="A266" s="12" t="s">
        <v>180</v>
      </c>
      <c r="B266" s="12" t="s">
        <v>181</v>
      </c>
      <c r="C266" s="12" t="s">
        <v>12</v>
      </c>
      <c r="D266" s="12" t="s">
        <v>66</v>
      </c>
      <c r="E266" s="25">
        <v>31</v>
      </c>
      <c r="F266" s="10">
        <v>29</v>
      </c>
      <c r="G266" s="10">
        <v>31</v>
      </c>
      <c r="H266" s="10">
        <v>30</v>
      </c>
      <c r="I266" s="10">
        <v>31</v>
      </c>
      <c r="J266" s="10">
        <v>30</v>
      </c>
      <c r="K266" s="10">
        <v>31</v>
      </c>
      <c r="L266" s="10">
        <v>31</v>
      </c>
      <c r="M266" s="10">
        <v>30</v>
      </c>
      <c r="N266" s="10">
        <v>31</v>
      </c>
      <c r="O266" s="10">
        <v>30</v>
      </c>
      <c r="P266" s="10">
        <v>31</v>
      </c>
      <c r="Q266" s="26">
        <f t="shared" si="12"/>
        <v>366</v>
      </c>
      <c r="R266" s="25">
        <v>3523</v>
      </c>
      <c r="S266" s="10">
        <v>2460</v>
      </c>
      <c r="T266" s="10">
        <v>3552</v>
      </c>
      <c r="U266" s="10">
        <v>3212</v>
      </c>
      <c r="V266" s="10">
        <v>2873</v>
      </c>
      <c r="W266" s="10">
        <v>2489</v>
      </c>
      <c r="X266" s="10">
        <v>2408</v>
      </c>
      <c r="Y266" s="10">
        <v>2257</v>
      </c>
      <c r="Z266" s="10">
        <v>2563</v>
      </c>
      <c r="AA266" s="10">
        <v>3226</v>
      </c>
      <c r="AB266" s="10">
        <v>3709</v>
      </c>
      <c r="AC266" s="10">
        <v>2918</v>
      </c>
      <c r="AD266" s="26">
        <f t="shared" si="13"/>
        <v>35190</v>
      </c>
      <c r="AE266" s="25">
        <v>391877.99</v>
      </c>
      <c r="AF266" s="10">
        <v>340769.38000000006</v>
      </c>
      <c r="AG266" s="10">
        <v>347082.44999999995</v>
      </c>
      <c r="AH266" s="10">
        <v>309337</v>
      </c>
      <c r="AI266" s="10">
        <v>319747.88</v>
      </c>
      <c r="AJ266" s="10">
        <v>356248.35</v>
      </c>
      <c r="AK266" s="10">
        <v>353728.55999999994</v>
      </c>
      <c r="AL266" s="10">
        <v>389677.97000000003</v>
      </c>
      <c r="AM266" s="10">
        <v>338726.70000000007</v>
      </c>
      <c r="AN266" s="10">
        <v>353615.97999999992</v>
      </c>
      <c r="AO266" s="10">
        <v>362583.68999999994</v>
      </c>
      <c r="AP266" s="10">
        <v>348794.2</v>
      </c>
      <c r="AQ266" s="26">
        <f t="shared" si="14"/>
        <v>4212190.1500000004</v>
      </c>
    </row>
    <row r="267" spans="1:43" ht="17.25" customHeight="1" x14ac:dyDescent="0.45">
      <c r="A267" s="2" t="s">
        <v>301</v>
      </c>
      <c r="B267" s="2" t="s">
        <v>302</v>
      </c>
      <c r="C267" s="2" t="s">
        <v>10</v>
      </c>
      <c r="D267" s="2" t="s">
        <v>66</v>
      </c>
      <c r="E267" s="23">
        <v>0</v>
      </c>
      <c r="F267" s="1">
        <v>0</v>
      </c>
      <c r="G267" s="1">
        <v>0</v>
      </c>
      <c r="H267" s="1">
        <v>0</v>
      </c>
      <c r="I267" s="1">
        <v>0</v>
      </c>
      <c r="J267" s="1">
        <v>3</v>
      </c>
      <c r="K267" s="1">
        <v>2</v>
      </c>
      <c r="L267" s="1">
        <v>0</v>
      </c>
      <c r="M267" s="1">
        <v>0</v>
      </c>
      <c r="N267" s="1">
        <v>0</v>
      </c>
      <c r="O267" s="1">
        <v>0</v>
      </c>
      <c r="P267" s="1">
        <v>0</v>
      </c>
      <c r="Q267" s="24">
        <f t="shared" si="12"/>
        <v>5</v>
      </c>
      <c r="R267" s="23">
        <v>0</v>
      </c>
      <c r="S267" s="1">
        <v>0</v>
      </c>
      <c r="T267" s="1">
        <v>0</v>
      </c>
      <c r="U267" s="1">
        <v>0</v>
      </c>
      <c r="V267" s="1">
        <v>0</v>
      </c>
      <c r="W267" s="1">
        <v>890</v>
      </c>
      <c r="X267" s="1">
        <v>596</v>
      </c>
      <c r="Y267" s="1">
        <v>0</v>
      </c>
      <c r="Z267" s="1">
        <v>0</v>
      </c>
      <c r="AA267" s="1">
        <v>0</v>
      </c>
      <c r="AB267" s="1">
        <v>0</v>
      </c>
      <c r="AC267" s="1">
        <v>0</v>
      </c>
      <c r="AD267" s="24">
        <f t="shared" si="13"/>
        <v>1486</v>
      </c>
      <c r="AE267" s="23">
        <v>0</v>
      </c>
      <c r="AF267" s="1">
        <v>0</v>
      </c>
      <c r="AG267" s="1">
        <v>0</v>
      </c>
      <c r="AH267" s="1">
        <v>0</v>
      </c>
      <c r="AI267" s="1">
        <v>0</v>
      </c>
      <c r="AJ267" s="1">
        <v>0</v>
      </c>
      <c r="AK267" s="1">
        <v>0</v>
      </c>
      <c r="AL267" s="1">
        <v>0</v>
      </c>
      <c r="AM267" s="1">
        <v>0</v>
      </c>
      <c r="AN267" s="1">
        <v>0</v>
      </c>
      <c r="AO267" s="1">
        <v>0</v>
      </c>
      <c r="AP267" s="1">
        <v>0</v>
      </c>
      <c r="AQ267" s="24">
        <f t="shared" si="14"/>
        <v>0</v>
      </c>
    </row>
    <row r="268" spans="1:43" ht="17.25" customHeight="1" x14ac:dyDescent="0.45">
      <c r="A268" s="12" t="s">
        <v>42</v>
      </c>
      <c r="B268" s="12" t="s">
        <v>66</v>
      </c>
      <c r="C268" s="12" t="s">
        <v>72</v>
      </c>
      <c r="D268" s="12" t="s">
        <v>68</v>
      </c>
      <c r="E268" s="25">
        <v>9</v>
      </c>
      <c r="F268" s="10">
        <v>8</v>
      </c>
      <c r="G268" s="10">
        <v>9</v>
      </c>
      <c r="H268" s="10">
        <v>12</v>
      </c>
      <c r="I268" s="10">
        <v>14</v>
      </c>
      <c r="J268" s="10">
        <v>13</v>
      </c>
      <c r="K268" s="10">
        <v>13</v>
      </c>
      <c r="L268" s="10">
        <v>14</v>
      </c>
      <c r="M268" s="10">
        <v>12</v>
      </c>
      <c r="N268" s="10">
        <v>14</v>
      </c>
      <c r="O268" s="10">
        <v>13</v>
      </c>
      <c r="P268" s="10">
        <v>12</v>
      </c>
      <c r="Q268" s="26">
        <f t="shared" si="12"/>
        <v>143</v>
      </c>
      <c r="R268" s="25">
        <v>1538</v>
      </c>
      <c r="S268" s="10">
        <v>1233</v>
      </c>
      <c r="T268" s="10">
        <v>1520</v>
      </c>
      <c r="U268" s="10">
        <v>1727</v>
      </c>
      <c r="V268" s="10">
        <v>1829</v>
      </c>
      <c r="W268" s="10">
        <v>1750</v>
      </c>
      <c r="X268" s="10">
        <v>2089</v>
      </c>
      <c r="Y268" s="10">
        <v>2482</v>
      </c>
      <c r="Z268" s="10">
        <v>1912</v>
      </c>
      <c r="AA268" s="10">
        <v>1797</v>
      </c>
      <c r="AB268" s="10">
        <v>1732</v>
      </c>
      <c r="AC268" s="10">
        <v>1722</v>
      </c>
      <c r="AD268" s="26">
        <f t="shared" si="13"/>
        <v>21331</v>
      </c>
      <c r="AE268" s="25">
        <v>0</v>
      </c>
      <c r="AF268" s="10">
        <v>0</v>
      </c>
      <c r="AG268" s="10">
        <v>0</v>
      </c>
      <c r="AH268" s="10">
        <v>0</v>
      </c>
      <c r="AI268" s="10">
        <v>0</v>
      </c>
      <c r="AJ268" s="10">
        <v>0</v>
      </c>
      <c r="AK268" s="10">
        <v>0</v>
      </c>
      <c r="AL268" s="10">
        <v>0</v>
      </c>
      <c r="AM268" s="10">
        <v>0</v>
      </c>
      <c r="AN268" s="10">
        <v>0</v>
      </c>
      <c r="AO268" s="10">
        <v>0</v>
      </c>
      <c r="AP268" s="10">
        <v>0</v>
      </c>
      <c r="AQ268" s="26">
        <f t="shared" si="14"/>
        <v>0</v>
      </c>
    </row>
    <row r="269" spans="1:43" ht="17.25" customHeight="1" x14ac:dyDescent="0.45">
      <c r="A269" s="2" t="s">
        <v>42</v>
      </c>
      <c r="B269" s="2" t="s">
        <v>66</v>
      </c>
      <c r="C269" s="2" t="s">
        <v>67</v>
      </c>
      <c r="D269" s="2" t="s">
        <v>68</v>
      </c>
      <c r="E269" s="23">
        <v>31</v>
      </c>
      <c r="F269" s="1">
        <v>29</v>
      </c>
      <c r="G269" s="1">
        <v>31</v>
      </c>
      <c r="H269" s="1">
        <v>29</v>
      </c>
      <c r="I269" s="1">
        <v>31</v>
      </c>
      <c r="J269" s="1">
        <v>29</v>
      </c>
      <c r="K269" s="1">
        <v>30</v>
      </c>
      <c r="L269" s="1">
        <v>31</v>
      </c>
      <c r="M269" s="1">
        <v>30</v>
      </c>
      <c r="N269" s="1">
        <v>31</v>
      </c>
      <c r="O269" s="1">
        <v>29</v>
      </c>
      <c r="P269" s="1">
        <v>40</v>
      </c>
      <c r="Q269" s="24">
        <f t="shared" si="12"/>
        <v>371</v>
      </c>
      <c r="R269" s="23">
        <v>2816</v>
      </c>
      <c r="S269" s="1">
        <v>1912</v>
      </c>
      <c r="T269" s="1">
        <v>1929</v>
      </c>
      <c r="U269" s="1">
        <v>1864</v>
      </c>
      <c r="V269" s="1">
        <v>1838</v>
      </c>
      <c r="W269" s="1">
        <v>2956</v>
      </c>
      <c r="X269" s="1">
        <v>3616</v>
      </c>
      <c r="Y269" s="1">
        <v>3547</v>
      </c>
      <c r="Z269" s="1">
        <v>2241</v>
      </c>
      <c r="AA269" s="1">
        <v>1992</v>
      </c>
      <c r="AB269" s="1">
        <v>2385</v>
      </c>
      <c r="AC269" s="1">
        <v>3447</v>
      </c>
      <c r="AD269" s="24">
        <f t="shared" si="13"/>
        <v>30543</v>
      </c>
      <c r="AE269" s="23">
        <v>0</v>
      </c>
      <c r="AF269" s="1">
        <v>0</v>
      </c>
      <c r="AG269" s="1">
        <v>0</v>
      </c>
      <c r="AH269" s="1">
        <v>0</v>
      </c>
      <c r="AI269" s="1">
        <v>0</v>
      </c>
      <c r="AJ269" s="1">
        <v>0</v>
      </c>
      <c r="AK269" s="1">
        <v>0</v>
      </c>
      <c r="AL269" s="1">
        <v>29.483504050000001</v>
      </c>
      <c r="AM269" s="1">
        <v>0</v>
      </c>
      <c r="AN269" s="1">
        <v>0</v>
      </c>
      <c r="AO269" s="1">
        <v>0</v>
      </c>
      <c r="AP269" s="1">
        <v>208.65249020000002</v>
      </c>
      <c r="AQ269" s="24">
        <f t="shared" si="14"/>
        <v>238.13599425000001</v>
      </c>
    </row>
    <row r="270" spans="1:43" ht="17.25" customHeight="1" x14ac:dyDescent="0.45">
      <c r="A270" s="12" t="s">
        <v>102</v>
      </c>
      <c r="B270" s="12" t="s">
        <v>65</v>
      </c>
      <c r="C270" s="12" t="s">
        <v>10</v>
      </c>
      <c r="D270" s="12" t="s">
        <v>66</v>
      </c>
      <c r="E270" s="25">
        <v>72</v>
      </c>
      <c r="F270" s="10">
        <v>70</v>
      </c>
      <c r="G270" s="10">
        <v>76</v>
      </c>
      <c r="H270" s="10">
        <v>70</v>
      </c>
      <c r="I270" s="10">
        <v>18</v>
      </c>
      <c r="J270" s="10">
        <v>8</v>
      </c>
      <c r="K270" s="10">
        <v>8</v>
      </c>
      <c r="L270" s="10">
        <v>9</v>
      </c>
      <c r="M270" s="10">
        <v>9</v>
      </c>
      <c r="N270" s="10">
        <v>23</v>
      </c>
      <c r="O270" s="10">
        <v>67</v>
      </c>
      <c r="P270" s="10">
        <v>78</v>
      </c>
      <c r="Q270" s="26">
        <f t="shared" si="12"/>
        <v>508</v>
      </c>
      <c r="R270" s="25">
        <v>12380</v>
      </c>
      <c r="S270" s="10">
        <v>11895</v>
      </c>
      <c r="T270" s="10">
        <v>11885</v>
      </c>
      <c r="U270" s="10">
        <v>10287</v>
      </c>
      <c r="V270" s="10">
        <v>2747</v>
      </c>
      <c r="W270" s="10">
        <v>1092</v>
      </c>
      <c r="X270" s="10">
        <v>1252</v>
      </c>
      <c r="Y270" s="10">
        <v>1321</v>
      </c>
      <c r="Z270" s="10">
        <v>1294</v>
      </c>
      <c r="AA270" s="10">
        <v>3944</v>
      </c>
      <c r="AB270" s="10">
        <v>11254</v>
      </c>
      <c r="AC270" s="10">
        <v>12920</v>
      </c>
      <c r="AD270" s="26">
        <f t="shared" si="13"/>
        <v>82271</v>
      </c>
      <c r="AE270" s="25">
        <v>0</v>
      </c>
      <c r="AF270" s="10">
        <v>0</v>
      </c>
      <c r="AG270" s="10">
        <v>0</v>
      </c>
      <c r="AH270" s="10">
        <v>0</v>
      </c>
      <c r="AI270" s="10">
        <v>0</v>
      </c>
      <c r="AJ270" s="10">
        <v>0</v>
      </c>
      <c r="AK270" s="10">
        <v>0</v>
      </c>
      <c r="AL270" s="10">
        <v>0</v>
      </c>
      <c r="AM270" s="10">
        <v>0</v>
      </c>
      <c r="AN270" s="10">
        <v>0</v>
      </c>
      <c r="AO270" s="10">
        <v>124</v>
      </c>
      <c r="AP270" s="10">
        <v>0</v>
      </c>
      <c r="AQ270" s="26">
        <f t="shared" si="14"/>
        <v>124</v>
      </c>
    </row>
    <row r="271" spans="1:43" ht="17.25" customHeight="1" x14ac:dyDescent="0.45">
      <c r="A271" s="2" t="s">
        <v>102</v>
      </c>
      <c r="B271" s="2" t="s">
        <v>65</v>
      </c>
      <c r="C271" s="2" t="s">
        <v>51</v>
      </c>
      <c r="D271" s="2" t="s">
        <v>66</v>
      </c>
      <c r="E271" s="23">
        <v>9</v>
      </c>
      <c r="F271" s="1">
        <v>9</v>
      </c>
      <c r="G271" s="1">
        <v>8</v>
      </c>
      <c r="H271" s="1">
        <v>5</v>
      </c>
      <c r="I271" s="1">
        <v>0</v>
      </c>
      <c r="J271" s="1">
        <v>0</v>
      </c>
      <c r="K271" s="1">
        <v>0</v>
      </c>
      <c r="L271" s="1">
        <v>0</v>
      </c>
      <c r="M271" s="1">
        <v>0</v>
      </c>
      <c r="N271" s="1">
        <v>4</v>
      </c>
      <c r="O271" s="1">
        <v>6</v>
      </c>
      <c r="P271" s="1">
        <v>10</v>
      </c>
      <c r="Q271" s="24">
        <f t="shared" si="12"/>
        <v>51</v>
      </c>
      <c r="R271" s="23">
        <v>1499</v>
      </c>
      <c r="S271" s="1">
        <v>1355</v>
      </c>
      <c r="T271" s="1">
        <v>985</v>
      </c>
      <c r="U271" s="1">
        <v>336</v>
      </c>
      <c r="V271" s="1">
        <v>0</v>
      </c>
      <c r="W271" s="1">
        <v>0</v>
      </c>
      <c r="X271" s="1">
        <v>0</v>
      </c>
      <c r="Y271" s="1">
        <v>0</v>
      </c>
      <c r="Z271" s="1">
        <v>0</v>
      </c>
      <c r="AA271" s="1">
        <v>513</v>
      </c>
      <c r="AB271" s="1">
        <v>826</v>
      </c>
      <c r="AC271" s="1">
        <v>1359</v>
      </c>
      <c r="AD271" s="24">
        <f t="shared" si="13"/>
        <v>6873</v>
      </c>
      <c r="AE271" s="23">
        <v>0</v>
      </c>
      <c r="AF271" s="1">
        <v>0</v>
      </c>
      <c r="AG271" s="1">
        <v>0</v>
      </c>
      <c r="AH271" s="1">
        <v>0</v>
      </c>
      <c r="AI271" s="1">
        <v>0</v>
      </c>
      <c r="AJ271" s="1">
        <v>0</v>
      </c>
      <c r="AK271" s="1">
        <v>0</v>
      </c>
      <c r="AL271" s="1">
        <v>0</v>
      </c>
      <c r="AM271" s="1">
        <v>0</v>
      </c>
      <c r="AN271" s="1">
        <v>0</v>
      </c>
      <c r="AO271" s="1">
        <v>0</v>
      </c>
      <c r="AP271" s="1">
        <v>0</v>
      </c>
      <c r="AQ271" s="24">
        <f t="shared" si="14"/>
        <v>0</v>
      </c>
    </row>
    <row r="272" spans="1:43" ht="17.25" customHeight="1" x14ac:dyDescent="0.45">
      <c r="A272" s="12" t="s">
        <v>102</v>
      </c>
      <c r="B272" s="12" t="s">
        <v>65</v>
      </c>
      <c r="C272" s="12" t="s">
        <v>40</v>
      </c>
      <c r="D272" s="12" t="s">
        <v>66</v>
      </c>
      <c r="E272" s="25">
        <v>13</v>
      </c>
      <c r="F272" s="10">
        <v>12</v>
      </c>
      <c r="G272" s="10">
        <v>14</v>
      </c>
      <c r="H272" s="10">
        <v>9</v>
      </c>
      <c r="I272" s="10">
        <v>0</v>
      </c>
      <c r="J272" s="10">
        <v>0</v>
      </c>
      <c r="K272" s="10">
        <v>0</v>
      </c>
      <c r="L272" s="10">
        <v>0</v>
      </c>
      <c r="M272" s="10">
        <v>0</v>
      </c>
      <c r="N272" s="10">
        <v>0</v>
      </c>
      <c r="O272" s="10">
        <v>12</v>
      </c>
      <c r="P272" s="10">
        <v>13</v>
      </c>
      <c r="Q272" s="26">
        <f t="shared" si="12"/>
        <v>73</v>
      </c>
      <c r="R272" s="25">
        <v>1976</v>
      </c>
      <c r="S272" s="10">
        <v>1788</v>
      </c>
      <c r="T272" s="10">
        <v>1656</v>
      </c>
      <c r="U272" s="10">
        <v>747</v>
      </c>
      <c r="V272" s="10">
        <v>0</v>
      </c>
      <c r="W272" s="10">
        <v>0</v>
      </c>
      <c r="X272" s="10">
        <v>0</v>
      </c>
      <c r="Y272" s="10">
        <v>0</v>
      </c>
      <c r="Z272" s="10">
        <v>0</v>
      </c>
      <c r="AA272" s="10">
        <v>0</v>
      </c>
      <c r="AB272" s="10">
        <v>1885</v>
      </c>
      <c r="AC272" s="10">
        <v>1958</v>
      </c>
      <c r="AD272" s="26">
        <f t="shared" si="13"/>
        <v>10010</v>
      </c>
      <c r="AE272" s="25">
        <v>0</v>
      </c>
      <c r="AF272" s="10">
        <v>0</v>
      </c>
      <c r="AG272" s="10">
        <v>0</v>
      </c>
      <c r="AH272" s="10">
        <v>0</v>
      </c>
      <c r="AI272" s="10">
        <v>0</v>
      </c>
      <c r="AJ272" s="10">
        <v>0</v>
      </c>
      <c r="AK272" s="10">
        <v>0</v>
      </c>
      <c r="AL272" s="10">
        <v>0</v>
      </c>
      <c r="AM272" s="10">
        <v>0</v>
      </c>
      <c r="AN272" s="10">
        <v>0</v>
      </c>
      <c r="AO272" s="10">
        <v>0</v>
      </c>
      <c r="AP272" s="10">
        <v>0</v>
      </c>
      <c r="AQ272" s="26">
        <f t="shared" si="14"/>
        <v>0</v>
      </c>
    </row>
    <row r="273" spans="1:43" ht="17.25" customHeight="1" x14ac:dyDescent="0.45">
      <c r="A273" s="2" t="s">
        <v>102</v>
      </c>
      <c r="B273" s="2" t="s">
        <v>65</v>
      </c>
      <c r="C273" s="2" t="s">
        <v>17</v>
      </c>
      <c r="D273" s="2" t="s">
        <v>66</v>
      </c>
      <c r="E273" s="23">
        <v>66</v>
      </c>
      <c r="F273" s="1">
        <v>62</v>
      </c>
      <c r="G273" s="1">
        <v>67</v>
      </c>
      <c r="H273" s="1">
        <v>51</v>
      </c>
      <c r="I273" s="1">
        <v>16</v>
      </c>
      <c r="J273" s="1">
        <v>4</v>
      </c>
      <c r="K273" s="1">
        <v>4</v>
      </c>
      <c r="L273" s="1">
        <v>5</v>
      </c>
      <c r="M273" s="1">
        <v>4</v>
      </c>
      <c r="N273" s="1">
        <v>14</v>
      </c>
      <c r="O273" s="1">
        <v>48</v>
      </c>
      <c r="P273" s="1">
        <v>59</v>
      </c>
      <c r="Q273" s="24">
        <f t="shared" si="12"/>
        <v>400</v>
      </c>
      <c r="R273" s="23">
        <v>10676</v>
      </c>
      <c r="S273" s="1">
        <v>9427</v>
      </c>
      <c r="T273" s="1">
        <v>8946</v>
      </c>
      <c r="U273" s="1">
        <v>5928</v>
      </c>
      <c r="V273" s="1">
        <v>1651</v>
      </c>
      <c r="W273" s="1">
        <v>474</v>
      </c>
      <c r="X273" s="1">
        <v>594</v>
      </c>
      <c r="Y273" s="1">
        <v>790</v>
      </c>
      <c r="Z273" s="1">
        <v>669</v>
      </c>
      <c r="AA273" s="1">
        <v>2201</v>
      </c>
      <c r="AB273" s="1">
        <v>7091</v>
      </c>
      <c r="AC273" s="1">
        <v>9317</v>
      </c>
      <c r="AD273" s="24">
        <f t="shared" si="13"/>
        <v>57764</v>
      </c>
      <c r="AE273" s="23">
        <v>0</v>
      </c>
      <c r="AF273" s="1">
        <v>0</v>
      </c>
      <c r="AG273" s="1">
        <v>0</v>
      </c>
      <c r="AH273" s="1">
        <v>0</v>
      </c>
      <c r="AI273" s="1">
        <v>0</v>
      </c>
      <c r="AJ273" s="1">
        <v>0</v>
      </c>
      <c r="AK273" s="1">
        <v>0</v>
      </c>
      <c r="AL273" s="1">
        <v>0</v>
      </c>
      <c r="AM273" s="1">
        <v>0</v>
      </c>
      <c r="AN273" s="1">
        <v>0</v>
      </c>
      <c r="AO273" s="1">
        <v>0</v>
      </c>
      <c r="AP273" s="1">
        <v>0</v>
      </c>
      <c r="AQ273" s="24">
        <f t="shared" si="14"/>
        <v>0</v>
      </c>
    </row>
    <row r="274" spans="1:43" ht="17.25" customHeight="1" x14ac:dyDescent="0.45">
      <c r="A274" s="12" t="s">
        <v>102</v>
      </c>
      <c r="B274" s="12" t="s">
        <v>65</v>
      </c>
      <c r="C274" s="12" t="s">
        <v>48</v>
      </c>
      <c r="D274" s="12" t="s">
        <v>66</v>
      </c>
      <c r="E274" s="25">
        <v>17</v>
      </c>
      <c r="F274" s="10">
        <v>16</v>
      </c>
      <c r="G274" s="10">
        <v>19</v>
      </c>
      <c r="H274" s="10">
        <v>16</v>
      </c>
      <c r="I274" s="10">
        <v>1</v>
      </c>
      <c r="J274" s="10">
        <v>0</v>
      </c>
      <c r="K274" s="10">
        <v>0</v>
      </c>
      <c r="L274" s="10">
        <v>0</v>
      </c>
      <c r="M274" s="10">
        <v>0</v>
      </c>
      <c r="N274" s="10">
        <v>1</v>
      </c>
      <c r="O274" s="10">
        <v>14</v>
      </c>
      <c r="P274" s="10">
        <v>15</v>
      </c>
      <c r="Q274" s="26">
        <f t="shared" si="12"/>
        <v>99</v>
      </c>
      <c r="R274" s="25">
        <v>2380</v>
      </c>
      <c r="S274" s="10">
        <v>2331</v>
      </c>
      <c r="T274" s="10">
        <v>2303</v>
      </c>
      <c r="U274" s="10">
        <v>1845</v>
      </c>
      <c r="V274" s="10">
        <v>179</v>
      </c>
      <c r="W274" s="10">
        <v>0</v>
      </c>
      <c r="X274" s="10">
        <v>0</v>
      </c>
      <c r="Y274" s="10">
        <v>0</v>
      </c>
      <c r="Z274" s="10">
        <v>0</v>
      </c>
      <c r="AA274" s="10">
        <v>120</v>
      </c>
      <c r="AB274" s="10">
        <v>2029</v>
      </c>
      <c r="AC274" s="10">
        <v>2208</v>
      </c>
      <c r="AD274" s="26">
        <f t="shared" si="13"/>
        <v>13395</v>
      </c>
      <c r="AE274" s="25">
        <v>0</v>
      </c>
      <c r="AF274" s="10">
        <v>0</v>
      </c>
      <c r="AG274" s="10">
        <v>0</v>
      </c>
      <c r="AH274" s="10">
        <v>0</v>
      </c>
      <c r="AI274" s="10">
        <v>0</v>
      </c>
      <c r="AJ274" s="10">
        <v>0</v>
      </c>
      <c r="AK274" s="10">
        <v>0</v>
      </c>
      <c r="AL274" s="10">
        <v>0</v>
      </c>
      <c r="AM274" s="10">
        <v>0</v>
      </c>
      <c r="AN274" s="10">
        <v>0</v>
      </c>
      <c r="AO274" s="10">
        <v>0</v>
      </c>
      <c r="AP274" s="10">
        <v>0</v>
      </c>
      <c r="AQ274" s="26">
        <f t="shared" si="14"/>
        <v>0</v>
      </c>
    </row>
    <row r="275" spans="1:43" ht="17.25" customHeight="1" x14ac:dyDescent="0.45">
      <c r="A275" s="2" t="s">
        <v>253</v>
      </c>
      <c r="B275" s="2" t="s">
        <v>254</v>
      </c>
      <c r="C275" s="2" t="s">
        <v>10</v>
      </c>
      <c r="D275" s="2" t="s">
        <v>66</v>
      </c>
      <c r="E275" s="23">
        <v>49</v>
      </c>
      <c r="F275" s="1">
        <v>46</v>
      </c>
      <c r="G275" s="1">
        <v>46</v>
      </c>
      <c r="H275" s="1">
        <v>44</v>
      </c>
      <c r="I275" s="1">
        <v>48</v>
      </c>
      <c r="J275" s="1">
        <v>44</v>
      </c>
      <c r="K275" s="1">
        <v>49</v>
      </c>
      <c r="L275" s="1">
        <v>46</v>
      </c>
      <c r="M275" s="1">
        <v>45</v>
      </c>
      <c r="N275" s="1">
        <v>47</v>
      </c>
      <c r="O275" s="1">
        <v>45</v>
      </c>
      <c r="P275" s="1">
        <v>46</v>
      </c>
      <c r="Q275" s="24">
        <f t="shared" si="12"/>
        <v>555</v>
      </c>
      <c r="R275" s="23">
        <v>4839</v>
      </c>
      <c r="S275" s="1">
        <v>4460</v>
      </c>
      <c r="T275" s="1">
        <v>3006</v>
      </c>
      <c r="U275" s="1">
        <v>2755</v>
      </c>
      <c r="V275" s="1">
        <v>2654</v>
      </c>
      <c r="W275" s="1">
        <v>1737</v>
      </c>
      <c r="X275" s="1">
        <v>2484</v>
      </c>
      <c r="Y275" s="1">
        <v>2453</v>
      </c>
      <c r="Z275" s="1">
        <v>1581</v>
      </c>
      <c r="AA275" s="1">
        <v>2191</v>
      </c>
      <c r="AB275" s="1">
        <v>3082</v>
      </c>
      <c r="AC275" s="1">
        <v>3572</v>
      </c>
      <c r="AD275" s="24">
        <f t="shared" si="13"/>
        <v>34814</v>
      </c>
      <c r="AE275" s="23">
        <v>0</v>
      </c>
      <c r="AF275" s="1">
        <v>0</v>
      </c>
      <c r="AG275" s="1">
        <v>0</v>
      </c>
      <c r="AH275" s="1">
        <v>0</v>
      </c>
      <c r="AI275" s="1">
        <v>0</v>
      </c>
      <c r="AJ275" s="1">
        <v>0</v>
      </c>
      <c r="AK275" s="1">
        <v>0</v>
      </c>
      <c r="AL275" s="1">
        <v>0</v>
      </c>
      <c r="AM275" s="1">
        <v>0</v>
      </c>
      <c r="AN275" s="1">
        <v>0</v>
      </c>
      <c r="AO275" s="1">
        <v>3111</v>
      </c>
      <c r="AP275" s="1">
        <v>0</v>
      </c>
      <c r="AQ275" s="24">
        <f t="shared" si="14"/>
        <v>3111</v>
      </c>
    </row>
    <row r="276" spans="1:43" ht="17.25" customHeight="1" x14ac:dyDescent="0.45">
      <c r="A276" s="12" t="s">
        <v>253</v>
      </c>
      <c r="B276" s="12" t="s">
        <v>254</v>
      </c>
      <c r="C276" s="12" t="s">
        <v>12</v>
      </c>
      <c r="D276" s="12" t="s">
        <v>66</v>
      </c>
      <c r="E276" s="25">
        <v>49</v>
      </c>
      <c r="F276" s="10">
        <v>46</v>
      </c>
      <c r="G276" s="10">
        <v>46</v>
      </c>
      <c r="H276" s="10">
        <v>44</v>
      </c>
      <c r="I276" s="10">
        <v>48</v>
      </c>
      <c r="J276" s="10">
        <v>44</v>
      </c>
      <c r="K276" s="10">
        <v>49</v>
      </c>
      <c r="L276" s="10">
        <v>46</v>
      </c>
      <c r="M276" s="10">
        <v>45</v>
      </c>
      <c r="N276" s="10">
        <v>47</v>
      </c>
      <c r="O276" s="10">
        <v>46</v>
      </c>
      <c r="P276" s="10">
        <v>47</v>
      </c>
      <c r="Q276" s="26">
        <f t="shared" si="12"/>
        <v>557</v>
      </c>
      <c r="R276" s="25">
        <v>7294</v>
      </c>
      <c r="S276" s="10">
        <v>10275</v>
      </c>
      <c r="T276" s="10">
        <v>7434</v>
      </c>
      <c r="U276" s="10">
        <v>8992</v>
      </c>
      <c r="V276" s="10">
        <v>8455</v>
      </c>
      <c r="W276" s="10">
        <v>8253</v>
      </c>
      <c r="X276" s="10">
        <v>11523</v>
      </c>
      <c r="Y276" s="10">
        <v>10318</v>
      </c>
      <c r="Z276" s="10">
        <v>8949</v>
      </c>
      <c r="AA276" s="10">
        <v>11452</v>
      </c>
      <c r="AB276" s="10">
        <v>9459</v>
      </c>
      <c r="AC276" s="10">
        <v>8430</v>
      </c>
      <c r="AD276" s="26">
        <f t="shared" si="13"/>
        <v>110834</v>
      </c>
      <c r="AE276" s="25">
        <v>178097.76</v>
      </c>
      <c r="AF276" s="10">
        <v>161872.57</v>
      </c>
      <c r="AG276" s="10">
        <v>306440</v>
      </c>
      <c r="AH276" s="10">
        <v>215203</v>
      </c>
      <c r="AI276" s="10">
        <v>333936</v>
      </c>
      <c r="AJ276" s="10">
        <v>308164</v>
      </c>
      <c r="AK276" s="10">
        <v>230490</v>
      </c>
      <c r="AL276" s="10">
        <v>230162</v>
      </c>
      <c r="AM276" s="10">
        <v>256587</v>
      </c>
      <c r="AN276" s="10">
        <v>207466</v>
      </c>
      <c r="AO276" s="10">
        <v>272153</v>
      </c>
      <c r="AP276" s="10">
        <v>249584</v>
      </c>
      <c r="AQ276" s="26">
        <f t="shared" si="14"/>
        <v>2950155.33</v>
      </c>
    </row>
    <row r="277" spans="1:43" ht="17.25" customHeight="1" x14ac:dyDescent="0.45">
      <c r="A277" s="2" t="s">
        <v>253</v>
      </c>
      <c r="B277" s="2" t="s">
        <v>254</v>
      </c>
      <c r="C277" s="2" t="s">
        <v>14</v>
      </c>
      <c r="D277" s="2" t="s">
        <v>66</v>
      </c>
      <c r="E277" s="23">
        <v>10</v>
      </c>
      <c r="F277" s="1">
        <v>8</v>
      </c>
      <c r="G277" s="1">
        <v>8</v>
      </c>
      <c r="H277" s="1">
        <v>9</v>
      </c>
      <c r="I277" s="1">
        <v>8</v>
      </c>
      <c r="J277" s="1">
        <v>4</v>
      </c>
      <c r="K277" s="1">
        <v>5</v>
      </c>
      <c r="L277" s="1">
        <v>4</v>
      </c>
      <c r="M277" s="1">
        <v>5</v>
      </c>
      <c r="N277" s="1">
        <v>4</v>
      </c>
      <c r="O277" s="1">
        <v>4</v>
      </c>
      <c r="P277" s="1">
        <v>5</v>
      </c>
      <c r="Q277" s="24">
        <f t="shared" si="12"/>
        <v>74</v>
      </c>
      <c r="R277" s="23">
        <v>0</v>
      </c>
      <c r="S277" s="1">
        <v>0</v>
      </c>
      <c r="T277" s="1">
        <v>0</v>
      </c>
      <c r="U277" s="1">
        <v>0</v>
      </c>
      <c r="V277" s="1">
        <v>0</v>
      </c>
      <c r="W277" s="1">
        <v>0</v>
      </c>
      <c r="X277" s="1">
        <v>0</v>
      </c>
      <c r="Y277" s="1">
        <v>0</v>
      </c>
      <c r="Z277" s="1">
        <v>0</v>
      </c>
      <c r="AA277" s="1">
        <v>0</v>
      </c>
      <c r="AB277" s="1">
        <v>0</v>
      </c>
      <c r="AC277" s="1">
        <v>0</v>
      </c>
      <c r="AD277" s="24">
        <f t="shared" si="13"/>
        <v>0</v>
      </c>
      <c r="AE277" s="23">
        <v>517393.63999999996</v>
      </c>
      <c r="AF277" s="1">
        <v>460143.32</v>
      </c>
      <c r="AG277" s="1">
        <v>552005</v>
      </c>
      <c r="AH277" s="1">
        <v>542110</v>
      </c>
      <c r="AI277" s="1">
        <v>345540</v>
      </c>
      <c r="AJ277" s="1">
        <v>236383</v>
      </c>
      <c r="AK277" s="1">
        <v>355862</v>
      </c>
      <c r="AL277" s="1">
        <v>330395</v>
      </c>
      <c r="AM277" s="1">
        <v>251418</v>
      </c>
      <c r="AN277" s="1">
        <v>267195</v>
      </c>
      <c r="AO277" s="1">
        <v>257500</v>
      </c>
      <c r="AP277" s="1">
        <v>279840</v>
      </c>
      <c r="AQ277" s="24">
        <f t="shared" si="14"/>
        <v>4395784.96</v>
      </c>
    </row>
    <row r="278" spans="1:43" ht="17.25" customHeight="1" x14ac:dyDescent="0.45">
      <c r="A278" s="12" t="s">
        <v>103</v>
      </c>
      <c r="B278" s="12" t="s">
        <v>104</v>
      </c>
      <c r="C278" s="12" t="s">
        <v>10</v>
      </c>
      <c r="D278" s="12" t="s">
        <v>66</v>
      </c>
      <c r="E278" s="25">
        <v>1</v>
      </c>
      <c r="F278" s="10">
        <v>0</v>
      </c>
      <c r="G278" s="10">
        <v>0</v>
      </c>
      <c r="H278" s="10">
        <v>0</v>
      </c>
      <c r="I278" s="10">
        <v>0</v>
      </c>
      <c r="J278" s="10">
        <v>0</v>
      </c>
      <c r="K278" s="10">
        <v>0</v>
      </c>
      <c r="L278" s="10">
        <v>0</v>
      </c>
      <c r="M278" s="10">
        <v>0</v>
      </c>
      <c r="N278" s="10">
        <v>0</v>
      </c>
      <c r="O278" s="10">
        <v>0</v>
      </c>
      <c r="P278" s="10">
        <v>0</v>
      </c>
      <c r="Q278" s="26">
        <f t="shared" si="12"/>
        <v>1</v>
      </c>
      <c r="R278" s="25">
        <v>26</v>
      </c>
      <c r="S278" s="10">
        <v>0</v>
      </c>
      <c r="T278" s="10">
        <v>0</v>
      </c>
      <c r="U278" s="10">
        <v>0</v>
      </c>
      <c r="V278" s="10">
        <v>0</v>
      </c>
      <c r="W278" s="10">
        <v>0</v>
      </c>
      <c r="X278" s="10">
        <v>0</v>
      </c>
      <c r="Y278" s="10">
        <v>0</v>
      </c>
      <c r="Z278" s="10">
        <v>0</v>
      </c>
      <c r="AA278" s="10">
        <v>0</v>
      </c>
      <c r="AB278" s="10">
        <v>0</v>
      </c>
      <c r="AC278" s="10">
        <v>0</v>
      </c>
      <c r="AD278" s="26">
        <f t="shared" si="13"/>
        <v>26</v>
      </c>
      <c r="AE278" s="25">
        <v>0</v>
      </c>
      <c r="AF278" s="10">
        <v>0</v>
      </c>
      <c r="AG278" s="10">
        <v>0</v>
      </c>
      <c r="AH278" s="10">
        <v>0</v>
      </c>
      <c r="AI278" s="10">
        <v>0</v>
      </c>
      <c r="AJ278" s="10">
        <v>0</v>
      </c>
      <c r="AK278" s="10">
        <v>0</v>
      </c>
      <c r="AL278" s="10">
        <v>0</v>
      </c>
      <c r="AM278" s="10">
        <v>0</v>
      </c>
      <c r="AN278" s="10">
        <v>0</v>
      </c>
      <c r="AO278" s="10">
        <v>0</v>
      </c>
      <c r="AP278" s="10">
        <v>0</v>
      </c>
      <c r="AQ278" s="26">
        <f t="shared" si="14"/>
        <v>0</v>
      </c>
    </row>
    <row r="279" spans="1:43" ht="17.25" customHeight="1" x14ac:dyDescent="0.45">
      <c r="A279" s="2" t="s">
        <v>105</v>
      </c>
      <c r="B279" s="2" t="s">
        <v>68</v>
      </c>
      <c r="C279" s="2" t="s">
        <v>10</v>
      </c>
      <c r="D279" s="2" t="s">
        <v>66</v>
      </c>
      <c r="E279" s="23">
        <v>140</v>
      </c>
      <c r="F279" s="1">
        <v>134</v>
      </c>
      <c r="G279" s="1">
        <v>152</v>
      </c>
      <c r="H279" s="1">
        <v>150</v>
      </c>
      <c r="I279" s="1">
        <v>154</v>
      </c>
      <c r="J279" s="1">
        <v>112</v>
      </c>
      <c r="K279" s="1">
        <v>122</v>
      </c>
      <c r="L279" s="1">
        <v>123</v>
      </c>
      <c r="M279" s="1">
        <v>64</v>
      </c>
      <c r="N279" s="1">
        <v>64</v>
      </c>
      <c r="O279" s="1">
        <v>92</v>
      </c>
      <c r="P279" s="1">
        <v>113</v>
      </c>
      <c r="Q279" s="24">
        <f t="shared" si="12"/>
        <v>1420</v>
      </c>
      <c r="R279" s="23">
        <v>16414</v>
      </c>
      <c r="S279" s="1">
        <v>18006</v>
      </c>
      <c r="T279" s="1">
        <v>22955</v>
      </c>
      <c r="U279" s="1">
        <v>19142</v>
      </c>
      <c r="V279" s="1">
        <v>21544</v>
      </c>
      <c r="W279" s="1">
        <v>18477</v>
      </c>
      <c r="X279" s="1">
        <v>18946</v>
      </c>
      <c r="Y279" s="1">
        <v>17547</v>
      </c>
      <c r="Z279" s="1">
        <v>8999</v>
      </c>
      <c r="AA279" s="1">
        <v>9910</v>
      </c>
      <c r="AB279" s="1">
        <v>12615</v>
      </c>
      <c r="AC279" s="1">
        <v>15088</v>
      </c>
      <c r="AD279" s="24">
        <f t="shared" si="13"/>
        <v>199643</v>
      </c>
      <c r="AE279" s="23">
        <v>0</v>
      </c>
      <c r="AF279" s="1">
        <v>0</v>
      </c>
      <c r="AG279" s="1">
        <v>0</v>
      </c>
      <c r="AH279" s="1">
        <v>0</v>
      </c>
      <c r="AI279" s="1">
        <v>0</v>
      </c>
      <c r="AJ279" s="1">
        <v>0</v>
      </c>
      <c r="AK279" s="1">
        <v>0</v>
      </c>
      <c r="AL279" s="1">
        <v>0</v>
      </c>
      <c r="AM279" s="1">
        <v>0</v>
      </c>
      <c r="AN279" s="1">
        <v>0</v>
      </c>
      <c r="AO279" s="1">
        <v>0</v>
      </c>
      <c r="AP279" s="1">
        <v>0</v>
      </c>
      <c r="AQ279" s="24">
        <f t="shared" si="14"/>
        <v>0</v>
      </c>
    </row>
    <row r="280" spans="1:43" ht="17.25" customHeight="1" x14ac:dyDescent="0.45">
      <c r="A280" s="12" t="s">
        <v>106</v>
      </c>
      <c r="B280" s="12" t="s">
        <v>107</v>
      </c>
      <c r="C280" s="12" t="s">
        <v>10</v>
      </c>
      <c r="D280" s="12" t="s">
        <v>66</v>
      </c>
      <c r="E280" s="25">
        <v>51</v>
      </c>
      <c r="F280" s="10">
        <v>47</v>
      </c>
      <c r="G280" s="10">
        <v>53</v>
      </c>
      <c r="H280" s="10">
        <v>45</v>
      </c>
      <c r="I280" s="10">
        <v>31</v>
      </c>
      <c r="J280" s="10">
        <v>26</v>
      </c>
      <c r="K280" s="10">
        <v>30</v>
      </c>
      <c r="L280" s="10">
        <v>31</v>
      </c>
      <c r="M280" s="10">
        <v>31</v>
      </c>
      <c r="N280" s="10">
        <v>40</v>
      </c>
      <c r="O280" s="10">
        <v>48</v>
      </c>
      <c r="P280" s="10">
        <v>52</v>
      </c>
      <c r="Q280" s="26">
        <f t="shared" si="12"/>
        <v>485</v>
      </c>
      <c r="R280" s="25">
        <v>13402</v>
      </c>
      <c r="S280" s="10">
        <v>11910</v>
      </c>
      <c r="T280" s="10">
        <v>13739</v>
      </c>
      <c r="U280" s="10">
        <v>11825</v>
      </c>
      <c r="V280" s="10">
        <v>7553</v>
      </c>
      <c r="W280" s="10">
        <v>6578</v>
      </c>
      <c r="X280" s="10">
        <v>7910</v>
      </c>
      <c r="Y280" s="10">
        <v>8511</v>
      </c>
      <c r="Z280" s="10">
        <v>8869</v>
      </c>
      <c r="AA280" s="10">
        <v>11814</v>
      </c>
      <c r="AB280" s="10">
        <v>13603</v>
      </c>
      <c r="AC280" s="10">
        <v>14608</v>
      </c>
      <c r="AD280" s="26">
        <f t="shared" si="13"/>
        <v>130322</v>
      </c>
      <c r="AE280" s="25">
        <v>195114</v>
      </c>
      <c r="AF280" s="10">
        <v>274839</v>
      </c>
      <c r="AG280" s="10">
        <v>325244</v>
      </c>
      <c r="AH280" s="10">
        <v>256492</v>
      </c>
      <c r="AI280" s="10">
        <v>206807</v>
      </c>
      <c r="AJ280" s="10">
        <v>184291</v>
      </c>
      <c r="AK280" s="10">
        <v>209799</v>
      </c>
      <c r="AL280" s="10">
        <v>225933</v>
      </c>
      <c r="AM280" s="10">
        <v>198606</v>
      </c>
      <c r="AN280" s="10">
        <v>225852</v>
      </c>
      <c r="AO280" s="10">
        <v>379366</v>
      </c>
      <c r="AP280" s="10">
        <v>247338</v>
      </c>
      <c r="AQ280" s="26">
        <f t="shared" si="14"/>
        <v>2929681</v>
      </c>
    </row>
    <row r="281" spans="1:43" ht="17.25" customHeight="1" x14ac:dyDescent="0.45">
      <c r="A281" s="2" t="s">
        <v>106</v>
      </c>
      <c r="B281" s="2" t="s">
        <v>107</v>
      </c>
      <c r="C281" s="2" t="s">
        <v>12</v>
      </c>
      <c r="D281" s="2" t="s">
        <v>66</v>
      </c>
      <c r="E281" s="23">
        <v>31</v>
      </c>
      <c r="F281" s="1">
        <v>26</v>
      </c>
      <c r="G281" s="1">
        <v>28</v>
      </c>
      <c r="H281" s="1">
        <v>28</v>
      </c>
      <c r="I281" s="1">
        <v>31</v>
      </c>
      <c r="J281" s="1">
        <v>29</v>
      </c>
      <c r="K281" s="1">
        <v>31</v>
      </c>
      <c r="L281" s="1">
        <v>31</v>
      </c>
      <c r="M281" s="1">
        <v>30</v>
      </c>
      <c r="N281" s="1">
        <v>31</v>
      </c>
      <c r="O281" s="1">
        <v>30</v>
      </c>
      <c r="P281" s="1">
        <v>31</v>
      </c>
      <c r="Q281" s="24">
        <f t="shared" si="12"/>
        <v>357</v>
      </c>
      <c r="R281" s="23">
        <v>9925</v>
      </c>
      <c r="S281" s="1">
        <v>7925</v>
      </c>
      <c r="T281" s="1">
        <v>8769</v>
      </c>
      <c r="U281" s="1">
        <v>8962</v>
      </c>
      <c r="V281" s="1">
        <v>8925</v>
      </c>
      <c r="W281" s="1">
        <v>8595</v>
      </c>
      <c r="X281" s="1">
        <v>10588</v>
      </c>
      <c r="Y281" s="1">
        <v>10121</v>
      </c>
      <c r="Z281" s="1">
        <v>8826</v>
      </c>
      <c r="AA281" s="1">
        <v>10917</v>
      </c>
      <c r="AB281" s="1">
        <v>10262</v>
      </c>
      <c r="AC281" s="1">
        <v>10789</v>
      </c>
      <c r="AD281" s="24">
        <f t="shared" si="13"/>
        <v>114604</v>
      </c>
      <c r="AE281" s="23">
        <v>375554</v>
      </c>
      <c r="AF281" s="1">
        <v>322960</v>
      </c>
      <c r="AG281" s="1">
        <v>496852</v>
      </c>
      <c r="AH281" s="1">
        <v>516376</v>
      </c>
      <c r="AI281" s="1">
        <v>453468</v>
      </c>
      <c r="AJ281" s="1">
        <v>431574</v>
      </c>
      <c r="AK281" s="1">
        <v>444589</v>
      </c>
      <c r="AL281" s="1">
        <v>403398</v>
      </c>
      <c r="AM281" s="1">
        <v>352126</v>
      </c>
      <c r="AN281" s="1">
        <v>412254</v>
      </c>
      <c r="AO281" s="1">
        <v>388948</v>
      </c>
      <c r="AP281" s="1">
        <v>375137</v>
      </c>
      <c r="AQ281" s="24">
        <f t="shared" si="14"/>
        <v>4973236</v>
      </c>
    </row>
    <row r="282" spans="1:43" ht="17.25" customHeight="1" x14ac:dyDescent="0.45">
      <c r="A282" s="12" t="s">
        <v>106</v>
      </c>
      <c r="B282" s="12" t="s">
        <v>107</v>
      </c>
      <c r="C282" s="12" t="s">
        <v>48</v>
      </c>
      <c r="D282" s="12" t="s">
        <v>66</v>
      </c>
      <c r="E282" s="25">
        <v>0</v>
      </c>
      <c r="F282" s="10">
        <v>0</v>
      </c>
      <c r="G282" s="10">
        <v>0</v>
      </c>
      <c r="H282" s="10">
        <v>0</v>
      </c>
      <c r="I282" s="10">
        <v>0</v>
      </c>
      <c r="J282" s="10">
        <v>0</v>
      </c>
      <c r="K282" s="10">
        <v>0</v>
      </c>
      <c r="L282" s="10">
        <v>0</v>
      </c>
      <c r="M282" s="10">
        <v>0</v>
      </c>
      <c r="N282" s="10">
        <v>0</v>
      </c>
      <c r="O282" s="10">
        <v>8</v>
      </c>
      <c r="P282" s="10">
        <v>9</v>
      </c>
      <c r="Q282" s="26">
        <f t="shared" si="12"/>
        <v>17</v>
      </c>
      <c r="R282" s="25">
        <v>0</v>
      </c>
      <c r="S282" s="10">
        <v>0</v>
      </c>
      <c r="T282" s="10">
        <v>0</v>
      </c>
      <c r="U282" s="10">
        <v>0</v>
      </c>
      <c r="V282" s="10">
        <v>0</v>
      </c>
      <c r="W282" s="10">
        <v>0</v>
      </c>
      <c r="X282" s="10">
        <v>0</v>
      </c>
      <c r="Y282" s="10">
        <v>0</v>
      </c>
      <c r="Z282" s="10">
        <v>0</v>
      </c>
      <c r="AA282" s="10">
        <v>0</v>
      </c>
      <c r="AB282" s="10">
        <v>1189</v>
      </c>
      <c r="AC282" s="10">
        <v>1625</v>
      </c>
      <c r="AD282" s="26">
        <f t="shared" si="13"/>
        <v>2814</v>
      </c>
      <c r="AE282" s="25">
        <v>0</v>
      </c>
      <c r="AF282" s="10">
        <v>0</v>
      </c>
      <c r="AG282" s="10">
        <v>0</v>
      </c>
      <c r="AH282" s="10">
        <v>0</v>
      </c>
      <c r="AI282" s="10">
        <v>0</v>
      </c>
      <c r="AJ282" s="10">
        <v>0</v>
      </c>
      <c r="AK282" s="10">
        <v>0</v>
      </c>
      <c r="AL282" s="10">
        <v>0</v>
      </c>
      <c r="AM282" s="10">
        <v>0</v>
      </c>
      <c r="AN282" s="10">
        <v>0</v>
      </c>
      <c r="AO282" s="10">
        <v>0</v>
      </c>
      <c r="AP282" s="10">
        <v>0</v>
      </c>
      <c r="AQ282" s="26">
        <f t="shared" si="14"/>
        <v>0</v>
      </c>
    </row>
    <row r="283" spans="1:43" ht="17.25" customHeight="1" x14ac:dyDescent="0.45">
      <c r="A283" s="2" t="s">
        <v>106</v>
      </c>
      <c r="B283" s="2" t="s">
        <v>107</v>
      </c>
      <c r="C283" s="2" t="s">
        <v>14</v>
      </c>
      <c r="D283" s="2" t="s">
        <v>66</v>
      </c>
      <c r="E283" s="23">
        <v>36</v>
      </c>
      <c r="F283" s="1">
        <v>32</v>
      </c>
      <c r="G283" s="1">
        <v>31</v>
      </c>
      <c r="H283" s="1">
        <v>36</v>
      </c>
      <c r="I283" s="1">
        <v>33</v>
      </c>
      <c r="J283" s="1">
        <v>32</v>
      </c>
      <c r="K283" s="1">
        <v>34</v>
      </c>
      <c r="L283" s="1">
        <v>37</v>
      </c>
      <c r="M283" s="1">
        <v>37</v>
      </c>
      <c r="N283" s="1">
        <v>35</v>
      </c>
      <c r="O283" s="1">
        <v>29</v>
      </c>
      <c r="P283" s="1">
        <v>26</v>
      </c>
      <c r="Q283" s="24">
        <f t="shared" si="12"/>
        <v>398</v>
      </c>
      <c r="R283" s="23">
        <v>0</v>
      </c>
      <c r="S283" s="1">
        <v>0</v>
      </c>
      <c r="T283" s="1">
        <v>0</v>
      </c>
      <c r="U283" s="1">
        <v>0</v>
      </c>
      <c r="V283" s="1">
        <v>0</v>
      </c>
      <c r="W283" s="1">
        <v>0</v>
      </c>
      <c r="X283" s="1">
        <v>0</v>
      </c>
      <c r="Y283" s="1">
        <v>0</v>
      </c>
      <c r="Z283" s="1">
        <v>0</v>
      </c>
      <c r="AA283" s="1">
        <v>0</v>
      </c>
      <c r="AB283" s="1">
        <v>0</v>
      </c>
      <c r="AC283" s="1">
        <v>0</v>
      </c>
      <c r="AD283" s="24">
        <f t="shared" si="13"/>
        <v>0</v>
      </c>
      <c r="AE283" s="23">
        <v>2016908.15</v>
      </c>
      <c r="AF283" s="1">
        <v>1661056.47</v>
      </c>
      <c r="AG283" s="1">
        <v>1554130.47</v>
      </c>
      <c r="AH283" s="1">
        <v>2177116</v>
      </c>
      <c r="AI283" s="1">
        <v>1635008.4100000001</v>
      </c>
      <c r="AJ283" s="1">
        <v>1655940.69</v>
      </c>
      <c r="AK283" s="1">
        <v>1796066.6500000001</v>
      </c>
      <c r="AL283" s="1">
        <v>1835430.29</v>
      </c>
      <c r="AM283" s="1">
        <v>1957594.2699999998</v>
      </c>
      <c r="AN283" s="1">
        <v>1922946.1300000001</v>
      </c>
      <c r="AO283" s="1">
        <v>1714585.2999999998</v>
      </c>
      <c r="AP283" s="1">
        <v>1344830.57</v>
      </c>
      <c r="AQ283" s="24">
        <f t="shared" si="14"/>
        <v>21271613.399999999</v>
      </c>
    </row>
    <row r="284" spans="1:43" ht="17.25" customHeight="1" x14ac:dyDescent="0.45">
      <c r="A284" s="12" t="s">
        <v>106</v>
      </c>
      <c r="B284" s="12" t="s">
        <v>107</v>
      </c>
      <c r="C284" s="12" t="s">
        <v>247</v>
      </c>
      <c r="D284" s="12" t="s">
        <v>66</v>
      </c>
      <c r="E284" s="25">
        <v>0</v>
      </c>
      <c r="F284" s="10">
        <v>0</v>
      </c>
      <c r="G284" s="10">
        <v>0</v>
      </c>
      <c r="H284" s="10">
        <v>0</v>
      </c>
      <c r="I284" s="10">
        <v>0</v>
      </c>
      <c r="J284" s="10">
        <v>0</v>
      </c>
      <c r="K284" s="10">
        <v>0</v>
      </c>
      <c r="L284" s="10">
        <v>0</v>
      </c>
      <c r="M284" s="10">
        <v>0</v>
      </c>
      <c r="N284" s="10">
        <v>0</v>
      </c>
      <c r="O284" s="10">
        <v>0</v>
      </c>
      <c r="P284" s="10">
        <v>6</v>
      </c>
      <c r="Q284" s="26">
        <f t="shared" si="12"/>
        <v>6</v>
      </c>
      <c r="R284" s="25">
        <v>0</v>
      </c>
      <c r="S284" s="10">
        <v>0</v>
      </c>
      <c r="T284" s="10">
        <v>0</v>
      </c>
      <c r="U284" s="10">
        <v>0</v>
      </c>
      <c r="V284" s="10">
        <v>0</v>
      </c>
      <c r="W284" s="10">
        <v>0</v>
      </c>
      <c r="X284" s="10">
        <v>0</v>
      </c>
      <c r="Y284" s="10">
        <v>0</v>
      </c>
      <c r="Z284" s="10">
        <v>0</v>
      </c>
      <c r="AA284" s="10">
        <v>0</v>
      </c>
      <c r="AB284" s="10">
        <v>0</v>
      </c>
      <c r="AC284" s="10">
        <v>1518</v>
      </c>
      <c r="AD284" s="26">
        <f t="shared" si="13"/>
        <v>1518</v>
      </c>
      <c r="AE284" s="25">
        <v>0</v>
      </c>
      <c r="AF284" s="10">
        <v>0</v>
      </c>
      <c r="AG284" s="10">
        <v>0</v>
      </c>
      <c r="AH284" s="10">
        <v>0</v>
      </c>
      <c r="AI284" s="10">
        <v>0</v>
      </c>
      <c r="AJ284" s="10">
        <v>0</v>
      </c>
      <c r="AK284" s="10">
        <v>0</v>
      </c>
      <c r="AL284" s="10">
        <v>0</v>
      </c>
      <c r="AM284" s="10">
        <v>0</v>
      </c>
      <c r="AN284" s="10">
        <v>0</v>
      </c>
      <c r="AO284" s="10">
        <v>0</v>
      </c>
      <c r="AP284" s="10">
        <v>0</v>
      </c>
      <c r="AQ284" s="26">
        <f t="shared" si="14"/>
        <v>0</v>
      </c>
    </row>
    <row r="285" spans="1:43" ht="17.25" customHeight="1" x14ac:dyDescent="0.45">
      <c r="A285" s="2" t="s">
        <v>255</v>
      </c>
      <c r="B285" s="2" t="s">
        <v>65</v>
      </c>
      <c r="C285" s="2" t="s">
        <v>10</v>
      </c>
      <c r="D285" s="2" t="s">
        <v>66</v>
      </c>
      <c r="E285" s="23">
        <v>0</v>
      </c>
      <c r="F285" s="1">
        <v>3</v>
      </c>
      <c r="G285" s="1">
        <v>4</v>
      </c>
      <c r="H285" s="1">
        <v>5</v>
      </c>
      <c r="I285" s="1">
        <v>1</v>
      </c>
      <c r="J285" s="1">
        <v>0</v>
      </c>
      <c r="K285" s="1">
        <v>0</v>
      </c>
      <c r="L285" s="1">
        <v>0</v>
      </c>
      <c r="M285" s="1">
        <v>0</v>
      </c>
      <c r="N285" s="1">
        <v>0</v>
      </c>
      <c r="O285" s="1">
        <v>0</v>
      </c>
      <c r="P285" s="1">
        <v>0</v>
      </c>
      <c r="Q285" s="24">
        <f t="shared" si="12"/>
        <v>13</v>
      </c>
      <c r="R285" s="23">
        <v>0</v>
      </c>
      <c r="S285" s="1">
        <v>515</v>
      </c>
      <c r="T285" s="1">
        <v>717</v>
      </c>
      <c r="U285" s="1">
        <v>897</v>
      </c>
      <c r="V285" s="1">
        <v>178</v>
      </c>
      <c r="W285" s="1">
        <v>0</v>
      </c>
      <c r="X285" s="1">
        <v>0</v>
      </c>
      <c r="Y285" s="1">
        <v>0</v>
      </c>
      <c r="Z285" s="1">
        <v>0</v>
      </c>
      <c r="AA285" s="1">
        <v>0</v>
      </c>
      <c r="AB285" s="1">
        <v>0</v>
      </c>
      <c r="AC285" s="1">
        <v>0</v>
      </c>
      <c r="AD285" s="24">
        <f t="shared" si="13"/>
        <v>2307</v>
      </c>
      <c r="AE285" s="23">
        <v>0</v>
      </c>
      <c r="AF285" s="1">
        <v>0</v>
      </c>
      <c r="AG285" s="1">
        <v>0</v>
      </c>
      <c r="AH285" s="1">
        <v>0</v>
      </c>
      <c r="AI285" s="1">
        <v>0</v>
      </c>
      <c r="AJ285" s="1">
        <v>0</v>
      </c>
      <c r="AK285" s="1">
        <v>0</v>
      </c>
      <c r="AL285" s="1">
        <v>0</v>
      </c>
      <c r="AM285" s="1">
        <v>0</v>
      </c>
      <c r="AN285" s="1">
        <v>0</v>
      </c>
      <c r="AO285" s="1">
        <v>0</v>
      </c>
      <c r="AP285" s="1">
        <v>0</v>
      </c>
      <c r="AQ285" s="24">
        <f t="shared" si="14"/>
        <v>0</v>
      </c>
    </row>
    <row r="286" spans="1:43" ht="17.25" customHeight="1" x14ac:dyDescent="0.45">
      <c r="A286" s="12" t="s">
        <v>174</v>
      </c>
      <c r="B286" s="12" t="s">
        <v>68</v>
      </c>
      <c r="C286" s="12" t="s">
        <v>22</v>
      </c>
      <c r="D286" s="12" t="s">
        <v>66</v>
      </c>
      <c r="E286" s="25">
        <v>14</v>
      </c>
      <c r="F286" s="10">
        <v>12</v>
      </c>
      <c r="G286" s="10">
        <v>13</v>
      </c>
      <c r="H286" s="10">
        <v>13</v>
      </c>
      <c r="I286" s="10">
        <v>13</v>
      </c>
      <c r="J286" s="10">
        <v>13</v>
      </c>
      <c r="K286" s="10">
        <v>14</v>
      </c>
      <c r="L286" s="10">
        <v>13</v>
      </c>
      <c r="M286" s="10">
        <v>9</v>
      </c>
      <c r="N286" s="10">
        <v>13</v>
      </c>
      <c r="O286" s="10">
        <v>13</v>
      </c>
      <c r="P286" s="10">
        <v>13</v>
      </c>
      <c r="Q286" s="26">
        <f t="shared" si="12"/>
        <v>153</v>
      </c>
      <c r="R286" s="25">
        <v>1933</v>
      </c>
      <c r="S286" s="10">
        <v>1548</v>
      </c>
      <c r="T286" s="10">
        <v>1844</v>
      </c>
      <c r="U286" s="10">
        <v>1257</v>
      </c>
      <c r="V286" s="10">
        <v>1577</v>
      </c>
      <c r="W286" s="10">
        <v>2015</v>
      </c>
      <c r="X286" s="10">
        <v>2040</v>
      </c>
      <c r="Y286" s="10">
        <v>1241</v>
      </c>
      <c r="Z286" s="10">
        <v>829</v>
      </c>
      <c r="AA286" s="10">
        <v>1553</v>
      </c>
      <c r="AB286" s="10">
        <v>2023</v>
      </c>
      <c r="AC286" s="10">
        <v>2164</v>
      </c>
      <c r="AD286" s="26">
        <f t="shared" si="13"/>
        <v>20024</v>
      </c>
      <c r="AE286" s="25">
        <v>0</v>
      </c>
      <c r="AF286" s="10">
        <v>0</v>
      </c>
      <c r="AG286" s="10">
        <v>0</v>
      </c>
      <c r="AH286" s="10">
        <v>0</v>
      </c>
      <c r="AI286" s="10">
        <v>0</v>
      </c>
      <c r="AJ286" s="10">
        <v>0</v>
      </c>
      <c r="AK286" s="10">
        <v>0</v>
      </c>
      <c r="AL286" s="10">
        <v>0</v>
      </c>
      <c r="AM286" s="10">
        <v>0</v>
      </c>
      <c r="AN286" s="10">
        <v>0</v>
      </c>
      <c r="AO286" s="10">
        <v>0</v>
      </c>
      <c r="AP286" s="10">
        <v>0</v>
      </c>
      <c r="AQ286" s="26">
        <f t="shared" si="14"/>
        <v>0</v>
      </c>
    </row>
    <row r="287" spans="1:43" ht="17.25" customHeight="1" x14ac:dyDescent="0.45">
      <c r="A287" s="2" t="s">
        <v>174</v>
      </c>
      <c r="B287" s="2" t="s">
        <v>68</v>
      </c>
      <c r="C287" s="2" t="s">
        <v>11</v>
      </c>
      <c r="D287" s="2" t="s">
        <v>66</v>
      </c>
      <c r="E287" s="23">
        <v>100</v>
      </c>
      <c r="F287" s="1">
        <v>87</v>
      </c>
      <c r="G287" s="1">
        <v>94</v>
      </c>
      <c r="H287" s="1">
        <v>67</v>
      </c>
      <c r="I287" s="1">
        <v>69</v>
      </c>
      <c r="J287" s="1">
        <v>89</v>
      </c>
      <c r="K287" s="1">
        <v>92</v>
      </c>
      <c r="L287" s="1">
        <v>86</v>
      </c>
      <c r="M287" s="1">
        <v>61</v>
      </c>
      <c r="N287" s="1">
        <v>66</v>
      </c>
      <c r="O287" s="1">
        <v>89</v>
      </c>
      <c r="P287" s="1">
        <v>157</v>
      </c>
      <c r="Q287" s="24">
        <f t="shared" si="12"/>
        <v>1057</v>
      </c>
      <c r="R287" s="23">
        <v>14184</v>
      </c>
      <c r="S287" s="1">
        <v>11106</v>
      </c>
      <c r="T287" s="1">
        <v>12445</v>
      </c>
      <c r="U287" s="1">
        <v>10093</v>
      </c>
      <c r="V287" s="1">
        <v>11957</v>
      </c>
      <c r="W287" s="1">
        <v>15134</v>
      </c>
      <c r="X287" s="1">
        <v>15356</v>
      </c>
      <c r="Y287" s="1">
        <v>10471</v>
      </c>
      <c r="Z287" s="1">
        <v>9925</v>
      </c>
      <c r="AA287" s="1">
        <v>11689</v>
      </c>
      <c r="AB287" s="1">
        <v>14652</v>
      </c>
      <c r="AC287" s="1">
        <v>26881</v>
      </c>
      <c r="AD287" s="24">
        <f t="shared" si="13"/>
        <v>163893</v>
      </c>
      <c r="AE287" s="23">
        <v>0</v>
      </c>
      <c r="AF287" s="1">
        <v>0</v>
      </c>
      <c r="AG287" s="1">
        <v>0</v>
      </c>
      <c r="AH287" s="1">
        <v>0</v>
      </c>
      <c r="AI287" s="1">
        <v>0</v>
      </c>
      <c r="AJ287" s="1">
        <v>0</v>
      </c>
      <c r="AK287" s="1">
        <v>0</v>
      </c>
      <c r="AL287" s="1">
        <v>0</v>
      </c>
      <c r="AM287" s="1">
        <v>0</v>
      </c>
      <c r="AN287" s="1">
        <v>0</v>
      </c>
      <c r="AO287" s="1">
        <v>0</v>
      </c>
      <c r="AP287" s="1">
        <v>100</v>
      </c>
      <c r="AQ287" s="24">
        <f t="shared" si="14"/>
        <v>100</v>
      </c>
    </row>
    <row r="288" spans="1:43" ht="17.25" customHeight="1" x14ac:dyDescent="0.45">
      <c r="A288" s="12" t="s">
        <v>174</v>
      </c>
      <c r="B288" s="12" t="s">
        <v>68</v>
      </c>
      <c r="C288" s="12" t="s">
        <v>25</v>
      </c>
      <c r="D288" s="12" t="s">
        <v>66</v>
      </c>
      <c r="E288" s="25">
        <v>14</v>
      </c>
      <c r="F288" s="10">
        <v>12</v>
      </c>
      <c r="G288" s="10">
        <v>13</v>
      </c>
      <c r="H288" s="10">
        <v>16</v>
      </c>
      <c r="I288" s="10">
        <v>18</v>
      </c>
      <c r="J288" s="10">
        <v>17</v>
      </c>
      <c r="K288" s="10">
        <v>18</v>
      </c>
      <c r="L288" s="10">
        <v>17</v>
      </c>
      <c r="M288" s="10">
        <v>18</v>
      </c>
      <c r="N288" s="10">
        <v>17</v>
      </c>
      <c r="O288" s="10">
        <v>17</v>
      </c>
      <c r="P288" s="10">
        <v>18</v>
      </c>
      <c r="Q288" s="26">
        <f t="shared" si="12"/>
        <v>195</v>
      </c>
      <c r="R288" s="25">
        <v>2294</v>
      </c>
      <c r="S288" s="10">
        <v>1979</v>
      </c>
      <c r="T288" s="10">
        <v>1975</v>
      </c>
      <c r="U288" s="10">
        <v>1894</v>
      </c>
      <c r="V288" s="10">
        <v>2543</v>
      </c>
      <c r="W288" s="10">
        <v>2734</v>
      </c>
      <c r="X288" s="10">
        <v>2629</v>
      </c>
      <c r="Y288" s="10">
        <v>2176</v>
      </c>
      <c r="Z288" s="10">
        <v>2295</v>
      </c>
      <c r="AA288" s="10">
        <v>2616</v>
      </c>
      <c r="AB288" s="10">
        <v>2891</v>
      </c>
      <c r="AC288" s="10">
        <v>3095</v>
      </c>
      <c r="AD288" s="26">
        <f t="shared" si="13"/>
        <v>29121</v>
      </c>
      <c r="AE288" s="25">
        <v>0</v>
      </c>
      <c r="AF288" s="10">
        <v>0</v>
      </c>
      <c r="AG288" s="10">
        <v>0</v>
      </c>
      <c r="AH288" s="10">
        <v>0</v>
      </c>
      <c r="AI288" s="10">
        <v>0</v>
      </c>
      <c r="AJ288" s="10">
        <v>0</v>
      </c>
      <c r="AK288" s="10">
        <v>0</v>
      </c>
      <c r="AL288" s="10">
        <v>0</v>
      </c>
      <c r="AM288" s="10">
        <v>0</v>
      </c>
      <c r="AN288" s="10">
        <v>0</v>
      </c>
      <c r="AO288" s="10">
        <v>0</v>
      </c>
      <c r="AP288" s="10">
        <v>0</v>
      </c>
      <c r="AQ288" s="26">
        <f t="shared" si="14"/>
        <v>0</v>
      </c>
    </row>
    <row r="289" spans="1:43" ht="17.25" customHeight="1" x14ac:dyDescent="0.45">
      <c r="A289" s="2" t="s">
        <v>288</v>
      </c>
      <c r="B289" s="2" t="s">
        <v>85</v>
      </c>
      <c r="C289" s="2" t="s">
        <v>10</v>
      </c>
      <c r="D289" s="2" t="s">
        <v>66</v>
      </c>
      <c r="E289" s="23">
        <v>0</v>
      </c>
      <c r="F289" s="1">
        <v>0</v>
      </c>
      <c r="G289" s="1">
        <v>0</v>
      </c>
      <c r="H289" s="1">
        <v>0</v>
      </c>
      <c r="I289" s="1">
        <v>9</v>
      </c>
      <c r="J289" s="1">
        <v>13</v>
      </c>
      <c r="K289" s="1">
        <v>10</v>
      </c>
      <c r="L289" s="1">
        <v>9</v>
      </c>
      <c r="M289" s="1">
        <v>7</v>
      </c>
      <c r="N289" s="1">
        <v>7</v>
      </c>
      <c r="O289" s="1">
        <v>0</v>
      </c>
      <c r="P289" s="1">
        <v>0</v>
      </c>
      <c r="Q289" s="24">
        <f t="shared" si="12"/>
        <v>55</v>
      </c>
      <c r="R289" s="23">
        <v>0</v>
      </c>
      <c r="S289" s="1">
        <v>0</v>
      </c>
      <c r="T289" s="1">
        <v>0</v>
      </c>
      <c r="U289" s="1">
        <v>0</v>
      </c>
      <c r="V289" s="1">
        <v>2537</v>
      </c>
      <c r="W289" s="1">
        <v>3704</v>
      </c>
      <c r="X289" s="1">
        <v>2838</v>
      </c>
      <c r="Y289" s="1">
        <v>2633</v>
      </c>
      <c r="Z289" s="1">
        <v>2007</v>
      </c>
      <c r="AA289" s="1">
        <v>1911</v>
      </c>
      <c r="AB289" s="1">
        <v>0</v>
      </c>
      <c r="AC289" s="1">
        <v>0</v>
      </c>
      <c r="AD289" s="24">
        <f t="shared" si="13"/>
        <v>15630</v>
      </c>
      <c r="AE289" s="23">
        <v>0</v>
      </c>
      <c r="AF289" s="1">
        <v>0</v>
      </c>
      <c r="AG289" s="1">
        <v>0</v>
      </c>
      <c r="AH289" s="1">
        <v>0</v>
      </c>
      <c r="AI289" s="1">
        <v>0</v>
      </c>
      <c r="AJ289" s="1">
        <v>0</v>
      </c>
      <c r="AK289" s="1">
        <v>0</v>
      </c>
      <c r="AL289" s="1">
        <v>0</v>
      </c>
      <c r="AM289" s="1">
        <v>0</v>
      </c>
      <c r="AN289" s="1">
        <v>0</v>
      </c>
      <c r="AO289" s="1">
        <v>0</v>
      </c>
      <c r="AP289" s="1">
        <v>0</v>
      </c>
      <c r="AQ289" s="24">
        <f t="shared" si="14"/>
        <v>0</v>
      </c>
    </row>
    <row r="290" spans="1:43" ht="17.25" customHeight="1" x14ac:dyDescent="0.45">
      <c r="A290" s="12" t="s">
        <v>11</v>
      </c>
      <c r="B290" s="12" t="s">
        <v>66</v>
      </c>
      <c r="C290" s="12" t="s">
        <v>77</v>
      </c>
      <c r="D290" s="12" t="s">
        <v>68</v>
      </c>
      <c r="E290" s="25">
        <v>51</v>
      </c>
      <c r="F290" s="10">
        <v>58</v>
      </c>
      <c r="G290" s="10">
        <v>62</v>
      </c>
      <c r="H290" s="10">
        <v>60</v>
      </c>
      <c r="I290" s="10">
        <v>62</v>
      </c>
      <c r="J290" s="10">
        <v>60</v>
      </c>
      <c r="K290" s="10">
        <v>61</v>
      </c>
      <c r="L290" s="10">
        <v>53</v>
      </c>
      <c r="M290" s="10">
        <v>32</v>
      </c>
      <c r="N290" s="10">
        <v>36</v>
      </c>
      <c r="O290" s="10">
        <v>55</v>
      </c>
      <c r="P290" s="10">
        <v>57</v>
      </c>
      <c r="Q290" s="26">
        <f t="shared" si="12"/>
        <v>647</v>
      </c>
      <c r="R290" s="25">
        <v>6657</v>
      </c>
      <c r="S290" s="10">
        <v>5646</v>
      </c>
      <c r="T290" s="10">
        <v>7204</v>
      </c>
      <c r="U290" s="10">
        <v>6898</v>
      </c>
      <c r="V290" s="10">
        <v>6790</v>
      </c>
      <c r="W290" s="10">
        <v>6191</v>
      </c>
      <c r="X290" s="10">
        <v>7067</v>
      </c>
      <c r="Y290" s="10">
        <v>6032</v>
      </c>
      <c r="Z290" s="10">
        <v>4358</v>
      </c>
      <c r="AA290" s="10">
        <v>4692</v>
      </c>
      <c r="AB290" s="10">
        <v>5523</v>
      </c>
      <c r="AC290" s="10">
        <v>5741</v>
      </c>
      <c r="AD290" s="26">
        <f t="shared" si="13"/>
        <v>72799</v>
      </c>
      <c r="AE290" s="25">
        <v>9701</v>
      </c>
      <c r="AF290" s="10">
        <v>16745</v>
      </c>
      <c r="AG290" s="10">
        <v>10925</v>
      </c>
      <c r="AH290" s="10">
        <v>5203</v>
      </c>
      <c r="AI290" s="10">
        <v>13683</v>
      </c>
      <c r="AJ290" s="10">
        <v>6139</v>
      </c>
      <c r="AK290" s="10">
        <v>4967</v>
      </c>
      <c r="AL290" s="10">
        <v>11152</v>
      </c>
      <c r="AM290" s="10">
        <v>5100</v>
      </c>
      <c r="AN290" s="10">
        <v>4721</v>
      </c>
      <c r="AO290" s="10">
        <v>9990</v>
      </c>
      <c r="AP290" s="10">
        <v>6171</v>
      </c>
      <c r="AQ290" s="26">
        <f t="shared" si="14"/>
        <v>104497</v>
      </c>
    </row>
    <row r="291" spans="1:43" ht="17.25" customHeight="1" x14ac:dyDescent="0.45">
      <c r="A291" s="2" t="s">
        <v>11</v>
      </c>
      <c r="B291" s="2" t="s">
        <v>66</v>
      </c>
      <c r="C291" s="2" t="s">
        <v>86</v>
      </c>
      <c r="D291" s="2" t="s">
        <v>87</v>
      </c>
      <c r="E291" s="23">
        <v>10</v>
      </c>
      <c r="F291" s="1">
        <v>8</v>
      </c>
      <c r="G291" s="1">
        <v>11</v>
      </c>
      <c r="H291" s="1">
        <v>10</v>
      </c>
      <c r="I291" s="1">
        <v>9</v>
      </c>
      <c r="J291" s="1">
        <v>9</v>
      </c>
      <c r="K291" s="1">
        <v>15</v>
      </c>
      <c r="L291" s="1">
        <v>12</v>
      </c>
      <c r="M291" s="1">
        <v>16</v>
      </c>
      <c r="N291" s="1">
        <v>10</v>
      </c>
      <c r="O291" s="1">
        <v>11</v>
      </c>
      <c r="P291" s="1">
        <v>8</v>
      </c>
      <c r="Q291" s="24">
        <f t="shared" si="12"/>
        <v>129</v>
      </c>
      <c r="R291" s="23">
        <v>1284</v>
      </c>
      <c r="S291" s="1">
        <v>1065</v>
      </c>
      <c r="T291" s="1">
        <v>1373</v>
      </c>
      <c r="U291" s="1">
        <v>1102</v>
      </c>
      <c r="V291" s="1">
        <v>1251</v>
      </c>
      <c r="W291" s="1">
        <v>1417</v>
      </c>
      <c r="X291" s="1">
        <v>1534</v>
      </c>
      <c r="Y291" s="1">
        <v>1330</v>
      </c>
      <c r="Z291" s="1">
        <v>1100</v>
      </c>
      <c r="AA291" s="1">
        <v>1298</v>
      </c>
      <c r="AB291" s="1">
        <v>1405</v>
      </c>
      <c r="AC291" s="1">
        <v>1334</v>
      </c>
      <c r="AD291" s="24">
        <f t="shared" si="13"/>
        <v>15493</v>
      </c>
      <c r="AE291" s="23">
        <v>2008.4</v>
      </c>
      <c r="AF291" s="1">
        <v>0</v>
      </c>
      <c r="AG291" s="1">
        <v>16414.8</v>
      </c>
      <c r="AH291" s="1">
        <v>12618.8</v>
      </c>
      <c r="AI291" s="1">
        <v>140</v>
      </c>
      <c r="AJ291" s="1">
        <v>0</v>
      </c>
      <c r="AK291" s="1">
        <v>22564</v>
      </c>
      <c r="AL291" s="1">
        <v>13828</v>
      </c>
      <c r="AM291" s="1">
        <v>31930</v>
      </c>
      <c r="AN291" s="1">
        <v>946</v>
      </c>
      <c r="AO291" s="1">
        <v>1849.5</v>
      </c>
      <c r="AP291" s="1">
        <v>0</v>
      </c>
      <c r="AQ291" s="24">
        <f t="shared" si="14"/>
        <v>102299.5</v>
      </c>
    </row>
    <row r="292" spans="1:43" ht="17.25" customHeight="1" x14ac:dyDescent="0.45">
      <c r="A292" s="12" t="s">
        <v>11</v>
      </c>
      <c r="B292" s="12" t="s">
        <v>66</v>
      </c>
      <c r="C292" s="12" t="s">
        <v>97</v>
      </c>
      <c r="D292" s="12" t="s">
        <v>68</v>
      </c>
      <c r="E292" s="25">
        <v>8</v>
      </c>
      <c r="F292" s="10">
        <v>9</v>
      </c>
      <c r="G292" s="10">
        <v>10</v>
      </c>
      <c r="H292" s="10">
        <v>11</v>
      </c>
      <c r="I292" s="10">
        <v>13</v>
      </c>
      <c r="J292" s="10">
        <v>13</v>
      </c>
      <c r="K292" s="10">
        <v>13</v>
      </c>
      <c r="L292" s="10">
        <v>14</v>
      </c>
      <c r="M292" s="10">
        <v>12</v>
      </c>
      <c r="N292" s="10">
        <v>14</v>
      </c>
      <c r="O292" s="10">
        <v>13</v>
      </c>
      <c r="P292" s="10">
        <v>13</v>
      </c>
      <c r="Q292" s="26">
        <f t="shared" si="12"/>
        <v>143</v>
      </c>
      <c r="R292" s="25">
        <v>1332</v>
      </c>
      <c r="S292" s="10">
        <v>1412</v>
      </c>
      <c r="T292" s="10">
        <v>1529</v>
      </c>
      <c r="U292" s="10">
        <v>1510</v>
      </c>
      <c r="V292" s="10">
        <v>1630</v>
      </c>
      <c r="W292" s="10">
        <v>1950</v>
      </c>
      <c r="X292" s="10">
        <v>2240</v>
      </c>
      <c r="Y292" s="10">
        <v>2161</v>
      </c>
      <c r="Z292" s="10">
        <v>1460</v>
      </c>
      <c r="AA292" s="10">
        <v>1826</v>
      </c>
      <c r="AB292" s="10">
        <v>1520</v>
      </c>
      <c r="AC292" s="10">
        <v>1871</v>
      </c>
      <c r="AD292" s="26">
        <f t="shared" si="13"/>
        <v>20441</v>
      </c>
      <c r="AE292" s="25">
        <v>0</v>
      </c>
      <c r="AF292" s="10">
        <v>0</v>
      </c>
      <c r="AG292" s="10">
        <v>0</v>
      </c>
      <c r="AH292" s="10">
        <v>0</v>
      </c>
      <c r="AI292" s="10">
        <v>0</v>
      </c>
      <c r="AJ292" s="10">
        <v>0</v>
      </c>
      <c r="AK292" s="10">
        <v>0</v>
      </c>
      <c r="AL292" s="10">
        <v>0</v>
      </c>
      <c r="AM292" s="10">
        <v>0</v>
      </c>
      <c r="AN292" s="10">
        <v>0</v>
      </c>
      <c r="AO292" s="10">
        <v>0</v>
      </c>
      <c r="AP292" s="10">
        <v>0</v>
      </c>
      <c r="AQ292" s="26">
        <f t="shared" si="14"/>
        <v>0</v>
      </c>
    </row>
    <row r="293" spans="1:43" ht="17.25" customHeight="1" x14ac:dyDescent="0.45">
      <c r="A293" s="2" t="s">
        <v>11</v>
      </c>
      <c r="B293" s="2" t="s">
        <v>66</v>
      </c>
      <c r="C293" s="2" t="s">
        <v>72</v>
      </c>
      <c r="D293" s="2" t="s">
        <v>68</v>
      </c>
      <c r="E293" s="23">
        <v>173</v>
      </c>
      <c r="F293" s="1">
        <v>145</v>
      </c>
      <c r="G293" s="1">
        <v>165</v>
      </c>
      <c r="H293" s="1">
        <v>120</v>
      </c>
      <c r="I293" s="1">
        <v>131</v>
      </c>
      <c r="J293" s="1">
        <v>145</v>
      </c>
      <c r="K293" s="1">
        <v>144</v>
      </c>
      <c r="L293" s="1">
        <v>143</v>
      </c>
      <c r="M293" s="1">
        <v>111</v>
      </c>
      <c r="N293" s="1">
        <v>124</v>
      </c>
      <c r="O293" s="1">
        <v>146</v>
      </c>
      <c r="P293" s="1">
        <v>171</v>
      </c>
      <c r="Q293" s="24">
        <f t="shared" si="12"/>
        <v>1718</v>
      </c>
      <c r="R293" s="23">
        <v>27948</v>
      </c>
      <c r="S293" s="1">
        <v>18963</v>
      </c>
      <c r="T293" s="1">
        <v>23597</v>
      </c>
      <c r="U293" s="1">
        <v>18117</v>
      </c>
      <c r="V293" s="1">
        <v>19712</v>
      </c>
      <c r="W293" s="1">
        <v>20111</v>
      </c>
      <c r="X293" s="1">
        <v>25618</v>
      </c>
      <c r="Y293" s="1">
        <v>25082</v>
      </c>
      <c r="Z293" s="1">
        <v>16630</v>
      </c>
      <c r="AA293" s="1">
        <v>17962</v>
      </c>
      <c r="AB293" s="1">
        <v>18201</v>
      </c>
      <c r="AC293" s="1">
        <v>20405</v>
      </c>
      <c r="AD293" s="24">
        <f t="shared" si="13"/>
        <v>252346</v>
      </c>
      <c r="AE293" s="23">
        <v>1423.3000000000002</v>
      </c>
      <c r="AF293" s="1">
        <v>2361.5</v>
      </c>
      <c r="AG293" s="1">
        <v>12747.35</v>
      </c>
      <c r="AH293" s="1">
        <v>2939.8999999999996</v>
      </c>
      <c r="AI293" s="1">
        <v>6366.2999999999993</v>
      </c>
      <c r="AJ293" s="1">
        <v>3373.5</v>
      </c>
      <c r="AK293" s="1">
        <v>4900</v>
      </c>
      <c r="AL293" s="1">
        <v>1183.2</v>
      </c>
      <c r="AM293" s="1">
        <v>1564.6</v>
      </c>
      <c r="AN293" s="1">
        <v>969.5</v>
      </c>
      <c r="AO293" s="1">
        <v>1311.8</v>
      </c>
      <c r="AP293" s="1">
        <v>729</v>
      </c>
      <c r="AQ293" s="24">
        <f t="shared" si="14"/>
        <v>39869.950000000004</v>
      </c>
    </row>
    <row r="294" spans="1:43" ht="17.25" customHeight="1" x14ac:dyDescent="0.45">
      <c r="A294" s="12" t="s">
        <v>11</v>
      </c>
      <c r="B294" s="12" t="s">
        <v>66</v>
      </c>
      <c r="C294" s="12" t="s">
        <v>67</v>
      </c>
      <c r="D294" s="12" t="s">
        <v>68</v>
      </c>
      <c r="E294" s="25">
        <v>133</v>
      </c>
      <c r="F294" s="10">
        <v>127</v>
      </c>
      <c r="G294" s="10">
        <v>136</v>
      </c>
      <c r="H294" s="10">
        <v>125</v>
      </c>
      <c r="I294" s="10">
        <v>129</v>
      </c>
      <c r="J294" s="10">
        <v>127</v>
      </c>
      <c r="K294" s="10">
        <v>133</v>
      </c>
      <c r="L294" s="10">
        <v>131</v>
      </c>
      <c r="M294" s="10">
        <v>129</v>
      </c>
      <c r="N294" s="10">
        <v>131</v>
      </c>
      <c r="O294" s="10">
        <v>124</v>
      </c>
      <c r="P294" s="10">
        <v>150</v>
      </c>
      <c r="Q294" s="26">
        <f t="shared" si="12"/>
        <v>1575</v>
      </c>
      <c r="R294" s="25">
        <v>20806</v>
      </c>
      <c r="S294" s="10">
        <v>15733</v>
      </c>
      <c r="T294" s="10">
        <v>18554</v>
      </c>
      <c r="U294" s="10">
        <v>16097</v>
      </c>
      <c r="V294" s="10">
        <v>16219</v>
      </c>
      <c r="W294" s="10">
        <v>17085</v>
      </c>
      <c r="X294" s="10">
        <v>22843</v>
      </c>
      <c r="Y294" s="10">
        <v>19671</v>
      </c>
      <c r="Z294" s="10">
        <v>16444</v>
      </c>
      <c r="AA294" s="10">
        <v>17431</v>
      </c>
      <c r="AB294" s="10">
        <v>16161</v>
      </c>
      <c r="AC294" s="10">
        <v>17327</v>
      </c>
      <c r="AD294" s="26">
        <f t="shared" si="13"/>
        <v>214371</v>
      </c>
      <c r="AE294" s="25">
        <v>2725.6365513300007</v>
      </c>
      <c r="AF294" s="10">
        <v>5365.9977371000004</v>
      </c>
      <c r="AG294" s="10">
        <v>9290.9325147100026</v>
      </c>
      <c r="AH294" s="10">
        <v>3328.0072186699999</v>
      </c>
      <c r="AI294" s="10">
        <v>8885.4209359299984</v>
      </c>
      <c r="AJ294" s="10">
        <v>5666.2758860400008</v>
      </c>
      <c r="AK294" s="10">
        <v>2471.6248241300004</v>
      </c>
      <c r="AL294" s="10">
        <v>5410.4497893599992</v>
      </c>
      <c r="AM294" s="10">
        <v>6186.0927420599992</v>
      </c>
      <c r="AN294" s="10">
        <v>5069.8019194899998</v>
      </c>
      <c r="AO294" s="10">
        <v>3659.5832411600009</v>
      </c>
      <c r="AP294" s="10">
        <v>4197.9973843500002</v>
      </c>
      <c r="AQ294" s="26">
        <f t="shared" si="14"/>
        <v>62257.820744329991</v>
      </c>
    </row>
    <row r="295" spans="1:43" ht="17.25" customHeight="1" x14ac:dyDescent="0.45">
      <c r="A295" s="2" t="s">
        <v>11</v>
      </c>
      <c r="B295" s="2" t="s">
        <v>66</v>
      </c>
      <c r="C295" s="2" t="s">
        <v>100</v>
      </c>
      <c r="D295" s="2" t="s">
        <v>68</v>
      </c>
      <c r="E295" s="23">
        <v>31</v>
      </c>
      <c r="F295" s="1">
        <v>30</v>
      </c>
      <c r="G295" s="1">
        <v>30</v>
      </c>
      <c r="H295" s="1">
        <v>30</v>
      </c>
      <c r="I295" s="1">
        <v>31</v>
      </c>
      <c r="J295" s="1">
        <v>30</v>
      </c>
      <c r="K295" s="1">
        <v>31</v>
      </c>
      <c r="L295" s="1">
        <v>31</v>
      </c>
      <c r="M295" s="1">
        <v>30</v>
      </c>
      <c r="N295" s="1">
        <v>31</v>
      </c>
      <c r="O295" s="1">
        <v>30</v>
      </c>
      <c r="P295" s="1">
        <v>34</v>
      </c>
      <c r="Q295" s="24">
        <f t="shared" si="12"/>
        <v>369</v>
      </c>
      <c r="R295" s="23">
        <v>5022</v>
      </c>
      <c r="S295" s="1">
        <v>4114</v>
      </c>
      <c r="T295" s="1">
        <v>4440</v>
      </c>
      <c r="U295" s="1">
        <v>3817</v>
      </c>
      <c r="V295" s="1">
        <v>4058</v>
      </c>
      <c r="W295" s="1">
        <v>4401</v>
      </c>
      <c r="X295" s="1">
        <v>4856</v>
      </c>
      <c r="Y295" s="1">
        <v>4526</v>
      </c>
      <c r="Z295" s="1">
        <v>3932</v>
      </c>
      <c r="AA295" s="1">
        <v>3857</v>
      </c>
      <c r="AB295" s="1">
        <v>3557</v>
      </c>
      <c r="AC295" s="1">
        <v>4794</v>
      </c>
      <c r="AD295" s="24">
        <f t="shared" si="13"/>
        <v>51374</v>
      </c>
      <c r="AE295" s="23">
        <v>0</v>
      </c>
      <c r="AF295" s="1">
        <v>0</v>
      </c>
      <c r="AG295" s="1">
        <v>0</v>
      </c>
      <c r="AH295" s="1">
        <v>0</v>
      </c>
      <c r="AI295" s="1">
        <v>0</v>
      </c>
      <c r="AJ295" s="1">
        <v>0</v>
      </c>
      <c r="AK295" s="1">
        <v>0</v>
      </c>
      <c r="AL295" s="1">
        <v>0</v>
      </c>
      <c r="AM295" s="1">
        <v>0</v>
      </c>
      <c r="AN295" s="1">
        <v>0</v>
      </c>
      <c r="AO295" s="1">
        <v>0</v>
      </c>
      <c r="AP295" s="1">
        <v>0</v>
      </c>
      <c r="AQ295" s="24">
        <f t="shared" si="14"/>
        <v>0</v>
      </c>
    </row>
    <row r="296" spans="1:43" ht="17.25" customHeight="1" x14ac:dyDescent="0.45">
      <c r="A296" s="12" t="s">
        <v>11</v>
      </c>
      <c r="B296" s="12" t="s">
        <v>66</v>
      </c>
      <c r="C296" s="12" t="s">
        <v>101</v>
      </c>
      <c r="D296" s="12" t="s">
        <v>68</v>
      </c>
      <c r="E296" s="25">
        <v>0</v>
      </c>
      <c r="F296" s="10">
        <v>0</v>
      </c>
      <c r="G296" s="10">
        <v>18</v>
      </c>
      <c r="H296" s="10">
        <v>0</v>
      </c>
      <c r="I296" s="10">
        <v>0</v>
      </c>
      <c r="J296" s="10">
        <v>0</v>
      </c>
      <c r="K296" s="10">
        <v>0</v>
      </c>
      <c r="L296" s="10">
        <v>0</v>
      </c>
      <c r="M296" s="10">
        <v>0</v>
      </c>
      <c r="N296" s="10">
        <v>0</v>
      </c>
      <c r="O296" s="10">
        <v>0</v>
      </c>
      <c r="P296" s="10">
        <v>0</v>
      </c>
      <c r="Q296" s="26">
        <f t="shared" si="12"/>
        <v>18</v>
      </c>
      <c r="R296" s="25">
        <v>0</v>
      </c>
      <c r="S296" s="10">
        <v>0</v>
      </c>
      <c r="T296" s="10">
        <v>1482</v>
      </c>
      <c r="U296" s="10">
        <v>0</v>
      </c>
      <c r="V296" s="10">
        <v>0</v>
      </c>
      <c r="W296" s="10">
        <v>0</v>
      </c>
      <c r="X296" s="10">
        <v>0</v>
      </c>
      <c r="Y296" s="10">
        <v>0</v>
      </c>
      <c r="Z296" s="10">
        <v>0</v>
      </c>
      <c r="AA296" s="10">
        <v>0</v>
      </c>
      <c r="AB296" s="10">
        <v>0</v>
      </c>
      <c r="AC296" s="10">
        <v>0</v>
      </c>
      <c r="AD296" s="26">
        <f t="shared" si="13"/>
        <v>1482</v>
      </c>
      <c r="AE296" s="25">
        <v>0</v>
      </c>
      <c r="AF296" s="10">
        <v>0</v>
      </c>
      <c r="AG296" s="10">
        <v>0</v>
      </c>
      <c r="AH296" s="10">
        <v>0</v>
      </c>
      <c r="AI296" s="10">
        <v>0</v>
      </c>
      <c r="AJ296" s="10">
        <v>0</v>
      </c>
      <c r="AK296" s="10">
        <v>0</v>
      </c>
      <c r="AL296" s="10">
        <v>0</v>
      </c>
      <c r="AM296" s="10">
        <v>0</v>
      </c>
      <c r="AN296" s="10">
        <v>0</v>
      </c>
      <c r="AO296" s="10">
        <v>0</v>
      </c>
      <c r="AP296" s="10">
        <v>0</v>
      </c>
      <c r="AQ296" s="26">
        <f t="shared" si="14"/>
        <v>0</v>
      </c>
    </row>
    <row r="297" spans="1:43" ht="17.25" customHeight="1" x14ac:dyDescent="0.45">
      <c r="A297" s="2" t="s">
        <v>11</v>
      </c>
      <c r="B297" s="2" t="s">
        <v>66</v>
      </c>
      <c r="C297" s="2" t="s">
        <v>174</v>
      </c>
      <c r="D297" s="2" t="s">
        <v>68</v>
      </c>
      <c r="E297" s="23">
        <v>101</v>
      </c>
      <c r="F297" s="1">
        <v>87</v>
      </c>
      <c r="G297" s="1">
        <v>95</v>
      </c>
      <c r="H297" s="1">
        <v>66</v>
      </c>
      <c r="I297" s="1">
        <v>70</v>
      </c>
      <c r="J297" s="1">
        <v>88</v>
      </c>
      <c r="K297" s="1">
        <v>92</v>
      </c>
      <c r="L297" s="1">
        <v>86</v>
      </c>
      <c r="M297" s="1">
        <v>61</v>
      </c>
      <c r="N297" s="1">
        <v>67</v>
      </c>
      <c r="O297" s="1">
        <v>91</v>
      </c>
      <c r="P297" s="1">
        <v>157</v>
      </c>
      <c r="Q297" s="24">
        <f t="shared" si="12"/>
        <v>1061</v>
      </c>
      <c r="R297" s="23">
        <v>17052</v>
      </c>
      <c r="S297" s="1">
        <v>14444</v>
      </c>
      <c r="T297" s="1">
        <v>13740</v>
      </c>
      <c r="U297" s="1">
        <v>12205</v>
      </c>
      <c r="V297" s="1">
        <v>12375</v>
      </c>
      <c r="W297" s="1">
        <v>11968</v>
      </c>
      <c r="X297" s="1">
        <v>16597</v>
      </c>
      <c r="Y297" s="1">
        <v>14352</v>
      </c>
      <c r="Z297" s="1">
        <v>9849</v>
      </c>
      <c r="AA297" s="1">
        <v>10391</v>
      </c>
      <c r="AB297" s="1">
        <v>11659</v>
      </c>
      <c r="AC297" s="1">
        <v>14561</v>
      </c>
      <c r="AD297" s="24">
        <f t="shared" si="13"/>
        <v>159193</v>
      </c>
      <c r="AE297" s="23">
        <v>146</v>
      </c>
      <c r="AF297" s="1">
        <v>119</v>
      </c>
      <c r="AG297" s="1">
        <v>34</v>
      </c>
      <c r="AH297" s="1">
        <v>22</v>
      </c>
      <c r="AI297" s="1">
        <v>17</v>
      </c>
      <c r="AJ297" s="1">
        <v>17</v>
      </c>
      <c r="AK297" s="1">
        <v>47</v>
      </c>
      <c r="AL297" s="1">
        <v>17</v>
      </c>
      <c r="AM297" s="1">
        <v>0</v>
      </c>
      <c r="AN297" s="1">
        <v>0</v>
      </c>
      <c r="AO297" s="1">
        <v>17</v>
      </c>
      <c r="AP297" s="1">
        <v>28</v>
      </c>
      <c r="AQ297" s="24">
        <f t="shared" si="14"/>
        <v>464</v>
      </c>
    </row>
    <row r="298" spans="1:43" ht="17.25" customHeight="1" x14ac:dyDescent="0.45">
      <c r="A298" s="12" t="s">
        <v>11</v>
      </c>
      <c r="B298" s="12" t="s">
        <v>66</v>
      </c>
      <c r="C298" s="12" t="s">
        <v>182</v>
      </c>
      <c r="D298" s="12" t="s">
        <v>183</v>
      </c>
      <c r="E298" s="25">
        <v>29</v>
      </c>
      <c r="F298" s="10">
        <v>27</v>
      </c>
      <c r="G298" s="10">
        <v>31</v>
      </c>
      <c r="H298" s="10">
        <v>30</v>
      </c>
      <c r="I298" s="10">
        <v>30</v>
      </c>
      <c r="J298" s="10">
        <v>30</v>
      </c>
      <c r="K298" s="10">
        <v>30</v>
      </c>
      <c r="L298" s="10">
        <v>30</v>
      </c>
      <c r="M298" s="10">
        <v>29</v>
      </c>
      <c r="N298" s="10">
        <v>29</v>
      </c>
      <c r="O298" s="10">
        <v>17</v>
      </c>
      <c r="P298" s="10">
        <v>18</v>
      </c>
      <c r="Q298" s="26">
        <f t="shared" si="12"/>
        <v>330</v>
      </c>
      <c r="R298" s="25">
        <v>0</v>
      </c>
      <c r="S298" s="10">
        <v>0</v>
      </c>
      <c r="T298" s="10">
        <v>0</v>
      </c>
      <c r="U298" s="10">
        <v>0</v>
      </c>
      <c r="V298" s="10">
        <v>0</v>
      </c>
      <c r="W298" s="10">
        <v>0</v>
      </c>
      <c r="X298" s="10">
        <v>0</v>
      </c>
      <c r="Y298" s="10">
        <v>0</v>
      </c>
      <c r="Z298" s="10">
        <v>0</v>
      </c>
      <c r="AA298" s="10">
        <v>0</v>
      </c>
      <c r="AB298" s="10">
        <v>0</v>
      </c>
      <c r="AC298" s="10">
        <v>0</v>
      </c>
      <c r="AD298" s="26">
        <f t="shared" si="13"/>
        <v>0</v>
      </c>
      <c r="AE298" s="25">
        <v>533976.00000000012</v>
      </c>
      <c r="AF298" s="10">
        <v>645422.59999999986</v>
      </c>
      <c r="AG298" s="10">
        <v>754785.39999999991</v>
      </c>
      <c r="AH298" s="10">
        <v>617691.5</v>
      </c>
      <c r="AI298" s="10">
        <v>603076.79999999981</v>
      </c>
      <c r="AJ298" s="10">
        <v>626498.80000000005</v>
      </c>
      <c r="AK298" s="10">
        <v>510339.1999999999</v>
      </c>
      <c r="AL298" s="10">
        <v>475876.7</v>
      </c>
      <c r="AM298" s="10">
        <v>502728.89999999997</v>
      </c>
      <c r="AN298" s="10">
        <v>448682.40000000008</v>
      </c>
      <c r="AO298" s="10">
        <v>495792.99999999988</v>
      </c>
      <c r="AP298" s="10">
        <v>517641.10000000003</v>
      </c>
      <c r="AQ298" s="26">
        <f t="shared" si="14"/>
        <v>6732512.4000000004</v>
      </c>
    </row>
    <row r="299" spans="1:43" ht="17.25" customHeight="1" x14ac:dyDescent="0.45">
      <c r="A299" s="2" t="s">
        <v>11</v>
      </c>
      <c r="B299" s="2" t="s">
        <v>66</v>
      </c>
      <c r="C299" s="2" t="s">
        <v>69</v>
      </c>
      <c r="D299" s="2" t="s">
        <v>68</v>
      </c>
      <c r="E299" s="23">
        <v>160</v>
      </c>
      <c r="F299" s="1">
        <v>153</v>
      </c>
      <c r="G299" s="1">
        <v>185</v>
      </c>
      <c r="H299" s="1">
        <v>147</v>
      </c>
      <c r="I299" s="1">
        <v>143</v>
      </c>
      <c r="J299" s="1">
        <v>151</v>
      </c>
      <c r="K299" s="1">
        <v>152</v>
      </c>
      <c r="L299" s="1">
        <v>157</v>
      </c>
      <c r="M299" s="1">
        <v>147</v>
      </c>
      <c r="N299" s="1">
        <v>151</v>
      </c>
      <c r="O299" s="1">
        <v>148</v>
      </c>
      <c r="P299" s="1">
        <v>163</v>
      </c>
      <c r="Q299" s="24">
        <f t="shared" si="12"/>
        <v>1857</v>
      </c>
      <c r="R299" s="23">
        <v>17693</v>
      </c>
      <c r="S299" s="1">
        <v>11865</v>
      </c>
      <c r="T299" s="1">
        <v>16584</v>
      </c>
      <c r="U299" s="1">
        <v>12072</v>
      </c>
      <c r="V299" s="1">
        <v>11810</v>
      </c>
      <c r="W299" s="1">
        <v>13547</v>
      </c>
      <c r="X299" s="1">
        <v>19336</v>
      </c>
      <c r="Y299" s="1">
        <v>15452</v>
      </c>
      <c r="Z299" s="1">
        <v>12396</v>
      </c>
      <c r="AA299" s="1">
        <v>13711</v>
      </c>
      <c r="AB299" s="1">
        <v>14674</v>
      </c>
      <c r="AC299" s="1">
        <v>16853</v>
      </c>
      <c r="AD299" s="24">
        <f t="shared" si="13"/>
        <v>175993</v>
      </c>
      <c r="AE299" s="23">
        <v>2037.4</v>
      </c>
      <c r="AF299" s="1">
        <v>5782.8</v>
      </c>
      <c r="AG299" s="1">
        <v>4003.6</v>
      </c>
      <c r="AH299" s="1">
        <v>1641.3999999999999</v>
      </c>
      <c r="AI299" s="1">
        <v>2277.1</v>
      </c>
      <c r="AJ299" s="1">
        <v>2106</v>
      </c>
      <c r="AK299" s="1">
        <v>2316</v>
      </c>
      <c r="AL299" s="1">
        <v>2850</v>
      </c>
      <c r="AM299" s="1">
        <v>800</v>
      </c>
      <c r="AN299" s="1">
        <v>3094.3</v>
      </c>
      <c r="AO299" s="1">
        <v>2887.3</v>
      </c>
      <c r="AP299" s="1">
        <v>3010</v>
      </c>
      <c r="AQ299" s="24">
        <f t="shared" si="14"/>
        <v>32805.9</v>
      </c>
    </row>
    <row r="300" spans="1:43" ht="17.25" customHeight="1" x14ac:dyDescent="0.45">
      <c r="A300" s="12" t="s">
        <v>11</v>
      </c>
      <c r="B300" s="12" t="s">
        <v>66</v>
      </c>
      <c r="C300" s="12" t="s">
        <v>184</v>
      </c>
      <c r="D300" s="12" t="s">
        <v>68</v>
      </c>
      <c r="E300" s="25">
        <v>61</v>
      </c>
      <c r="F300" s="10">
        <v>59</v>
      </c>
      <c r="G300" s="10">
        <v>63</v>
      </c>
      <c r="H300" s="10">
        <v>47</v>
      </c>
      <c r="I300" s="10">
        <v>49</v>
      </c>
      <c r="J300" s="10">
        <v>47</v>
      </c>
      <c r="K300" s="10">
        <v>49</v>
      </c>
      <c r="L300" s="10">
        <v>48</v>
      </c>
      <c r="M300" s="10">
        <v>48</v>
      </c>
      <c r="N300" s="10">
        <v>48</v>
      </c>
      <c r="O300" s="10">
        <v>55</v>
      </c>
      <c r="P300" s="10">
        <v>101</v>
      </c>
      <c r="Q300" s="26">
        <f t="shared" si="12"/>
        <v>675</v>
      </c>
      <c r="R300" s="25">
        <v>12148</v>
      </c>
      <c r="S300" s="10">
        <v>10951</v>
      </c>
      <c r="T300" s="10">
        <v>11148</v>
      </c>
      <c r="U300" s="10">
        <v>8792</v>
      </c>
      <c r="V300" s="10">
        <v>9338</v>
      </c>
      <c r="W300" s="10">
        <v>8257</v>
      </c>
      <c r="X300" s="10">
        <v>9710</v>
      </c>
      <c r="Y300" s="10">
        <v>9529</v>
      </c>
      <c r="Z300" s="10">
        <v>9297</v>
      </c>
      <c r="AA300" s="10">
        <v>9438</v>
      </c>
      <c r="AB300" s="10">
        <v>10446</v>
      </c>
      <c r="AC300" s="10">
        <v>14288</v>
      </c>
      <c r="AD300" s="26">
        <f t="shared" si="13"/>
        <v>123342</v>
      </c>
      <c r="AE300" s="25">
        <v>0</v>
      </c>
      <c r="AF300" s="10">
        <v>0</v>
      </c>
      <c r="AG300" s="10">
        <v>0</v>
      </c>
      <c r="AH300" s="10">
        <v>0</v>
      </c>
      <c r="AI300" s="10">
        <v>0</v>
      </c>
      <c r="AJ300" s="10">
        <v>0</v>
      </c>
      <c r="AK300" s="10">
        <v>0</v>
      </c>
      <c r="AL300" s="10">
        <v>0</v>
      </c>
      <c r="AM300" s="10">
        <v>0</v>
      </c>
      <c r="AN300" s="10">
        <v>0</v>
      </c>
      <c r="AO300" s="10">
        <v>0</v>
      </c>
      <c r="AP300" s="10">
        <v>0</v>
      </c>
      <c r="AQ300" s="26">
        <f t="shared" si="14"/>
        <v>0</v>
      </c>
    </row>
    <row r="301" spans="1:43" ht="17.25" customHeight="1" x14ac:dyDescent="0.45">
      <c r="A301" s="2" t="s">
        <v>11</v>
      </c>
      <c r="B301" s="2" t="s">
        <v>66</v>
      </c>
      <c r="C301" s="2" t="s">
        <v>73</v>
      </c>
      <c r="D301" s="2" t="s">
        <v>68</v>
      </c>
      <c r="E301" s="23">
        <v>327</v>
      </c>
      <c r="F301" s="1">
        <v>291</v>
      </c>
      <c r="G301" s="1">
        <v>296</v>
      </c>
      <c r="H301" s="1">
        <v>247</v>
      </c>
      <c r="I301" s="1">
        <v>270</v>
      </c>
      <c r="J301" s="1">
        <v>276</v>
      </c>
      <c r="K301" s="1">
        <v>282</v>
      </c>
      <c r="L301" s="1">
        <v>290</v>
      </c>
      <c r="M301" s="1">
        <v>286</v>
      </c>
      <c r="N301" s="1">
        <v>309</v>
      </c>
      <c r="O301" s="1">
        <v>298</v>
      </c>
      <c r="P301" s="1">
        <v>346</v>
      </c>
      <c r="Q301" s="24">
        <f t="shared" si="12"/>
        <v>3518</v>
      </c>
      <c r="R301" s="23">
        <v>60052</v>
      </c>
      <c r="S301" s="1">
        <v>47825</v>
      </c>
      <c r="T301" s="1">
        <v>47585</v>
      </c>
      <c r="U301" s="1">
        <v>41419</v>
      </c>
      <c r="V301" s="1">
        <v>45120</v>
      </c>
      <c r="W301" s="1">
        <v>40573</v>
      </c>
      <c r="X301" s="1">
        <v>50653</v>
      </c>
      <c r="Y301" s="1">
        <v>49566</v>
      </c>
      <c r="Z301" s="1">
        <v>45846</v>
      </c>
      <c r="AA301" s="1">
        <v>49521</v>
      </c>
      <c r="AB301" s="1">
        <v>44828</v>
      </c>
      <c r="AC301" s="1">
        <v>46658</v>
      </c>
      <c r="AD301" s="24">
        <f t="shared" si="13"/>
        <v>569646</v>
      </c>
      <c r="AE301" s="23">
        <v>106840.88</v>
      </c>
      <c r="AF301" s="1">
        <v>132095.31</v>
      </c>
      <c r="AG301" s="1">
        <v>142559.32</v>
      </c>
      <c r="AH301" s="1">
        <v>119084.3</v>
      </c>
      <c r="AI301" s="1">
        <v>140762.97999999998</v>
      </c>
      <c r="AJ301" s="1">
        <v>38021.099999999984</v>
      </c>
      <c r="AK301" s="1">
        <v>54812.4</v>
      </c>
      <c r="AL301" s="1">
        <v>41961.899999999994</v>
      </c>
      <c r="AM301" s="1">
        <v>57281.4</v>
      </c>
      <c r="AN301" s="1">
        <v>132801.29999999999</v>
      </c>
      <c r="AO301" s="1">
        <v>141135.69999999998</v>
      </c>
      <c r="AP301" s="1">
        <v>85111.9</v>
      </c>
      <c r="AQ301" s="24">
        <f t="shared" si="14"/>
        <v>1192468.49</v>
      </c>
    </row>
    <row r="302" spans="1:43" ht="17.25" customHeight="1" x14ac:dyDescent="0.45">
      <c r="A302" s="12" t="s">
        <v>11</v>
      </c>
      <c r="B302" s="12" t="s">
        <v>66</v>
      </c>
      <c r="C302" s="12" t="s">
        <v>185</v>
      </c>
      <c r="D302" s="12" t="s">
        <v>68</v>
      </c>
      <c r="E302" s="25">
        <v>22</v>
      </c>
      <c r="F302" s="10">
        <v>21</v>
      </c>
      <c r="G302" s="10">
        <v>20</v>
      </c>
      <c r="H302" s="10">
        <v>22</v>
      </c>
      <c r="I302" s="10">
        <v>23</v>
      </c>
      <c r="J302" s="10">
        <v>20</v>
      </c>
      <c r="K302" s="10">
        <v>23</v>
      </c>
      <c r="L302" s="10">
        <v>22</v>
      </c>
      <c r="M302" s="10">
        <v>21</v>
      </c>
      <c r="N302" s="10">
        <v>22</v>
      </c>
      <c r="O302" s="10">
        <v>21</v>
      </c>
      <c r="P302" s="10">
        <v>21</v>
      </c>
      <c r="Q302" s="26">
        <f t="shared" si="12"/>
        <v>258</v>
      </c>
      <c r="R302" s="25">
        <v>0</v>
      </c>
      <c r="S302" s="10">
        <v>0</v>
      </c>
      <c r="T302" s="10">
        <v>0</v>
      </c>
      <c r="U302" s="10">
        <v>0</v>
      </c>
      <c r="V302" s="10">
        <v>0</v>
      </c>
      <c r="W302" s="10">
        <v>0</v>
      </c>
      <c r="X302" s="10">
        <v>0</v>
      </c>
      <c r="Y302" s="10">
        <v>0</v>
      </c>
      <c r="Z302" s="10">
        <v>0</v>
      </c>
      <c r="AA302" s="10">
        <v>0</v>
      </c>
      <c r="AB302" s="10">
        <v>0</v>
      </c>
      <c r="AC302" s="10">
        <v>0</v>
      </c>
      <c r="AD302" s="26">
        <f t="shared" si="13"/>
        <v>0</v>
      </c>
      <c r="AE302" s="25">
        <v>748996</v>
      </c>
      <c r="AF302" s="10">
        <v>649265</v>
      </c>
      <c r="AG302" s="10">
        <v>464956</v>
      </c>
      <c r="AH302" s="10">
        <v>470720</v>
      </c>
      <c r="AI302" s="10">
        <v>466179</v>
      </c>
      <c r="AJ302" s="10">
        <v>370842</v>
      </c>
      <c r="AK302" s="10">
        <v>421118</v>
      </c>
      <c r="AL302" s="10">
        <v>462354</v>
      </c>
      <c r="AM302" s="10">
        <v>433809</v>
      </c>
      <c r="AN302" s="10">
        <v>347890</v>
      </c>
      <c r="AO302" s="10">
        <v>392211</v>
      </c>
      <c r="AP302" s="10">
        <v>390851</v>
      </c>
      <c r="AQ302" s="26">
        <f t="shared" si="14"/>
        <v>5619191</v>
      </c>
    </row>
    <row r="303" spans="1:43" ht="17.25" customHeight="1" x14ac:dyDescent="0.45">
      <c r="A303" s="2" t="s">
        <v>11</v>
      </c>
      <c r="B303" s="2" t="s">
        <v>66</v>
      </c>
      <c r="C303" s="2" t="s">
        <v>186</v>
      </c>
      <c r="D303" s="2" t="s">
        <v>187</v>
      </c>
      <c r="E303" s="23">
        <v>20</v>
      </c>
      <c r="F303" s="1">
        <v>16</v>
      </c>
      <c r="G303" s="1">
        <v>21</v>
      </c>
      <c r="H303" s="1">
        <v>21</v>
      </c>
      <c r="I303" s="1">
        <v>21</v>
      </c>
      <c r="J303" s="1">
        <v>21</v>
      </c>
      <c r="K303" s="1">
        <v>22</v>
      </c>
      <c r="L303" s="1">
        <v>20</v>
      </c>
      <c r="M303" s="1">
        <v>21</v>
      </c>
      <c r="N303" s="1">
        <v>19</v>
      </c>
      <c r="O303" s="1">
        <v>20</v>
      </c>
      <c r="P303" s="1">
        <v>19</v>
      </c>
      <c r="Q303" s="24">
        <f t="shared" si="12"/>
        <v>241</v>
      </c>
      <c r="R303" s="23">
        <v>0</v>
      </c>
      <c r="S303" s="1">
        <v>0</v>
      </c>
      <c r="T303" s="1">
        <v>0</v>
      </c>
      <c r="U303" s="1">
        <v>0</v>
      </c>
      <c r="V303" s="1">
        <v>0</v>
      </c>
      <c r="W303" s="1">
        <v>0</v>
      </c>
      <c r="X303" s="1">
        <v>0</v>
      </c>
      <c r="Y303" s="1">
        <v>0</v>
      </c>
      <c r="Z303" s="1">
        <v>0</v>
      </c>
      <c r="AA303" s="1">
        <v>0</v>
      </c>
      <c r="AB303" s="1">
        <v>0</v>
      </c>
      <c r="AC303" s="1">
        <v>0</v>
      </c>
      <c r="AD303" s="24">
        <f t="shared" si="13"/>
        <v>0</v>
      </c>
      <c r="AE303" s="23">
        <v>893045.69999999984</v>
      </c>
      <c r="AF303" s="1">
        <v>652850.9</v>
      </c>
      <c r="AG303" s="1">
        <v>1742131.5999999999</v>
      </c>
      <c r="AH303" s="1">
        <v>708353.29999999993</v>
      </c>
      <c r="AI303" s="1">
        <v>690527.20000000007</v>
      </c>
      <c r="AJ303" s="1">
        <v>890893.29999999993</v>
      </c>
      <c r="AK303" s="1">
        <v>822693.5</v>
      </c>
      <c r="AL303" s="1">
        <v>614354</v>
      </c>
      <c r="AM303" s="1">
        <v>551249.10000000009</v>
      </c>
      <c r="AN303" s="1">
        <v>757106.4</v>
      </c>
      <c r="AO303" s="1">
        <v>760900</v>
      </c>
      <c r="AP303" s="1">
        <v>586717.5</v>
      </c>
      <c r="AQ303" s="24">
        <f t="shared" si="14"/>
        <v>9670822.5</v>
      </c>
    </row>
    <row r="304" spans="1:43" ht="17.25" customHeight="1" x14ac:dyDescent="0.45">
      <c r="A304" s="12" t="s">
        <v>11</v>
      </c>
      <c r="B304" s="12" t="s">
        <v>66</v>
      </c>
      <c r="C304" s="12" t="s">
        <v>123</v>
      </c>
      <c r="D304" s="12" t="s">
        <v>81</v>
      </c>
      <c r="E304" s="25">
        <v>14</v>
      </c>
      <c r="F304" s="10">
        <v>12</v>
      </c>
      <c r="G304" s="10">
        <v>19</v>
      </c>
      <c r="H304" s="10">
        <v>21</v>
      </c>
      <c r="I304" s="10">
        <v>26</v>
      </c>
      <c r="J304" s="10">
        <v>30</v>
      </c>
      <c r="K304" s="10">
        <v>31</v>
      </c>
      <c r="L304" s="10">
        <v>31</v>
      </c>
      <c r="M304" s="10">
        <v>30</v>
      </c>
      <c r="N304" s="10">
        <v>27</v>
      </c>
      <c r="O304" s="10">
        <v>16</v>
      </c>
      <c r="P304" s="10">
        <v>19</v>
      </c>
      <c r="Q304" s="26">
        <f t="shared" si="12"/>
        <v>276</v>
      </c>
      <c r="R304" s="25">
        <v>3254</v>
      </c>
      <c r="S304" s="10">
        <v>2890</v>
      </c>
      <c r="T304" s="10">
        <v>4814</v>
      </c>
      <c r="U304" s="10">
        <v>5079</v>
      </c>
      <c r="V304" s="10">
        <v>6496</v>
      </c>
      <c r="W304" s="10">
        <v>7375</v>
      </c>
      <c r="X304" s="10">
        <v>7134</v>
      </c>
      <c r="Y304" s="10">
        <v>6970</v>
      </c>
      <c r="Z304" s="10">
        <v>7744</v>
      </c>
      <c r="AA304" s="10">
        <v>5809</v>
      </c>
      <c r="AB304" s="10">
        <v>3447</v>
      </c>
      <c r="AC304" s="10">
        <v>4233</v>
      </c>
      <c r="AD304" s="26">
        <f t="shared" si="13"/>
        <v>65245</v>
      </c>
      <c r="AE304" s="25">
        <v>15044</v>
      </c>
      <c r="AF304" s="10">
        <v>13447</v>
      </c>
      <c r="AG304" s="10">
        <v>87316</v>
      </c>
      <c r="AH304" s="10">
        <v>146083</v>
      </c>
      <c r="AI304" s="10">
        <v>162184</v>
      </c>
      <c r="AJ304" s="10">
        <v>246439</v>
      </c>
      <c r="AK304" s="10">
        <v>240306</v>
      </c>
      <c r="AL304" s="10">
        <v>158281</v>
      </c>
      <c r="AM304" s="10">
        <v>144593</v>
      </c>
      <c r="AN304" s="10">
        <v>200488</v>
      </c>
      <c r="AO304" s="10">
        <v>64020</v>
      </c>
      <c r="AP304" s="10">
        <v>33793</v>
      </c>
      <c r="AQ304" s="26">
        <f t="shared" si="14"/>
        <v>1511994</v>
      </c>
    </row>
    <row r="305" spans="1:43" ht="17.25" customHeight="1" x14ac:dyDescent="0.45">
      <c r="A305" s="2" t="s">
        <v>11</v>
      </c>
      <c r="B305" s="2" t="s">
        <v>66</v>
      </c>
      <c r="C305" s="2" t="s">
        <v>188</v>
      </c>
      <c r="D305" s="2" t="s">
        <v>68</v>
      </c>
      <c r="E305" s="23">
        <v>26</v>
      </c>
      <c r="F305" s="1">
        <v>25</v>
      </c>
      <c r="G305" s="1">
        <v>27</v>
      </c>
      <c r="H305" s="1">
        <v>29</v>
      </c>
      <c r="I305" s="1">
        <v>29</v>
      </c>
      <c r="J305" s="1">
        <v>25</v>
      </c>
      <c r="K305" s="1">
        <v>30</v>
      </c>
      <c r="L305" s="1">
        <v>31</v>
      </c>
      <c r="M305" s="1">
        <v>30</v>
      </c>
      <c r="N305" s="1">
        <v>63</v>
      </c>
      <c r="O305" s="1">
        <v>48</v>
      </c>
      <c r="P305" s="1">
        <v>44</v>
      </c>
      <c r="Q305" s="24">
        <f t="shared" si="12"/>
        <v>407</v>
      </c>
      <c r="R305" s="23">
        <v>0</v>
      </c>
      <c r="S305" s="1">
        <v>0</v>
      </c>
      <c r="T305" s="1">
        <v>0</v>
      </c>
      <c r="U305" s="1">
        <v>0</v>
      </c>
      <c r="V305" s="1">
        <v>0</v>
      </c>
      <c r="W305" s="1">
        <v>0</v>
      </c>
      <c r="X305" s="1">
        <v>0</v>
      </c>
      <c r="Y305" s="1">
        <v>0</v>
      </c>
      <c r="Z305" s="1">
        <v>0</v>
      </c>
      <c r="AA305" s="1">
        <v>0</v>
      </c>
      <c r="AB305" s="1">
        <v>0</v>
      </c>
      <c r="AC305" s="1">
        <v>0</v>
      </c>
      <c r="AD305" s="24">
        <f t="shared" si="13"/>
        <v>0</v>
      </c>
      <c r="AE305" s="23">
        <v>729532</v>
      </c>
      <c r="AF305" s="1">
        <v>649371</v>
      </c>
      <c r="AG305" s="1">
        <v>687486</v>
      </c>
      <c r="AH305" s="1">
        <v>805166</v>
      </c>
      <c r="AI305" s="1">
        <v>741883</v>
      </c>
      <c r="AJ305" s="1">
        <v>651669</v>
      </c>
      <c r="AK305" s="1">
        <v>678703</v>
      </c>
      <c r="AL305" s="1">
        <v>604776</v>
      </c>
      <c r="AM305" s="1">
        <v>791307</v>
      </c>
      <c r="AN305" s="1">
        <v>1243983</v>
      </c>
      <c r="AO305" s="1">
        <v>804518</v>
      </c>
      <c r="AP305" s="1">
        <v>947356</v>
      </c>
      <c r="AQ305" s="24">
        <f t="shared" si="14"/>
        <v>9335750</v>
      </c>
    </row>
    <row r="306" spans="1:43" ht="17.25" customHeight="1" x14ac:dyDescent="0.45">
      <c r="A306" s="12" t="s">
        <v>11</v>
      </c>
      <c r="B306" s="12" t="s">
        <v>66</v>
      </c>
      <c r="C306" s="12" t="s">
        <v>126</v>
      </c>
      <c r="D306" s="12" t="s">
        <v>68</v>
      </c>
      <c r="E306" s="25">
        <v>13</v>
      </c>
      <c r="F306" s="10">
        <v>13</v>
      </c>
      <c r="G306" s="10">
        <v>13</v>
      </c>
      <c r="H306" s="10">
        <v>17</v>
      </c>
      <c r="I306" s="10">
        <v>17</v>
      </c>
      <c r="J306" s="10">
        <v>22</v>
      </c>
      <c r="K306" s="10">
        <v>35</v>
      </c>
      <c r="L306" s="10">
        <v>26</v>
      </c>
      <c r="M306" s="10">
        <v>26</v>
      </c>
      <c r="N306" s="10">
        <v>23</v>
      </c>
      <c r="O306" s="10">
        <v>26</v>
      </c>
      <c r="P306" s="10">
        <v>42</v>
      </c>
      <c r="Q306" s="26">
        <f t="shared" si="12"/>
        <v>273</v>
      </c>
      <c r="R306" s="25">
        <v>1936</v>
      </c>
      <c r="S306" s="10">
        <v>1721</v>
      </c>
      <c r="T306" s="10">
        <v>1962</v>
      </c>
      <c r="U306" s="10">
        <v>2458</v>
      </c>
      <c r="V306" s="10">
        <v>2291</v>
      </c>
      <c r="W306" s="10">
        <v>2606</v>
      </c>
      <c r="X306" s="10">
        <v>3757</v>
      </c>
      <c r="Y306" s="10">
        <v>3237</v>
      </c>
      <c r="Z306" s="10">
        <v>2722</v>
      </c>
      <c r="AA306" s="10">
        <v>2831</v>
      </c>
      <c r="AB306" s="10">
        <v>3009</v>
      </c>
      <c r="AC306" s="10">
        <v>5180</v>
      </c>
      <c r="AD306" s="26">
        <f t="shared" si="13"/>
        <v>33710</v>
      </c>
      <c r="AE306" s="25">
        <v>0</v>
      </c>
      <c r="AF306" s="10">
        <v>0</v>
      </c>
      <c r="AG306" s="10">
        <v>0</v>
      </c>
      <c r="AH306" s="10">
        <v>719.5</v>
      </c>
      <c r="AI306" s="10">
        <v>0</v>
      </c>
      <c r="AJ306" s="10">
        <v>0</v>
      </c>
      <c r="AK306" s="10">
        <v>62463.75</v>
      </c>
      <c r="AL306" s="10">
        <v>10156</v>
      </c>
      <c r="AM306" s="10">
        <v>17492</v>
      </c>
      <c r="AN306" s="10">
        <v>5705</v>
      </c>
      <c r="AO306" s="10">
        <v>16549.5</v>
      </c>
      <c r="AP306" s="10">
        <v>2388.1999999999998</v>
      </c>
      <c r="AQ306" s="26">
        <f t="shared" si="14"/>
        <v>115473.95</v>
      </c>
    </row>
    <row r="307" spans="1:43" ht="17.25" customHeight="1" x14ac:dyDescent="0.45">
      <c r="A307" s="2" t="s">
        <v>11</v>
      </c>
      <c r="B307" s="2" t="s">
        <v>66</v>
      </c>
      <c r="C307" s="2" t="s">
        <v>134</v>
      </c>
      <c r="D307" s="2" t="s">
        <v>68</v>
      </c>
      <c r="E307" s="23">
        <v>27</v>
      </c>
      <c r="F307" s="1">
        <v>25</v>
      </c>
      <c r="G307" s="1">
        <v>26</v>
      </c>
      <c r="H307" s="1">
        <v>26</v>
      </c>
      <c r="I307" s="1">
        <v>27</v>
      </c>
      <c r="J307" s="1">
        <v>29</v>
      </c>
      <c r="K307" s="1">
        <v>27</v>
      </c>
      <c r="L307" s="1">
        <v>26</v>
      </c>
      <c r="M307" s="1">
        <v>26</v>
      </c>
      <c r="N307" s="1">
        <v>27</v>
      </c>
      <c r="O307" s="1">
        <v>21</v>
      </c>
      <c r="P307" s="1">
        <v>22</v>
      </c>
      <c r="Q307" s="24">
        <f t="shared" si="12"/>
        <v>309</v>
      </c>
      <c r="R307" s="23">
        <v>4232</v>
      </c>
      <c r="S307" s="1">
        <v>3721</v>
      </c>
      <c r="T307" s="1">
        <v>4104</v>
      </c>
      <c r="U307" s="1">
        <v>3570</v>
      </c>
      <c r="V307" s="1">
        <v>3745</v>
      </c>
      <c r="W307" s="1">
        <v>4011</v>
      </c>
      <c r="X307" s="1">
        <v>4336</v>
      </c>
      <c r="Y307" s="1">
        <v>4275</v>
      </c>
      <c r="Z307" s="1">
        <v>3870</v>
      </c>
      <c r="AA307" s="1">
        <v>3753</v>
      </c>
      <c r="AB307" s="1">
        <v>2983</v>
      </c>
      <c r="AC307" s="1">
        <v>3139</v>
      </c>
      <c r="AD307" s="24">
        <f t="shared" si="13"/>
        <v>45739</v>
      </c>
      <c r="AE307" s="23">
        <v>0</v>
      </c>
      <c r="AF307" s="1">
        <v>0</v>
      </c>
      <c r="AG307" s="1">
        <v>0</v>
      </c>
      <c r="AH307" s="1">
        <v>0</v>
      </c>
      <c r="AI307" s="1">
        <v>0</v>
      </c>
      <c r="AJ307" s="1">
        <v>124.5</v>
      </c>
      <c r="AK307" s="1">
        <v>1341.85</v>
      </c>
      <c r="AL307" s="1">
        <v>417.05</v>
      </c>
      <c r="AM307" s="1">
        <v>0</v>
      </c>
      <c r="AN307" s="1">
        <v>0</v>
      </c>
      <c r="AO307" s="1">
        <v>156.9</v>
      </c>
      <c r="AP307" s="1">
        <v>3155</v>
      </c>
      <c r="AQ307" s="24">
        <f t="shared" si="14"/>
        <v>5195.3</v>
      </c>
    </row>
    <row r="308" spans="1:43" ht="17.25" customHeight="1" x14ac:dyDescent="0.45">
      <c r="A308" s="12" t="s">
        <v>11</v>
      </c>
      <c r="B308" s="12" t="s">
        <v>66</v>
      </c>
      <c r="C308" s="12" t="s">
        <v>175</v>
      </c>
      <c r="D308" s="12" t="s">
        <v>68</v>
      </c>
      <c r="E308" s="25">
        <v>62</v>
      </c>
      <c r="F308" s="10">
        <v>58</v>
      </c>
      <c r="G308" s="10">
        <v>62</v>
      </c>
      <c r="H308" s="10">
        <v>60</v>
      </c>
      <c r="I308" s="10">
        <v>62</v>
      </c>
      <c r="J308" s="10">
        <v>60</v>
      </c>
      <c r="K308" s="10">
        <v>62</v>
      </c>
      <c r="L308" s="10">
        <v>62</v>
      </c>
      <c r="M308" s="10">
        <v>59</v>
      </c>
      <c r="N308" s="10">
        <v>62</v>
      </c>
      <c r="O308" s="10">
        <v>60</v>
      </c>
      <c r="P308" s="10">
        <v>102</v>
      </c>
      <c r="Q308" s="26">
        <f t="shared" si="12"/>
        <v>771</v>
      </c>
      <c r="R308" s="25">
        <v>13541</v>
      </c>
      <c r="S308" s="10">
        <v>11751</v>
      </c>
      <c r="T308" s="10">
        <v>10894</v>
      </c>
      <c r="U308" s="10">
        <v>11726</v>
      </c>
      <c r="V308" s="10">
        <v>11730</v>
      </c>
      <c r="W308" s="10">
        <v>9315</v>
      </c>
      <c r="X308" s="10">
        <v>13313</v>
      </c>
      <c r="Y308" s="10">
        <v>11889</v>
      </c>
      <c r="Z308" s="10">
        <v>10772</v>
      </c>
      <c r="AA308" s="10">
        <v>11780</v>
      </c>
      <c r="AB308" s="10">
        <v>10236</v>
      </c>
      <c r="AC308" s="10">
        <v>13951</v>
      </c>
      <c r="AD308" s="26">
        <f t="shared" si="13"/>
        <v>140898</v>
      </c>
      <c r="AE308" s="25">
        <v>0</v>
      </c>
      <c r="AF308" s="10">
        <v>0</v>
      </c>
      <c r="AG308" s="10">
        <v>0</v>
      </c>
      <c r="AH308" s="10">
        <v>0</v>
      </c>
      <c r="AI308" s="10">
        <v>0</v>
      </c>
      <c r="AJ308" s="10">
        <v>0</v>
      </c>
      <c r="AK308" s="10">
        <v>0</v>
      </c>
      <c r="AL308" s="10">
        <v>0</v>
      </c>
      <c r="AM308" s="10">
        <v>0</v>
      </c>
      <c r="AN308" s="10">
        <v>0</v>
      </c>
      <c r="AO308" s="10">
        <v>0</v>
      </c>
      <c r="AP308" s="10">
        <v>0</v>
      </c>
      <c r="AQ308" s="26">
        <f t="shared" si="14"/>
        <v>0</v>
      </c>
    </row>
    <row r="309" spans="1:43" ht="17.25" customHeight="1" x14ac:dyDescent="0.45">
      <c r="A309" s="2" t="s">
        <v>11</v>
      </c>
      <c r="B309" s="2" t="s">
        <v>66</v>
      </c>
      <c r="C309" s="2" t="s">
        <v>189</v>
      </c>
      <c r="D309" s="2" t="s">
        <v>68</v>
      </c>
      <c r="E309" s="23">
        <v>49</v>
      </c>
      <c r="F309" s="1">
        <v>45</v>
      </c>
      <c r="G309" s="1">
        <v>49</v>
      </c>
      <c r="H309" s="1">
        <v>30</v>
      </c>
      <c r="I309" s="1">
        <v>31</v>
      </c>
      <c r="J309" s="1">
        <v>34</v>
      </c>
      <c r="K309" s="1">
        <v>31</v>
      </c>
      <c r="L309" s="1">
        <v>31</v>
      </c>
      <c r="M309" s="1">
        <v>30</v>
      </c>
      <c r="N309" s="1">
        <v>31</v>
      </c>
      <c r="O309" s="1">
        <v>30</v>
      </c>
      <c r="P309" s="1">
        <v>48</v>
      </c>
      <c r="Q309" s="24">
        <f t="shared" si="12"/>
        <v>439</v>
      </c>
      <c r="R309" s="23">
        <v>9769</v>
      </c>
      <c r="S309" s="1">
        <v>8424</v>
      </c>
      <c r="T309" s="1">
        <v>8635</v>
      </c>
      <c r="U309" s="1">
        <v>6493</v>
      </c>
      <c r="V309" s="1">
        <v>6936</v>
      </c>
      <c r="W309" s="1">
        <v>6159</v>
      </c>
      <c r="X309" s="1">
        <v>6901</v>
      </c>
      <c r="Y309" s="1">
        <v>6882</v>
      </c>
      <c r="Z309" s="1">
        <v>6354</v>
      </c>
      <c r="AA309" s="1">
        <v>6707</v>
      </c>
      <c r="AB309" s="1">
        <v>5285</v>
      </c>
      <c r="AC309" s="1">
        <v>7381</v>
      </c>
      <c r="AD309" s="24">
        <f t="shared" si="13"/>
        <v>85926</v>
      </c>
      <c r="AE309" s="23">
        <v>0</v>
      </c>
      <c r="AF309" s="1">
        <v>0</v>
      </c>
      <c r="AG309" s="1">
        <v>0</v>
      </c>
      <c r="AH309" s="1">
        <v>0</v>
      </c>
      <c r="AI309" s="1">
        <v>0</v>
      </c>
      <c r="AJ309" s="1">
        <v>0</v>
      </c>
      <c r="AK309" s="1">
        <v>0</v>
      </c>
      <c r="AL309" s="1">
        <v>0</v>
      </c>
      <c r="AM309" s="1">
        <v>0</v>
      </c>
      <c r="AN309" s="1">
        <v>0</v>
      </c>
      <c r="AO309" s="1">
        <v>0</v>
      </c>
      <c r="AP309" s="1">
        <v>0</v>
      </c>
      <c r="AQ309" s="24">
        <f t="shared" si="14"/>
        <v>0</v>
      </c>
    </row>
    <row r="310" spans="1:43" ht="17.25" customHeight="1" x14ac:dyDescent="0.45">
      <c r="A310" s="12" t="s">
        <v>11</v>
      </c>
      <c r="B310" s="12" t="s">
        <v>66</v>
      </c>
      <c r="C310" s="12" t="s">
        <v>135</v>
      </c>
      <c r="D310" s="12" t="s">
        <v>68</v>
      </c>
      <c r="E310" s="25">
        <v>26</v>
      </c>
      <c r="F310" s="10">
        <v>25</v>
      </c>
      <c r="G310" s="10">
        <v>27</v>
      </c>
      <c r="H310" s="10">
        <v>17</v>
      </c>
      <c r="I310" s="10">
        <v>18</v>
      </c>
      <c r="J310" s="10">
        <v>25</v>
      </c>
      <c r="K310" s="10">
        <v>26</v>
      </c>
      <c r="L310" s="10">
        <v>27</v>
      </c>
      <c r="M310" s="10">
        <v>25</v>
      </c>
      <c r="N310" s="10">
        <v>23</v>
      </c>
      <c r="O310" s="10">
        <v>26</v>
      </c>
      <c r="P310" s="10">
        <v>52</v>
      </c>
      <c r="Q310" s="26">
        <f t="shared" si="12"/>
        <v>317</v>
      </c>
      <c r="R310" s="25">
        <v>4140</v>
      </c>
      <c r="S310" s="10">
        <v>3155</v>
      </c>
      <c r="T310" s="10">
        <v>4020</v>
      </c>
      <c r="U310" s="10">
        <v>2913</v>
      </c>
      <c r="V310" s="10">
        <v>2746</v>
      </c>
      <c r="W310" s="10">
        <v>3293</v>
      </c>
      <c r="X310" s="10">
        <v>4985</v>
      </c>
      <c r="Y310" s="10">
        <v>4608</v>
      </c>
      <c r="Z310" s="10">
        <v>3960</v>
      </c>
      <c r="AA310" s="10">
        <v>3555</v>
      </c>
      <c r="AB310" s="10">
        <v>3740</v>
      </c>
      <c r="AC310" s="10">
        <v>6283</v>
      </c>
      <c r="AD310" s="26">
        <f t="shared" si="13"/>
        <v>47398</v>
      </c>
      <c r="AE310" s="25">
        <v>0</v>
      </c>
      <c r="AF310" s="10">
        <v>0</v>
      </c>
      <c r="AG310" s="10">
        <v>0</v>
      </c>
      <c r="AH310" s="10">
        <v>0</v>
      </c>
      <c r="AI310" s="10">
        <v>0</v>
      </c>
      <c r="AJ310" s="10">
        <v>0</v>
      </c>
      <c r="AK310" s="10">
        <v>0</v>
      </c>
      <c r="AL310" s="10">
        <v>0</v>
      </c>
      <c r="AM310" s="10">
        <v>0</v>
      </c>
      <c r="AN310" s="10">
        <v>0</v>
      </c>
      <c r="AO310" s="10">
        <v>0</v>
      </c>
      <c r="AP310" s="10">
        <v>0</v>
      </c>
      <c r="AQ310" s="26">
        <f t="shared" si="14"/>
        <v>0</v>
      </c>
    </row>
    <row r="311" spans="1:43" ht="17.25" customHeight="1" x14ac:dyDescent="0.45">
      <c r="A311" s="2" t="s">
        <v>11</v>
      </c>
      <c r="B311" s="2" t="s">
        <v>66</v>
      </c>
      <c r="C311" s="2" t="s">
        <v>137</v>
      </c>
      <c r="D311" s="2" t="s">
        <v>138</v>
      </c>
      <c r="E311" s="23">
        <v>14</v>
      </c>
      <c r="F311" s="1">
        <v>16</v>
      </c>
      <c r="G311" s="1">
        <v>18</v>
      </c>
      <c r="H311" s="1">
        <v>17</v>
      </c>
      <c r="I311" s="1">
        <v>17</v>
      </c>
      <c r="J311" s="1">
        <v>17</v>
      </c>
      <c r="K311" s="1">
        <v>18</v>
      </c>
      <c r="L311" s="1">
        <v>19</v>
      </c>
      <c r="M311" s="1">
        <v>18</v>
      </c>
      <c r="N311" s="1">
        <v>21</v>
      </c>
      <c r="O311" s="1">
        <v>22</v>
      </c>
      <c r="P311" s="1">
        <v>21</v>
      </c>
      <c r="Q311" s="24">
        <f t="shared" si="12"/>
        <v>218</v>
      </c>
      <c r="R311" s="23">
        <v>1886</v>
      </c>
      <c r="S311" s="1">
        <v>2208</v>
      </c>
      <c r="T311" s="1">
        <v>2741</v>
      </c>
      <c r="U311" s="1">
        <v>2390</v>
      </c>
      <c r="V311" s="1">
        <v>2357</v>
      </c>
      <c r="W311" s="1">
        <v>2439</v>
      </c>
      <c r="X311" s="1">
        <v>2686</v>
      </c>
      <c r="Y311" s="1">
        <v>2712</v>
      </c>
      <c r="Z311" s="1">
        <v>2427</v>
      </c>
      <c r="AA311" s="1">
        <v>2904</v>
      </c>
      <c r="AB311" s="1">
        <v>3219</v>
      </c>
      <c r="AC311" s="1">
        <v>3193</v>
      </c>
      <c r="AD311" s="24">
        <f t="shared" si="13"/>
        <v>31162</v>
      </c>
      <c r="AE311" s="23">
        <v>9268</v>
      </c>
      <c r="AF311" s="1">
        <v>9948</v>
      </c>
      <c r="AG311" s="1">
        <v>21486</v>
      </c>
      <c r="AH311" s="1">
        <v>12723</v>
      </c>
      <c r="AI311" s="1">
        <v>7026</v>
      </c>
      <c r="AJ311" s="1">
        <v>12667</v>
      </c>
      <c r="AK311" s="1">
        <v>13906</v>
      </c>
      <c r="AL311" s="1">
        <v>16691</v>
      </c>
      <c r="AM311" s="1">
        <v>12717</v>
      </c>
      <c r="AN311" s="1">
        <v>10828</v>
      </c>
      <c r="AO311" s="1">
        <v>14752</v>
      </c>
      <c r="AP311" s="1">
        <v>13342</v>
      </c>
      <c r="AQ311" s="24">
        <f t="shared" si="14"/>
        <v>155354</v>
      </c>
    </row>
    <row r="312" spans="1:43" ht="17.25" customHeight="1" x14ac:dyDescent="0.45">
      <c r="A312" s="12" t="s">
        <v>11</v>
      </c>
      <c r="B312" s="12" t="s">
        <v>66</v>
      </c>
      <c r="C312" s="12" t="s">
        <v>139</v>
      </c>
      <c r="D312" s="12" t="s">
        <v>140</v>
      </c>
      <c r="E312" s="25">
        <v>4</v>
      </c>
      <c r="F312" s="10">
        <v>4</v>
      </c>
      <c r="G312" s="10">
        <v>3</v>
      </c>
      <c r="H312" s="10">
        <v>4</v>
      </c>
      <c r="I312" s="10">
        <v>5</v>
      </c>
      <c r="J312" s="10">
        <v>4</v>
      </c>
      <c r="K312" s="10">
        <v>9</v>
      </c>
      <c r="L312" s="10">
        <v>4</v>
      </c>
      <c r="M312" s="10">
        <v>3</v>
      </c>
      <c r="N312" s="10">
        <v>4</v>
      </c>
      <c r="O312" s="10">
        <v>8</v>
      </c>
      <c r="P312" s="10">
        <v>4</v>
      </c>
      <c r="Q312" s="26">
        <f t="shared" si="12"/>
        <v>56</v>
      </c>
      <c r="R312" s="25">
        <v>0</v>
      </c>
      <c r="S312" s="10">
        <v>0</v>
      </c>
      <c r="T312" s="10">
        <v>0</v>
      </c>
      <c r="U312" s="10">
        <v>0</v>
      </c>
      <c r="V312" s="10">
        <v>0</v>
      </c>
      <c r="W312" s="10">
        <v>0</v>
      </c>
      <c r="X312" s="10">
        <v>0</v>
      </c>
      <c r="Y312" s="10">
        <v>0</v>
      </c>
      <c r="Z312" s="10">
        <v>0</v>
      </c>
      <c r="AA312" s="10">
        <v>0</v>
      </c>
      <c r="AB312" s="10">
        <v>0</v>
      </c>
      <c r="AC312" s="10">
        <v>0</v>
      </c>
      <c r="AD312" s="26">
        <f t="shared" si="13"/>
        <v>0</v>
      </c>
      <c r="AE312" s="25">
        <v>6597</v>
      </c>
      <c r="AF312" s="10">
        <v>20878</v>
      </c>
      <c r="AG312" s="10">
        <v>37938</v>
      </c>
      <c r="AH312" s="10">
        <v>73312</v>
      </c>
      <c r="AI312" s="10">
        <v>82226</v>
      </c>
      <c r="AJ312" s="10">
        <v>193047</v>
      </c>
      <c r="AK312" s="10">
        <v>137426</v>
      </c>
      <c r="AL312" s="10">
        <v>89184</v>
      </c>
      <c r="AM312" s="10">
        <v>42288</v>
      </c>
      <c r="AN312" s="10">
        <v>90597</v>
      </c>
      <c r="AO312" s="10">
        <v>76249</v>
      </c>
      <c r="AP312" s="10">
        <v>140000</v>
      </c>
      <c r="AQ312" s="26">
        <f t="shared" si="14"/>
        <v>989742</v>
      </c>
    </row>
    <row r="313" spans="1:43" ht="17.25" customHeight="1" x14ac:dyDescent="0.45">
      <c r="A313" s="2" t="s">
        <v>11</v>
      </c>
      <c r="B313" s="2" t="s">
        <v>66</v>
      </c>
      <c r="C313" s="2" t="s">
        <v>142</v>
      </c>
      <c r="D313" s="2" t="s">
        <v>68</v>
      </c>
      <c r="E313" s="23">
        <v>62</v>
      </c>
      <c r="F313" s="1">
        <v>72</v>
      </c>
      <c r="G313" s="1">
        <v>93</v>
      </c>
      <c r="H313" s="1">
        <v>90</v>
      </c>
      <c r="I313" s="1">
        <v>92</v>
      </c>
      <c r="J313" s="1">
        <v>94</v>
      </c>
      <c r="K313" s="1">
        <v>97</v>
      </c>
      <c r="L313" s="1">
        <v>97</v>
      </c>
      <c r="M313" s="1">
        <v>66</v>
      </c>
      <c r="N313" s="1">
        <v>67</v>
      </c>
      <c r="O313" s="1">
        <v>88</v>
      </c>
      <c r="P313" s="1">
        <v>106</v>
      </c>
      <c r="Q313" s="24">
        <f t="shared" si="12"/>
        <v>1024</v>
      </c>
      <c r="R313" s="23">
        <v>9176</v>
      </c>
      <c r="S313" s="1">
        <v>8381</v>
      </c>
      <c r="T313" s="1">
        <v>8791</v>
      </c>
      <c r="U313" s="1">
        <v>8494</v>
      </c>
      <c r="V313" s="1">
        <v>8338</v>
      </c>
      <c r="W313" s="1">
        <v>7918</v>
      </c>
      <c r="X313" s="1">
        <v>9865</v>
      </c>
      <c r="Y313" s="1">
        <v>8862</v>
      </c>
      <c r="Z313" s="1">
        <v>6912</v>
      </c>
      <c r="AA313" s="1">
        <v>7529</v>
      </c>
      <c r="AB313" s="1">
        <v>7834</v>
      </c>
      <c r="AC313" s="1">
        <v>9446</v>
      </c>
      <c r="AD313" s="24">
        <f t="shared" si="13"/>
        <v>101546</v>
      </c>
      <c r="AE313" s="23">
        <v>0</v>
      </c>
      <c r="AF313" s="1">
        <v>5.8967008100000005</v>
      </c>
      <c r="AG313" s="1">
        <v>0</v>
      </c>
      <c r="AH313" s="1">
        <v>0</v>
      </c>
      <c r="AI313" s="1">
        <v>0</v>
      </c>
      <c r="AJ313" s="1">
        <v>0</v>
      </c>
      <c r="AK313" s="1">
        <v>0</v>
      </c>
      <c r="AL313" s="1">
        <v>0</v>
      </c>
      <c r="AM313" s="1">
        <v>0</v>
      </c>
      <c r="AN313" s="1">
        <v>0</v>
      </c>
      <c r="AO313" s="1">
        <v>0</v>
      </c>
      <c r="AP313" s="1">
        <v>0</v>
      </c>
      <c r="AQ313" s="24">
        <f t="shared" si="14"/>
        <v>5.8967008100000005</v>
      </c>
    </row>
    <row r="314" spans="1:43" ht="17.25" customHeight="1" x14ac:dyDescent="0.45">
      <c r="A314" s="12" t="s">
        <v>11</v>
      </c>
      <c r="B314" s="12" t="s">
        <v>66</v>
      </c>
      <c r="C314" s="12" t="s">
        <v>143</v>
      </c>
      <c r="D314" s="12" t="s">
        <v>68</v>
      </c>
      <c r="E314" s="25">
        <v>49</v>
      </c>
      <c r="F314" s="10">
        <v>46</v>
      </c>
      <c r="G314" s="10">
        <v>49</v>
      </c>
      <c r="H314" s="10">
        <v>32</v>
      </c>
      <c r="I314" s="10">
        <v>35</v>
      </c>
      <c r="J314" s="10">
        <v>34</v>
      </c>
      <c r="K314" s="10">
        <v>36</v>
      </c>
      <c r="L314" s="10">
        <v>35</v>
      </c>
      <c r="M314" s="10">
        <v>34</v>
      </c>
      <c r="N314" s="10">
        <v>36</v>
      </c>
      <c r="O314" s="10">
        <v>34</v>
      </c>
      <c r="P314" s="10">
        <v>40</v>
      </c>
      <c r="Q314" s="26">
        <f t="shared" si="12"/>
        <v>460</v>
      </c>
      <c r="R314" s="25">
        <v>8036</v>
      </c>
      <c r="S314" s="10">
        <v>6523</v>
      </c>
      <c r="T314" s="10">
        <v>6814</v>
      </c>
      <c r="U314" s="10">
        <v>5345</v>
      </c>
      <c r="V314" s="10">
        <v>5653</v>
      </c>
      <c r="W314" s="10">
        <v>5351</v>
      </c>
      <c r="X314" s="10">
        <v>6012</v>
      </c>
      <c r="Y314" s="10">
        <v>5782</v>
      </c>
      <c r="Z314" s="10">
        <v>4560</v>
      </c>
      <c r="AA314" s="10">
        <v>4344</v>
      </c>
      <c r="AB314" s="10">
        <v>4027</v>
      </c>
      <c r="AC314" s="10">
        <v>5247</v>
      </c>
      <c r="AD314" s="26">
        <f t="shared" si="13"/>
        <v>67694</v>
      </c>
      <c r="AE314" s="25">
        <v>0</v>
      </c>
      <c r="AF314" s="10">
        <v>0</v>
      </c>
      <c r="AG314" s="10">
        <v>0</v>
      </c>
      <c r="AH314" s="10">
        <v>0</v>
      </c>
      <c r="AI314" s="10">
        <v>0</v>
      </c>
      <c r="AJ314" s="10">
        <v>0</v>
      </c>
      <c r="AK314" s="10">
        <v>0</v>
      </c>
      <c r="AL314" s="10">
        <v>0</v>
      </c>
      <c r="AM314" s="10">
        <v>0</v>
      </c>
      <c r="AN314" s="10">
        <v>0</v>
      </c>
      <c r="AO314" s="10">
        <v>0</v>
      </c>
      <c r="AP314" s="10">
        <v>0</v>
      </c>
      <c r="AQ314" s="26">
        <f t="shared" si="14"/>
        <v>0</v>
      </c>
    </row>
    <row r="315" spans="1:43" ht="17.25" customHeight="1" x14ac:dyDescent="0.45">
      <c r="A315" s="2" t="s">
        <v>11</v>
      </c>
      <c r="B315" s="2" t="s">
        <v>66</v>
      </c>
      <c r="C315" s="2" t="s">
        <v>190</v>
      </c>
      <c r="D315" s="2" t="s">
        <v>68</v>
      </c>
      <c r="E315" s="23">
        <v>23</v>
      </c>
      <c r="F315" s="1">
        <v>21</v>
      </c>
      <c r="G315" s="1">
        <v>20</v>
      </c>
      <c r="H315" s="1">
        <v>22</v>
      </c>
      <c r="I315" s="1">
        <v>23</v>
      </c>
      <c r="J315" s="1">
        <v>20</v>
      </c>
      <c r="K315" s="1">
        <v>23</v>
      </c>
      <c r="L315" s="1">
        <v>22</v>
      </c>
      <c r="M315" s="1">
        <v>21</v>
      </c>
      <c r="N315" s="1">
        <v>23</v>
      </c>
      <c r="O315" s="1">
        <v>21</v>
      </c>
      <c r="P315" s="1">
        <v>22</v>
      </c>
      <c r="Q315" s="24">
        <f t="shared" si="12"/>
        <v>261</v>
      </c>
      <c r="R315" s="23">
        <v>4029</v>
      </c>
      <c r="S315" s="1">
        <v>3334</v>
      </c>
      <c r="T315" s="1">
        <v>2832</v>
      </c>
      <c r="U315" s="1">
        <v>3243</v>
      </c>
      <c r="V315" s="1">
        <v>3021</v>
      </c>
      <c r="W315" s="1">
        <v>2368</v>
      </c>
      <c r="X315" s="1">
        <v>3422</v>
      </c>
      <c r="Y315" s="1">
        <v>3221</v>
      </c>
      <c r="Z315" s="1">
        <v>2255</v>
      </c>
      <c r="AA315" s="1">
        <v>2399</v>
      </c>
      <c r="AB315" s="1">
        <v>2116</v>
      </c>
      <c r="AC315" s="1">
        <v>2633</v>
      </c>
      <c r="AD315" s="24">
        <f t="shared" si="13"/>
        <v>34873</v>
      </c>
      <c r="AE315" s="23">
        <v>0</v>
      </c>
      <c r="AF315" s="1">
        <v>0</v>
      </c>
      <c r="AG315" s="1">
        <v>0</v>
      </c>
      <c r="AH315" s="1">
        <v>0</v>
      </c>
      <c r="AI315" s="1">
        <v>0</v>
      </c>
      <c r="AJ315" s="1">
        <v>0</v>
      </c>
      <c r="AK315" s="1">
        <v>0</v>
      </c>
      <c r="AL315" s="1">
        <v>0</v>
      </c>
      <c r="AM315" s="1">
        <v>0</v>
      </c>
      <c r="AN315" s="1">
        <v>0</v>
      </c>
      <c r="AO315" s="1">
        <v>0</v>
      </c>
      <c r="AP315" s="1">
        <v>0</v>
      </c>
      <c r="AQ315" s="24">
        <f t="shared" si="14"/>
        <v>0</v>
      </c>
    </row>
    <row r="316" spans="1:43" ht="17.25" customHeight="1" x14ac:dyDescent="0.45">
      <c r="A316" s="12" t="s">
        <v>11</v>
      </c>
      <c r="B316" s="12" t="s">
        <v>66</v>
      </c>
      <c r="C316" s="12" t="s">
        <v>176</v>
      </c>
      <c r="D316" s="12" t="s">
        <v>68</v>
      </c>
      <c r="E316" s="25">
        <v>96</v>
      </c>
      <c r="F316" s="10">
        <v>79</v>
      </c>
      <c r="G316" s="10">
        <v>84</v>
      </c>
      <c r="H316" s="10">
        <v>57</v>
      </c>
      <c r="I316" s="10">
        <v>60</v>
      </c>
      <c r="J316" s="10">
        <v>76</v>
      </c>
      <c r="K316" s="10">
        <v>97</v>
      </c>
      <c r="L316" s="10">
        <v>85</v>
      </c>
      <c r="M316" s="10">
        <v>47</v>
      </c>
      <c r="N316" s="10">
        <v>54</v>
      </c>
      <c r="O316" s="10">
        <v>77</v>
      </c>
      <c r="P316" s="10">
        <v>92</v>
      </c>
      <c r="Q316" s="26">
        <f t="shared" si="12"/>
        <v>904</v>
      </c>
      <c r="R316" s="25">
        <v>15990</v>
      </c>
      <c r="S316" s="10">
        <v>13102</v>
      </c>
      <c r="T316" s="10">
        <v>12603</v>
      </c>
      <c r="U316" s="10">
        <v>9534</v>
      </c>
      <c r="V316" s="10">
        <v>10031</v>
      </c>
      <c r="W316" s="10">
        <v>10468</v>
      </c>
      <c r="X316" s="10">
        <v>15150</v>
      </c>
      <c r="Y316" s="10">
        <v>13607</v>
      </c>
      <c r="Z316" s="10">
        <v>7704</v>
      </c>
      <c r="AA316" s="10">
        <v>8335</v>
      </c>
      <c r="AB316" s="10">
        <v>9678</v>
      </c>
      <c r="AC316" s="10">
        <v>11955</v>
      </c>
      <c r="AD316" s="26">
        <f t="shared" si="13"/>
        <v>138157</v>
      </c>
      <c r="AE316" s="25">
        <v>173</v>
      </c>
      <c r="AF316" s="10">
        <v>119</v>
      </c>
      <c r="AG316" s="10">
        <v>49</v>
      </c>
      <c r="AH316" s="10">
        <v>34</v>
      </c>
      <c r="AI316" s="10">
        <v>0</v>
      </c>
      <c r="AJ316" s="10">
        <v>0</v>
      </c>
      <c r="AK316" s="10">
        <v>54</v>
      </c>
      <c r="AL316" s="10">
        <v>56</v>
      </c>
      <c r="AM316" s="10">
        <v>0</v>
      </c>
      <c r="AN316" s="10">
        <v>0</v>
      </c>
      <c r="AO316" s="10">
        <v>17</v>
      </c>
      <c r="AP316" s="10">
        <v>22</v>
      </c>
      <c r="AQ316" s="26">
        <f t="shared" si="14"/>
        <v>524</v>
      </c>
    </row>
    <row r="317" spans="1:43" ht="17.25" customHeight="1" x14ac:dyDescent="0.45">
      <c r="A317" s="2" t="s">
        <v>11</v>
      </c>
      <c r="B317" s="2" t="s">
        <v>66</v>
      </c>
      <c r="C317" s="2" t="s">
        <v>148</v>
      </c>
      <c r="D317" s="2" t="s">
        <v>68</v>
      </c>
      <c r="E317" s="23">
        <v>26</v>
      </c>
      <c r="F317" s="1">
        <v>29</v>
      </c>
      <c r="G317" s="1">
        <v>31</v>
      </c>
      <c r="H317" s="1">
        <v>30</v>
      </c>
      <c r="I317" s="1">
        <v>31</v>
      </c>
      <c r="J317" s="1">
        <v>30</v>
      </c>
      <c r="K317" s="1">
        <v>31</v>
      </c>
      <c r="L317" s="1">
        <v>27</v>
      </c>
      <c r="M317" s="1">
        <v>22</v>
      </c>
      <c r="N317" s="1">
        <v>23</v>
      </c>
      <c r="O317" s="1">
        <v>30</v>
      </c>
      <c r="P317" s="1">
        <v>31</v>
      </c>
      <c r="Q317" s="24">
        <f t="shared" si="12"/>
        <v>341</v>
      </c>
      <c r="R317" s="23">
        <v>3638</v>
      </c>
      <c r="S317" s="1">
        <v>4206</v>
      </c>
      <c r="T317" s="1">
        <v>4106</v>
      </c>
      <c r="U317" s="1">
        <v>4233</v>
      </c>
      <c r="V317" s="1">
        <v>4417</v>
      </c>
      <c r="W317" s="1">
        <v>4275</v>
      </c>
      <c r="X317" s="1">
        <v>4749</v>
      </c>
      <c r="Y317" s="1">
        <v>4048</v>
      </c>
      <c r="Z317" s="1">
        <v>2669</v>
      </c>
      <c r="AA317" s="1">
        <v>2783</v>
      </c>
      <c r="AB317" s="1">
        <v>3397</v>
      </c>
      <c r="AC317" s="1">
        <v>3683</v>
      </c>
      <c r="AD317" s="24">
        <f t="shared" si="13"/>
        <v>46204</v>
      </c>
      <c r="AE317" s="23">
        <v>17</v>
      </c>
      <c r="AF317" s="1">
        <v>0</v>
      </c>
      <c r="AG317" s="1">
        <v>0</v>
      </c>
      <c r="AH317" s="1">
        <v>0</v>
      </c>
      <c r="AI317" s="1">
        <v>0</v>
      </c>
      <c r="AJ317" s="1">
        <v>0</v>
      </c>
      <c r="AK317" s="1">
        <v>50</v>
      </c>
      <c r="AL317" s="1">
        <v>0</v>
      </c>
      <c r="AM317" s="1">
        <v>0</v>
      </c>
      <c r="AN317" s="1">
        <v>0</v>
      </c>
      <c r="AO317" s="1">
        <v>0</v>
      </c>
      <c r="AP317" s="1">
        <v>0</v>
      </c>
      <c r="AQ317" s="24">
        <f t="shared" si="14"/>
        <v>67</v>
      </c>
    </row>
    <row r="318" spans="1:43" ht="17.25" customHeight="1" x14ac:dyDescent="0.45">
      <c r="A318" s="12" t="s">
        <v>11</v>
      </c>
      <c r="B318" s="12" t="s">
        <v>66</v>
      </c>
      <c r="C318" s="12" t="s">
        <v>149</v>
      </c>
      <c r="D318" s="12" t="s">
        <v>68</v>
      </c>
      <c r="E318" s="25">
        <v>44</v>
      </c>
      <c r="F318" s="10">
        <v>41</v>
      </c>
      <c r="G318" s="10">
        <v>44</v>
      </c>
      <c r="H318" s="10">
        <v>31</v>
      </c>
      <c r="I318" s="10">
        <v>35</v>
      </c>
      <c r="J318" s="10">
        <v>39</v>
      </c>
      <c r="K318" s="10">
        <v>40</v>
      </c>
      <c r="L318" s="10">
        <v>39</v>
      </c>
      <c r="M318" s="10">
        <v>39</v>
      </c>
      <c r="N318" s="10">
        <v>40</v>
      </c>
      <c r="O318" s="10">
        <v>38</v>
      </c>
      <c r="P318" s="10">
        <v>63</v>
      </c>
      <c r="Q318" s="26">
        <f t="shared" si="12"/>
        <v>493</v>
      </c>
      <c r="R318" s="25">
        <v>6382</v>
      </c>
      <c r="S318" s="10">
        <v>4680</v>
      </c>
      <c r="T318" s="10">
        <v>6564</v>
      </c>
      <c r="U318" s="10">
        <v>4062</v>
      </c>
      <c r="V318" s="10">
        <v>4842</v>
      </c>
      <c r="W318" s="10">
        <v>5178</v>
      </c>
      <c r="X318" s="10">
        <v>6866</v>
      </c>
      <c r="Y318" s="10">
        <v>5767</v>
      </c>
      <c r="Z318" s="10">
        <v>4937</v>
      </c>
      <c r="AA318" s="10">
        <v>5792</v>
      </c>
      <c r="AB318" s="10">
        <v>5716</v>
      </c>
      <c r="AC318" s="10">
        <v>7991</v>
      </c>
      <c r="AD318" s="26">
        <f t="shared" si="13"/>
        <v>68777</v>
      </c>
      <c r="AE318" s="25">
        <v>0</v>
      </c>
      <c r="AF318" s="10">
        <v>0</v>
      </c>
      <c r="AG318" s="10">
        <v>0</v>
      </c>
      <c r="AH318" s="10">
        <v>0</v>
      </c>
      <c r="AI318" s="10">
        <v>0</v>
      </c>
      <c r="AJ318" s="10">
        <v>0</v>
      </c>
      <c r="AK318" s="10">
        <v>0</v>
      </c>
      <c r="AL318" s="10">
        <v>0</v>
      </c>
      <c r="AM318" s="10">
        <v>0</v>
      </c>
      <c r="AN318" s="10">
        <v>0</v>
      </c>
      <c r="AO318" s="10">
        <v>0</v>
      </c>
      <c r="AP318" s="10">
        <v>0</v>
      </c>
      <c r="AQ318" s="26">
        <f t="shared" si="14"/>
        <v>0</v>
      </c>
    </row>
    <row r="319" spans="1:43" ht="17.25" customHeight="1" x14ac:dyDescent="0.45">
      <c r="A319" s="2" t="s">
        <v>11</v>
      </c>
      <c r="B319" s="2" t="s">
        <v>66</v>
      </c>
      <c r="C319" s="2" t="s">
        <v>151</v>
      </c>
      <c r="D319" s="2" t="s">
        <v>68</v>
      </c>
      <c r="E319" s="23">
        <v>26</v>
      </c>
      <c r="F319" s="1">
        <v>21</v>
      </c>
      <c r="G319" s="1">
        <v>31</v>
      </c>
      <c r="H319" s="1">
        <v>15</v>
      </c>
      <c r="I319" s="1">
        <v>15</v>
      </c>
      <c r="J319" s="1">
        <v>27</v>
      </c>
      <c r="K319" s="1">
        <v>44</v>
      </c>
      <c r="L319" s="1">
        <v>35</v>
      </c>
      <c r="M319" s="1">
        <v>2</v>
      </c>
      <c r="N319" s="1">
        <v>5</v>
      </c>
      <c r="O319" s="1">
        <v>30</v>
      </c>
      <c r="P319" s="1">
        <v>31</v>
      </c>
      <c r="Q319" s="24">
        <f t="shared" si="12"/>
        <v>282</v>
      </c>
      <c r="R319" s="23">
        <v>4013</v>
      </c>
      <c r="S319" s="1">
        <v>2819</v>
      </c>
      <c r="T319" s="1">
        <v>3456</v>
      </c>
      <c r="U319" s="1">
        <v>2052</v>
      </c>
      <c r="V319" s="1">
        <v>1955</v>
      </c>
      <c r="W319" s="1">
        <v>2826</v>
      </c>
      <c r="X319" s="1">
        <v>6505</v>
      </c>
      <c r="Y319" s="1">
        <v>5173</v>
      </c>
      <c r="Z319" s="1">
        <v>310</v>
      </c>
      <c r="AA319" s="1">
        <v>368</v>
      </c>
      <c r="AB319" s="1">
        <v>2534</v>
      </c>
      <c r="AC319" s="1">
        <v>3516</v>
      </c>
      <c r="AD319" s="24">
        <f t="shared" si="13"/>
        <v>35527</v>
      </c>
      <c r="AE319" s="23">
        <v>1910</v>
      </c>
      <c r="AF319" s="1">
        <v>2029</v>
      </c>
      <c r="AG319" s="1">
        <v>932</v>
      </c>
      <c r="AH319" s="1">
        <v>1097</v>
      </c>
      <c r="AI319" s="1">
        <v>2848</v>
      </c>
      <c r="AJ319" s="1">
        <v>508</v>
      </c>
      <c r="AK319" s="1">
        <v>1007</v>
      </c>
      <c r="AL319" s="1">
        <v>433</v>
      </c>
      <c r="AM319" s="1">
        <v>82</v>
      </c>
      <c r="AN319" s="1">
        <v>0</v>
      </c>
      <c r="AO319" s="1">
        <v>629</v>
      </c>
      <c r="AP319" s="1">
        <v>730</v>
      </c>
      <c r="AQ319" s="24">
        <f t="shared" si="14"/>
        <v>12205</v>
      </c>
    </row>
    <row r="320" spans="1:43" ht="17.25" customHeight="1" x14ac:dyDescent="0.45">
      <c r="A320" s="12" t="s">
        <v>11</v>
      </c>
      <c r="B320" s="12" t="s">
        <v>66</v>
      </c>
      <c r="C320" s="12" t="s">
        <v>177</v>
      </c>
      <c r="D320" s="12" t="s">
        <v>68</v>
      </c>
      <c r="E320" s="25">
        <v>106</v>
      </c>
      <c r="F320" s="10">
        <v>97</v>
      </c>
      <c r="G320" s="10">
        <v>86</v>
      </c>
      <c r="H320" s="10">
        <v>74</v>
      </c>
      <c r="I320" s="10">
        <v>84</v>
      </c>
      <c r="J320" s="10">
        <v>85</v>
      </c>
      <c r="K320" s="10">
        <v>88</v>
      </c>
      <c r="L320" s="10">
        <v>79</v>
      </c>
      <c r="M320" s="10">
        <v>60</v>
      </c>
      <c r="N320" s="10">
        <v>71</v>
      </c>
      <c r="O320" s="10">
        <v>85</v>
      </c>
      <c r="P320" s="10">
        <v>88</v>
      </c>
      <c r="Q320" s="26">
        <f t="shared" si="12"/>
        <v>1003</v>
      </c>
      <c r="R320" s="25">
        <v>19132</v>
      </c>
      <c r="S320" s="10">
        <v>16345</v>
      </c>
      <c r="T320" s="10">
        <v>12905</v>
      </c>
      <c r="U320" s="10">
        <v>11458</v>
      </c>
      <c r="V320" s="10">
        <v>12670</v>
      </c>
      <c r="W320" s="10">
        <v>11047</v>
      </c>
      <c r="X320" s="10">
        <v>14808</v>
      </c>
      <c r="Y320" s="10">
        <v>12988</v>
      </c>
      <c r="Z320" s="10">
        <v>8663</v>
      </c>
      <c r="AA320" s="10">
        <v>10444</v>
      </c>
      <c r="AB320" s="10">
        <v>10816</v>
      </c>
      <c r="AC320" s="10">
        <v>10924</v>
      </c>
      <c r="AD320" s="26">
        <f t="shared" si="13"/>
        <v>152200</v>
      </c>
      <c r="AE320" s="25">
        <v>166</v>
      </c>
      <c r="AF320" s="10">
        <v>72</v>
      </c>
      <c r="AG320" s="10">
        <v>46</v>
      </c>
      <c r="AH320" s="10">
        <v>200</v>
      </c>
      <c r="AI320" s="10">
        <v>43</v>
      </c>
      <c r="AJ320" s="10">
        <v>63</v>
      </c>
      <c r="AK320" s="10">
        <v>89</v>
      </c>
      <c r="AL320" s="10">
        <v>118</v>
      </c>
      <c r="AM320" s="10">
        <v>30</v>
      </c>
      <c r="AN320" s="10">
        <v>56</v>
      </c>
      <c r="AO320" s="10">
        <v>56</v>
      </c>
      <c r="AP320" s="10">
        <v>56</v>
      </c>
      <c r="AQ320" s="26">
        <f t="shared" si="14"/>
        <v>995</v>
      </c>
    </row>
    <row r="321" spans="1:43" ht="17.25" customHeight="1" x14ac:dyDescent="0.45">
      <c r="A321" s="2" t="s">
        <v>11</v>
      </c>
      <c r="B321" s="2" t="s">
        <v>66</v>
      </c>
      <c r="C321" s="2" t="s">
        <v>152</v>
      </c>
      <c r="D321" s="2" t="s">
        <v>153</v>
      </c>
      <c r="E321" s="23">
        <v>0</v>
      </c>
      <c r="F321" s="1">
        <v>0</v>
      </c>
      <c r="G321" s="1">
        <v>0</v>
      </c>
      <c r="H321" s="1">
        <v>0</v>
      </c>
      <c r="I321" s="1">
        <v>0</v>
      </c>
      <c r="J321" s="1">
        <v>0</v>
      </c>
      <c r="K321" s="1">
        <v>0</v>
      </c>
      <c r="L321" s="1">
        <v>0</v>
      </c>
      <c r="M321" s="1">
        <v>0</v>
      </c>
      <c r="N321" s="1">
        <v>3</v>
      </c>
      <c r="O321" s="1">
        <v>12</v>
      </c>
      <c r="P321" s="1">
        <v>10</v>
      </c>
      <c r="Q321" s="24">
        <f t="shared" si="12"/>
        <v>25</v>
      </c>
      <c r="R321" s="23">
        <v>0</v>
      </c>
      <c r="S321" s="1">
        <v>0</v>
      </c>
      <c r="T321" s="1">
        <v>0</v>
      </c>
      <c r="U321" s="1">
        <v>0</v>
      </c>
      <c r="V321" s="1">
        <v>0</v>
      </c>
      <c r="W321" s="1">
        <v>0</v>
      </c>
      <c r="X321" s="1">
        <v>0</v>
      </c>
      <c r="Y321" s="1">
        <v>0</v>
      </c>
      <c r="Z321" s="1">
        <v>0</v>
      </c>
      <c r="AA321" s="1">
        <v>153</v>
      </c>
      <c r="AB321" s="1">
        <v>1076</v>
      </c>
      <c r="AC321" s="1">
        <v>1094</v>
      </c>
      <c r="AD321" s="24">
        <f t="shared" si="13"/>
        <v>2323</v>
      </c>
      <c r="AE321" s="23">
        <v>0</v>
      </c>
      <c r="AF321" s="1">
        <v>0</v>
      </c>
      <c r="AG321" s="1">
        <v>0</v>
      </c>
      <c r="AH321" s="1">
        <v>0</v>
      </c>
      <c r="AI321" s="1">
        <v>0</v>
      </c>
      <c r="AJ321" s="1">
        <v>0</v>
      </c>
      <c r="AK321" s="1">
        <v>0</v>
      </c>
      <c r="AL321" s="1">
        <v>0</v>
      </c>
      <c r="AM321" s="1">
        <v>0</v>
      </c>
      <c r="AN321" s="1">
        <v>4478.8</v>
      </c>
      <c r="AO321" s="1">
        <v>5192</v>
      </c>
      <c r="AP321" s="1">
        <v>5192</v>
      </c>
      <c r="AQ321" s="24">
        <f t="shared" si="14"/>
        <v>14862.8</v>
      </c>
    </row>
    <row r="322" spans="1:43" ht="17.25" customHeight="1" x14ac:dyDescent="0.45">
      <c r="A322" s="12" t="s">
        <v>11</v>
      </c>
      <c r="B322" s="12" t="s">
        <v>66</v>
      </c>
      <c r="C322" s="12" t="s">
        <v>161</v>
      </c>
      <c r="D322" s="12" t="s">
        <v>68</v>
      </c>
      <c r="E322" s="25">
        <v>49</v>
      </c>
      <c r="F322" s="10">
        <v>45</v>
      </c>
      <c r="G322" s="10">
        <v>49</v>
      </c>
      <c r="H322" s="10">
        <v>31</v>
      </c>
      <c r="I322" s="10">
        <v>35</v>
      </c>
      <c r="J322" s="10">
        <v>35</v>
      </c>
      <c r="K322" s="10">
        <v>35</v>
      </c>
      <c r="L322" s="10">
        <v>36</v>
      </c>
      <c r="M322" s="10">
        <v>34</v>
      </c>
      <c r="N322" s="10">
        <v>35</v>
      </c>
      <c r="O322" s="10">
        <v>39</v>
      </c>
      <c r="P322" s="10">
        <v>42</v>
      </c>
      <c r="Q322" s="26">
        <f t="shared" si="12"/>
        <v>465</v>
      </c>
      <c r="R322" s="25">
        <v>7618</v>
      </c>
      <c r="S322" s="10">
        <v>6204</v>
      </c>
      <c r="T322" s="10">
        <v>6786</v>
      </c>
      <c r="U322" s="10">
        <v>5160</v>
      </c>
      <c r="V322" s="10">
        <v>5571</v>
      </c>
      <c r="W322" s="10">
        <v>5604</v>
      </c>
      <c r="X322" s="10">
        <v>5850</v>
      </c>
      <c r="Y322" s="10">
        <v>6132</v>
      </c>
      <c r="Z322" s="10">
        <v>5145</v>
      </c>
      <c r="AA322" s="10">
        <v>4473</v>
      </c>
      <c r="AB322" s="10">
        <v>4476</v>
      </c>
      <c r="AC322" s="10">
        <v>5474</v>
      </c>
      <c r="AD322" s="26">
        <f t="shared" si="13"/>
        <v>68493</v>
      </c>
      <c r="AE322" s="25">
        <v>0</v>
      </c>
      <c r="AF322" s="10">
        <v>0</v>
      </c>
      <c r="AG322" s="10">
        <v>0</v>
      </c>
      <c r="AH322" s="10">
        <v>0</v>
      </c>
      <c r="AI322" s="10">
        <v>0</v>
      </c>
      <c r="AJ322" s="10">
        <v>0</v>
      </c>
      <c r="AK322" s="10">
        <v>0</v>
      </c>
      <c r="AL322" s="10">
        <v>0</v>
      </c>
      <c r="AM322" s="10">
        <v>0</v>
      </c>
      <c r="AN322" s="10">
        <v>0</v>
      </c>
      <c r="AO322" s="10">
        <v>0</v>
      </c>
      <c r="AP322" s="10">
        <v>0</v>
      </c>
      <c r="AQ322" s="26">
        <f t="shared" si="14"/>
        <v>0</v>
      </c>
    </row>
    <row r="323" spans="1:43" ht="17.25" customHeight="1" x14ac:dyDescent="0.45">
      <c r="A323" s="2" t="s">
        <v>11</v>
      </c>
      <c r="B323" s="2" t="s">
        <v>66</v>
      </c>
      <c r="C323" s="2" t="s">
        <v>191</v>
      </c>
      <c r="D323" s="2" t="s">
        <v>192</v>
      </c>
      <c r="E323" s="23">
        <v>13</v>
      </c>
      <c r="F323" s="1">
        <v>14</v>
      </c>
      <c r="G323" s="1">
        <v>12</v>
      </c>
      <c r="H323" s="1">
        <v>9</v>
      </c>
      <c r="I323" s="1">
        <v>15</v>
      </c>
      <c r="J323" s="1">
        <v>13</v>
      </c>
      <c r="K323" s="1">
        <v>12</v>
      </c>
      <c r="L323" s="1">
        <v>16</v>
      </c>
      <c r="M323" s="1">
        <v>13</v>
      </c>
      <c r="N323" s="1">
        <v>15</v>
      </c>
      <c r="O323" s="1">
        <v>14</v>
      </c>
      <c r="P323" s="1">
        <v>10</v>
      </c>
      <c r="Q323" s="24">
        <f t="shared" si="12"/>
        <v>156</v>
      </c>
      <c r="R323" s="23">
        <v>0</v>
      </c>
      <c r="S323" s="1">
        <v>0</v>
      </c>
      <c r="T323" s="1">
        <v>0</v>
      </c>
      <c r="U323" s="1">
        <v>0</v>
      </c>
      <c r="V323" s="1">
        <v>0</v>
      </c>
      <c r="W323" s="1">
        <v>0</v>
      </c>
      <c r="X323" s="1">
        <v>0</v>
      </c>
      <c r="Y323" s="1">
        <v>0</v>
      </c>
      <c r="Z323" s="1">
        <v>0</v>
      </c>
      <c r="AA323" s="1">
        <v>0</v>
      </c>
      <c r="AB323" s="1">
        <v>0</v>
      </c>
      <c r="AC323" s="1">
        <v>0</v>
      </c>
      <c r="AD323" s="24">
        <f t="shared" si="13"/>
        <v>0</v>
      </c>
      <c r="AE323" s="23">
        <v>240558.29999999996</v>
      </c>
      <c r="AF323" s="1">
        <v>252139.20000000004</v>
      </c>
      <c r="AG323" s="1">
        <v>251427</v>
      </c>
      <c r="AH323" s="1">
        <v>170075</v>
      </c>
      <c r="AI323" s="1">
        <v>383332.8</v>
      </c>
      <c r="AJ323" s="1">
        <v>240558.30000000002</v>
      </c>
      <c r="AK323" s="1">
        <v>195112.1</v>
      </c>
      <c r="AL323" s="1">
        <v>334759.3600000001</v>
      </c>
      <c r="AM323" s="1">
        <v>240558.30000000002</v>
      </c>
      <c r="AN323" s="1">
        <v>334670.7</v>
      </c>
      <c r="AO323" s="1">
        <v>404588.60000000003</v>
      </c>
      <c r="AP323" s="1">
        <v>257526.78</v>
      </c>
      <c r="AQ323" s="24">
        <f t="shared" si="14"/>
        <v>3305306.4400000004</v>
      </c>
    </row>
    <row r="324" spans="1:43" ht="17.25" customHeight="1" x14ac:dyDescent="0.45">
      <c r="A324" s="12" t="s">
        <v>11</v>
      </c>
      <c r="B324" s="12" t="s">
        <v>66</v>
      </c>
      <c r="C324" s="12" t="s">
        <v>71</v>
      </c>
      <c r="D324" s="12" t="s">
        <v>65</v>
      </c>
      <c r="E324" s="25">
        <v>0</v>
      </c>
      <c r="F324" s="10">
        <v>0</v>
      </c>
      <c r="G324" s="10">
        <v>0</v>
      </c>
      <c r="H324" s="10">
        <v>0</v>
      </c>
      <c r="I324" s="10">
        <v>0</v>
      </c>
      <c r="J324" s="10">
        <v>0</v>
      </c>
      <c r="K324" s="10">
        <v>0</v>
      </c>
      <c r="L324" s="10">
        <v>0</v>
      </c>
      <c r="M324" s="10">
        <v>7</v>
      </c>
      <c r="N324" s="10">
        <v>9</v>
      </c>
      <c r="O324" s="10">
        <v>13</v>
      </c>
      <c r="P324" s="10">
        <v>13</v>
      </c>
      <c r="Q324" s="26">
        <f t="shared" si="12"/>
        <v>42</v>
      </c>
      <c r="R324" s="25">
        <v>0</v>
      </c>
      <c r="S324" s="10">
        <v>0</v>
      </c>
      <c r="T324" s="10">
        <v>0</v>
      </c>
      <c r="U324" s="10">
        <v>0</v>
      </c>
      <c r="V324" s="10">
        <v>0</v>
      </c>
      <c r="W324" s="10">
        <v>0</v>
      </c>
      <c r="X324" s="10">
        <v>0</v>
      </c>
      <c r="Y324" s="10">
        <v>0</v>
      </c>
      <c r="Z324" s="10">
        <v>1086</v>
      </c>
      <c r="AA324" s="10">
        <v>1237</v>
      </c>
      <c r="AB324" s="10">
        <v>1797</v>
      </c>
      <c r="AC324" s="10">
        <v>1802</v>
      </c>
      <c r="AD324" s="26">
        <f t="shared" si="13"/>
        <v>5922</v>
      </c>
      <c r="AE324" s="25">
        <v>0</v>
      </c>
      <c r="AF324" s="10">
        <v>0</v>
      </c>
      <c r="AG324" s="10">
        <v>0</v>
      </c>
      <c r="AH324" s="10">
        <v>0</v>
      </c>
      <c r="AI324" s="10">
        <v>0</v>
      </c>
      <c r="AJ324" s="10">
        <v>0</v>
      </c>
      <c r="AK324" s="10">
        <v>0</v>
      </c>
      <c r="AL324" s="10">
        <v>0</v>
      </c>
      <c r="AM324" s="10">
        <v>0</v>
      </c>
      <c r="AN324" s="10">
        <v>0</v>
      </c>
      <c r="AO324" s="10">
        <v>0</v>
      </c>
      <c r="AP324" s="10">
        <v>0</v>
      </c>
      <c r="AQ324" s="26">
        <f t="shared" si="14"/>
        <v>0</v>
      </c>
    </row>
    <row r="325" spans="1:43" ht="17.25" customHeight="1" x14ac:dyDescent="0.45">
      <c r="A325" s="2" t="s">
        <v>11</v>
      </c>
      <c r="B325" s="2" t="s">
        <v>66</v>
      </c>
      <c r="C325" s="2" t="s">
        <v>165</v>
      </c>
      <c r="D325" s="2" t="s">
        <v>65</v>
      </c>
      <c r="E325" s="23">
        <v>0</v>
      </c>
      <c r="F325" s="1">
        <v>0</v>
      </c>
      <c r="G325" s="1">
        <v>0</v>
      </c>
      <c r="H325" s="1">
        <v>0</v>
      </c>
      <c r="I325" s="1">
        <v>0</v>
      </c>
      <c r="J325" s="1">
        <v>8</v>
      </c>
      <c r="K325" s="1">
        <v>9</v>
      </c>
      <c r="L325" s="1">
        <v>9</v>
      </c>
      <c r="M325" s="1">
        <v>9</v>
      </c>
      <c r="N325" s="1">
        <v>9</v>
      </c>
      <c r="O325" s="1">
        <v>13</v>
      </c>
      <c r="P325" s="1">
        <v>13</v>
      </c>
      <c r="Q325" s="24">
        <f t="shared" si="12"/>
        <v>70</v>
      </c>
      <c r="R325" s="23">
        <v>0</v>
      </c>
      <c r="S325" s="1">
        <v>0</v>
      </c>
      <c r="T325" s="1">
        <v>0</v>
      </c>
      <c r="U325" s="1">
        <v>0</v>
      </c>
      <c r="V325" s="1">
        <v>0</v>
      </c>
      <c r="W325" s="1">
        <v>1366</v>
      </c>
      <c r="X325" s="1">
        <v>1494</v>
      </c>
      <c r="Y325" s="1">
        <v>1533</v>
      </c>
      <c r="Z325" s="1">
        <v>1504</v>
      </c>
      <c r="AA325" s="1">
        <v>1302</v>
      </c>
      <c r="AB325" s="1">
        <v>1693</v>
      </c>
      <c r="AC325" s="1">
        <v>1960</v>
      </c>
      <c r="AD325" s="24">
        <f t="shared" si="13"/>
        <v>10852</v>
      </c>
      <c r="AE325" s="23">
        <v>0</v>
      </c>
      <c r="AF325" s="1">
        <v>0</v>
      </c>
      <c r="AG325" s="1">
        <v>0</v>
      </c>
      <c r="AH325" s="1">
        <v>0</v>
      </c>
      <c r="AI325" s="1">
        <v>0</v>
      </c>
      <c r="AJ325" s="1">
        <v>0</v>
      </c>
      <c r="AK325" s="1">
        <v>0</v>
      </c>
      <c r="AL325" s="1">
        <v>0</v>
      </c>
      <c r="AM325" s="1">
        <v>0</v>
      </c>
      <c r="AN325" s="1">
        <v>0</v>
      </c>
      <c r="AO325" s="1">
        <v>0</v>
      </c>
      <c r="AP325" s="1">
        <v>0</v>
      </c>
      <c r="AQ325" s="24">
        <f t="shared" si="14"/>
        <v>0</v>
      </c>
    </row>
    <row r="326" spans="1:43" ht="17.25" customHeight="1" x14ac:dyDescent="0.45">
      <c r="A326" s="12" t="s">
        <v>108</v>
      </c>
      <c r="B326" s="12" t="s">
        <v>104</v>
      </c>
      <c r="C326" s="12" t="s">
        <v>10</v>
      </c>
      <c r="D326" s="12" t="s">
        <v>66</v>
      </c>
      <c r="E326" s="25">
        <v>41</v>
      </c>
      <c r="F326" s="10">
        <v>29</v>
      </c>
      <c r="G326" s="10">
        <v>31</v>
      </c>
      <c r="H326" s="10">
        <v>30</v>
      </c>
      <c r="I326" s="10">
        <v>31</v>
      </c>
      <c r="J326" s="10">
        <v>30</v>
      </c>
      <c r="K326" s="10">
        <v>30</v>
      </c>
      <c r="L326" s="10">
        <v>30</v>
      </c>
      <c r="M326" s="10">
        <v>30</v>
      </c>
      <c r="N326" s="10">
        <v>32</v>
      </c>
      <c r="O326" s="10">
        <v>30</v>
      </c>
      <c r="P326" s="10">
        <v>31</v>
      </c>
      <c r="Q326" s="26">
        <f t="shared" si="12"/>
        <v>375</v>
      </c>
      <c r="R326" s="25">
        <v>4507</v>
      </c>
      <c r="S326" s="10">
        <v>3528</v>
      </c>
      <c r="T326" s="10">
        <v>3844</v>
      </c>
      <c r="U326" s="10">
        <v>2752</v>
      </c>
      <c r="V326" s="10">
        <v>2818</v>
      </c>
      <c r="W326" s="10">
        <v>2978</v>
      </c>
      <c r="X326" s="10">
        <v>2058</v>
      </c>
      <c r="Y326" s="10">
        <v>2755</v>
      </c>
      <c r="Z326" s="10">
        <v>2823</v>
      </c>
      <c r="AA326" s="10">
        <v>3704</v>
      </c>
      <c r="AB326" s="10">
        <v>4552</v>
      </c>
      <c r="AC326" s="10">
        <v>4932</v>
      </c>
      <c r="AD326" s="26">
        <f t="shared" si="13"/>
        <v>41251</v>
      </c>
      <c r="AE326" s="25">
        <v>0</v>
      </c>
      <c r="AF326" s="10">
        <v>0</v>
      </c>
      <c r="AG326" s="10">
        <v>0</v>
      </c>
      <c r="AH326" s="10">
        <v>0</v>
      </c>
      <c r="AI326" s="10">
        <v>0</v>
      </c>
      <c r="AJ326" s="10">
        <v>82</v>
      </c>
      <c r="AK326" s="10">
        <v>0</v>
      </c>
      <c r="AL326" s="10">
        <v>0</v>
      </c>
      <c r="AM326" s="10">
        <v>0</v>
      </c>
      <c r="AN326" s="10">
        <v>0</v>
      </c>
      <c r="AO326" s="10">
        <v>0</v>
      </c>
      <c r="AP326" s="10">
        <v>75</v>
      </c>
      <c r="AQ326" s="26">
        <f t="shared" si="14"/>
        <v>157</v>
      </c>
    </row>
    <row r="327" spans="1:43" ht="17.25" customHeight="1" x14ac:dyDescent="0.45">
      <c r="A327" s="2" t="s">
        <v>108</v>
      </c>
      <c r="B327" s="2" t="s">
        <v>104</v>
      </c>
      <c r="C327" s="2" t="s">
        <v>23</v>
      </c>
      <c r="D327" s="2" t="s">
        <v>66</v>
      </c>
      <c r="E327" s="23">
        <v>18</v>
      </c>
      <c r="F327" s="1">
        <v>16</v>
      </c>
      <c r="G327" s="1">
        <v>17</v>
      </c>
      <c r="H327" s="1">
        <v>16</v>
      </c>
      <c r="I327" s="1">
        <v>18</v>
      </c>
      <c r="J327" s="1">
        <v>15</v>
      </c>
      <c r="K327" s="1">
        <v>13</v>
      </c>
      <c r="L327" s="1">
        <v>10</v>
      </c>
      <c r="M327" s="1">
        <v>3</v>
      </c>
      <c r="N327" s="1">
        <v>0</v>
      </c>
      <c r="O327" s="1">
        <v>2</v>
      </c>
      <c r="P327" s="1">
        <v>8</v>
      </c>
      <c r="Q327" s="24">
        <f t="shared" si="12"/>
        <v>136</v>
      </c>
      <c r="R327" s="23">
        <v>408</v>
      </c>
      <c r="S327" s="1">
        <v>249</v>
      </c>
      <c r="T327" s="1">
        <v>352</v>
      </c>
      <c r="U327" s="1">
        <v>299</v>
      </c>
      <c r="V327" s="1">
        <v>183</v>
      </c>
      <c r="W327" s="1">
        <v>296</v>
      </c>
      <c r="X327" s="1">
        <v>148</v>
      </c>
      <c r="Y327" s="1">
        <v>179</v>
      </c>
      <c r="Z327" s="1">
        <v>52</v>
      </c>
      <c r="AA327" s="1">
        <v>0</v>
      </c>
      <c r="AB327" s="1">
        <v>31</v>
      </c>
      <c r="AC327" s="1">
        <v>276</v>
      </c>
      <c r="AD327" s="24">
        <f t="shared" si="13"/>
        <v>2473</v>
      </c>
      <c r="AE327" s="23">
        <v>0</v>
      </c>
      <c r="AF327" s="1">
        <v>0</v>
      </c>
      <c r="AG327" s="1">
        <v>0</v>
      </c>
      <c r="AH327" s="1">
        <v>0</v>
      </c>
      <c r="AI327" s="1">
        <v>0</v>
      </c>
      <c r="AJ327" s="1">
        <v>0</v>
      </c>
      <c r="AK327" s="1">
        <v>0</v>
      </c>
      <c r="AL327" s="1">
        <v>0</v>
      </c>
      <c r="AM327" s="1">
        <v>0</v>
      </c>
      <c r="AN327" s="1">
        <v>0</v>
      </c>
      <c r="AO327" s="1">
        <v>0</v>
      </c>
      <c r="AP327" s="1">
        <v>0</v>
      </c>
      <c r="AQ327" s="24">
        <f t="shared" si="14"/>
        <v>0</v>
      </c>
    </row>
    <row r="328" spans="1:43" ht="17.25" customHeight="1" x14ac:dyDescent="0.45">
      <c r="A328" s="12" t="s">
        <v>108</v>
      </c>
      <c r="B328" s="12" t="s">
        <v>104</v>
      </c>
      <c r="C328" s="12" t="s">
        <v>12</v>
      </c>
      <c r="D328" s="12" t="s">
        <v>66</v>
      </c>
      <c r="E328" s="25">
        <v>137</v>
      </c>
      <c r="F328" s="10">
        <v>138</v>
      </c>
      <c r="G328" s="10">
        <v>146</v>
      </c>
      <c r="H328" s="10">
        <v>142</v>
      </c>
      <c r="I328" s="10">
        <v>145</v>
      </c>
      <c r="J328" s="10">
        <v>141</v>
      </c>
      <c r="K328" s="10">
        <v>143</v>
      </c>
      <c r="L328" s="10">
        <v>143</v>
      </c>
      <c r="M328" s="10">
        <v>136</v>
      </c>
      <c r="N328" s="10">
        <v>139</v>
      </c>
      <c r="O328" s="10">
        <v>127</v>
      </c>
      <c r="P328" s="10">
        <v>132</v>
      </c>
      <c r="Q328" s="26">
        <f t="shared" ref="Q328:Q391" si="15">SUM(E328:P328)</f>
        <v>1669</v>
      </c>
      <c r="R328" s="25">
        <v>17571</v>
      </c>
      <c r="S328" s="10">
        <v>15748</v>
      </c>
      <c r="T328" s="10">
        <v>18260</v>
      </c>
      <c r="U328" s="10">
        <v>17803</v>
      </c>
      <c r="V328" s="10">
        <v>17311</v>
      </c>
      <c r="W328" s="10">
        <v>18748</v>
      </c>
      <c r="X328" s="10">
        <v>16850</v>
      </c>
      <c r="Y328" s="10">
        <v>17635</v>
      </c>
      <c r="Z328" s="10">
        <v>15862</v>
      </c>
      <c r="AA328" s="10">
        <v>17700</v>
      </c>
      <c r="AB328" s="10">
        <v>18297</v>
      </c>
      <c r="AC328" s="10">
        <v>17626</v>
      </c>
      <c r="AD328" s="26">
        <f t="shared" ref="AD328:AD391" si="16">SUM(R328:AC328)</f>
        <v>209411</v>
      </c>
      <c r="AE328" s="25">
        <v>114973</v>
      </c>
      <c r="AF328" s="10">
        <v>131203</v>
      </c>
      <c r="AG328" s="10">
        <v>157895</v>
      </c>
      <c r="AH328" s="10">
        <v>162820</v>
      </c>
      <c r="AI328" s="10">
        <v>175675</v>
      </c>
      <c r="AJ328" s="10">
        <v>140571</v>
      </c>
      <c r="AK328" s="10">
        <v>158921</v>
      </c>
      <c r="AL328" s="10">
        <v>170776.78</v>
      </c>
      <c r="AM328" s="10">
        <v>115881</v>
      </c>
      <c r="AN328" s="10">
        <v>128813</v>
      </c>
      <c r="AO328" s="10">
        <v>145772</v>
      </c>
      <c r="AP328" s="10">
        <v>178669</v>
      </c>
      <c r="AQ328" s="26">
        <f t="shared" ref="AQ328:AQ391" si="17">SUM(AE328:AP328)</f>
        <v>1781969.78</v>
      </c>
    </row>
    <row r="329" spans="1:43" ht="17.25" customHeight="1" x14ac:dyDescent="0.45">
      <c r="A329" s="2" t="s">
        <v>108</v>
      </c>
      <c r="B329" s="2" t="s">
        <v>104</v>
      </c>
      <c r="C329" s="2" t="s">
        <v>14</v>
      </c>
      <c r="D329" s="2" t="s">
        <v>66</v>
      </c>
      <c r="E329" s="23">
        <v>14</v>
      </c>
      <c r="F329" s="1">
        <v>14</v>
      </c>
      <c r="G329" s="1">
        <v>13</v>
      </c>
      <c r="H329" s="1">
        <v>12</v>
      </c>
      <c r="I329" s="1">
        <v>13</v>
      </c>
      <c r="J329" s="1">
        <v>16</v>
      </c>
      <c r="K329" s="1">
        <v>12</v>
      </c>
      <c r="L329" s="1">
        <v>16</v>
      </c>
      <c r="M329" s="1">
        <v>17</v>
      </c>
      <c r="N329" s="1">
        <v>16</v>
      </c>
      <c r="O329" s="1">
        <v>15</v>
      </c>
      <c r="P329" s="1">
        <v>14</v>
      </c>
      <c r="Q329" s="24">
        <f t="shared" si="15"/>
        <v>172</v>
      </c>
      <c r="R329" s="23">
        <v>0</v>
      </c>
      <c r="S329" s="1">
        <v>0</v>
      </c>
      <c r="T329" s="1">
        <v>0</v>
      </c>
      <c r="U329" s="1">
        <v>0</v>
      </c>
      <c r="V329" s="1">
        <v>0</v>
      </c>
      <c r="W329" s="1">
        <v>0</v>
      </c>
      <c r="X329" s="1">
        <v>0</v>
      </c>
      <c r="Y329" s="1">
        <v>0</v>
      </c>
      <c r="Z329" s="1">
        <v>0</v>
      </c>
      <c r="AA329" s="1">
        <v>0</v>
      </c>
      <c r="AB329" s="1">
        <v>0</v>
      </c>
      <c r="AC329" s="1">
        <v>0</v>
      </c>
      <c r="AD329" s="24">
        <f t="shared" si="16"/>
        <v>0</v>
      </c>
      <c r="AE329" s="23">
        <v>160762</v>
      </c>
      <c r="AF329" s="1">
        <v>119363</v>
      </c>
      <c r="AG329" s="1">
        <v>138486</v>
      </c>
      <c r="AH329" s="1">
        <v>116746</v>
      </c>
      <c r="AI329" s="1">
        <v>119455</v>
      </c>
      <c r="AJ329" s="1">
        <v>145627</v>
      </c>
      <c r="AK329" s="1">
        <v>134470</v>
      </c>
      <c r="AL329" s="1">
        <v>270367</v>
      </c>
      <c r="AM329" s="1">
        <v>245748</v>
      </c>
      <c r="AN329" s="1">
        <v>242746</v>
      </c>
      <c r="AO329" s="1">
        <v>107034</v>
      </c>
      <c r="AP329" s="1">
        <v>170749</v>
      </c>
      <c r="AQ329" s="24">
        <f t="shared" si="17"/>
        <v>1971553</v>
      </c>
    </row>
    <row r="330" spans="1:43" ht="17.25" customHeight="1" x14ac:dyDescent="0.45">
      <c r="A330" s="12" t="s">
        <v>108</v>
      </c>
      <c r="B330" s="12" t="s">
        <v>104</v>
      </c>
      <c r="C330" s="12" t="s">
        <v>34</v>
      </c>
      <c r="D330" s="12" t="s">
        <v>66</v>
      </c>
      <c r="E330" s="25">
        <v>14</v>
      </c>
      <c r="F330" s="10">
        <v>13</v>
      </c>
      <c r="G330" s="10">
        <v>13</v>
      </c>
      <c r="H330" s="10">
        <v>13</v>
      </c>
      <c r="I330" s="10">
        <v>12</v>
      </c>
      <c r="J330" s="10">
        <v>13</v>
      </c>
      <c r="K330" s="10">
        <v>7</v>
      </c>
      <c r="L330" s="10">
        <v>9</v>
      </c>
      <c r="M330" s="10">
        <v>2</v>
      </c>
      <c r="N330" s="10">
        <v>0</v>
      </c>
      <c r="O330" s="10">
        <v>0</v>
      </c>
      <c r="P330" s="10">
        <v>0</v>
      </c>
      <c r="Q330" s="26">
        <f t="shared" si="15"/>
        <v>96</v>
      </c>
      <c r="R330" s="25">
        <v>130</v>
      </c>
      <c r="S330" s="10">
        <v>108</v>
      </c>
      <c r="T330" s="10">
        <v>142</v>
      </c>
      <c r="U330" s="10">
        <v>142</v>
      </c>
      <c r="V330" s="10">
        <v>142</v>
      </c>
      <c r="W330" s="10">
        <v>142</v>
      </c>
      <c r="X330" s="10">
        <v>87</v>
      </c>
      <c r="Y330" s="10">
        <v>147</v>
      </c>
      <c r="Z330" s="10">
        <v>17</v>
      </c>
      <c r="AA330" s="10">
        <v>0</v>
      </c>
      <c r="AB330" s="10">
        <v>0</v>
      </c>
      <c r="AC330" s="10">
        <v>0</v>
      </c>
      <c r="AD330" s="26">
        <f t="shared" si="16"/>
        <v>1057</v>
      </c>
      <c r="AE330" s="25">
        <v>0</v>
      </c>
      <c r="AF330" s="10">
        <v>0</v>
      </c>
      <c r="AG330" s="10">
        <v>0</v>
      </c>
      <c r="AH330" s="10">
        <v>0</v>
      </c>
      <c r="AI330" s="10">
        <v>0</v>
      </c>
      <c r="AJ330" s="10">
        <v>0</v>
      </c>
      <c r="AK330" s="10">
        <v>0</v>
      </c>
      <c r="AL330" s="10">
        <v>0</v>
      </c>
      <c r="AM330" s="10">
        <v>0</v>
      </c>
      <c r="AN330" s="10">
        <v>0</v>
      </c>
      <c r="AO330" s="10">
        <v>0</v>
      </c>
      <c r="AP330" s="10">
        <v>0</v>
      </c>
      <c r="AQ330" s="26">
        <f t="shared" si="17"/>
        <v>0</v>
      </c>
    </row>
    <row r="331" spans="1:43" ht="17.25" customHeight="1" x14ac:dyDescent="0.45">
      <c r="A331" s="2" t="s">
        <v>109</v>
      </c>
      <c r="B331" s="2" t="s">
        <v>65</v>
      </c>
      <c r="C331" s="2" t="s">
        <v>10</v>
      </c>
      <c r="D331" s="2" t="s">
        <v>66</v>
      </c>
      <c r="E331" s="23">
        <v>20</v>
      </c>
      <c r="F331" s="1">
        <v>23</v>
      </c>
      <c r="G331" s="1">
        <v>27</v>
      </c>
      <c r="H331" s="1">
        <v>26</v>
      </c>
      <c r="I331" s="1">
        <v>8</v>
      </c>
      <c r="J331" s="1">
        <v>1</v>
      </c>
      <c r="K331" s="1">
        <v>0</v>
      </c>
      <c r="L331" s="1">
        <v>0</v>
      </c>
      <c r="M331" s="1">
        <v>0</v>
      </c>
      <c r="N331" s="1">
        <v>0</v>
      </c>
      <c r="O331" s="1">
        <v>10</v>
      </c>
      <c r="P331" s="1">
        <v>24</v>
      </c>
      <c r="Q331" s="24">
        <f t="shared" si="15"/>
        <v>139</v>
      </c>
      <c r="R331" s="23">
        <v>2333</v>
      </c>
      <c r="S331" s="1">
        <v>3622</v>
      </c>
      <c r="T331" s="1">
        <v>4567</v>
      </c>
      <c r="U331" s="1">
        <v>4364</v>
      </c>
      <c r="V331" s="1">
        <v>1113</v>
      </c>
      <c r="W331" s="1">
        <v>50</v>
      </c>
      <c r="X331" s="1">
        <v>0</v>
      </c>
      <c r="Y331" s="1">
        <v>0</v>
      </c>
      <c r="Z331" s="1">
        <v>0</v>
      </c>
      <c r="AA331" s="1">
        <v>0</v>
      </c>
      <c r="AB331" s="1">
        <v>1525</v>
      </c>
      <c r="AC331" s="1">
        <v>3475</v>
      </c>
      <c r="AD331" s="24">
        <f t="shared" si="16"/>
        <v>21049</v>
      </c>
      <c r="AE331" s="23">
        <v>0</v>
      </c>
      <c r="AF331" s="1">
        <v>0</v>
      </c>
      <c r="AG331" s="1">
        <v>0</v>
      </c>
      <c r="AH331" s="1">
        <v>0</v>
      </c>
      <c r="AI331" s="1">
        <v>0</v>
      </c>
      <c r="AJ331" s="1">
        <v>0</v>
      </c>
      <c r="AK331" s="1">
        <v>0</v>
      </c>
      <c r="AL331" s="1">
        <v>0</v>
      </c>
      <c r="AM331" s="1">
        <v>0</v>
      </c>
      <c r="AN331" s="1">
        <v>0</v>
      </c>
      <c r="AO331" s="1">
        <v>0</v>
      </c>
      <c r="AP331" s="1">
        <v>0</v>
      </c>
      <c r="AQ331" s="24">
        <f t="shared" si="17"/>
        <v>0</v>
      </c>
    </row>
    <row r="332" spans="1:43" ht="17.25" customHeight="1" x14ac:dyDescent="0.45">
      <c r="A332" s="12" t="s">
        <v>110</v>
      </c>
      <c r="B332" s="12" t="s">
        <v>65</v>
      </c>
      <c r="C332" s="12" t="s">
        <v>10</v>
      </c>
      <c r="D332" s="12" t="s">
        <v>66</v>
      </c>
      <c r="E332" s="25">
        <v>22</v>
      </c>
      <c r="F332" s="10">
        <v>20</v>
      </c>
      <c r="G332" s="10">
        <v>20</v>
      </c>
      <c r="H332" s="10">
        <v>13</v>
      </c>
      <c r="I332" s="10">
        <v>4</v>
      </c>
      <c r="J332" s="10">
        <v>0</v>
      </c>
      <c r="K332" s="10">
        <v>0</v>
      </c>
      <c r="L332" s="10">
        <v>0</v>
      </c>
      <c r="M332" s="10">
        <v>0</v>
      </c>
      <c r="N332" s="10">
        <v>0</v>
      </c>
      <c r="O332" s="10">
        <v>0</v>
      </c>
      <c r="P332" s="10">
        <v>6</v>
      </c>
      <c r="Q332" s="26">
        <f t="shared" si="15"/>
        <v>85</v>
      </c>
      <c r="R332" s="25">
        <v>2924</v>
      </c>
      <c r="S332" s="10">
        <v>3392</v>
      </c>
      <c r="T332" s="10">
        <v>3023</v>
      </c>
      <c r="U332" s="10">
        <v>1702</v>
      </c>
      <c r="V332" s="10">
        <v>456</v>
      </c>
      <c r="W332" s="10">
        <v>0</v>
      </c>
      <c r="X332" s="10">
        <v>0</v>
      </c>
      <c r="Y332" s="10">
        <v>0</v>
      </c>
      <c r="Z332" s="10">
        <v>0</v>
      </c>
      <c r="AA332" s="10">
        <v>0</v>
      </c>
      <c r="AB332" s="10">
        <v>0</v>
      </c>
      <c r="AC332" s="10">
        <v>1083</v>
      </c>
      <c r="AD332" s="26">
        <f t="shared" si="16"/>
        <v>12580</v>
      </c>
      <c r="AE332" s="25">
        <v>0</v>
      </c>
      <c r="AF332" s="10">
        <v>0</v>
      </c>
      <c r="AG332" s="10">
        <v>0</v>
      </c>
      <c r="AH332" s="10">
        <v>0</v>
      </c>
      <c r="AI332" s="10">
        <v>0</v>
      </c>
      <c r="AJ332" s="10">
        <v>0</v>
      </c>
      <c r="AK332" s="10">
        <v>0</v>
      </c>
      <c r="AL332" s="10">
        <v>0</v>
      </c>
      <c r="AM332" s="10">
        <v>0</v>
      </c>
      <c r="AN332" s="10">
        <v>0</v>
      </c>
      <c r="AO332" s="10">
        <v>0</v>
      </c>
      <c r="AP332" s="10">
        <v>0</v>
      </c>
      <c r="AQ332" s="26">
        <f t="shared" si="17"/>
        <v>0</v>
      </c>
    </row>
    <row r="333" spans="1:43" ht="17.25" customHeight="1" x14ac:dyDescent="0.45">
      <c r="A333" s="2" t="s">
        <v>379</v>
      </c>
      <c r="B333" s="2" t="s">
        <v>237</v>
      </c>
      <c r="C333" s="2" t="s">
        <v>14</v>
      </c>
      <c r="D333" s="2" t="s">
        <v>66</v>
      </c>
      <c r="E333" s="23">
        <v>0</v>
      </c>
      <c r="F333" s="1">
        <v>0</v>
      </c>
      <c r="G333" s="1">
        <v>0</v>
      </c>
      <c r="H333" s="1">
        <v>0</v>
      </c>
      <c r="I333" s="1">
        <v>1</v>
      </c>
      <c r="J333" s="1">
        <v>13</v>
      </c>
      <c r="K333" s="1">
        <v>12</v>
      </c>
      <c r="L333" s="1">
        <v>14</v>
      </c>
      <c r="M333" s="1">
        <v>13</v>
      </c>
      <c r="N333" s="1">
        <v>13</v>
      </c>
      <c r="O333" s="1">
        <v>13</v>
      </c>
      <c r="P333" s="1">
        <v>14</v>
      </c>
      <c r="Q333" s="24">
        <f t="shared" si="15"/>
        <v>93</v>
      </c>
      <c r="R333" s="23">
        <v>0</v>
      </c>
      <c r="S333" s="1">
        <v>0</v>
      </c>
      <c r="T333" s="1">
        <v>0</v>
      </c>
      <c r="U333" s="1">
        <v>0</v>
      </c>
      <c r="V333" s="1">
        <v>0</v>
      </c>
      <c r="W333" s="1">
        <v>0</v>
      </c>
      <c r="X333" s="1">
        <v>0</v>
      </c>
      <c r="Y333" s="1">
        <v>0</v>
      </c>
      <c r="Z333" s="1">
        <v>0</v>
      </c>
      <c r="AA333" s="1">
        <v>0</v>
      </c>
      <c r="AB333" s="1">
        <v>0</v>
      </c>
      <c r="AC333" s="1">
        <v>0</v>
      </c>
      <c r="AD333" s="24">
        <f t="shared" si="16"/>
        <v>0</v>
      </c>
      <c r="AE333" s="23">
        <v>0</v>
      </c>
      <c r="AF333" s="1">
        <v>0</v>
      </c>
      <c r="AG333" s="1">
        <v>0</v>
      </c>
      <c r="AH333" s="1">
        <v>0</v>
      </c>
      <c r="AI333" s="1">
        <v>56858</v>
      </c>
      <c r="AJ333" s="1">
        <v>735251</v>
      </c>
      <c r="AK333" s="1">
        <v>677241</v>
      </c>
      <c r="AL333" s="1">
        <v>790538</v>
      </c>
      <c r="AM333" s="1">
        <v>731488</v>
      </c>
      <c r="AN333" s="1">
        <v>720433</v>
      </c>
      <c r="AO333" s="1">
        <v>726045</v>
      </c>
      <c r="AP333" s="1">
        <v>779999</v>
      </c>
      <c r="AQ333" s="24">
        <f t="shared" si="17"/>
        <v>5217853</v>
      </c>
    </row>
    <row r="334" spans="1:43" ht="17.25" customHeight="1" x14ac:dyDescent="0.45">
      <c r="A334" s="12" t="s">
        <v>267</v>
      </c>
      <c r="B334" s="12" t="s">
        <v>68</v>
      </c>
      <c r="C334" s="12" t="s">
        <v>10</v>
      </c>
      <c r="D334" s="12" t="s">
        <v>66</v>
      </c>
      <c r="E334" s="25">
        <v>0</v>
      </c>
      <c r="F334" s="10">
        <v>0</v>
      </c>
      <c r="G334" s="10">
        <v>0</v>
      </c>
      <c r="H334" s="10">
        <v>0</v>
      </c>
      <c r="I334" s="10">
        <v>1</v>
      </c>
      <c r="J334" s="10">
        <v>9</v>
      </c>
      <c r="K334" s="10">
        <v>9</v>
      </c>
      <c r="L334" s="10">
        <v>3</v>
      </c>
      <c r="M334" s="10">
        <v>0</v>
      </c>
      <c r="N334" s="10">
        <v>0</v>
      </c>
      <c r="O334" s="10">
        <v>0</v>
      </c>
      <c r="P334" s="10">
        <v>0</v>
      </c>
      <c r="Q334" s="26">
        <f t="shared" si="15"/>
        <v>22</v>
      </c>
      <c r="R334" s="25">
        <v>0</v>
      </c>
      <c r="S334" s="10">
        <v>0</v>
      </c>
      <c r="T334" s="10">
        <v>0</v>
      </c>
      <c r="U334" s="10">
        <v>0</v>
      </c>
      <c r="V334" s="10">
        <v>118</v>
      </c>
      <c r="W334" s="10">
        <v>1379</v>
      </c>
      <c r="X334" s="10">
        <v>1306</v>
      </c>
      <c r="Y334" s="10">
        <v>232</v>
      </c>
      <c r="Z334" s="10">
        <v>0</v>
      </c>
      <c r="AA334" s="10">
        <v>0</v>
      </c>
      <c r="AB334" s="10">
        <v>0</v>
      </c>
      <c r="AC334" s="10">
        <v>0</v>
      </c>
      <c r="AD334" s="26">
        <f t="shared" si="16"/>
        <v>3035</v>
      </c>
      <c r="AE334" s="25">
        <v>0</v>
      </c>
      <c r="AF334" s="10">
        <v>0</v>
      </c>
      <c r="AG334" s="10">
        <v>0</v>
      </c>
      <c r="AH334" s="10">
        <v>0</v>
      </c>
      <c r="AI334" s="10">
        <v>0</v>
      </c>
      <c r="AJ334" s="10">
        <v>0</v>
      </c>
      <c r="AK334" s="10">
        <v>0</v>
      </c>
      <c r="AL334" s="10">
        <v>0</v>
      </c>
      <c r="AM334" s="10">
        <v>0</v>
      </c>
      <c r="AN334" s="10">
        <v>0</v>
      </c>
      <c r="AO334" s="10">
        <v>0</v>
      </c>
      <c r="AP334" s="10">
        <v>0</v>
      </c>
      <c r="AQ334" s="26">
        <f t="shared" si="17"/>
        <v>0</v>
      </c>
    </row>
    <row r="335" spans="1:43" ht="17.25" customHeight="1" x14ac:dyDescent="0.45">
      <c r="A335" s="2" t="s">
        <v>38</v>
      </c>
      <c r="B335" s="2" t="s">
        <v>66</v>
      </c>
      <c r="C335" s="2" t="s">
        <v>142</v>
      </c>
      <c r="D335" s="2" t="s">
        <v>68</v>
      </c>
      <c r="E335" s="23">
        <v>31</v>
      </c>
      <c r="F335" s="1">
        <v>29</v>
      </c>
      <c r="G335" s="1">
        <v>31</v>
      </c>
      <c r="H335" s="1">
        <v>30</v>
      </c>
      <c r="I335" s="1">
        <v>31</v>
      </c>
      <c r="J335" s="1">
        <v>30</v>
      </c>
      <c r="K335" s="1">
        <v>31</v>
      </c>
      <c r="L335" s="1">
        <v>31</v>
      </c>
      <c r="M335" s="1">
        <v>30</v>
      </c>
      <c r="N335" s="1">
        <v>31</v>
      </c>
      <c r="O335" s="1">
        <v>30</v>
      </c>
      <c r="P335" s="1">
        <v>32</v>
      </c>
      <c r="Q335" s="24">
        <f t="shared" si="15"/>
        <v>367</v>
      </c>
      <c r="R335" s="23">
        <v>3233</v>
      </c>
      <c r="S335" s="1">
        <v>2512</v>
      </c>
      <c r="T335" s="1">
        <v>2204</v>
      </c>
      <c r="U335" s="1">
        <v>2082</v>
      </c>
      <c r="V335" s="1">
        <v>2054</v>
      </c>
      <c r="W335" s="1">
        <v>1839</v>
      </c>
      <c r="X335" s="1">
        <v>2095</v>
      </c>
      <c r="Y335" s="1">
        <v>1871</v>
      </c>
      <c r="Z335" s="1">
        <v>1783</v>
      </c>
      <c r="AA335" s="1">
        <v>1979</v>
      </c>
      <c r="AB335" s="1">
        <v>1899</v>
      </c>
      <c r="AC335" s="1">
        <v>2030</v>
      </c>
      <c r="AD335" s="24">
        <f t="shared" si="16"/>
        <v>25581</v>
      </c>
      <c r="AE335" s="23">
        <v>0</v>
      </c>
      <c r="AF335" s="1">
        <v>345.18379357000003</v>
      </c>
      <c r="AG335" s="1">
        <v>0</v>
      </c>
      <c r="AH335" s="1">
        <v>0</v>
      </c>
      <c r="AI335" s="1">
        <v>0</v>
      </c>
      <c r="AJ335" s="1">
        <v>0</v>
      </c>
      <c r="AK335" s="1">
        <v>0</v>
      </c>
      <c r="AL335" s="1">
        <v>0</v>
      </c>
      <c r="AM335" s="1">
        <v>0</v>
      </c>
      <c r="AN335" s="1">
        <v>0</v>
      </c>
      <c r="AO335" s="1">
        <v>0</v>
      </c>
      <c r="AP335" s="1">
        <v>0</v>
      </c>
      <c r="AQ335" s="24">
        <f t="shared" si="17"/>
        <v>345.18379357000003</v>
      </c>
    </row>
    <row r="336" spans="1:43" ht="17.25" customHeight="1" x14ac:dyDescent="0.45">
      <c r="A336" s="12" t="s">
        <v>111</v>
      </c>
      <c r="B336" s="12" t="s">
        <v>96</v>
      </c>
      <c r="C336" s="12" t="s">
        <v>10</v>
      </c>
      <c r="D336" s="12" t="s">
        <v>66</v>
      </c>
      <c r="E336" s="25">
        <v>5</v>
      </c>
      <c r="F336" s="10">
        <v>4</v>
      </c>
      <c r="G336" s="10">
        <v>4</v>
      </c>
      <c r="H336" s="10">
        <v>5</v>
      </c>
      <c r="I336" s="10">
        <v>4</v>
      </c>
      <c r="J336" s="10">
        <v>5</v>
      </c>
      <c r="K336" s="10">
        <v>4</v>
      </c>
      <c r="L336" s="10">
        <v>5</v>
      </c>
      <c r="M336" s="10">
        <v>0</v>
      </c>
      <c r="N336" s="10">
        <v>0</v>
      </c>
      <c r="O336" s="10">
        <v>0</v>
      </c>
      <c r="P336" s="10">
        <v>0</v>
      </c>
      <c r="Q336" s="26">
        <f t="shared" si="15"/>
        <v>36</v>
      </c>
      <c r="R336" s="25">
        <v>413</v>
      </c>
      <c r="S336" s="10">
        <v>259</v>
      </c>
      <c r="T336" s="10">
        <v>187</v>
      </c>
      <c r="U336" s="10">
        <v>266</v>
      </c>
      <c r="V336" s="10">
        <v>251</v>
      </c>
      <c r="W336" s="10">
        <v>254</v>
      </c>
      <c r="X336" s="10">
        <v>217</v>
      </c>
      <c r="Y336" s="10">
        <v>400</v>
      </c>
      <c r="Z336" s="10">
        <v>0</v>
      </c>
      <c r="AA336" s="10">
        <v>0</v>
      </c>
      <c r="AB336" s="10">
        <v>0</v>
      </c>
      <c r="AC336" s="10">
        <v>0</v>
      </c>
      <c r="AD336" s="26">
        <f t="shared" si="16"/>
        <v>2247</v>
      </c>
      <c r="AE336" s="25">
        <v>0</v>
      </c>
      <c r="AF336" s="10">
        <v>0</v>
      </c>
      <c r="AG336" s="10">
        <v>0</v>
      </c>
      <c r="AH336" s="10">
        <v>0</v>
      </c>
      <c r="AI336" s="10">
        <v>0</v>
      </c>
      <c r="AJ336" s="10">
        <v>0</v>
      </c>
      <c r="AK336" s="10">
        <v>0</v>
      </c>
      <c r="AL336" s="10">
        <v>0</v>
      </c>
      <c r="AM336" s="10">
        <v>0</v>
      </c>
      <c r="AN336" s="10">
        <v>0</v>
      </c>
      <c r="AO336" s="10">
        <v>0</v>
      </c>
      <c r="AP336" s="10">
        <v>0</v>
      </c>
      <c r="AQ336" s="26">
        <f t="shared" si="17"/>
        <v>0</v>
      </c>
    </row>
    <row r="337" spans="1:43" ht="17.25" customHeight="1" x14ac:dyDescent="0.45">
      <c r="A337" s="2" t="s">
        <v>182</v>
      </c>
      <c r="B337" s="2" t="s">
        <v>183</v>
      </c>
      <c r="C337" s="2" t="s">
        <v>11</v>
      </c>
      <c r="D337" s="2" t="s">
        <v>66</v>
      </c>
      <c r="E337" s="23">
        <v>29</v>
      </c>
      <c r="F337" s="1">
        <v>27</v>
      </c>
      <c r="G337" s="1">
        <v>31</v>
      </c>
      <c r="H337" s="1">
        <v>47</v>
      </c>
      <c r="I337" s="1">
        <v>49</v>
      </c>
      <c r="J337" s="1">
        <v>47</v>
      </c>
      <c r="K337" s="1">
        <v>48</v>
      </c>
      <c r="L337" s="1">
        <v>48</v>
      </c>
      <c r="M337" s="1">
        <v>45</v>
      </c>
      <c r="N337" s="1">
        <v>45</v>
      </c>
      <c r="O337" s="1">
        <v>32</v>
      </c>
      <c r="P337" s="1">
        <v>32</v>
      </c>
      <c r="Q337" s="24">
        <f t="shared" si="15"/>
        <v>480</v>
      </c>
      <c r="R337" s="23">
        <v>0</v>
      </c>
      <c r="S337" s="1">
        <v>0</v>
      </c>
      <c r="T337" s="1">
        <v>0</v>
      </c>
      <c r="U337" s="1">
        <v>0</v>
      </c>
      <c r="V337" s="1">
        <v>0</v>
      </c>
      <c r="W337" s="1">
        <v>0</v>
      </c>
      <c r="X337" s="1">
        <v>0</v>
      </c>
      <c r="Y337" s="1">
        <v>0</v>
      </c>
      <c r="Z337" s="1">
        <v>0</v>
      </c>
      <c r="AA337" s="1">
        <v>0</v>
      </c>
      <c r="AB337" s="1">
        <v>0</v>
      </c>
      <c r="AC337" s="1">
        <v>0</v>
      </c>
      <c r="AD337" s="24">
        <f t="shared" si="16"/>
        <v>0</v>
      </c>
      <c r="AE337" s="23">
        <v>948603.70000000007</v>
      </c>
      <c r="AF337" s="1">
        <v>905856.9</v>
      </c>
      <c r="AG337" s="1">
        <v>1002178.9999999999</v>
      </c>
      <c r="AH337" s="1">
        <v>1948302.1</v>
      </c>
      <c r="AI337" s="1">
        <v>2254909.6</v>
      </c>
      <c r="AJ337" s="1">
        <v>2190215.0999999996</v>
      </c>
      <c r="AK337" s="1">
        <v>2650886.5000000009</v>
      </c>
      <c r="AL337" s="1">
        <v>2500814.4000000004</v>
      </c>
      <c r="AM337" s="1">
        <v>2331976.2799999993</v>
      </c>
      <c r="AN337" s="1">
        <v>2414487.7000000002</v>
      </c>
      <c r="AO337" s="1">
        <v>1693274.8999999997</v>
      </c>
      <c r="AP337" s="1">
        <v>1575045.2999999998</v>
      </c>
      <c r="AQ337" s="24">
        <f t="shared" si="17"/>
        <v>22416551.48</v>
      </c>
    </row>
    <row r="338" spans="1:43" ht="17.25" customHeight="1" x14ac:dyDescent="0.45">
      <c r="A338" s="12" t="s">
        <v>182</v>
      </c>
      <c r="B338" s="12" t="s">
        <v>183</v>
      </c>
      <c r="C338" s="12" t="s">
        <v>14</v>
      </c>
      <c r="D338" s="12" t="s">
        <v>66</v>
      </c>
      <c r="E338" s="25">
        <v>54</v>
      </c>
      <c r="F338" s="10">
        <v>42</v>
      </c>
      <c r="G338" s="10">
        <v>50</v>
      </c>
      <c r="H338" s="10">
        <v>50</v>
      </c>
      <c r="I338" s="10">
        <v>52</v>
      </c>
      <c r="J338" s="10">
        <v>55</v>
      </c>
      <c r="K338" s="10">
        <v>57</v>
      </c>
      <c r="L338" s="10">
        <v>57</v>
      </c>
      <c r="M338" s="10">
        <v>47</v>
      </c>
      <c r="N338" s="10">
        <v>52</v>
      </c>
      <c r="O338" s="10">
        <v>54</v>
      </c>
      <c r="P338" s="10">
        <v>50</v>
      </c>
      <c r="Q338" s="26">
        <f t="shared" si="15"/>
        <v>620</v>
      </c>
      <c r="R338" s="25">
        <v>0</v>
      </c>
      <c r="S338" s="10">
        <v>0</v>
      </c>
      <c r="T338" s="10">
        <v>0</v>
      </c>
      <c r="U338" s="10">
        <v>0</v>
      </c>
      <c r="V338" s="10">
        <v>0</v>
      </c>
      <c r="W338" s="10">
        <v>0</v>
      </c>
      <c r="X338" s="10">
        <v>0</v>
      </c>
      <c r="Y338" s="10">
        <v>0</v>
      </c>
      <c r="Z338" s="10">
        <v>0</v>
      </c>
      <c r="AA338" s="10">
        <v>0</v>
      </c>
      <c r="AB338" s="10">
        <v>0</v>
      </c>
      <c r="AC338" s="10">
        <v>0</v>
      </c>
      <c r="AD338" s="26">
        <f t="shared" si="16"/>
        <v>0</v>
      </c>
      <c r="AE338" s="25">
        <v>4092316.2</v>
      </c>
      <c r="AF338" s="10">
        <v>2919799.7</v>
      </c>
      <c r="AG338" s="10">
        <v>3699655.6120000002</v>
      </c>
      <c r="AH338" s="10">
        <v>3944103.6999999997</v>
      </c>
      <c r="AI338" s="10">
        <v>3710542.5</v>
      </c>
      <c r="AJ338" s="10">
        <v>4124342.5</v>
      </c>
      <c r="AK338" s="10">
        <v>3978888.3</v>
      </c>
      <c r="AL338" s="10">
        <v>3941293.5</v>
      </c>
      <c r="AM338" s="10">
        <v>2639123.2000000002</v>
      </c>
      <c r="AN338" s="10">
        <v>3866615.1999999993</v>
      </c>
      <c r="AO338" s="10">
        <v>4315924.5</v>
      </c>
      <c r="AP338" s="10">
        <v>3750890.4</v>
      </c>
      <c r="AQ338" s="26">
        <f t="shared" si="17"/>
        <v>44983495.311999999</v>
      </c>
    </row>
    <row r="339" spans="1:43" ht="17.25" customHeight="1" x14ac:dyDescent="0.45">
      <c r="A339" s="2" t="s">
        <v>69</v>
      </c>
      <c r="B339" s="2" t="s">
        <v>68</v>
      </c>
      <c r="C339" s="2" t="s">
        <v>9</v>
      </c>
      <c r="D339" s="2" t="s">
        <v>66</v>
      </c>
      <c r="E339" s="23">
        <v>0</v>
      </c>
      <c r="F339" s="1">
        <v>0</v>
      </c>
      <c r="G339" s="1">
        <v>0</v>
      </c>
      <c r="H339" s="1">
        <v>0</v>
      </c>
      <c r="I339" s="1">
        <v>1</v>
      </c>
      <c r="J339" s="1">
        <v>5</v>
      </c>
      <c r="K339" s="1">
        <v>4</v>
      </c>
      <c r="L339" s="1">
        <v>5</v>
      </c>
      <c r="M339" s="1">
        <v>3</v>
      </c>
      <c r="N339" s="1">
        <v>3</v>
      </c>
      <c r="O339" s="1">
        <v>5</v>
      </c>
      <c r="P339" s="1">
        <v>4</v>
      </c>
      <c r="Q339" s="24">
        <f t="shared" si="15"/>
        <v>30</v>
      </c>
      <c r="R339" s="23">
        <v>0</v>
      </c>
      <c r="S339" s="1">
        <v>0</v>
      </c>
      <c r="T339" s="1">
        <v>0</v>
      </c>
      <c r="U339" s="1">
        <v>0</v>
      </c>
      <c r="V339" s="1">
        <v>55</v>
      </c>
      <c r="W339" s="1">
        <v>303</v>
      </c>
      <c r="X339" s="1">
        <v>263</v>
      </c>
      <c r="Y339" s="1">
        <v>321</v>
      </c>
      <c r="Z339" s="1">
        <v>221</v>
      </c>
      <c r="AA339" s="1">
        <v>211</v>
      </c>
      <c r="AB339" s="1">
        <v>360</v>
      </c>
      <c r="AC339" s="1">
        <v>270</v>
      </c>
      <c r="AD339" s="24">
        <f t="shared" si="16"/>
        <v>2004</v>
      </c>
      <c r="AE339" s="23">
        <v>0</v>
      </c>
      <c r="AF339" s="1">
        <v>0</v>
      </c>
      <c r="AG339" s="1">
        <v>0</v>
      </c>
      <c r="AH339" s="1">
        <v>0</v>
      </c>
      <c r="AI339" s="1">
        <v>0</v>
      </c>
      <c r="AJ339" s="1">
        <v>0</v>
      </c>
      <c r="AK339" s="1">
        <v>0</v>
      </c>
      <c r="AL339" s="1">
        <v>0</v>
      </c>
      <c r="AM339" s="1">
        <v>0</v>
      </c>
      <c r="AN339" s="1">
        <v>0</v>
      </c>
      <c r="AO339" s="1">
        <v>0</v>
      </c>
      <c r="AP339" s="1">
        <v>0</v>
      </c>
      <c r="AQ339" s="24">
        <f t="shared" si="17"/>
        <v>0</v>
      </c>
    </row>
    <row r="340" spans="1:43" ht="17.25" customHeight="1" x14ac:dyDescent="0.45">
      <c r="A340" s="12" t="s">
        <v>69</v>
      </c>
      <c r="B340" s="12" t="s">
        <v>68</v>
      </c>
      <c r="C340" s="12" t="s">
        <v>16</v>
      </c>
      <c r="D340" s="12" t="s">
        <v>66</v>
      </c>
      <c r="E340" s="25">
        <v>60</v>
      </c>
      <c r="F340" s="10">
        <v>58</v>
      </c>
      <c r="G340" s="10">
        <v>62</v>
      </c>
      <c r="H340" s="10">
        <v>60</v>
      </c>
      <c r="I340" s="10">
        <v>60</v>
      </c>
      <c r="J340" s="10">
        <v>60</v>
      </c>
      <c r="K340" s="10">
        <v>58</v>
      </c>
      <c r="L340" s="10">
        <v>62</v>
      </c>
      <c r="M340" s="10">
        <v>60</v>
      </c>
      <c r="N340" s="10">
        <v>62</v>
      </c>
      <c r="O340" s="10">
        <v>60</v>
      </c>
      <c r="P340" s="10">
        <v>62</v>
      </c>
      <c r="Q340" s="26">
        <f t="shared" si="15"/>
        <v>724</v>
      </c>
      <c r="R340" s="25">
        <v>2710</v>
      </c>
      <c r="S340" s="10">
        <v>2255</v>
      </c>
      <c r="T340" s="10">
        <v>2518</v>
      </c>
      <c r="U340" s="10">
        <v>2635</v>
      </c>
      <c r="V340" s="10">
        <v>3278</v>
      </c>
      <c r="W340" s="10">
        <v>4017</v>
      </c>
      <c r="X340" s="10">
        <v>3938</v>
      </c>
      <c r="Y340" s="10">
        <v>3509</v>
      </c>
      <c r="Z340" s="10">
        <v>3719</v>
      </c>
      <c r="AA340" s="10">
        <v>3689</v>
      </c>
      <c r="AB340" s="10">
        <v>3674</v>
      </c>
      <c r="AC340" s="10">
        <v>4186</v>
      </c>
      <c r="AD340" s="26">
        <f t="shared" si="16"/>
        <v>40128</v>
      </c>
      <c r="AE340" s="25">
        <v>0</v>
      </c>
      <c r="AF340" s="10">
        <v>0</v>
      </c>
      <c r="AG340" s="10">
        <v>0</v>
      </c>
      <c r="AH340" s="10">
        <v>0</v>
      </c>
      <c r="AI340" s="10">
        <v>0</v>
      </c>
      <c r="AJ340" s="10">
        <v>0</v>
      </c>
      <c r="AK340" s="10">
        <v>0</v>
      </c>
      <c r="AL340" s="10">
        <v>0</v>
      </c>
      <c r="AM340" s="10">
        <v>0</v>
      </c>
      <c r="AN340" s="10">
        <v>0</v>
      </c>
      <c r="AO340" s="10">
        <v>0</v>
      </c>
      <c r="AP340" s="10">
        <v>0</v>
      </c>
      <c r="AQ340" s="26">
        <f t="shared" si="17"/>
        <v>0</v>
      </c>
    </row>
    <row r="341" spans="1:43" ht="17.25" customHeight="1" x14ac:dyDescent="0.45">
      <c r="A341" s="2" t="s">
        <v>69</v>
      </c>
      <c r="B341" s="2" t="s">
        <v>68</v>
      </c>
      <c r="C341" s="2" t="s">
        <v>10</v>
      </c>
      <c r="D341" s="2" t="s">
        <v>66</v>
      </c>
      <c r="E341" s="23">
        <v>280</v>
      </c>
      <c r="F341" s="1">
        <v>261</v>
      </c>
      <c r="G341" s="1">
        <v>308</v>
      </c>
      <c r="H341" s="1">
        <v>316</v>
      </c>
      <c r="I341" s="1">
        <v>336</v>
      </c>
      <c r="J341" s="1">
        <v>358</v>
      </c>
      <c r="K341" s="1">
        <v>343</v>
      </c>
      <c r="L341" s="1">
        <v>307</v>
      </c>
      <c r="M341" s="1">
        <v>238</v>
      </c>
      <c r="N341" s="1">
        <v>253</v>
      </c>
      <c r="O341" s="1">
        <v>273</v>
      </c>
      <c r="P341" s="1">
        <v>291</v>
      </c>
      <c r="Q341" s="24">
        <f t="shared" si="15"/>
        <v>3564</v>
      </c>
      <c r="R341" s="23">
        <v>34994</v>
      </c>
      <c r="S341" s="1">
        <v>37755</v>
      </c>
      <c r="T341" s="1">
        <v>47431</v>
      </c>
      <c r="U341" s="1">
        <v>37654</v>
      </c>
      <c r="V341" s="1">
        <v>48672</v>
      </c>
      <c r="W341" s="1">
        <v>57498</v>
      </c>
      <c r="X341" s="1">
        <v>54309</v>
      </c>
      <c r="Y341" s="1">
        <v>42856</v>
      </c>
      <c r="Z341" s="1">
        <v>33290</v>
      </c>
      <c r="AA341" s="1">
        <v>38223</v>
      </c>
      <c r="AB341" s="1">
        <v>36039</v>
      </c>
      <c r="AC341" s="1">
        <v>41315</v>
      </c>
      <c r="AD341" s="24">
        <f t="shared" si="16"/>
        <v>510036</v>
      </c>
      <c r="AE341" s="23">
        <v>0</v>
      </c>
      <c r="AF341" s="1">
        <v>0</v>
      </c>
      <c r="AG341" s="1">
        <v>133</v>
      </c>
      <c r="AH341" s="1">
        <v>2478</v>
      </c>
      <c r="AI341" s="1">
        <v>1931</v>
      </c>
      <c r="AJ341" s="1">
        <v>1361</v>
      </c>
      <c r="AK341" s="1">
        <v>2444</v>
      </c>
      <c r="AL341" s="1">
        <v>1236</v>
      </c>
      <c r="AM341" s="1">
        <v>0</v>
      </c>
      <c r="AN341" s="1">
        <v>905</v>
      </c>
      <c r="AO341" s="1">
        <v>35</v>
      </c>
      <c r="AP341" s="1">
        <v>0</v>
      </c>
      <c r="AQ341" s="24">
        <f t="shared" si="17"/>
        <v>10523</v>
      </c>
    </row>
    <row r="342" spans="1:43" ht="17.25" customHeight="1" x14ac:dyDescent="0.45">
      <c r="A342" s="12" t="s">
        <v>69</v>
      </c>
      <c r="B342" s="12" t="s">
        <v>68</v>
      </c>
      <c r="C342" s="12" t="s">
        <v>46</v>
      </c>
      <c r="D342" s="12" t="s">
        <v>66</v>
      </c>
      <c r="E342" s="25">
        <v>55</v>
      </c>
      <c r="F342" s="10">
        <v>50</v>
      </c>
      <c r="G342" s="10">
        <v>60</v>
      </c>
      <c r="H342" s="10">
        <v>61</v>
      </c>
      <c r="I342" s="10">
        <v>61</v>
      </c>
      <c r="J342" s="10">
        <v>60</v>
      </c>
      <c r="K342" s="10">
        <v>58</v>
      </c>
      <c r="L342" s="10">
        <v>35</v>
      </c>
      <c r="M342" s="10">
        <v>30</v>
      </c>
      <c r="N342" s="10">
        <v>31</v>
      </c>
      <c r="O342" s="10">
        <v>30</v>
      </c>
      <c r="P342" s="10">
        <v>31</v>
      </c>
      <c r="Q342" s="26">
        <f t="shared" si="15"/>
        <v>562</v>
      </c>
      <c r="R342" s="25">
        <v>5167</v>
      </c>
      <c r="S342" s="10">
        <v>5671</v>
      </c>
      <c r="T342" s="10">
        <v>6885</v>
      </c>
      <c r="U342" s="10">
        <v>6016</v>
      </c>
      <c r="V342" s="10">
        <v>7772</v>
      </c>
      <c r="W342" s="10">
        <v>8444</v>
      </c>
      <c r="X342" s="10">
        <v>7480</v>
      </c>
      <c r="Y342" s="10">
        <v>3947</v>
      </c>
      <c r="Z342" s="10">
        <v>3801</v>
      </c>
      <c r="AA342" s="10">
        <v>4057</v>
      </c>
      <c r="AB342" s="10">
        <v>3876</v>
      </c>
      <c r="AC342" s="10">
        <v>3983</v>
      </c>
      <c r="AD342" s="26">
        <f t="shared" si="16"/>
        <v>67099</v>
      </c>
      <c r="AE342" s="25">
        <v>0</v>
      </c>
      <c r="AF342" s="10">
        <v>0</v>
      </c>
      <c r="AG342" s="10">
        <v>0</v>
      </c>
      <c r="AH342" s="10">
        <v>0</v>
      </c>
      <c r="AI342" s="10">
        <v>212</v>
      </c>
      <c r="AJ342" s="10">
        <v>0</v>
      </c>
      <c r="AK342" s="10">
        <v>0</v>
      </c>
      <c r="AL342" s="10">
        <v>0</v>
      </c>
      <c r="AM342" s="10">
        <v>50</v>
      </c>
      <c r="AN342" s="10">
        <v>441</v>
      </c>
      <c r="AO342" s="10">
        <v>0</v>
      </c>
      <c r="AP342" s="10">
        <v>0</v>
      </c>
      <c r="AQ342" s="26">
        <f t="shared" si="17"/>
        <v>703</v>
      </c>
    </row>
    <row r="343" spans="1:43" ht="17.25" customHeight="1" x14ac:dyDescent="0.45">
      <c r="A343" s="2" t="s">
        <v>69</v>
      </c>
      <c r="B343" s="2" t="s">
        <v>68</v>
      </c>
      <c r="C343" s="2" t="s">
        <v>22</v>
      </c>
      <c r="D343" s="2" t="s">
        <v>66</v>
      </c>
      <c r="E343" s="23">
        <v>110</v>
      </c>
      <c r="F343" s="1">
        <v>101</v>
      </c>
      <c r="G343" s="1">
        <v>110</v>
      </c>
      <c r="H343" s="1">
        <v>107</v>
      </c>
      <c r="I343" s="1">
        <v>110</v>
      </c>
      <c r="J343" s="1">
        <v>106</v>
      </c>
      <c r="K343" s="1">
        <v>102</v>
      </c>
      <c r="L343" s="1">
        <v>109</v>
      </c>
      <c r="M343" s="1">
        <v>108</v>
      </c>
      <c r="N343" s="1">
        <v>110</v>
      </c>
      <c r="O343" s="1">
        <v>106</v>
      </c>
      <c r="P343" s="1">
        <v>110</v>
      </c>
      <c r="Q343" s="24">
        <f t="shared" si="15"/>
        <v>1289</v>
      </c>
      <c r="R343" s="23">
        <v>8303</v>
      </c>
      <c r="S343" s="1">
        <v>8438</v>
      </c>
      <c r="T343" s="1">
        <v>9978</v>
      </c>
      <c r="U343" s="1">
        <v>7716</v>
      </c>
      <c r="V343" s="1">
        <v>9346</v>
      </c>
      <c r="W343" s="1">
        <v>11520</v>
      </c>
      <c r="X343" s="1">
        <v>12068</v>
      </c>
      <c r="Y343" s="1">
        <v>9156</v>
      </c>
      <c r="Z343" s="1">
        <v>8424</v>
      </c>
      <c r="AA343" s="1">
        <v>9063</v>
      </c>
      <c r="AB343" s="1">
        <v>9091</v>
      </c>
      <c r="AC343" s="1">
        <v>13424</v>
      </c>
      <c r="AD343" s="24">
        <f t="shared" si="16"/>
        <v>116527</v>
      </c>
      <c r="AE343" s="23">
        <v>0</v>
      </c>
      <c r="AF343" s="1">
        <v>0</v>
      </c>
      <c r="AG343" s="1">
        <v>0</v>
      </c>
      <c r="AH343" s="1">
        <v>0</v>
      </c>
      <c r="AI343" s="1">
        <v>0</v>
      </c>
      <c r="AJ343" s="1">
        <v>0</v>
      </c>
      <c r="AK343" s="1">
        <v>199</v>
      </c>
      <c r="AL343" s="1">
        <v>417</v>
      </c>
      <c r="AM343" s="1">
        <v>39</v>
      </c>
      <c r="AN343" s="1">
        <v>90</v>
      </c>
      <c r="AO343" s="1">
        <v>27</v>
      </c>
      <c r="AP343" s="1">
        <v>0</v>
      </c>
      <c r="AQ343" s="24">
        <f t="shared" si="17"/>
        <v>772</v>
      </c>
    </row>
    <row r="344" spans="1:43" ht="17.25" customHeight="1" x14ac:dyDescent="0.45">
      <c r="A344" s="12" t="s">
        <v>69</v>
      </c>
      <c r="B344" s="12" t="s">
        <v>68</v>
      </c>
      <c r="C344" s="12" t="s">
        <v>11</v>
      </c>
      <c r="D344" s="12" t="s">
        <v>66</v>
      </c>
      <c r="E344" s="25">
        <v>160</v>
      </c>
      <c r="F344" s="10">
        <v>153</v>
      </c>
      <c r="G344" s="10">
        <v>185</v>
      </c>
      <c r="H344" s="10">
        <v>147</v>
      </c>
      <c r="I344" s="10">
        <v>144</v>
      </c>
      <c r="J344" s="10">
        <v>152</v>
      </c>
      <c r="K344" s="10">
        <v>153</v>
      </c>
      <c r="L344" s="10">
        <v>157</v>
      </c>
      <c r="M344" s="10">
        <v>147</v>
      </c>
      <c r="N344" s="10">
        <v>151</v>
      </c>
      <c r="O344" s="10">
        <v>148</v>
      </c>
      <c r="P344" s="10">
        <v>163</v>
      </c>
      <c r="Q344" s="26">
        <f t="shared" si="15"/>
        <v>1860</v>
      </c>
      <c r="R344" s="25">
        <v>14202</v>
      </c>
      <c r="S344" s="10">
        <v>10561</v>
      </c>
      <c r="T344" s="10">
        <v>14465</v>
      </c>
      <c r="U344" s="10">
        <v>12613</v>
      </c>
      <c r="V344" s="10">
        <v>14070</v>
      </c>
      <c r="W344" s="10">
        <v>16485</v>
      </c>
      <c r="X344" s="10">
        <v>17382</v>
      </c>
      <c r="Y344" s="10">
        <v>13724</v>
      </c>
      <c r="Z344" s="10">
        <v>12181</v>
      </c>
      <c r="AA344" s="10">
        <v>14916</v>
      </c>
      <c r="AB344" s="10">
        <v>16905</v>
      </c>
      <c r="AC344" s="10">
        <v>23324</v>
      </c>
      <c r="AD344" s="26">
        <f t="shared" si="16"/>
        <v>180828</v>
      </c>
      <c r="AE344" s="25">
        <v>6241</v>
      </c>
      <c r="AF344" s="10">
        <v>4619</v>
      </c>
      <c r="AG344" s="10">
        <v>6359</v>
      </c>
      <c r="AH344" s="10">
        <v>6574</v>
      </c>
      <c r="AI344" s="10">
        <v>8710</v>
      </c>
      <c r="AJ344" s="10">
        <v>3723</v>
      </c>
      <c r="AK344" s="10">
        <v>2482</v>
      </c>
      <c r="AL344" s="10">
        <v>5208</v>
      </c>
      <c r="AM344" s="10">
        <v>4010</v>
      </c>
      <c r="AN344" s="10">
        <v>4701</v>
      </c>
      <c r="AO344" s="10">
        <v>6471</v>
      </c>
      <c r="AP344" s="10">
        <v>1533</v>
      </c>
      <c r="AQ344" s="26">
        <f t="shared" si="17"/>
        <v>60631</v>
      </c>
    </row>
    <row r="345" spans="1:43" ht="17.25" customHeight="1" x14ac:dyDescent="0.45">
      <c r="A345" s="2" t="s">
        <v>69</v>
      </c>
      <c r="B345" s="2" t="s">
        <v>68</v>
      </c>
      <c r="C345" s="2" t="s">
        <v>52</v>
      </c>
      <c r="D345" s="2" t="s">
        <v>66</v>
      </c>
      <c r="E345" s="23">
        <v>31</v>
      </c>
      <c r="F345" s="1">
        <v>29</v>
      </c>
      <c r="G345" s="1">
        <v>31</v>
      </c>
      <c r="H345" s="1">
        <v>8</v>
      </c>
      <c r="I345" s="1">
        <v>4</v>
      </c>
      <c r="J345" s="1">
        <v>5</v>
      </c>
      <c r="K345" s="1">
        <v>4</v>
      </c>
      <c r="L345" s="1">
        <v>5</v>
      </c>
      <c r="M345" s="1">
        <v>4</v>
      </c>
      <c r="N345" s="1">
        <v>5</v>
      </c>
      <c r="O345" s="1">
        <v>9</v>
      </c>
      <c r="P345" s="1">
        <v>18</v>
      </c>
      <c r="Q345" s="24">
        <f t="shared" si="15"/>
        <v>153</v>
      </c>
      <c r="R345" s="23">
        <v>1401</v>
      </c>
      <c r="S345" s="1">
        <v>1674</v>
      </c>
      <c r="T345" s="1">
        <v>1500</v>
      </c>
      <c r="U345" s="1">
        <v>444</v>
      </c>
      <c r="V345" s="1">
        <v>263</v>
      </c>
      <c r="W345" s="1">
        <v>354</v>
      </c>
      <c r="X345" s="1">
        <v>254</v>
      </c>
      <c r="Y345" s="1">
        <v>331</v>
      </c>
      <c r="Z345" s="1">
        <v>249</v>
      </c>
      <c r="AA345" s="1">
        <v>360</v>
      </c>
      <c r="AB345" s="1">
        <v>593</v>
      </c>
      <c r="AC345" s="1">
        <v>1249</v>
      </c>
      <c r="AD345" s="24">
        <f t="shared" si="16"/>
        <v>8672</v>
      </c>
      <c r="AE345" s="23">
        <v>0</v>
      </c>
      <c r="AF345" s="1">
        <v>0</v>
      </c>
      <c r="AG345" s="1">
        <v>0</v>
      </c>
      <c r="AH345" s="1">
        <v>0</v>
      </c>
      <c r="AI345" s="1">
        <v>0</v>
      </c>
      <c r="AJ345" s="1">
        <v>0</v>
      </c>
      <c r="AK345" s="1">
        <v>0</v>
      </c>
      <c r="AL345" s="1">
        <v>0</v>
      </c>
      <c r="AM345" s="1">
        <v>0</v>
      </c>
      <c r="AN345" s="1">
        <v>0</v>
      </c>
      <c r="AO345" s="1">
        <v>0</v>
      </c>
      <c r="AP345" s="1">
        <v>0</v>
      </c>
      <c r="AQ345" s="24">
        <f t="shared" si="17"/>
        <v>0</v>
      </c>
    </row>
    <row r="346" spans="1:43" ht="17.25" customHeight="1" x14ac:dyDescent="0.45">
      <c r="A346" s="12" t="s">
        <v>69</v>
      </c>
      <c r="B346" s="12" t="s">
        <v>68</v>
      </c>
      <c r="C346" s="12" t="s">
        <v>56</v>
      </c>
      <c r="D346" s="12" t="s">
        <v>66</v>
      </c>
      <c r="E346" s="25">
        <v>4</v>
      </c>
      <c r="F346" s="10">
        <v>4</v>
      </c>
      <c r="G346" s="10">
        <v>6</v>
      </c>
      <c r="H346" s="10">
        <v>4</v>
      </c>
      <c r="I346" s="10">
        <v>0</v>
      </c>
      <c r="J346" s="10">
        <v>0</v>
      </c>
      <c r="K346" s="10">
        <v>0</v>
      </c>
      <c r="L346" s="10">
        <v>0</v>
      </c>
      <c r="M346" s="10">
        <v>1</v>
      </c>
      <c r="N346" s="10">
        <v>4</v>
      </c>
      <c r="O346" s="10">
        <v>5</v>
      </c>
      <c r="P346" s="10">
        <v>5</v>
      </c>
      <c r="Q346" s="26">
        <f t="shared" si="15"/>
        <v>33</v>
      </c>
      <c r="R346" s="25">
        <v>233</v>
      </c>
      <c r="S346" s="10">
        <v>189</v>
      </c>
      <c r="T346" s="10">
        <v>214</v>
      </c>
      <c r="U346" s="10">
        <v>221</v>
      </c>
      <c r="V346" s="10">
        <v>0</v>
      </c>
      <c r="W346" s="10">
        <v>0</v>
      </c>
      <c r="X346" s="10">
        <v>0</v>
      </c>
      <c r="Y346" s="10">
        <v>0</v>
      </c>
      <c r="Z346" s="10">
        <v>28</v>
      </c>
      <c r="AA346" s="10">
        <v>245</v>
      </c>
      <c r="AB346" s="10">
        <v>336</v>
      </c>
      <c r="AC346" s="10">
        <v>322</v>
      </c>
      <c r="AD346" s="26">
        <f t="shared" si="16"/>
        <v>1788</v>
      </c>
      <c r="AE346" s="25">
        <v>0</v>
      </c>
      <c r="AF346" s="10">
        <v>0</v>
      </c>
      <c r="AG346" s="10">
        <v>0</v>
      </c>
      <c r="AH346" s="10">
        <v>0</v>
      </c>
      <c r="AI346" s="10">
        <v>0</v>
      </c>
      <c r="AJ346" s="10">
        <v>0</v>
      </c>
      <c r="AK346" s="10">
        <v>0</v>
      </c>
      <c r="AL346" s="10">
        <v>0</v>
      </c>
      <c r="AM346" s="10">
        <v>0</v>
      </c>
      <c r="AN346" s="10">
        <v>0</v>
      </c>
      <c r="AO346" s="10">
        <v>0</v>
      </c>
      <c r="AP346" s="10">
        <v>0</v>
      </c>
      <c r="AQ346" s="26">
        <f t="shared" si="17"/>
        <v>0</v>
      </c>
    </row>
    <row r="347" spans="1:43" ht="17.25" customHeight="1" x14ac:dyDescent="0.45">
      <c r="A347" s="2" t="s">
        <v>69</v>
      </c>
      <c r="B347" s="2" t="s">
        <v>68</v>
      </c>
      <c r="C347" s="2" t="s">
        <v>40</v>
      </c>
      <c r="D347" s="2" t="s">
        <v>66</v>
      </c>
      <c r="E347" s="23">
        <v>5</v>
      </c>
      <c r="F347" s="1">
        <v>7</v>
      </c>
      <c r="G347" s="1">
        <v>11</v>
      </c>
      <c r="H347" s="1">
        <v>8</v>
      </c>
      <c r="I347" s="1">
        <v>4</v>
      </c>
      <c r="J347" s="1">
        <v>5</v>
      </c>
      <c r="K347" s="1">
        <v>4</v>
      </c>
      <c r="L347" s="1">
        <v>3</v>
      </c>
      <c r="M347" s="1">
        <v>0</v>
      </c>
      <c r="N347" s="1">
        <v>0</v>
      </c>
      <c r="O347" s="1">
        <v>0</v>
      </c>
      <c r="P347" s="1">
        <v>3</v>
      </c>
      <c r="Q347" s="24">
        <f t="shared" si="15"/>
        <v>50</v>
      </c>
      <c r="R347" s="23">
        <v>262</v>
      </c>
      <c r="S347" s="1">
        <v>269</v>
      </c>
      <c r="T347" s="1">
        <v>406</v>
      </c>
      <c r="U347" s="1">
        <v>398</v>
      </c>
      <c r="V347" s="1">
        <v>223</v>
      </c>
      <c r="W347" s="1">
        <v>348</v>
      </c>
      <c r="X347" s="1">
        <v>270</v>
      </c>
      <c r="Y347" s="1">
        <v>183</v>
      </c>
      <c r="Z347" s="1">
        <v>0</v>
      </c>
      <c r="AA347" s="1">
        <v>0</v>
      </c>
      <c r="AB347" s="1">
        <v>0</v>
      </c>
      <c r="AC347" s="1">
        <v>213</v>
      </c>
      <c r="AD347" s="24">
        <f t="shared" si="16"/>
        <v>2572</v>
      </c>
      <c r="AE347" s="23">
        <v>0</v>
      </c>
      <c r="AF347" s="1">
        <v>0</v>
      </c>
      <c r="AG347" s="1">
        <v>0</v>
      </c>
      <c r="AH347" s="1">
        <v>0</v>
      </c>
      <c r="AI347" s="1">
        <v>0</v>
      </c>
      <c r="AJ347" s="1">
        <v>0</v>
      </c>
      <c r="AK347" s="1">
        <v>0</v>
      </c>
      <c r="AL347" s="1">
        <v>0</v>
      </c>
      <c r="AM347" s="1">
        <v>0</v>
      </c>
      <c r="AN347" s="1">
        <v>0</v>
      </c>
      <c r="AO347" s="1">
        <v>0</v>
      </c>
      <c r="AP347" s="1">
        <v>0</v>
      </c>
      <c r="AQ347" s="24">
        <f t="shared" si="17"/>
        <v>0</v>
      </c>
    </row>
    <row r="348" spans="1:43" ht="17.25" customHeight="1" x14ac:dyDescent="0.45">
      <c r="A348" s="12" t="s">
        <v>69</v>
      </c>
      <c r="B348" s="12" t="s">
        <v>68</v>
      </c>
      <c r="C348" s="12" t="s">
        <v>23</v>
      </c>
      <c r="D348" s="12" t="s">
        <v>66</v>
      </c>
      <c r="E348" s="25">
        <v>30</v>
      </c>
      <c r="F348" s="10">
        <v>29</v>
      </c>
      <c r="G348" s="10">
        <v>31</v>
      </c>
      <c r="H348" s="10">
        <v>30</v>
      </c>
      <c r="I348" s="10">
        <v>31</v>
      </c>
      <c r="J348" s="10">
        <v>30</v>
      </c>
      <c r="K348" s="10">
        <v>28</v>
      </c>
      <c r="L348" s="10">
        <v>31</v>
      </c>
      <c r="M348" s="10">
        <v>30</v>
      </c>
      <c r="N348" s="10">
        <v>30</v>
      </c>
      <c r="O348" s="10">
        <v>30</v>
      </c>
      <c r="P348" s="10">
        <v>31</v>
      </c>
      <c r="Q348" s="26">
        <f t="shared" si="15"/>
        <v>361</v>
      </c>
      <c r="R348" s="25">
        <v>3941</v>
      </c>
      <c r="S348" s="10">
        <v>4066</v>
      </c>
      <c r="T348" s="10">
        <v>3955</v>
      </c>
      <c r="U348" s="10">
        <v>3051</v>
      </c>
      <c r="V348" s="10">
        <v>3027</v>
      </c>
      <c r="W348" s="10">
        <v>3677</v>
      </c>
      <c r="X348" s="10">
        <v>3600</v>
      </c>
      <c r="Y348" s="10">
        <v>4027</v>
      </c>
      <c r="Z348" s="10">
        <v>3555</v>
      </c>
      <c r="AA348" s="10">
        <v>4099</v>
      </c>
      <c r="AB348" s="10">
        <v>4371</v>
      </c>
      <c r="AC348" s="10">
        <v>4692</v>
      </c>
      <c r="AD348" s="26">
        <f t="shared" si="16"/>
        <v>46061</v>
      </c>
      <c r="AE348" s="25">
        <v>1536</v>
      </c>
      <c r="AF348" s="10">
        <v>1094</v>
      </c>
      <c r="AG348" s="10">
        <v>694</v>
      </c>
      <c r="AH348" s="10">
        <v>1322</v>
      </c>
      <c r="AI348" s="10">
        <v>709</v>
      </c>
      <c r="AJ348" s="10">
        <v>573</v>
      </c>
      <c r="AK348" s="10">
        <v>168</v>
      </c>
      <c r="AL348" s="10">
        <v>757</v>
      </c>
      <c r="AM348" s="10">
        <v>600</v>
      </c>
      <c r="AN348" s="10">
        <v>920</v>
      </c>
      <c r="AO348" s="10">
        <v>1154</v>
      </c>
      <c r="AP348" s="10">
        <v>805</v>
      </c>
      <c r="AQ348" s="26">
        <f t="shared" si="17"/>
        <v>10332</v>
      </c>
    </row>
    <row r="349" spans="1:43" ht="17.25" customHeight="1" x14ac:dyDescent="0.45">
      <c r="A349" s="2" t="s">
        <v>69</v>
      </c>
      <c r="B349" s="2" t="s">
        <v>68</v>
      </c>
      <c r="C349" s="2" t="s">
        <v>12</v>
      </c>
      <c r="D349" s="2" t="s">
        <v>66</v>
      </c>
      <c r="E349" s="23">
        <v>319</v>
      </c>
      <c r="F349" s="1">
        <v>286</v>
      </c>
      <c r="G349" s="1">
        <v>306</v>
      </c>
      <c r="H349" s="1">
        <v>280</v>
      </c>
      <c r="I349" s="1">
        <v>289</v>
      </c>
      <c r="J349" s="1">
        <v>287</v>
      </c>
      <c r="K349" s="1">
        <v>311</v>
      </c>
      <c r="L349" s="1">
        <v>308</v>
      </c>
      <c r="M349" s="1">
        <v>279</v>
      </c>
      <c r="N349" s="1">
        <v>295</v>
      </c>
      <c r="O349" s="1">
        <v>308</v>
      </c>
      <c r="P349" s="1">
        <v>328</v>
      </c>
      <c r="Q349" s="24">
        <f t="shared" si="15"/>
        <v>3596</v>
      </c>
      <c r="R349" s="23">
        <v>36893</v>
      </c>
      <c r="S349" s="1">
        <v>31953</v>
      </c>
      <c r="T349" s="1">
        <v>33390</v>
      </c>
      <c r="U349" s="1">
        <v>34379</v>
      </c>
      <c r="V349" s="1">
        <v>35342</v>
      </c>
      <c r="W349" s="1">
        <v>36698</v>
      </c>
      <c r="X349" s="1">
        <v>39098</v>
      </c>
      <c r="Y349" s="1">
        <v>37189</v>
      </c>
      <c r="Z349" s="1">
        <v>30015</v>
      </c>
      <c r="AA349" s="1">
        <v>39641</v>
      </c>
      <c r="AB349" s="1">
        <v>38963</v>
      </c>
      <c r="AC349" s="1">
        <v>49278</v>
      </c>
      <c r="AD349" s="24">
        <f t="shared" si="16"/>
        <v>442839</v>
      </c>
      <c r="AE349" s="23">
        <v>11982</v>
      </c>
      <c r="AF349" s="1">
        <v>12817</v>
      </c>
      <c r="AG349" s="1">
        <v>11917</v>
      </c>
      <c r="AH349" s="1">
        <v>14248</v>
      </c>
      <c r="AI349" s="1">
        <v>13452</v>
      </c>
      <c r="AJ349" s="1">
        <v>14413</v>
      </c>
      <c r="AK349" s="1">
        <v>10478</v>
      </c>
      <c r="AL349" s="1">
        <v>13981.17</v>
      </c>
      <c r="AM349" s="1">
        <v>17049.439999999999</v>
      </c>
      <c r="AN349" s="1">
        <v>16387</v>
      </c>
      <c r="AO349" s="1">
        <v>10470.4</v>
      </c>
      <c r="AP349" s="1">
        <v>11824</v>
      </c>
      <c r="AQ349" s="24">
        <f t="shared" si="17"/>
        <v>159019.00999999998</v>
      </c>
    </row>
    <row r="350" spans="1:43" ht="17.25" customHeight="1" x14ac:dyDescent="0.45">
      <c r="A350" s="12" t="s">
        <v>69</v>
      </c>
      <c r="B350" s="12" t="s">
        <v>68</v>
      </c>
      <c r="C350" s="12" t="s">
        <v>13</v>
      </c>
      <c r="D350" s="12" t="s">
        <v>66</v>
      </c>
      <c r="E350" s="25">
        <v>212</v>
      </c>
      <c r="F350" s="10">
        <v>194</v>
      </c>
      <c r="G350" s="10">
        <v>206</v>
      </c>
      <c r="H350" s="10">
        <v>210</v>
      </c>
      <c r="I350" s="10">
        <v>212</v>
      </c>
      <c r="J350" s="10">
        <v>206</v>
      </c>
      <c r="K350" s="10">
        <v>202</v>
      </c>
      <c r="L350" s="10">
        <v>214</v>
      </c>
      <c r="M350" s="10">
        <v>207</v>
      </c>
      <c r="N350" s="10">
        <v>216</v>
      </c>
      <c r="O350" s="10">
        <v>207</v>
      </c>
      <c r="P350" s="10">
        <v>214</v>
      </c>
      <c r="Q350" s="26">
        <f t="shared" si="15"/>
        <v>2500</v>
      </c>
      <c r="R350" s="25">
        <v>15955</v>
      </c>
      <c r="S350" s="10">
        <v>15892</v>
      </c>
      <c r="T350" s="10">
        <v>17727</v>
      </c>
      <c r="U350" s="10">
        <v>18814</v>
      </c>
      <c r="V350" s="10">
        <v>19673</v>
      </c>
      <c r="W350" s="10">
        <v>19412</v>
      </c>
      <c r="X350" s="10">
        <v>21366</v>
      </c>
      <c r="Y350" s="10">
        <v>20887</v>
      </c>
      <c r="Z350" s="10">
        <v>17696</v>
      </c>
      <c r="AA350" s="10">
        <v>20573</v>
      </c>
      <c r="AB350" s="10">
        <v>19583</v>
      </c>
      <c r="AC350" s="10">
        <v>21785</v>
      </c>
      <c r="AD350" s="26">
        <f t="shared" si="16"/>
        <v>229363</v>
      </c>
      <c r="AE350" s="25">
        <v>2127</v>
      </c>
      <c r="AF350" s="10">
        <v>3980</v>
      </c>
      <c r="AG350" s="10">
        <v>2671</v>
      </c>
      <c r="AH350" s="10">
        <v>3466</v>
      </c>
      <c r="AI350" s="10">
        <v>1171</v>
      </c>
      <c r="AJ350" s="10">
        <v>3438</v>
      </c>
      <c r="AK350" s="10">
        <v>2466</v>
      </c>
      <c r="AL350" s="10">
        <v>3963</v>
      </c>
      <c r="AM350" s="10">
        <v>3639</v>
      </c>
      <c r="AN350" s="10">
        <v>4372</v>
      </c>
      <c r="AO350" s="10">
        <v>7146</v>
      </c>
      <c r="AP350" s="10">
        <v>6837</v>
      </c>
      <c r="AQ350" s="26">
        <f t="shared" si="17"/>
        <v>45276</v>
      </c>
    </row>
    <row r="351" spans="1:43" ht="17.25" customHeight="1" x14ac:dyDescent="0.45">
      <c r="A351" s="2" t="s">
        <v>69</v>
      </c>
      <c r="B351" s="2" t="s">
        <v>68</v>
      </c>
      <c r="C351" s="2" t="s">
        <v>25</v>
      </c>
      <c r="D351" s="2" t="s">
        <v>66</v>
      </c>
      <c r="E351" s="23">
        <v>30</v>
      </c>
      <c r="F351" s="1">
        <v>29</v>
      </c>
      <c r="G351" s="1">
        <v>31</v>
      </c>
      <c r="H351" s="1">
        <v>30</v>
      </c>
      <c r="I351" s="1">
        <v>29</v>
      </c>
      <c r="J351" s="1">
        <v>30</v>
      </c>
      <c r="K351" s="1">
        <v>29</v>
      </c>
      <c r="L351" s="1">
        <v>31</v>
      </c>
      <c r="M351" s="1">
        <v>30</v>
      </c>
      <c r="N351" s="1">
        <v>35</v>
      </c>
      <c r="O351" s="1">
        <v>60</v>
      </c>
      <c r="P351" s="1">
        <v>60</v>
      </c>
      <c r="Q351" s="24">
        <f t="shared" si="15"/>
        <v>424</v>
      </c>
      <c r="R351" s="23">
        <v>1733</v>
      </c>
      <c r="S351" s="1">
        <v>1236</v>
      </c>
      <c r="T351" s="1">
        <v>1401</v>
      </c>
      <c r="U351" s="1">
        <v>1291</v>
      </c>
      <c r="V351" s="1">
        <v>393</v>
      </c>
      <c r="W351" s="1">
        <v>1373</v>
      </c>
      <c r="X351" s="1">
        <v>1309</v>
      </c>
      <c r="Y351" s="1">
        <v>1398</v>
      </c>
      <c r="Z351" s="1">
        <v>1262</v>
      </c>
      <c r="AA351" s="1">
        <v>1590</v>
      </c>
      <c r="AB351" s="1">
        <v>2588</v>
      </c>
      <c r="AC351" s="1">
        <v>3121</v>
      </c>
      <c r="AD351" s="24">
        <f t="shared" si="16"/>
        <v>18695</v>
      </c>
      <c r="AE351" s="23">
        <v>0</v>
      </c>
      <c r="AF351" s="1">
        <v>0</v>
      </c>
      <c r="AG351" s="1">
        <v>0</v>
      </c>
      <c r="AH351" s="1">
        <v>0</v>
      </c>
      <c r="AI351" s="1">
        <v>0</v>
      </c>
      <c r="AJ351" s="1">
        <v>0</v>
      </c>
      <c r="AK351" s="1">
        <v>0</v>
      </c>
      <c r="AL351" s="1">
        <v>0</v>
      </c>
      <c r="AM351" s="1">
        <v>0</v>
      </c>
      <c r="AN351" s="1">
        <v>0</v>
      </c>
      <c r="AO351" s="1">
        <v>0</v>
      </c>
      <c r="AP351" s="1">
        <v>0</v>
      </c>
      <c r="AQ351" s="24">
        <f t="shared" si="17"/>
        <v>0</v>
      </c>
    </row>
    <row r="352" spans="1:43" ht="17.25" customHeight="1" x14ac:dyDescent="0.45">
      <c r="A352" s="12" t="s">
        <v>69</v>
      </c>
      <c r="B352" s="12" t="s">
        <v>68</v>
      </c>
      <c r="C352" s="12" t="s">
        <v>26</v>
      </c>
      <c r="D352" s="12" t="s">
        <v>66</v>
      </c>
      <c r="E352" s="25">
        <v>29</v>
      </c>
      <c r="F352" s="10">
        <v>22</v>
      </c>
      <c r="G352" s="10">
        <v>22</v>
      </c>
      <c r="H352" s="10">
        <v>30</v>
      </c>
      <c r="I352" s="10">
        <v>27</v>
      </c>
      <c r="J352" s="10">
        <v>30</v>
      </c>
      <c r="K352" s="10">
        <v>29</v>
      </c>
      <c r="L352" s="10">
        <v>31</v>
      </c>
      <c r="M352" s="10">
        <v>30</v>
      </c>
      <c r="N352" s="10">
        <v>32</v>
      </c>
      <c r="O352" s="10">
        <v>30</v>
      </c>
      <c r="P352" s="10">
        <v>31</v>
      </c>
      <c r="Q352" s="26">
        <f t="shared" si="15"/>
        <v>343</v>
      </c>
      <c r="R352" s="25">
        <v>1718</v>
      </c>
      <c r="S352" s="10">
        <v>1296</v>
      </c>
      <c r="T352" s="10">
        <v>1074</v>
      </c>
      <c r="U352" s="10">
        <v>1324</v>
      </c>
      <c r="V352" s="10">
        <v>275</v>
      </c>
      <c r="W352" s="10">
        <v>1313</v>
      </c>
      <c r="X352" s="10">
        <v>1278</v>
      </c>
      <c r="Y352" s="10">
        <v>1403</v>
      </c>
      <c r="Z352" s="10">
        <v>1339</v>
      </c>
      <c r="AA352" s="10">
        <v>1667</v>
      </c>
      <c r="AB352" s="10">
        <v>1761</v>
      </c>
      <c r="AC352" s="10">
        <v>1868</v>
      </c>
      <c r="AD352" s="26">
        <f t="shared" si="16"/>
        <v>16316</v>
      </c>
      <c r="AE352" s="25">
        <v>0</v>
      </c>
      <c r="AF352" s="10">
        <v>0</v>
      </c>
      <c r="AG352" s="10">
        <v>0</v>
      </c>
      <c r="AH352" s="10">
        <v>0</v>
      </c>
      <c r="AI352" s="10">
        <v>0</v>
      </c>
      <c r="AJ352" s="10">
        <v>0</v>
      </c>
      <c r="AK352" s="10">
        <v>0</v>
      </c>
      <c r="AL352" s="10">
        <v>0</v>
      </c>
      <c r="AM352" s="10">
        <v>0</v>
      </c>
      <c r="AN352" s="10">
        <v>0</v>
      </c>
      <c r="AO352" s="10">
        <v>0</v>
      </c>
      <c r="AP352" s="10">
        <v>0</v>
      </c>
      <c r="AQ352" s="26">
        <f t="shared" si="17"/>
        <v>0</v>
      </c>
    </row>
    <row r="353" spans="1:43" ht="17.25" customHeight="1" x14ac:dyDescent="0.45">
      <c r="A353" s="2" t="s">
        <v>69</v>
      </c>
      <c r="B353" s="2" t="s">
        <v>68</v>
      </c>
      <c r="C353" s="2" t="s">
        <v>27</v>
      </c>
      <c r="D353" s="2" t="s">
        <v>66</v>
      </c>
      <c r="E353" s="23">
        <v>3</v>
      </c>
      <c r="F353" s="1">
        <v>7</v>
      </c>
      <c r="G353" s="1">
        <v>7</v>
      </c>
      <c r="H353" s="1">
        <v>25</v>
      </c>
      <c r="I353" s="1">
        <v>25</v>
      </c>
      <c r="J353" s="1">
        <v>30</v>
      </c>
      <c r="K353" s="1">
        <v>29</v>
      </c>
      <c r="L353" s="1">
        <v>31</v>
      </c>
      <c r="M353" s="1">
        <v>30</v>
      </c>
      <c r="N353" s="1">
        <v>21</v>
      </c>
      <c r="O353" s="1">
        <v>22</v>
      </c>
      <c r="P353" s="1">
        <v>18</v>
      </c>
      <c r="Q353" s="24">
        <f t="shared" si="15"/>
        <v>248</v>
      </c>
      <c r="R353" s="23">
        <v>90</v>
      </c>
      <c r="S353" s="1">
        <v>204</v>
      </c>
      <c r="T353" s="1">
        <v>132</v>
      </c>
      <c r="U353" s="1">
        <v>389</v>
      </c>
      <c r="V353" s="1">
        <v>203</v>
      </c>
      <c r="W353" s="1">
        <v>1248</v>
      </c>
      <c r="X353" s="1">
        <v>1229</v>
      </c>
      <c r="Y353" s="1">
        <v>1434</v>
      </c>
      <c r="Z353" s="1">
        <v>1116</v>
      </c>
      <c r="AA353" s="1">
        <v>863</v>
      </c>
      <c r="AB353" s="1">
        <v>839</v>
      </c>
      <c r="AC353" s="1">
        <v>750</v>
      </c>
      <c r="AD353" s="24">
        <f t="shared" si="16"/>
        <v>8497</v>
      </c>
      <c r="AE353" s="23">
        <v>0</v>
      </c>
      <c r="AF353" s="1">
        <v>0</v>
      </c>
      <c r="AG353" s="1">
        <v>0</v>
      </c>
      <c r="AH353" s="1">
        <v>0</v>
      </c>
      <c r="AI353" s="1">
        <v>0</v>
      </c>
      <c r="AJ353" s="1">
        <v>0</v>
      </c>
      <c r="AK353" s="1">
        <v>0</v>
      </c>
      <c r="AL353" s="1">
        <v>0</v>
      </c>
      <c r="AM353" s="1">
        <v>0</v>
      </c>
      <c r="AN353" s="1">
        <v>0</v>
      </c>
      <c r="AO353" s="1">
        <v>0</v>
      </c>
      <c r="AP353" s="1">
        <v>0</v>
      </c>
      <c r="AQ353" s="24">
        <f t="shared" si="17"/>
        <v>0</v>
      </c>
    </row>
    <row r="354" spans="1:43" ht="17.25" customHeight="1" x14ac:dyDescent="0.45">
      <c r="A354" s="12" t="s">
        <v>69</v>
      </c>
      <c r="B354" s="12" t="s">
        <v>68</v>
      </c>
      <c r="C354" s="12" t="s">
        <v>17</v>
      </c>
      <c r="D354" s="12" t="s">
        <v>66</v>
      </c>
      <c r="E354" s="25">
        <v>94</v>
      </c>
      <c r="F354" s="10">
        <v>87</v>
      </c>
      <c r="G354" s="10">
        <v>97</v>
      </c>
      <c r="H354" s="10">
        <v>91</v>
      </c>
      <c r="I354" s="10">
        <v>92</v>
      </c>
      <c r="J354" s="10">
        <v>94</v>
      </c>
      <c r="K354" s="10">
        <v>95</v>
      </c>
      <c r="L354" s="10">
        <v>82</v>
      </c>
      <c r="M354" s="10">
        <v>64</v>
      </c>
      <c r="N354" s="10">
        <v>79</v>
      </c>
      <c r="O354" s="10">
        <v>79</v>
      </c>
      <c r="P354" s="10">
        <v>80</v>
      </c>
      <c r="Q354" s="26">
        <f t="shared" si="15"/>
        <v>1034</v>
      </c>
      <c r="R354" s="25">
        <v>9949</v>
      </c>
      <c r="S354" s="10">
        <v>10491</v>
      </c>
      <c r="T354" s="10">
        <v>11780</v>
      </c>
      <c r="U354" s="10">
        <v>10347</v>
      </c>
      <c r="V354" s="10">
        <v>12659</v>
      </c>
      <c r="W354" s="10">
        <v>13038</v>
      </c>
      <c r="X354" s="10">
        <v>12264</v>
      </c>
      <c r="Y354" s="10">
        <v>9465</v>
      </c>
      <c r="Z354" s="10">
        <v>7418</v>
      </c>
      <c r="AA354" s="10">
        <v>10977</v>
      </c>
      <c r="AB354" s="10">
        <v>9382</v>
      </c>
      <c r="AC354" s="10">
        <v>10766</v>
      </c>
      <c r="AD354" s="26">
        <f t="shared" si="16"/>
        <v>128536</v>
      </c>
      <c r="AE354" s="25">
        <v>959</v>
      </c>
      <c r="AF354" s="10">
        <v>1927</v>
      </c>
      <c r="AG354" s="10">
        <v>1568</v>
      </c>
      <c r="AH354" s="10">
        <v>1480</v>
      </c>
      <c r="AI354" s="10">
        <v>1864</v>
      </c>
      <c r="AJ354" s="10">
        <v>913</v>
      </c>
      <c r="AK354" s="10">
        <v>658</v>
      </c>
      <c r="AL354" s="10">
        <v>265</v>
      </c>
      <c r="AM354" s="10">
        <v>375</v>
      </c>
      <c r="AN354" s="10">
        <v>2080</v>
      </c>
      <c r="AO354" s="10">
        <v>1128</v>
      </c>
      <c r="AP354" s="10">
        <v>1969</v>
      </c>
      <c r="AQ354" s="26">
        <f t="shared" si="17"/>
        <v>15186</v>
      </c>
    </row>
    <row r="355" spans="1:43" ht="17.25" customHeight="1" x14ac:dyDescent="0.45">
      <c r="A355" s="2" t="s">
        <v>69</v>
      </c>
      <c r="B355" s="2" t="s">
        <v>68</v>
      </c>
      <c r="C355" s="2" t="s">
        <v>28</v>
      </c>
      <c r="D355" s="2" t="s">
        <v>66</v>
      </c>
      <c r="E355" s="23">
        <v>106</v>
      </c>
      <c r="F355" s="1">
        <v>100</v>
      </c>
      <c r="G355" s="1">
        <v>106</v>
      </c>
      <c r="H355" s="1">
        <v>107</v>
      </c>
      <c r="I355" s="1">
        <v>104</v>
      </c>
      <c r="J355" s="1">
        <v>103</v>
      </c>
      <c r="K355" s="1">
        <v>101</v>
      </c>
      <c r="L355" s="1">
        <v>106</v>
      </c>
      <c r="M355" s="1">
        <v>103</v>
      </c>
      <c r="N355" s="1">
        <v>103</v>
      </c>
      <c r="O355" s="1">
        <v>103</v>
      </c>
      <c r="P355" s="1">
        <v>137</v>
      </c>
      <c r="Q355" s="24">
        <f t="shared" si="15"/>
        <v>1279</v>
      </c>
      <c r="R355" s="23">
        <v>9676</v>
      </c>
      <c r="S355" s="1">
        <v>10066</v>
      </c>
      <c r="T355" s="1">
        <v>10846</v>
      </c>
      <c r="U355" s="1">
        <v>10135</v>
      </c>
      <c r="V355" s="1">
        <v>11150</v>
      </c>
      <c r="W355" s="1">
        <v>12075</v>
      </c>
      <c r="X355" s="1">
        <v>12005</v>
      </c>
      <c r="Y355" s="1">
        <v>10987</v>
      </c>
      <c r="Z355" s="1">
        <v>9812</v>
      </c>
      <c r="AA355" s="1">
        <v>11404</v>
      </c>
      <c r="AB355" s="1">
        <v>11326</v>
      </c>
      <c r="AC355" s="1">
        <v>16814</v>
      </c>
      <c r="AD355" s="24">
        <f t="shared" si="16"/>
        <v>136296</v>
      </c>
      <c r="AE355" s="23">
        <v>0</v>
      </c>
      <c r="AF355" s="1">
        <v>0</v>
      </c>
      <c r="AG355" s="1">
        <v>0</v>
      </c>
      <c r="AH355" s="1">
        <v>0</v>
      </c>
      <c r="AI355" s="1">
        <v>0</v>
      </c>
      <c r="AJ355" s="1">
        <v>0</v>
      </c>
      <c r="AK355" s="1">
        <v>0</v>
      </c>
      <c r="AL355" s="1">
        <v>0</v>
      </c>
      <c r="AM355" s="1">
        <v>0</v>
      </c>
      <c r="AN355" s="1">
        <v>0</v>
      </c>
      <c r="AO355" s="1">
        <v>0</v>
      </c>
      <c r="AP355" s="1">
        <v>0</v>
      </c>
      <c r="AQ355" s="24">
        <f t="shared" si="17"/>
        <v>0</v>
      </c>
    </row>
    <row r="356" spans="1:43" ht="17.25" customHeight="1" x14ac:dyDescent="0.45">
      <c r="A356" s="12" t="s">
        <v>69</v>
      </c>
      <c r="B356" s="12" t="s">
        <v>68</v>
      </c>
      <c r="C356" s="12" t="s">
        <v>48</v>
      </c>
      <c r="D356" s="12" t="s">
        <v>66</v>
      </c>
      <c r="E356" s="25">
        <v>153</v>
      </c>
      <c r="F356" s="10">
        <v>145</v>
      </c>
      <c r="G356" s="10">
        <v>166</v>
      </c>
      <c r="H356" s="10">
        <v>124</v>
      </c>
      <c r="I356" s="10">
        <v>152</v>
      </c>
      <c r="J356" s="10">
        <v>168</v>
      </c>
      <c r="K356" s="10">
        <v>166</v>
      </c>
      <c r="L356" s="10">
        <v>146</v>
      </c>
      <c r="M356" s="10">
        <v>120</v>
      </c>
      <c r="N356" s="10">
        <v>129</v>
      </c>
      <c r="O356" s="10">
        <v>126</v>
      </c>
      <c r="P356" s="10">
        <v>127</v>
      </c>
      <c r="Q356" s="26">
        <f t="shared" si="15"/>
        <v>1722</v>
      </c>
      <c r="R356" s="25">
        <v>15347</v>
      </c>
      <c r="S356" s="10">
        <v>16522</v>
      </c>
      <c r="T356" s="10">
        <v>19571</v>
      </c>
      <c r="U356" s="10">
        <v>13939</v>
      </c>
      <c r="V356" s="10">
        <v>19097</v>
      </c>
      <c r="W356" s="10">
        <v>23278</v>
      </c>
      <c r="X356" s="10">
        <v>21047</v>
      </c>
      <c r="Y356" s="10">
        <v>16143</v>
      </c>
      <c r="Z356" s="10">
        <v>14582</v>
      </c>
      <c r="AA356" s="10">
        <v>16856</v>
      </c>
      <c r="AB356" s="10">
        <v>14219</v>
      </c>
      <c r="AC356" s="10">
        <v>14622</v>
      </c>
      <c r="AD356" s="26">
        <f t="shared" si="16"/>
        <v>205223</v>
      </c>
      <c r="AE356" s="25">
        <v>1844</v>
      </c>
      <c r="AF356" s="10">
        <v>293</v>
      </c>
      <c r="AG356" s="10">
        <v>922</v>
      </c>
      <c r="AH356" s="10">
        <v>564</v>
      </c>
      <c r="AI356" s="10">
        <v>953</v>
      </c>
      <c r="AJ356" s="10">
        <v>1554</v>
      </c>
      <c r="AK356" s="10">
        <v>592</v>
      </c>
      <c r="AL356" s="10">
        <v>687</v>
      </c>
      <c r="AM356" s="10">
        <v>774</v>
      </c>
      <c r="AN356" s="10">
        <v>43</v>
      </c>
      <c r="AO356" s="10">
        <v>1127</v>
      </c>
      <c r="AP356" s="10">
        <v>0</v>
      </c>
      <c r="AQ356" s="26">
        <f t="shared" si="17"/>
        <v>9353</v>
      </c>
    </row>
    <row r="357" spans="1:43" ht="17.25" customHeight="1" x14ac:dyDescent="0.45">
      <c r="A357" s="2" t="s">
        <v>69</v>
      </c>
      <c r="B357" s="2" t="s">
        <v>68</v>
      </c>
      <c r="C357" s="2" t="s">
        <v>30</v>
      </c>
      <c r="D357" s="2" t="s">
        <v>66</v>
      </c>
      <c r="E357" s="23">
        <v>60</v>
      </c>
      <c r="F357" s="1">
        <v>58</v>
      </c>
      <c r="G357" s="1">
        <v>62</v>
      </c>
      <c r="H357" s="1">
        <v>60</v>
      </c>
      <c r="I357" s="1">
        <v>58</v>
      </c>
      <c r="J357" s="1">
        <v>59</v>
      </c>
      <c r="K357" s="1">
        <v>58</v>
      </c>
      <c r="L357" s="1">
        <v>62</v>
      </c>
      <c r="M357" s="1">
        <v>60</v>
      </c>
      <c r="N357" s="1">
        <v>62</v>
      </c>
      <c r="O357" s="1">
        <v>60</v>
      </c>
      <c r="P357" s="1">
        <v>61</v>
      </c>
      <c r="Q357" s="24">
        <f t="shared" si="15"/>
        <v>720</v>
      </c>
      <c r="R357" s="23">
        <v>2970</v>
      </c>
      <c r="S357" s="1">
        <v>3032</v>
      </c>
      <c r="T357" s="1">
        <v>4361</v>
      </c>
      <c r="U357" s="1">
        <v>3704</v>
      </c>
      <c r="V357" s="1">
        <v>3752</v>
      </c>
      <c r="W357" s="1">
        <v>4765</v>
      </c>
      <c r="X357" s="1">
        <v>5117</v>
      </c>
      <c r="Y357" s="1">
        <v>4368</v>
      </c>
      <c r="Z357" s="1">
        <v>3874</v>
      </c>
      <c r="AA357" s="1">
        <v>4590</v>
      </c>
      <c r="AB357" s="1">
        <v>5095</v>
      </c>
      <c r="AC357" s="1">
        <v>5279</v>
      </c>
      <c r="AD357" s="24">
        <f t="shared" si="16"/>
        <v>50907</v>
      </c>
      <c r="AE357" s="23">
        <v>0</v>
      </c>
      <c r="AF357" s="1">
        <v>0</v>
      </c>
      <c r="AG357" s="1">
        <v>0</v>
      </c>
      <c r="AH357" s="1">
        <v>0</v>
      </c>
      <c r="AI357" s="1">
        <v>0</v>
      </c>
      <c r="AJ357" s="1">
        <v>0</v>
      </c>
      <c r="AK357" s="1">
        <v>0</v>
      </c>
      <c r="AL357" s="1">
        <v>0</v>
      </c>
      <c r="AM357" s="1">
        <v>0</v>
      </c>
      <c r="AN357" s="1">
        <v>0</v>
      </c>
      <c r="AO357" s="1">
        <v>0</v>
      </c>
      <c r="AP357" s="1">
        <v>0</v>
      </c>
      <c r="AQ357" s="24">
        <f t="shared" si="17"/>
        <v>0</v>
      </c>
    </row>
    <row r="358" spans="1:43" ht="17.25" customHeight="1" x14ac:dyDescent="0.45">
      <c r="A358" s="12" t="s">
        <v>69</v>
      </c>
      <c r="B358" s="12" t="s">
        <v>68</v>
      </c>
      <c r="C358" s="12" t="s">
        <v>14</v>
      </c>
      <c r="D358" s="12" t="s">
        <v>66</v>
      </c>
      <c r="E358" s="25">
        <v>30</v>
      </c>
      <c r="F358" s="10">
        <v>29</v>
      </c>
      <c r="G358" s="10">
        <v>31</v>
      </c>
      <c r="H358" s="10">
        <v>30</v>
      </c>
      <c r="I358" s="10">
        <v>31</v>
      </c>
      <c r="J358" s="10">
        <v>28</v>
      </c>
      <c r="K358" s="10">
        <v>29</v>
      </c>
      <c r="L358" s="10">
        <v>31</v>
      </c>
      <c r="M358" s="10">
        <v>30</v>
      </c>
      <c r="N358" s="10">
        <v>31</v>
      </c>
      <c r="O358" s="10">
        <v>30</v>
      </c>
      <c r="P358" s="10">
        <v>31</v>
      </c>
      <c r="Q358" s="26">
        <f t="shared" si="15"/>
        <v>361</v>
      </c>
      <c r="R358" s="25">
        <v>1497</v>
      </c>
      <c r="S358" s="10">
        <v>1574</v>
      </c>
      <c r="T358" s="10">
        <v>1978</v>
      </c>
      <c r="U358" s="10">
        <v>2433</v>
      </c>
      <c r="V358" s="10">
        <v>2690</v>
      </c>
      <c r="W358" s="10">
        <v>2488</v>
      </c>
      <c r="X358" s="10">
        <v>2450</v>
      </c>
      <c r="Y358" s="10">
        <v>1973</v>
      </c>
      <c r="Z358" s="10">
        <v>1587</v>
      </c>
      <c r="AA358" s="10">
        <v>2512</v>
      </c>
      <c r="AB358" s="10">
        <v>2380</v>
      </c>
      <c r="AC358" s="10">
        <v>2762</v>
      </c>
      <c r="AD358" s="26">
        <f t="shared" si="16"/>
        <v>26324</v>
      </c>
      <c r="AE358" s="25">
        <v>0</v>
      </c>
      <c r="AF358" s="10">
        <v>0</v>
      </c>
      <c r="AG358" s="10">
        <v>0</v>
      </c>
      <c r="AH358" s="10">
        <v>0</v>
      </c>
      <c r="AI358" s="10">
        <v>0</v>
      </c>
      <c r="AJ358" s="10">
        <v>0</v>
      </c>
      <c r="AK358" s="10">
        <v>0</v>
      </c>
      <c r="AL358" s="10">
        <v>0</v>
      </c>
      <c r="AM358" s="10">
        <v>0</v>
      </c>
      <c r="AN358" s="10">
        <v>100</v>
      </c>
      <c r="AO358" s="10">
        <v>0</v>
      </c>
      <c r="AP358" s="10">
        <v>0</v>
      </c>
      <c r="AQ358" s="26">
        <f t="shared" si="17"/>
        <v>100</v>
      </c>
    </row>
    <row r="359" spans="1:43" ht="17.25" customHeight="1" x14ac:dyDescent="0.45">
      <c r="A359" s="2" t="s">
        <v>69</v>
      </c>
      <c r="B359" s="2" t="s">
        <v>68</v>
      </c>
      <c r="C359" s="2" t="s">
        <v>31</v>
      </c>
      <c r="D359" s="2" t="s">
        <v>66</v>
      </c>
      <c r="E359" s="23">
        <v>29</v>
      </c>
      <c r="F359" s="1">
        <v>29</v>
      </c>
      <c r="G359" s="1">
        <v>31</v>
      </c>
      <c r="H359" s="1">
        <v>30</v>
      </c>
      <c r="I359" s="1">
        <v>30</v>
      </c>
      <c r="J359" s="1">
        <v>30</v>
      </c>
      <c r="K359" s="1">
        <v>29</v>
      </c>
      <c r="L359" s="1">
        <v>31</v>
      </c>
      <c r="M359" s="1">
        <v>30</v>
      </c>
      <c r="N359" s="1">
        <v>31</v>
      </c>
      <c r="O359" s="1">
        <v>30</v>
      </c>
      <c r="P359" s="1">
        <v>30</v>
      </c>
      <c r="Q359" s="24">
        <f t="shared" si="15"/>
        <v>360</v>
      </c>
      <c r="R359" s="23">
        <v>1625</v>
      </c>
      <c r="S359" s="1">
        <v>1330</v>
      </c>
      <c r="T359" s="1">
        <v>1402</v>
      </c>
      <c r="U359" s="1">
        <v>1344</v>
      </c>
      <c r="V359" s="1">
        <v>827</v>
      </c>
      <c r="W359" s="1">
        <v>1638</v>
      </c>
      <c r="X359" s="1">
        <v>1912</v>
      </c>
      <c r="Y359" s="1">
        <v>1744</v>
      </c>
      <c r="Z359" s="1">
        <v>1545</v>
      </c>
      <c r="AA359" s="1">
        <v>2397</v>
      </c>
      <c r="AB359" s="1">
        <v>2420</v>
      </c>
      <c r="AC359" s="1">
        <v>2946</v>
      </c>
      <c r="AD359" s="24">
        <f t="shared" si="16"/>
        <v>21130</v>
      </c>
      <c r="AE359" s="23">
        <v>0</v>
      </c>
      <c r="AF359" s="1">
        <v>0</v>
      </c>
      <c r="AG359" s="1">
        <v>0</v>
      </c>
      <c r="AH359" s="1">
        <v>0</v>
      </c>
      <c r="AI359" s="1">
        <v>0</v>
      </c>
      <c r="AJ359" s="1">
        <v>0</v>
      </c>
      <c r="AK359" s="1">
        <v>0</v>
      </c>
      <c r="AL359" s="1">
        <v>0</v>
      </c>
      <c r="AM359" s="1">
        <v>0</v>
      </c>
      <c r="AN359" s="1">
        <v>0</v>
      </c>
      <c r="AO359" s="1">
        <v>0</v>
      </c>
      <c r="AP359" s="1">
        <v>0</v>
      </c>
      <c r="AQ359" s="24">
        <f t="shared" si="17"/>
        <v>0</v>
      </c>
    </row>
    <row r="360" spans="1:43" ht="17.25" customHeight="1" x14ac:dyDescent="0.45">
      <c r="A360" s="12" t="s">
        <v>69</v>
      </c>
      <c r="B360" s="12" t="s">
        <v>68</v>
      </c>
      <c r="C360" s="12" t="s">
        <v>247</v>
      </c>
      <c r="D360" s="12" t="s">
        <v>66</v>
      </c>
      <c r="E360" s="25">
        <v>0</v>
      </c>
      <c r="F360" s="10">
        <v>0</v>
      </c>
      <c r="G360" s="10">
        <v>2</v>
      </c>
      <c r="H360" s="10">
        <v>60</v>
      </c>
      <c r="I360" s="10">
        <v>51</v>
      </c>
      <c r="J360" s="10">
        <v>30</v>
      </c>
      <c r="K360" s="10">
        <v>29</v>
      </c>
      <c r="L360" s="10">
        <v>31</v>
      </c>
      <c r="M360" s="10">
        <v>30</v>
      </c>
      <c r="N360" s="10">
        <v>31</v>
      </c>
      <c r="O360" s="10">
        <v>30</v>
      </c>
      <c r="P360" s="10">
        <v>44</v>
      </c>
      <c r="Q360" s="26">
        <f t="shared" si="15"/>
        <v>338</v>
      </c>
      <c r="R360" s="25">
        <v>0</v>
      </c>
      <c r="S360" s="10">
        <v>0</v>
      </c>
      <c r="T360" s="10">
        <v>293</v>
      </c>
      <c r="U360" s="10">
        <v>4735</v>
      </c>
      <c r="V360" s="10">
        <v>5284</v>
      </c>
      <c r="W360" s="10">
        <v>4738</v>
      </c>
      <c r="X360" s="10">
        <v>4307</v>
      </c>
      <c r="Y360" s="10">
        <v>3550</v>
      </c>
      <c r="Z360" s="10">
        <v>2938</v>
      </c>
      <c r="AA360" s="10">
        <v>3878</v>
      </c>
      <c r="AB360" s="10">
        <v>3780</v>
      </c>
      <c r="AC360" s="10">
        <v>6091</v>
      </c>
      <c r="AD360" s="26">
        <f t="shared" si="16"/>
        <v>39594</v>
      </c>
      <c r="AE360" s="25">
        <v>0</v>
      </c>
      <c r="AF360" s="10">
        <v>0</v>
      </c>
      <c r="AG360" s="10">
        <v>0</v>
      </c>
      <c r="AH360" s="10">
        <v>0</v>
      </c>
      <c r="AI360" s="10">
        <v>0</v>
      </c>
      <c r="AJ360" s="10">
        <v>0</v>
      </c>
      <c r="AK360" s="10">
        <v>0</v>
      </c>
      <c r="AL360" s="10">
        <v>0</v>
      </c>
      <c r="AM360" s="10">
        <v>0</v>
      </c>
      <c r="AN360" s="10">
        <v>0</v>
      </c>
      <c r="AO360" s="10">
        <v>0</v>
      </c>
      <c r="AP360" s="10">
        <v>0</v>
      </c>
      <c r="AQ360" s="26">
        <f t="shared" si="17"/>
        <v>0</v>
      </c>
    </row>
    <row r="361" spans="1:43" ht="17.25" customHeight="1" x14ac:dyDescent="0.45">
      <c r="A361" s="2" t="s">
        <v>69</v>
      </c>
      <c r="B361" s="2" t="s">
        <v>68</v>
      </c>
      <c r="C361" s="2" t="s">
        <v>35</v>
      </c>
      <c r="D361" s="2" t="s">
        <v>66</v>
      </c>
      <c r="E361" s="23">
        <v>31</v>
      </c>
      <c r="F361" s="1">
        <v>29</v>
      </c>
      <c r="G361" s="1">
        <v>31</v>
      </c>
      <c r="H361" s="1">
        <v>30</v>
      </c>
      <c r="I361" s="1">
        <v>30</v>
      </c>
      <c r="J361" s="1">
        <v>30</v>
      </c>
      <c r="K361" s="1">
        <v>30</v>
      </c>
      <c r="L361" s="1">
        <v>31</v>
      </c>
      <c r="M361" s="1">
        <v>30</v>
      </c>
      <c r="N361" s="1">
        <v>31</v>
      </c>
      <c r="O361" s="1">
        <v>30</v>
      </c>
      <c r="P361" s="1">
        <v>31</v>
      </c>
      <c r="Q361" s="24">
        <f t="shared" si="15"/>
        <v>364</v>
      </c>
      <c r="R361" s="23">
        <v>2841</v>
      </c>
      <c r="S361" s="1">
        <v>2707</v>
      </c>
      <c r="T361" s="1">
        <v>2959</v>
      </c>
      <c r="U361" s="1">
        <v>2675</v>
      </c>
      <c r="V361" s="1">
        <v>3157</v>
      </c>
      <c r="W361" s="1">
        <v>3141</v>
      </c>
      <c r="X361" s="1">
        <v>3029</v>
      </c>
      <c r="Y361" s="1">
        <v>2952</v>
      </c>
      <c r="Z361" s="1">
        <v>2392</v>
      </c>
      <c r="AA361" s="1">
        <v>3046</v>
      </c>
      <c r="AB361" s="1">
        <v>3272</v>
      </c>
      <c r="AC361" s="1">
        <v>3548</v>
      </c>
      <c r="AD361" s="24">
        <f t="shared" si="16"/>
        <v>35719</v>
      </c>
      <c r="AE361" s="23">
        <v>0</v>
      </c>
      <c r="AF361" s="1">
        <v>0</v>
      </c>
      <c r="AG361" s="1">
        <v>0</v>
      </c>
      <c r="AH361" s="1">
        <v>0</v>
      </c>
      <c r="AI361" s="1">
        <v>0</v>
      </c>
      <c r="AJ361" s="1">
        <v>0</v>
      </c>
      <c r="AK361" s="1">
        <v>0</v>
      </c>
      <c r="AL361" s="1">
        <v>0</v>
      </c>
      <c r="AM361" s="1">
        <v>0</v>
      </c>
      <c r="AN361" s="1">
        <v>0</v>
      </c>
      <c r="AO361" s="1">
        <v>0</v>
      </c>
      <c r="AP361" s="1">
        <v>0</v>
      </c>
      <c r="AQ361" s="24">
        <f t="shared" si="17"/>
        <v>0</v>
      </c>
    </row>
    <row r="362" spans="1:43" ht="17.25" customHeight="1" x14ac:dyDescent="0.45">
      <c r="A362" s="12" t="s">
        <v>51</v>
      </c>
      <c r="B362" s="12" t="s">
        <v>66</v>
      </c>
      <c r="C362" s="12" t="s">
        <v>94</v>
      </c>
      <c r="D362" s="12" t="s">
        <v>65</v>
      </c>
      <c r="E362" s="25">
        <v>23</v>
      </c>
      <c r="F362" s="10">
        <v>20</v>
      </c>
      <c r="G362" s="10">
        <v>22</v>
      </c>
      <c r="H362" s="10">
        <v>17</v>
      </c>
      <c r="I362" s="10">
        <v>2</v>
      </c>
      <c r="J362" s="10">
        <v>0</v>
      </c>
      <c r="K362" s="10">
        <v>0</v>
      </c>
      <c r="L362" s="10">
        <v>0</v>
      </c>
      <c r="M362" s="10">
        <v>0</v>
      </c>
      <c r="N362" s="10">
        <v>7</v>
      </c>
      <c r="O362" s="10">
        <v>16</v>
      </c>
      <c r="P362" s="10">
        <v>25</v>
      </c>
      <c r="Q362" s="26">
        <f t="shared" si="15"/>
        <v>132</v>
      </c>
      <c r="R362" s="25">
        <v>3680</v>
      </c>
      <c r="S362" s="10">
        <v>3391</v>
      </c>
      <c r="T362" s="10">
        <v>3454</v>
      </c>
      <c r="U362" s="10">
        <v>2555</v>
      </c>
      <c r="V362" s="10">
        <v>280</v>
      </c>
      <c r="W362" s="10">
        <v>0</v>
      </c>
      <c r="X362" s="10">
        <v>0</v>
      </c>
      <c r="Y362" s="10">
        <v>0</v>
      </c>
      <c r="Z362" s="10">
        <v>0</v>
      </c>
      <c r="AA362" s="10">
        <v>496</v>
      </c>
      <c r="AB362" s="10">
        <v>2281</v>
      </c>
      <c r="AC362" s="10">
        <v>3281</v>
      </c>
      <c r="AD362" s="26">
        <f t="shared" si="16"/>
        <v>19418</v>
      </c>
      <c r="AE362" s="25">
        <v>0</v>
      </c>
      <c r="AF362" s="10">
        <v>0</v>
      </c>
      <c r="AG362" s="10">
        <v>0</v>
      </c>
      <c r="AH362" s="10">
        <v>0</v>
      </c>
      <c r="AI362" s="10">
        <v>0</v>
      </c>
      <c r="AJ362" s="10">
        <v>0</v>
      </c>
      <c r="AK362" s="10">
        <v>0</v>
      </c>
      <c r="AL362" s="10">
        <v>0</v>
      </c>
      <c r="AM362" s="10">
        <v>0</v>
      </c>
      <c r="AN362" s="10">
        <v>0</v>
      </c>
      <c r="AO362" s="10">
        <v>0</v>
      </c>
      <c r="AP362" s="10">
        <v>0</v>
      </c>
      <c r="AQ362" s="26">
        <f t="shared" si="17"/>
        <v>0</v>
      </c>
    </row>
    <row r="363" spans="1:43" ht="17.25" customHeight="1" x14ac:dyDescent="0.45">
      <c r="A363" s="2" t="s">
        <v>51</v>
      </c>
      <c r="B363" s="2" t="s">
        <v>66</v>
      </c>
      <c r="C363" s="2" t="s">
        <v>72</v>
      </c>
      <c r="D363" s="2" t="s">
        <v>68</v>
      </c>
      <c r="E363" s="23">
        <v>4</v>
      </c>
      <c r="F363" s="1">
        <v>4</v>
      </c>
      <c r="G363" s="1">
        <v>5</v>
      </c>
      <c r="H363" s="1">
        <v>1</v>
      </c>
      <c r="I363" s="1">
        <v>0</v>
      </c>
      <c r="J363" s="1">
        <v>4</v>
      </c>
      <c r="K363" s="1">
        <v>0</v>
      </c>
      <c r="L363" s="1">
        <v>0</v>
      </c>
      <c r="M363" s="1">
        <v>0</v>
      </c>
      <c r="N363" s="1">
        <v>0</v>
      </c>
      <c r="O363" s="1">
        <v>0</v>
      </c>
      <c r="P363" s="1">
        <v>0</v>
      </c>
      <c r="Q363" s="24">
        <f t="shared" si="15"/>
        <v>18</v>
      </c>
      <c r="R363" s="23">
        <v>541</v>
      </c>
      <c r="S363" s="1">
        <v>592</v>
      </c>
      <c r="T363" s="1">
        <v>745</v>
      </c>
      <c r="U363" s="1">
        <v>152</v>
      </c>
      <c r="V363" s="1">
        <v>0</v>
      </c>
      <c r="W363" s="1">
        <v>88</v>
      </c>
      <c r="X363" s="1">
        <v>0</v>
      </c>
      <c r="Y363" s="1">
        <v>0</v>
      </c>
      <c r="Z363" s="1">
        <v>0</v>
      </c>
      <c r="AA363" s="1">
        <v>0</v>
      </c>
      <c r="AB363" s="1">
        <v>0</v>
      </c>
      <c r="AC363" s="1">
        <v>0</v>
      </c>
      <c r="AD363" s="24">
        <f t="shared" si="16"/>
        <v>2118</v>
      </c>
      <c r="AE363" s="23">
        <v>0</v>
      </c>
      <c r="AF363" s="1">
        <v>0</v>
      </c>
      <c r="AG363" s="1">
        <v>0</v>
      </c>
      <c r="AH363" s="1">
        <v>0</v>
      </c>
      <c r="AI363" s="1">
        <v>0</v>
      </c>
      <c r="AJ363" s="1">
        <v>0</v>
      </c>
      <c r="AK363" s="1">
        <v>0</v>
      </c>
      <c r="AL363" s="1">
        <v>0</v>
      </c>
      <c r="AM363" s="1">
        <v>0</v>
      </c>
      <c r="AN363" s="1">
        <v>0</v>
      </c>
      <c r="AO363" s="1">
        <v>0</v>
      </c>
      <c r="AP363" s="1">
        <v>0</v>
      </c>
      <c r="AQ363" s="24">
        <f t="shared" si="17"/>
        <v>0</v>
      </c>
    </row>
    <row r="364" spans="1:43" ht="17.25" customHeight="1" x14ac:dyDescent="0.45">
      <c r="A364" s="12" t="s">
        <v>51</v>
      </c>
      <c r="B364" s="12" t="s">
        <v>66</v>
      </c>
      <c r="C364" s="12" t="s">
        <v>67</v>
      </c>
      <c r="D364" s="12" t="s">
        <v>68</v>
      </c>
      <c r="E364" s="25">
        <v>18</v>
      </c>
      <c r="F364" s="10">
        <v>23</v>
      </c>
      <c r="G364" s="10">
        <v>31</v>
      </c>
      <c r="H364" s="10">
        <v>10</v>
      </c>
      <c r="I364" s="10">
        <v>2</v>
      </c>
      <c r="J364" s="10">
        <v>8</v>
      </c>
      <c r="K364" s="10">
        <v>9</v>
      </c>
      <c r="L364" s="10">
        <v>1</v>
      </c>
      <c r="M364" s="10">
        <v>0</v>
      </c>
      <c r="N364" s="10">
        <v>0</v>
      </c>
      <c r="O364" s="10">
        <v>15</v>
      </c>
      <c r="P364" s="10">
        <v>27</v>
      </c>
      <c r="Q364" s="26">
        <f t="shared" si="15"/>
        <v>144</v>
      </c>
      <c r="R364" s="25">
        <v>1333</v>
      </c>
      <c r="S364" s="10">
        <v>1672</v>
      </c>
      <c r="T364" s="10">
        <v>2251</v>
      </c>
      <c r="U364" s="10">
        <v>727</v>
      </c>
      <c r="V364" s="10">
        <v>145</v>
      </c>
      <c r="W364" s="10">
        <v>525</v>
      </c>
      <c r="X364" s="10">
        <v>648</v>
      </c>
      <c r="Y364" s="10">
        <v>71</v>
      </c>
      <c r="Z364" s="10">
        <v>0</v>
      </c>
      <c r="AA364" s="10">
        <v>0</v>
      </c>
      <c r="AB364" s="10">
        <v>972</v>
      </c>
      <c r="AC364" s="10">
        <v>1579</v>
      </c>
      <c r="AD364" s="26">
        <f t="shared" si="16"/>
        <v>9923</v>
      </c>
      <c r="AE364" s="25">
        <v>0</v>
      </c>
      <c r="AF364" s="10">
        <v>0</v>
      </c>
      <c r="AG364" s="10">
        <v>0</v>
      </c>
      <c r="AH364" s="10">
        <v>0</v>
      </c>
      <c r="AI364" s="10">
        <v>0</v>
      </c>
      <c r="AJ364" s="10">
        <v>0</v>
      </c>
      <c r="AK364" s="10">
        <v>0</v>
      </c>
      <c r="AL364" s="10">
        <v>0</v>
      </c>
      <c r="AM364" s="10">
        <v>0</v>
      </c>
      <c r="AN364" s="10">
        <v>0</v>
      </c>
      <c r="AO364" s="10">
        <v>0</v>
      </c>
      <c r="AP364" s="10">
        <v>0</v>
      </c>
      <c r="AQ364" s="26">
        <f t="shared" si="17"/>
        <v>0</v>
      </c>
    </row>
    <row r="365" spans="1:43" ht="17.25" customHeight="1" x14ac:dyDescent="0.45">
      <c r="A365" s="2" t="s">
        <v>51</v>
      </c>
      <c r="B365" s="2" t="s">
        <v>66</v>
      </c>
      <c r="C365" s="2" t="s">
        <v>102</v>
      </c>
      <c r="D365" s="2" t="s">
        <v>65</v>
      </c>
      <c r="E365" s="23">
        <v>9</v>
      </c>
      <c r="F365" s="1">
        <v>9</v>
      </c>
      <c r="G365" s="1">
        <v>8</v>
      </c>
      <c r="H365" s="1">
        <v>5</v>
      </c>
      <c r="I365" s="1">
        <v>0</v>
      </c>
      <c r="J365" s="1">
        <v>0</v>
      </c>
      <c r="K365" s="1">
        <v>0</v>
      </c>
      <c r="L365" s="1">
        <v>0</v>
      </c>
      <c r="M365" s="1">
        <v>0</v>
      </c>
      <c r="N365" s="1">
        <v>4</v>
      </c>
      <c r="O365" s="1">
        <v>6</v>
      </c>
      <c r="P365" s="1">
        <v>10</v>
      </c>
      <c r="Q365" s="24">
        <f t="shared" si="15"/>
        <v>51</v>
      </c>
      <c r="R365" s="23">
        <v>1321</v>
      </c>
      <c r="S365" s="1">
        <v>1491</v>
      </c>
      <c r="T365" s="1">
        <v>1281</v>
      </c>
      <c r="U365" s="1">
        <v>645</v>
      </c>
      <c r="V365" s="1">
        <v>0</v>
      </c>
      <c r="W365" s="1">
        <v>0</v>
      </c>
      <c r="X365" s="1">
        <v>0</v>
      </c>
      <c r="Y365" s="1">
        <v>0</v>
      </c>
      <c r="Z365" s="1">
        <v>0</v>
      </c>
      <c r="AA365" s="1">
        <v>150</v>
      </c>
      <c r="AB365" s="1">
        <v>725</v>
      </c>
      <c r="AC365" s="1">
        <v>1102</v>
      </c>
      <c r="AD365" s="24">
        <f t="shared" si="16"/>
        <v>6715</v>
      </c>
      <c r="AE365" s="23">
        <v>0</v>
      </c>
      <c r="AF365" s="1">
        <v>0</v>
      </c>
      <c r="AG365" s="1">
        <v>0</v>
      </c>
      <c r="AH365" s="1">
        <v>0</v>
      </c>
      <c r="AI365" s="1">
        <v>0</v>
      </c>
      <c r="AJ365" s="1">
        <v>0</v>
      </c>
      <c r="AK365" s="1">
        <v>0</v>
      </c>
      <c r="AL365" s="1">
        <v>0</v>
      </c>
      <c r="AM365" s="1">
        <v>0</v>
      </c>
      <c r="AN365" s="1">
        <v>0</v>
      </c>
      <c r="AO365" s="1">
        <v>0</v>
      </c>
      <c r="AP365" s="1">
        <v>0</v>
      </c>
      <c r="AQ365" s="24">
        <f t="shared" si="17"/>
        <v>0</v>
      </c>
    </row>
    <row r="366" spans="1:43" ht="17.25" customHeight="1" x14ac:dyDescent="0.45">
      <c r="A366" s="12" t="s">
        <v>51</v>
      </c>
      <c r="B366" s="12" t="s">
        <v>66</v>
      </c>
      <c r="C366" s="12" t="s">
        <v>71</v>
      </c>
      <c r="D366" s="12" t="s">
        <v>65</v>
      </c>
      <c r="E366" s="25">
        <v>4</v>
      </c>
      <c r="F366" s="10">
        <v>4</v>
      </c>
      <c r="G366" s="10">
        <v>5</v>
      </c>
      <c r="H366" s="10">
        <v>4</v>
      </c>
      <c r="I366" s="10">
        <v>2</v>
      </c>
      <c r="J366" s="10">
        <v>0</v>
      </c>
      <c r="K366" s="10">
        <v>0</v>
      </c>
      <c r="L366" s="10">
        <v>0</v>
      </c>
      <c r="M366" s="10">
        <v>0</v>
      </c>
      <c r="N366" s="10">
        <v>0</v>
      </c>
      <c r="O366" s="10">
        <v>5</v>
      </c>
      <c r="P366" s="10">
        <v>11</v>
      </c>
      <c r="Q366" s="26">
        <f t="shared" si="15"/>
        <v>35</v>
      </c>
      <c r="R366" s="25">
        <v>505</v>
      </c>
      <c r="S366" s="10">
        <v>656</v>
      </c>
      <c r="T366" s="10">
        <v>760</v>
      </c>
      <c r="U366" s="10">
        <v>500</v>
      </c>
      <c r="V366" s="10">
        <v>198</v>
      </c>
      <c r="W366" s="10">
        <v>0</v>
      </c>
      <c r="X366" s="10">
        <v>0</v>
      </c>
      <c r="Y366" s="10">
        <v>0</v>
      </c>
      <c r="Z366" s="10">
        <v>0</v>
      </c>
      <c r="AA366" s="10">
        <v>0</v>
      </c>
      <c r="AB366" s="10">
        <v>483</v>
      </c>
      <c r="AC366" s="10">
        <v>1139</v>
      </c>
      <c r="AD366" s="26">
        <f t="shared" si="16"/>
        <v>4241</v>
      </c>
      <c r="AE366" s="25">
        <v>0</v>
      </c>
      <c r="AF366" s="10">
        <v>0</v>
      </c>
      <c r="AG366" s="10">
        <v>0</v>
      </c>
      <c r="AH366" s="10">
        <v>0</v>
      </c>
      <c r="AI366" s="10">
        <v>0</v>
      </c>
      <c r="AJ366" s="10">
        <v>0</v>
      </c>
      <c r="AK366" s="10">
        <v>0</v>
      </c>
      <c r="AL366" s="10">
        <v>0</v>
      </c>
      <c r="AM366" s="10">
        <v>0</v>
      </c>
      <c r="AN366" s="10">
        <v>0</v>
      </c>
      <c r="AO366" s="10">
        <v>0</v>
      </c>
      <c r="AP366" s="10">
        <v>0</v>
      </c>
      <c r="AQ366" s="26">
        <f t="shared" si="17"/>
        <v>0</v>
      </c>
    </row>
    <row r="367" spans="1:43" ht="17.25" customHeight="1" x14ac:dyDescent="0.45">
      <c r="A367" s="2" t="s">
        <v>51</v>
      </c>
      <c r="B367" s="2" t="s">
        <v>66</v>
      </c>
      <c r="C367" s="2" t="s">
        <v>165</v>
      </c>
      <c r="D367" s="2" t="s">
        <v>65</v>
      </c>
      <c r="E367" s="23">
        <v>17</v>
      </c>
      <c r="F367" s="1">
        <v>17</v>
      </c>
      <c r="G367" s="1">
        <v>18</v>
      </c>
      <c r="H367" s="1">
        <v>12</v>
      </c>
      <c r="I367" s="1">
        <v>0</v>
      </c>
      <c r="J367" s="1">
        <v>0</v>
      </c>
      <c r="K367" s="1">
        <v>0</v>
      </c>
      <c r="L367" s="1">
        <v>0</v>
      </c>
      <c r="M367" s="1">
        <v>0</v>
      </c>
      <c r="N367" s="1">
        <v>2</v>
      </c>
      <c r="O367" s="1">
        <v>17</v>
      </c>
      <c r="P367" s="1">
        <v>18</v>
      </c>
      <c r="Q367" s="24">
        <f t="shared" si="15"/>
        <v>101</v>
      </c>
      <c r="R367" s="23">
        <v>2003</v>
      </c>
      <c r="S367" s="1">
        <v>2646</v>
      </c>
      <c r="T367" s="1">
        <v>2571</v>
      </c>
      <c r="U367" s="1">
        <v>1540</v>
      </c>
      <c r="V367" s="1">
        <v>0</v>
      </c>
      <c r="W367" s="1">
        <v>0</v>
      </c>
      <c r="X367" s="1">
        <v>0</v>
      </c>
      <c r="Y367" s="1">
        <v>0</v>
      </c>
      <c r="Z367" s="1">
        <v>0</v>
      </c>
      <c r="AA367" s="1">
        <v>73</v>
      </c>
      <c r="AB367" s="1">
        <v>1576</v>
      </c>
      <c r="AC367" s="1">
        <v>1955</v>
      </c>
      <c r="AD367" s="24">
        <f t="shared" si="16"/>
        <v>12364</v>
      </c>
      <c r="AE367" s="23">
        <v>0</v>
      </c>
      <c r="AF367" s="1">
        <v>0</v>
      </c>
      <c r="AG367" s="1">
        <v>0</v>
      </c>
      <c r="AH367" s="1">
        <v>0</v>
      </c>
      <c r="AI367" s="1">
        <v>0</v>
      </c>
      <c r="AJ367" s="1">
        <v>0</v>
      </c>
      <c r="AK367" s="1">
        <v>0</v>
      </c>
      <c r="AL367" s="1">
        <v>0</v>
      </c>
      <c r="AM367" s="1">
        <v>0</v>
      </c>
      <c r="AN367" s="1">
        <v>0</v>
      </c>
      <c r="AO367" s="1">
        <v>0</v>
      </c>
      <c r="AP367" s="1">
        <v>0</v>
      </c>
      <c r="AQ367" s="24">
        <f t="shared" si="17"/>
        <v>0</v>
      </c>
    </row>
    <row r="368" spans="1:43" ht="17.25" customHeight="1" x14ac:dyDescent="0.45">
      <c r="A368" s="12" t="s">
        <v>51</v>
      </c>
      <c r="B368" s="12" t="s">
        <v>66</v>
      </c>
      <c r="C368" s="12" t="s">
        <v>171</v>
      </c>
      <c r="D368" s="12" t="s">
        <v>65</v>
      </c>
      <c r="E368" s="25">
        <v>4</v>
      </c>
      <c r="F368" s="10">
        <v>4</v>
      </c>
      <c r="G368" s="10">
        <v>5</v>
      </c>
      <c r="H368" s="10">
        <v>2</v>
      </c>
      <c r="I368" s="10">
        <v>0</v>
      </c>
      <c r="J368" s="10">
        <v>0</v>
      </c>
      <c r="K368" s="10">
        <v>0</v>
      </c>
      <c r="L368" s="10">
        <v>0</v>
      </c>
      <c r="M368" s="10">
        <v>0</v>
      </c>
      <c r="N368" s="10">
        <v>0</v>
      </c>
      <c r="O368" s="10">
        <v>2</v>
      </c>
      <c r="P368" s="10">
        <v>5</v>
      </c>
      <c r="Q368" s="26">
        <f t="shared" si="15"/>
        <v>22</v>
      </c>
      <c r="R368" s="25">
        <v>618</v>
      </c>
      <c r="S368" s="10">
        <v>671</v>
      </c>
      <c r="T368" s="10">
        <v>835</v>
      </c>
      <c r="U368" s="10">
        <v>264</v>
      </c>
      <c r="V368" s="10">
        <v>0</v>
      </c>
      <c r="W368" s="10">
        <v>0</v>
      </c>
      <c r="X368" s="10">
        <v>0</v>
      </c>
      <c r="Y368" s="10">
        <v>0</v>
      </c>
      <c r="Z368" s="10">
        <v>0</v>
      </c>
      <c r="AA368" s="10">
        <v>0</v>
      </c>
      <c r="AB368" s="10">
        <v>178</v>
      </c>
      <c r="AC368" s="10">
        <v>512</v>
      </c>
      <c r="AD368" s="26">
        <f t="shared" si="16"/>
        <v>3078</v>
      </c>
      <c r="AE368" s="25">
        <v>0</v>
      </c>
      <c r="AF368" s="10">
        <v>0</v>
      </c>
      <c r="AG368" s="10">
        <v>0</v>
      </c>
      <c r="AH368" s="10">
        <v>0</v>
      </c>
      <c r="AI368" s="10">
        <v>0</v>
      </c>
      <c r="AJ368" s="10">
        <v>0</v>
      </c>
      <c r="AK368" s="10">
        <v>0</v>
      </c>
      <c r="AL368" s="10">
        <v>0</v>
      </c>
      <c r="AM368" s="10">
        <v>0</v>
      </c>
      <c r="AN368" s="10">
        <v>0</v>
      </c>
      <c r="AO368" s="10">
        <v>0</v>
      </c>
      <c r="AP368" s="10">
        <v>0</v>
      </c>
      <c r="AQ368" s="26">
        <f t="shared" si="17"/>
        <v>0</v>
      </c>
    </row>
    <row r="369" spans="1:43" ht="17.25" customHeight="1" x14ac:dyDescent="0.45">
      <c r="A369" s="2" t="s">
        <v>112</v>
      </c>
      <c r="B369" s="2" t="s">
        <v>68</v>
      </c>
      <c r="C369" s="2" t="s">
        <v>10</v>
      </c>
      <c r="D369" s="2" t="s">
        <v>66</v>
      </c>
      <c r="E369" s="23">
        <v>4</v>
      </c>
      <c r="F369" s="1">
        <v>4</v>
      </c>
      <c r="G369" s="1">
        <v>9</v>
      </c>
      <c r="H369" s="1">
        <v>8</v>
      </c>
      <c r="I369" s="1">
        <v>8</v>
      </c>
      <c r="J369" s="1">
        <v>10</v>
      </c>
      <c r="K369" s="1">
        <v>8</v>
      </c>
      <c r="L369" s="1">
        <v>2</v>
      </c>
      <c r="M369" s="1">
        <v>0</v>
      </c>
      <c r="N369" s="1">
        <v>0</v>
      </c>
      <c r="O369" s="1">
        <v>4</v>
      </c>
      <c r="P369" s="1">
        <v>4</v>
      </c>
      <c r="Q369" s="24">
        <f t="shared" si="15"/>
        <v>61</v>
      </c>
      <c r="R369" s="23">
        <v>666</v>
      </c>
      <c r="S369" s="1">
        <v>685</v>
      </c>
      <c r="T369" s="1">
        <v>1540</v>
      </c>
      <c r="U369" s="1">
        <v>815</v>
      </c>
      <c r="V369" s="1">
        <v>1034</v>
      </c>
      <c r="W369" s="1">
        <v>1520</v>
      </c>
      <c r="X369" s="1">
        <v>1038</v>
      </c>
      <c r="Y369" s="1">
        <v>100</v>
      </c>
      <c r="Z369" s="1">
        <v>0</v>
      </c>
      <c r="AA369" s="1">
        <v>0</v>
      </c>
      <c r="AB369" s="1">
        <v>513</v>
      </c>
      <c r="AC369" s="1">
        <v>621</v>
      </c>
      <c r="AD369" s="24">
        <f t="shared" si="16"/>
        <v>8532</v>
      </c>
      <c r="AE369" s="23">
        <v>0</v>
      </c>
      <c r="AF369" s="1">
        <v>0</v>
      </c>
      <c r="AG369" s="1">
        <v>0</v>
      </c>
      <c r="AH369" s="1">
        <v>0</v>
      </c>
      <c r="AI369" s="1">
        <v>0</v>
      </c>
      <c r="AJ369" s="1">
        <v>0</v>
      </c>
      <c r="AK369" s="1">
        <v>0</v>
      </c>
      <c r="AL369" s="1">
        <v>0</v>
      </c>
      <c r="AM369" s="1">
        <v>0</v>
      </c>
      <c r="AN369" s="1">
        <v>0</v>
      </c>
      <c r="AO369" s="1">
        <v>0</v>
      </c>
      <c r="AP369" s="1">
        <v>0</v>
      </c>
      <c r="AQ369" s="24">
        <f t="shared" si="17"/>
        <v>0</v>
      </c>
    </row>
    <row r="370" spans="1:43" ht="17.25" customHeight="1" x14ac:dyDescent="0.45">
      <c r="A370" s="12" t="s">
        <v>52</v>
      </c>
      <c r="B370" s="12" t="s">
        <v>66</v>
      </c>
      <c r="C370" s="12" t="s">
        <v>94</v>
      </c>
      <c r="D370" s="12" t="s">
        <v>65</v>
      </c>
      <c r="E370" s="25">
        <v>18</v>
      </c>
      <c r="F370" s="10">
        <v>17</v>
      </c>
      <c r="G370" s="10">
        <v>17</v>
      </c>
      <c r="H370" s="10">
        <v>14</v>
      </c>
      <c r="I370" s="10">
        <v>0</v>
      </c>
      <c r="J370" s="10">
        <v>0</v>
      </c>
      <c r="K370" s="10">
        <v>0</v>
      </c>
      <c r="L370" s="10">
        <v>0</v>
      </c>
      <c r="M370" s="10">
        <v>0</v>
      </c>
      <c r="N370" s="10">
        <v>2</v>
      </c>
      <c r="O370" s="10">
        <v>12</v>
      </c>
      <c r="P370" s="10">
        <v>15</v>
      </c>
      <c r="Q370" s="26">
        <f t="shared" si="15"/>
        <v>95</v>
      </c>
      <c r="R370" s="25">
        <v>2194</v>
      </c>
      <c r="S370" s="10">
        <v>2749</v>
      </c>
      <c r="T370" s="10">
        <v>2781</v>
      </c>
      <c r="U370" s="10">
        <v>2008</v>
      </c>
      <c r="V370" s="10">
        <v>0</v>
      </c>
      <c r="W370" s="10">
        <v>0</v>
      </c>
      <c r="X370" s="10">
        <v>0</v>
      </c>
      <c r="Y370" s="10">
        <v>0</v>
      </c>
      <c r="Z370" s="10">
        <v>0</v>
      </c>
      <c r="AA370" s="10">
        <v>29</v>
      </c>
      <c r="AB370" s="10">
        <v>1373</v>
      </c>
      <c r="AC370" s="10">
        <v>1932</v>
      </c>
      <c r="AD370" s="26">
        <f t="shared" si="16"/>
        <v>13066</v>
      </c>
      <c r="AE370" s="25">
        <v>0</v>
      </c>
      <c r="AF370" s="10">
        <v>0</v>
      </c>
      <c r="AG370" s="10">
        <v>0</v>
      </c>
      <c r="AH370" s="10">
        <v>0</v>
      </c>
      <c r="AI370" s="10">
        <v>0</v>
      </c>
      <c r="AJ370" s="10">
        <v>0</v>
      </c>
      <c r="AK370" s="10">
        <v>0</v>
      </c>
      <c r="AL370" s="10">
        <v>0</v>
      </c>
      <c r="AM370" s="10">
        <v>0</v>
      </c>
      <c r="AN370" s="10">
        <v>0</v>
      </c>
      <c r="AO370" s="10">
        <v>0</v>
      </c>
      <c r="AP370" s="10">
        <v>0</v>
      </c>
      <c r="AQ370" s="26">
        <f t="shared" si="17"/>
        <v>0</v>
      </c>
    </row>
    <row r="371" spans="1:43" ht="17.25" customHeight="1" x14ac:dyDescent="0.45">
      <c r="A371" s="2" t="s">
        <v>52</v>
      </c>
      <c r="B371" s="2" t="s">
        <v>66</v>
      </c>
      <c r="C371" s="2" t="s">
        <v>72</v>
      </c>
      <c r="D371" s="2" t="s">
        <v>68</v>
      </c>
      <c r="E371" s="23">
        <v>7</v>
      </c>
      <c r="F371" s="1">
        <v>8</v>
      </c>
      <c r="G371" s="1">
        <v>10</v>
      </c>
      <c r="H371" s="1">
        <v>1</v>
      </c>
      <c r="I371" s="1">
        <v>0</v>
      </c>
      <c r="J371" s="1">
        <v>0</v>
      </c>
      <c r="K371" s="1">
        <v>0</v>
      </c>
      <c r="L371" s="1">
        <v>0</v>
      </c>
      <c r="M371" s="1">
        <v>0</v>
      </c>
      <c r="N371" s="1">
        <v>0</v>
      </c>
      <c r="O371" s="1">
        <v>0</v>
      </c>
      <c r="P371" s="1">
        <v>2</v>
      </c>
      <c r="Q371" s="24">
        <f t="shared" si="15"/>
        <v>28</v>
      </c>
      <c r="R371" s="23">
        <v>687</v>
      </c>
      <c r="S371" s="1">
        <v>938</v>
      </c>
      <c r="T371" s="1">
        <v>1027</v>
      </c>
      <c r="U371" s="1">
        <v>83</v>
      </c>
      <c r="V371" s="1">
        <v>0</v>
      </c>
      <c r="W371" s="1">
        <v>0</v>
      </c>
      <c r="X371" s="1">
        <v>0</v>
      </c>
      <c r="Y371" s="1">
        <v>0</v>
      </c>
      <c r="Z371" s="1">
        <v>0</v>
      </c>
      <c r="AA371" s="1">
        <v>0</v>
      </c>
      <c r="AB371" s="1">
        <v>0</v>
      </c>
      <c r="AC371" s="1">
        <v>74</v>
      </c>
      <c r="AD371" s="24">
        <f t="shared" si="16"/>
        <v>2809</v>
      </c>
      <c r="AE371" s="23">
        <v>0</v>
      </c>
      <c r="AF371" s="1">
        <v>0</v>
      </c>
      <c r="AG371" s="1">
        <v>15</v>
      </c>
      <c r="AH371" s="1">
        <v>0</v>
      </c>
      <c r="AI371" s="1">
        <v>0</v>
      </c>
      <c r="AJ371" s="1">
        <v>0</v>
      </c>
      <c r="AK371" s="1">
        <v>0</v>
      </c>
      <c r="AL371" s="1">
        <v>0</v>
      </c>
      <c r="AM371" s="1">
        <v>0</v>
      </c>
      <c r="AN371" s="1">
        <v>0</v>
      </c>
      <c r="AO371" s="1">
        <v>0</v>
      </c>
      <c r="AP371" s="1">
        <v>0</v>
      </c>
      <c r="AQ371" s="24">
        <f t="shared" si="17"/>
        <v>15</v>
      </c>
    </row>
    <row r="372" spans="1:43" ht="17.25" customHeight="1" x14ac:dyDescent="0.45">
      <c r="A372" s="12" t="s">
        <v>52</v>
      </c>
      <c r="B372" s="12" t="s">
        <v>66</v>
      </c>
      <c r="C372" s="12" t="s">
        <v>67</v>
      </c>
      <c r="D372" s="12" t="s">
        <v>68</v>
      </c>
      <c r="E372" s="25">
        <v>31</v>
      </c>
      <c r="F372" s="10">
        <v>29</v>
      </c>
      <c r="G372" s="10">
        <v>31</v>
      </c>
      <c r="H372" s="10">
        <v>3</v>
      </c>
      <c r="I372" s="10">
        <v>0</v>
      </c>
      <c r="J372" s="10">
        <v>8</v>
      </c>
      <c r="K372" s="10">
        <v>9</v>
      </c>
      <c r="L372" s="10">
        <v>1</v>
      </c>
      <c r="M372" s="10">
        <v>0</v>
      </c>
      <c r="N372" s="10">
        <v>0</v>
      </c>
      <c r="O372" s="10">
        <v>14</v>
      </c>
      <c r="P372" s="10">
        <v>25</v>
      </c>
      <c r="Q372" s="26">
        <f t="shared" si="15"/>
        <v>151</v>
      </c>
      <c r="R372" s="25">
        <v>2265</v>
      </c>
      <c r="S372" s="10">
        <v>2251</v>
      </c>
      <c r="T372" s="10">
        <v>2474</v>
      </c>
      <c r="U372" s="10">
        <v>228</v>
      </c>
      <c r="V372" s="10">
        <v>0</v>
      </c>
      <c r="W372" s="10">
        <v>541</v>
      </c>
      <c r="X372" s="10">
        <v>658</v>
      </c>
      <c r="Y372" s="10">
        <v>72</v>
      </c>
      <c r="Z372" s="10">
        <v>0</v>
      </c>
      <c r="AA372" s="10">
        <v>0</v>
      </c>
      <c r="AB372" s="10">
        <v>913</v>
      </c>
      <c r="AC372" s="10">
        <v>1626</v>
      </c>
      <c r="AD372" s="26">
        <f t="shared" si="16"/>
        <v>11028</v>
      </c>
      <c r="AE372" s="25">
        <v>0</v>
      </c>
      <c r="AF372" s="10">
        <v>0</v>
      </c>
      <c r="AG372" s="10">
        <v>0</v>
      </c>
      <c r="AH372" s="10">
        <v>0</v>
      </c>
      <c r="AI372" s="10">
        <v>0</v>
      </c>
      <c r="AJ372" s="10">
        <v>0</v>
      </c>
      <c r="AK372" s="10">
        <v>0</v>
      </c>
      <c r="AL372" s="10">
        <v>0</v>
      </c>
      <c r="AM372" s="10">
        <v>0</v>
      </c>
      <c r="AN372" s="10">
        <v>0</v>
      </c>
      <c r="AO372" s="10">
        <v>0</v>
      </c>
      <c r="AP372" s="10">
        <v>0</v>
      </c>
      <c r="AQ372" s="26">
        <f t="shared" si="17"/>
        <v>0</v>
      </c>
    </row>
    <row r="373" spans="1:43" ht="17.25" customHeight="1" x14ac:dyDescent="0.45">
      <c r="A373" s="2" t="s">
        <v>52</v>
      </c>
      <c r="B373" s="2" t="s">
        <v>66</v>
      </c>
      <c r="C373" s="2" t="s">
        <v>69</v>
      </c>
      <c r="D373" s="2" t="s">
        <v>68</v>
      </c>
      <c r="E373" s="23">
        <v>31</v>
      </c>
      <c r="F373" s="1">
        <v>29</v>
      </c>
      <c r="G373" s="1">
        <v>31</v>
      </c>
      <c r="H373" s="1">
        <v>8</v>
      </c>
      <c r="I373" s="1">
        <v>4</v>
      </c>
      <c r="J373" s="1">
        <v>5</v>
      </c>
      <c r="K373" s="1">
        <v>4</v>
      </c>
      <c r="L373" s="1">
        <v>5</v>
      </c>
      <c r="M373" s="1">
        <v>4</v>
      </c>
      <c r="N373" s="1">
        <v>5</v>
      </c>
      <c r="O373" s="1">
        <v>9</v>
      </c>
      <c r="P373" s="1">
        <v>18</v>
      </c>
      <c r="Q373" s="24">
        <f t="shared" si="15"/>
        <v>153</v>
      </c>
      <c r="R373" s="23">
        <v>1732</v>
      </c>
      <c r="S373" s="1">
        <v>2081</v>
      </c>
      <c r="T373" s="1">
        <v>2186</v>
      </c>
      <c r="U373" s="1">
        <v>566</v>
      </c>
      <c r="V373" s="1">
        <v>297</v>
      </c>
      <c r="W373" s="1">
        <v>354</v>
      </c>
      <c r="X373" s="1">
        <v>293</v>
      </c>
      <c r="Y373" s="1">
        <v>353</v>
      </c>
      <c r="Z373" s="1">
        <v>246</v>
      </c>
      <c r="AA373" s="1">
        <v>296</v>
      </c>
      <c r="AB373" s="1">
        <v>527</v>
      </c>
      <c r="AC373" s="1">
        <v>830</v>
      </c>
      <c r="AD373" s="24">
        <f t="shared" si="16"/>
        <v>9761</v>
      </c>
      <c r="AE373" s="23">
        <v>0</v>
      </c>
      <c r="AF373" s="1">
        <v>0</v>
      </c>
      <c r="AG373" s="1">
        <v>0</v>
      </c>
      <c r="AH373" s="1">
        <v>0</v>
      </c>
      <c r="AI373" s="1">
        <v>0</v>
      </c>
      <c r="AJ373" s="1">
        <v>0</v>
      </c>
      <c r="AK373" s="1">
        <v>0</v>
      </c>
      <c r="AL373" s="1">
        <v>0</v>
      </c>
      <c r="AM373" s="1">
        <v>0</v>
      </c>
      <c r="AN373" s="1">
        <v>0</v>
      </c>
      <c r="AO373" s="1">
        <v>0</v>
      </c>
      <c r="AP373" s="1">
        <v>0</v>
      </c>
      <c r="AQ373" s="24">
        <f t="shared" si="17"/>
        <v>0</v>
      </c>
    </row>
    <row r="374" spans="1:43" ht="17.25" customHeight="1" x14ac:dyDescent="0.45">
      <c r="A374" s="12" t="s">
        <v>52</v>
      </c>
      <c r="B374" s="12" t="s">
        <v>66</v>
      </c>
      <c r="C374" s="12" t="s">
        <v>73</v>
      </c>
      <c r="D374" s="12" t="s">
        <v>68</v>
      </c>
      <c r="E374" s="25">
        <v>29</v>
      </c>
      <c r="F374" s="10">
        <v>29</v>
      </c>
      <c r="G374" s="10">
        <v>31</v>
      </c>
      <c r="H374" s="10">
        <v>25</v>
      </c>
      <c r="I374" s="10">
        <v>14</v>
      </c>
      <c r="J374" s="10">
        <v>13</v>
      </c>
      <c r="K374" s="10">
        <v>14</v>
      </c>
      <c r="L374" s="10">
        <v>12</v>
      </c>
      <c r="M374" s="10">
        <v>8</v>
      </c>
      <c r="N374" s="10">
        <v>11</v>
      </c>
      <c r="O374" s="10">
        <v>20</v>
      </c>
      <c r="P374" s="10">
        <v>27</v>
      </c>
      <c r="Q374" s="26">
        <f t="shared" si="15"/>
        <v>233</v>
      </c>
      <c r="R374" s="25">
        <v>4315</v>
      </c>
      <c r="S374" s="10">
        <v>3888</v>
      </c>
      <c r="T374" s="10">
        <v>3933</v>
      </c>
      <c r="U374" s="10">
        <v>3881</v>
      </c>
      <c r="V374" s="10">
        <v>2348</v>
      </c>
      <c r="W374" s="10">
        <v>2036</v>
      </c>
      <c r="X374" s="10">
        <v>2386</v>
      </c>
      <c r="Y374" s="10">
        <v>2006</v>
      </c>
      <c r="Z374" s="10">
        <v>1070</v>
      </c>
      <c r="AA374" s="10">
        <v>1412</v>
      </c>
      <c r="AB374" s="10">
        <v>2840</v>
      </c>
      <c r="AC374" s="10">
        <v>3744</v>
      </c>
      <c r="AD374" s="26">
        <f t="shared" si="16"/>
        <v>33859</v>
      </c>
      <c r="AE374" s="25">
        <v>100</v>
      </c>
      <c r="AF374" s="10">
        <v>138</v>
      </c>
      <c r="AG374" s="10">
        <v>206</v>
      </c>
      <c r="AH374" s="10">
        <v>263</v>
      </c>
      <c r="AI374" s="10">
        <v>81</v>
      </c>
      <c r="AJ374" s="10">
        <v>113</v>
      </c>
      <c r="AK374" s="10">
        <v>126</v>
      </c>
      <c r="AL374" s="10">
        <v>36</v>
      </c>
      <c r="AM374" s="10">
        <v>38</v>
      </c>
      <c r="AN374" s="10">
        <v>13</v>
      </c>
      <c r="AO374" s="10">
        <v>0</v>
      </c>
      <c r="AP374" s="10">
        <v>149</v>
      </c>
      <c r="AQ374" s="26">
        <f t="shared" si="17"/>
        <v>1263</v>
      </c>
    </row>
    <row r="375" spans="1:43" ht="17.25" customHeight="1" x14ac:dyDescent="0.45">
      <c r="A375" s="2" t="s">
        <v>52</v>
      </c>
      <c r="B375" s="2" t="s">
        <v>66</v>
      </c>
      <c r="C375" s="2" t="s">
        <v>130</v>
      </c>
      <c r="D375" s="2" t="s">
        <v>68</v>
      </c>
      <c r="E375" s="23">
        <v>9</v>
      </c>
      <c r="F375" s="1">
        <v>8</v>
      </c>
      <c r="G375" s="1">
        <v>9</v>
      </c>
      <c r="H375" s="1">
        <v>2</v>
      </c>
      <c r="I375" s="1">
        <v>0</v>
      </c>
      <c r="J375" s="1">
        <v>0</v>
      </c>
      <c r="K375" s="1">
        <v>0</v>
      </c>
      <c r="L375" s="1">
        <v>0</v>
      </c>
      <c r="M375" s="1">
        <v>0</v>
      </c>
      <c r="N375" s="1">
        <v>0</v>
      </c>
      <c r="O375" s="1">
        <v>0</v>
      </c>
      <c r="P375" s="1">
        <v>5</v>
      </c>
      <c r="Q375" s="24">
        <f t="shared" si="15"/>
        <v>33</v>
      </c>
      <c r="R375" s="23">
        <v>1310</v>
      </c>
      <c r="S375" s="1">
        <v>1297</v>
      </c>
      <c r="T375" s="1">
        <v>1440</v>
      </c>
      <c r="U375" s="1">
        <v>266</v>
      </c>
      <c r="V375" s="1">
        <v>0</v>
      </c>
      <c r="W375" s="1">
        <v>0</v>
      </c>
      <c r="X375" s="1">
        <v>0</v>
      </c>
      <c r="Y375" s="1">
        <v>0</v>
      </c>
      <c r="Z375" s="1">
        <v>0</v>
      </c>
      <c r="AA375" s="1">
        <v>0</v>
      </c>
      <c r="AB375" s="1">
        <v>0</v>
      </c>
      <c r="AC375" s="1">
        <v>278</v>
      </c>
      <c r="AD375" s="24">
        <f t="shared" si="16"/>
        <v>4591</v>
      </c>
      <c r="AE375" s="23">
        <v>0</v>
      </c>
      <c r="AF375" s="1">
        <v>0</v>
      </c>
      <c r="AG375" s="1">
        <v>0</v>
      </c>
      <c r="AH375" s="1">
        <v>0</v>
      </c>
      <c r="AI375" s="1">
        <v>0</v>
      </c>
      <c r="AJ375" s="1">
        <v>0</v>
      </c>
      <c r="AK375" s="1">
        <v>0</v>
      </c>
      <c r="AL375" s="1">
        <v>0</v>
      </c>
      <c r="AM375" s="1">
        <v>0</v>
      </c>
      <c r="AN375" s="1">
        <v>0</v>
      </c>
      <c r="AO375" s="1">
        <v>0</v>
      </c>
      <c r="AP375" s="1">
        <v>0</v>
      </c>
      <c r="AQ375" s="24">
        <f t="shared" si="17"/>
        <v>0</v>
      </c>
    </row>
    <row r="376" spans="1:43" ht="17.25" customHeight="1" x14ac:dyDescent="0.45">
      <c r="A376" s="12" t="s">
        <v>52</v>
      </c>
      <c r="B376" s="12" t="s">
        <v>66</v>
      </c>
      <c r="C376" s="12" t="s">
        <v>70</v>
      </c>
      <c r="D376" s="12" t="s">
        <v>65</v>
      </c>
      <c r="E376" s="25">
        <v>0</v>
      </c>
      <c r="F376" s="10">
        <v>0</v>
      </c>
      <c r="G376" s="10">
        <v>0</v>
      </c>
      <c r="H376" s="10">
        <v>0</v>
      </c>
      <c r="I376" s="10">
        <v>0</v>
      </c>
      <c r="J376" s="10">
        <v>0</v>
      </c>
      <c r="K376" s="10">
        <v>0</v>
      </c>
      <c r="L376" s="10">
        <v>0</v>
      </c>
      <c r="M376" s="10">
        <v>0</v>
      </c>
      <c r="N376" s="10">
        <v>0</v>
      </c>
      <c r="O376" s="10">
        <v>0</v>
      </c>
      <c r="P376" s="10">
        <v>2</v>
      </c>
      <c r="Q376" s="26">
        <f t="shared" si="15"/>
        <v>2</v>
      </c>
      <c r="R376" s="25">
        <v>0</v>
      </c>
      <c r="S376" s="10">
        <v>0</v>
      </c>
      <c r="T376" s="10">
        <v>0</v>
      </c>
      <c r="U376" s="10">
        <v>0</v>
      </c>
      <c r="V376" s="10">
        <v>0</v>
      </c>
      <c r="W376" s="10">
        <v>0</v>
      </c>
      <c r="X376" s="10">
        <v>0</v>
      </c>
      <c r="Y376" s="10">
        <v>0</v>
      </c>
      <c r="Z376" s="10">
        <v>0</v>
      </c>
      <c r="AA376" s="10">
        <v>0</v>
      </c>
      <c r="AB376" s="10">
        <v>0</v>
      </c>
      <c r="AC376" s="10">
        <v>103</v>
      </c>
      <c r="AD376" s="26">
        <f t="shared" si="16"/>
        <v>103</v>
      </c>
      <c r="AE376" s="25">
        <v>0</v>
      </c>
      <c r="AF376" s="10">
        <v>0</v>
      </c>
      <c r="AG376" s="10">
        <v>0</v>
      </c>
      <c r="AH376" s="10">
        <v>0</v>
      </c>
      <c r="AI376" s="10">
        <v>0</v>
      </c>
      <c r="AJ376" s="10">
        <v>0</v>
      </c>
      <c r="AK376" s="10">
        <v>0</v>
      </c>
      <c r="AL376" s="10">
        <v>0</v>
      </c>
      <c r="AM376" s="10">
        <v>0</v>
      </c>
      <c r="AN376" s="10">
        <v>0</v>
      </c>
      <c r="AO376" s="10">
        <v>0</v>
      </c>
      <c r="AP376" s="10">
        <v>0</v>
      </c>
      <c r="AQ376" s="26">
        <f t="shared" si="17"/>
        <v>0</v>
      </c>
    </row>
    <row r="377" spans="1:43" ht="17.25" customHeight="1" x14ac:dyDescent="0.45">
      <c r="A377" s="2" t="s">
        <v>52</v>
      </c>
      <c r="B377" s="2" t="s">
        <v>66</v>
      </c>
      <c r="C377" s="2" t="s">
        <v>142</v>
      </c>
      <c r="D377" s="2" t="s">
        <v>68</v>
      </c>
      <c r="E377" s="23">
        <v>14</v>
      </c>
      <c r="F377" s="1">
        <v>8</v>
      </c>
      <c r="G377" s="1">
        <v>9</v>
      </c>
      <c r="H377" s="1">
        <v>8</v>
      </c>
      <c r="I377" s="1">
        <v>9</v>
      </c>
      <c r="J377" s="1">
        <v>9</v>
      </c>
      <c r="K377" s="1">
        <v>9</v>
      </c>
      <c r="L377" s="1">
        <v>1</v>
      </c>
      <c r="M377" s="1">
        <v>0</v>
      </c>
      <c r="N377" s="1">
        <v>3</v>
      </c>
      <c r="O377" s="1">
        <v>6</v>
      </c>
      <c r="P377" s="1">
        <v>18</v>
      </c>
      <c r="Q377" s="24">
        <f t="shared" si="15"/>
        <v>94</v>
      </c>
      <c r="R377" s="23">
        <v>1444</v>
      </c>
      <c r="S377" s="1">
        <v>721</v>
      </c>
      <c r="T377" s="1">
        <v>1014</v>
      </c>
      <c r="U377" s="1">
        <v>906</v>
      </c>
      <c r="V377" s="1">
        <v>929</v>
      </c>
      <c r="W377" s="1">
        <v>592</v>
      </c>
      <c r="X377" s="1">
        <v>659</v>
      </c>
      <c r="Y377" s="1">
        <v>72</v>
      </c>
      <c r="Z377" s="1">
        <v>0</v>
      </c>
      <c r="AA377" s="1">
        <v>192</v>
      </c>
      <c r="AB377" s="1">
        <v>486</v>
      </c>
      <c r="AC377" s="1">
        <v>805</v>
      </c>
      <c r="AD377" s="24">
        <f t="shared" si="16"/>
        <v>7820</v>
      </c>
      <c r="AE377" s="23">
        <v>23.133210870000003</v>
      </c>
      <c r="AF377" s="1">
        <v>0</v>
      </c>
      <c r="AG377" s="1">
        <v>0</v>
      </c>
      <c r="AH377" s="1">
        <v>0</v>
      </c>
      <c r="AI377" s="1">
        <v>0</v>
      </c>
      <c r="AJ377" s="1">
        <v>0</v>
      </c>
      <c r="AK377" s="1">
        <v>0</v>
      </c>
      <c r="AL377" s="1">
        <v>0</v>
      </c>
      <c r="AM377" s="1">
        <v>0</v>
      </c>
      <c r="AN377" s="1">
        <v>0</v>
      </c>
      <c r="AO377" s="1">
        <v>0</v>
      </c>
      <c r="AP377" s="1">
        <v>0</v>
      </c>
      <c r="AQ377" s="24">
        <f t="shared" si="17"/>
        <v>23.133210870000003</v>
      </c>
    </row>
    <row r="378" spans="1:43" ht="17.25" customHeight="1" x14ac:dyDescent="0.45">
      <c r="A378" s="12" t="s">
        <v>52</v>
      </c>
      <c r="B378" s="12" t="s">
        <v>66</v>
      </c>
      <c r="C378" s="12" t="s">
        <v>150</v>
      </c>
      <c r="D378" s="12" t="s">
        <v>68</v>
      </c>
      <c r="E378" s="25">
        <v>5</v>
      </c>
      <c r="F378" s="10">
        <v>4</v>
      </c>
      <c r="G378" s="10">
        <v>5</v>
      </c>
      <c r="H378" s="10">
        <v>1</v>
      </c>
      <c r="I378" s="10">
        <v>0</v>
      </c>
      <c r="J378" s="10">
        <v>0</v>
      </c>
      <c r="K378" s="10">
        <v>0</v>
      </c>
      <c r="L378" s="10">
        <v>0</v>
      </c>
      <c r="M378" s="10">
        <v>0</v>
      </c>
      <c r="N378" s="10">
        <v>0</v>
      </c>
      <c r="O378" s="10">
        <v>0</v>
      </c>
      <c r="P378" s="10">
        <v>0</v>
      </c>
      <c r="Q378" s="26">
        <f t="shared" si="15"/>
        <v>15</v>
      </c>
      <c r="R378" s="25">
        <v>680</v>
      </c>
      <c r="S378" s="10">
        <v>670</v>
      </c>
      <c r="T378" s="10">
        <v>653</v>
      </c>
      <c r="U378" s="10">
        <v>131</v>
      </c>
      <c r="V378" s="10">
        <v>0</v>
      </c>
      <c r="W378" s="10">
        <v>0</v>
      </c>
      <c r="X378" s="10">
        <v>0</v>
      </c>
      <c r="Y378" s="10">
        <v>0</v>
      </c>
      <c r="Z378" s="10">
        <v>0</v>
      </c>
      <c r="AA378" s="10">
        <v>0</v>
      </c>
      <c r="AB378" s="10">
        <v>0</v>
      </c>
      <c r="AC378" s="10">
        <v>0</v>
      </c>
      <c r="AD378" s="26">
        <f t="shared" si="16"/>
        <v>2134</v>
      </c>
      <c r="AE378" s="25">
        <v>0</v>
      </c>
      <c r="AF378" s="10">
        <v>11</v>
      </c>
      <c r="AG378" s="10">
        <v>93</v>
      </c>
      <c r="AH378" s="10">
        <v>2</v>
      </c>
      <c r="AI378" s="10">
        <v>0</v>
      </c>
      <c r="AJ378" s="10">
        <v>0</v>
      </c>
      <c r="AK378" s="10">
        <v>0</v>
      </c>
      <c r="AL378" s="10">
        <v>0</v>
      </c>
      <c r="AM378" s="10">
        <v>0</v>
      </c>
      <c r="AN378" s="10">
        <v>0</v>
      </c>
      <c r="AO378" s="10">
        <v>0</v>
      </c>
      <c r="AP378" s="10">
        <v>0</v>
      </c>
      <c r="AQ378" s="26">
        <f t="shared" si="17"/>
        <v>106</v>
      </c>
    </row>
    <row r="379" spans="1:43" ht="17.25" customHeight="1" x14ac:dyDescent="0.45">
      <c r="A379" s="2" t="s">
        <v>52</v>
      </c>
      <c r="B379" s="2" t="s">
        <v>66</v>
      </c>
      <c r="C379" s="2" t="s">
        <v>151</v>
      </c>
      <c r="D379" s="2" t="s">
        <v>68</v>
      </c>
      <c r="E379" s="23">
        <v>4</v>
      </c>
      <c r="F379" s="1">
        <v>4</v>
      </c>
      <c r="G379" s="1">
        <v>7</v>
      </c>
      <c r="H379" s="1">
        <v>4</v>
      </c>
      <c r="I379" s="1">
        <v>0</v>
      </c>
      <c r="J379" s="1">
        <v>0</v>
      </c>
      <c r="K379" s="1">
        <v>0</v>
      </c>
      <c r="L379" s="1">
        <v>0</v>
      </c>
      <c r="M379" s="1">
        <v>0</v>
      </c>
      <c r="N379" s="1">
        <v>0</v>
      </c>
      <c r="O379" s="1">
        <v>5</v>
      </c>
      <c r="P379" s="1">
        <v>4</v>
      </c>
      <c r="Q379" s="24">
        <f t="shared" si="15"/>
        <v>28</v>
      </c>
      <c r="R379" s="23">
        <v>598</v>
      </c>
      <c r="S379" s="1">
        <v>588</v>
      </c>
      <c r="T379" s="1">
        <v>862</v>
      </c>
      <c r="U379" s="1">
        <v>652</v>
      </c>
      <c r="V379" s="1">
        <v>0</v>
      </c>
      <c r="W379" s="1">
        <v>0</v>
      </c>
      <c r="X379" s="1">
        <v>0</v>
      </c>
      <c r="Y379" s="1">
        <v>0</v>
      </c>
      <c r="Z379" s="1">
        <v>0</v>
      </c>
      <c r="AA379" s="1">
        <v>0</v>
      </c>
      <c r="AB379" s="1">
        <v>553</v>
      </c>
      <c r="AC379" s="1">
        <v>493</v>
      </c>
      <c r="AD379" s="24">
        <f t="shared" si="16"/>
        <v>3746</v>
      </c>
      <c r="AE379" s="23">
        <v>29</v>
      </c>
      <c r="AF379" s="1">
        <v>11</v>
      </c>
      <c r="AG379" s="1">
        <v>0</v>
      </c>
      <c r="AH379" s="1">
        <v>99</v>
      </c>
      <c r="AI379" s="1">
        <v>0</v>
      </c>
      <c r="AJ379" s="1">
        <v>0</v>
      </c>
      <c r="AK379" s="1">
        <v>0</v>
      </c>
      <c r="AL379" s="1">
        <v>0</v>
      </c>
      <c r="AM379" s="1">
        <v>0</v>
      </c>
      <c r="AN379" s="1">
        <v>0</v>
      </c>
      <c r="AO379" s="1">
        <v>0</v>
      </c>
      <c r="AP379" s="1">
        <v>0</v>
      </c>
      <c r="AQ379" s="24">
        <f t="shared" si="17"/>
        <v>139</v>
      </c>
    </row>
    <row r="380" spans="1:43" ht="17.25" customHeight="1" x14ac:dyDescent="0.45">
      <c r="A380" s="12" t="s">
        <v>52</v>
      </c>
      <c r="B380" s="12" t="s">
        <v>66</v>
      </c>
      <c r="C380" s="12" t="s">
        <v>71</v>
      </c>
      <c r="D380" s="12" t="s">
        <v>65</v>
      </c>
      <c r="E380" s="25">
        <v>0</v>
      </c>
      <c r="F380" s="10">
        <v>0</v>
      </c>
      <c r="G380" s="10">
        <v>0</v>
      </c>
      <c r="H380" s="10">
        <v>0</v>
      </c>
      <c r="I380" s="10">
        <v>0</v>
      </c>
      <c r="J380" s="10">
        <v>0</v>
      </c>
      <c r="K380" s="10">
        <v>0</v>
      </c>
      <c r="L380" s="10">
        <v>0</v>
      </c>
      <c r="M380" s="10">
        <v>0</v>
      </c>
      <c r="N380" s="10">
        <v>0</v>
      </c>
      <c r="O380" s="10">
        <v>0</v>
      </c>
      <c r="P380" s="10">
        <v>3</v>
      </c>
      <c r="Q380" s="26">
        <f t="shared" si="15"/>
        <v>3</v>
      </c>
      <c r="R380" s="25">
        <v>0</v>
      </c>
      <c r="S380" s="10">
        <v>0</v>
      </c>
      <c r="T380" s="10">
        <v>0</v>
      </c>
      <c r="U380" s="10">
        <v>0</v>
      </c>
      <c r="V380" s="10">
        <v>0</v>
      </c>
      <c r="W380" s="10">
        <v>0</v>
      </c>
      <c r="X380" s="10">
        <v>0</v>
      </c>
      <c r="Y380" s="10">
        <v>0</v>
      </c>
      <c r="Z380" s="10">
        <v>0</v>
      </c>
      <c r="AA380" s="10">
        <v>0</v>
      </c>
      <c r="AB380" s="10">
        <v>0</v>
      </c>
      <c r="AC380" s="10">
        <v>296</v>
      </c>
      <c r="AD380" s="26">
        <f t="shared" si="16"/>
        <v>296</v>
      </c>
      <c r="AE380" s="25">
        <v>0</v>
      </c>
      <c r="AF380" s="10">
        <v>0</v>
      </c>
      <c r="AG380" s="10">
        <v>0</v>
      </c>
      <c r="AH380" s="10">
        <v>0</v>
      </c>
      <c r="AI380" s="10">
        <v>0</v>
      </c>
      <c r="AJ380" s="10">
        <v>0</v>
      </c>
      <c r="AK380" s="10">
        <v>0</v>
      </c>
      <c r="AL380" s="10">
        <v>0</v>
      </c>
      <c r="AM380" s="10">
        <v>0</v>
      </c>
      <c r="AN380" s="10">
        <v>0</v>
      </c>
      <c r="AO380" s="10">
        <v>0</v>
      </c>
      <c r="AP380" s="10">
        <v>0</v>
      </c>
      <c r="AQ380" s="26">
        <f t="shared" si="17"/>
        <v>0</v>
      </c>
    </row>
    <row r="381" spans="1:43" ht="17.25" customHeight="1" x14ac:dyDescent="0.45">
      <c r="A381" s="2" t="s">
        <v>52</v>
      </c>
      <c r="B381" s="2" t="s">
        <v>66</v>
      </c>
      <c r="C381" s="2" t="s">
        <v>165</v>
      </c>
      <c r="D381" s="2" t="s">
        <v>65</v>
      </c>
      <c r="E381" s="23">
        <v>4</v>
      </c>
      <c r="F381" s="1">
        <v>4</v>
      </c>
      <c r="G381" s="1">
        <v>5</v>
      </c>
      <c r="H381" s="1">
        <v>4</v>
      </c>
      <c r="I381" s="1">
        <v>0</v>
      </c>
      <c r="J381" s="1">
        <v>0</v>
      </c>
      <c r="K381" s="1">
        <v>0</v>
      </c>
      <c r="L381" s="1">
        <v>0</v>
      </c>
      <c r="M381" s="1">
        <v>0</v>
      </c>
      <c r="N381" s="1">
        <v>0</v>
      </c>
      <c r="O381" s="1">
        <v>0</v>
      </c>
      <c r="P381" s="1">
        <v>6</v>
      </c>
      <c r="Q381" s="24">
        <f t="shared" si="15"/>
        <v>23</v>
      </c>
      <c r="R381" s="23">
        <v>506</v>
      </c>
      <c r="S381" s="1">
        <v>662</v>
      </c>
      <c r="T381" s="1">
        <v>731</v>
      </c>
      <c r="U381" s="1">
        <v>500</v>
      </c>
      <c r="V381" s="1">
        <v>0</v>
      </c>
      <c r="W381" s="1">
        <v>0</v>
      </c>
      <c r="X381" s="1">
        <v>0</v>
      </c>
      <c r="Y381" s="1">
        <v>0</v>
      </c>
      <c r="Z381" s="1">
        <v>0</v>
      </c>
      <c r="AA381" s="1">
        <v>0</v>
      </c>
      <c r="AB381" s="1">
        <v>0</v>
      </c>
      <c r="AC381" s="1">
        <v>733</v>
      </c>
      <c r="AD381" s="24">
        <f t="shared" si="16"/>
        <v>3132</v>
      </c>
      <c r="AE381" s="23">
        <v>0</v>
      </c>
      <c r="AF381" s="1">
        <v>0</v>
      </c>
      <c r="AG381" s="1">
        <v>0</v>
      </c>
      <c r="AH381" s="1">
        <v>0</v>
      </c>
      <c r="AI381" s="1">
        <v>0</v>
      </c>
      <c r="AJ381" s="1">
        <v>0</v>
      </c>
      <c r="AK381" s="1">
        <v>0</v>
      </c>
      <c r="AL381" s="1">
        <v>0</v>
      </c>
      <c r="AM381" s="1">
        <v>0</v>
      </c>
      <c r="AN381" s="1">
        <v>0</v>
      </c>
      <c r="AO381" s="1">
        <v>0</v>
      </c>
      <c r="AP381" s="1">
        <v>0</v>
      </c>
      <c r="AQ381" s="24">
        <f t="shared" si="17"/>
        <v>0</v>
      </c>
    </row>
    <row r="382" spans="1:43" ht="17.25" customHeight="1" x14ac:dyDescent="0.45">
      <c r="A382" s="12" t="s">
        <v>193</v>
      </c>
      <c r="B382" s="12" t="s">
        <v>181</v>
      </c>
      <c r="C382" s="12" t="s">
        <v>14</v>
      </c>
      <c r="D382" s="12" t="s">
        <v>66</v>
      </c>
      <c r="E382" s="25">
        <v>15</v>
      </c>
      <c r="F382" s="10">
        <v>15</v>
      </c>
      <c r="G382" s="10">
        <v>17</v>
      </c>
      <c r="H382" s="10">
        <v>15</v>
      </c>
      <c r="I382" s="10">
        <v>15</v>
      </c>
      <c r="J382" s="10">
        <v>17</v>
      </c>
      <c r="K382" s="10">
        <v>17</v>
      </c>
      <c r="L382" s="10">
        <v>18</v>
      </c>
      <c r="M382" s="10">
        <v>17</v>
      </c>
      <c r="N382" s="10">
        <v>12</v>
      </c>
      <c r="O382" s="10">
        <v>12</v>
      </c>
      <c r="P382" s="10">
        <v>12</v>
      </c>
      <c r="Q382" s="26">
        <f t="shared" si="15"/>
        <v>182</v>
      </c>
      <c r="R382" s="25">
        <v>0</v>
      </c>
      <c r="S382" s="10">
        <v>0</v>
      </c>
      <c r="T382" s="10">
        <v>0</v>
      </c>
      <c r="U382" s="10">
        <v>0</v>
      </c>
      <c r="V382" s="10">
        <v>0</v>
      </c>
      <c r="W382" s="10">
        <v>0</v>
      </c>
      <c r="X382" s="10">
        <v>0</v>
      </c>
      <c r="Y382" s="10">
        <v>0</v>
      </c>
      <c r="Z382" s="10">
        <v>0</v>
      </c>
      <c r="AA382" s="10">
        <v>0</v>
      </c>
      <c r="AB382" s="10">
        <v>0</v>
      </c>
      <c r="AC382" s="10">
        <v>0</v>
      </c>
      <c r="AD382" s="26">
        <f t="shared" si="16"/>
        <v>0</v>
      </c>
      <c r="AE382" s="25">
        <v>359471.87</v>
      </c>
      <c r="AF382" s="10">
        <v>388871.58000000007</v>
      </c>
      <c r="AG382" s="10">
        <v>490897.06000000006</v>
      </c>
      <c r="AH382" s="10">
        <v>377123</v>
      </c>
      <c r="AI382" s="10">
        <v>518275.21</v>
      </c>
      <c r="AJ382" s="10">
        <v>549793.57999999996</v>
      </c>
      <c r="AK382" s="10">
        <v>710513.37</v>
      </c>
      <c r="AL382" s="10">
        <v>635885.99</v>
      </c>
      <c r="AM382" s="10">
        <v>375417.98000000004</v>
      </c>
      <c r="AN382" s="10">
        <v>321969.91999999998</v>
      </c>
      <c r="AO382" s="10">
        <v>338360.4</v>
      </c>
      <c r="AP382" s="10">
        <v>245979.05</v>
      </c>
      <c r="AQ382" s="26">
        <f t="shared" si="17"/>
        <v>5312559.0100000007</v>
      </c>
    </row>
    <row r="383" spans="1:43" ht="17.25" customHeight="1" x14ac:dyDescent="0.45">
      <c r="A383" s="2" t="s">
        <v>113</v>
      </c>
      <c r="B383" s="2" t="s">
        <v>68</v>
      </c>
      <c r="C383" s="2" t="s">
        <v>10</v>
      </c>
      <c r="D383" s="2" t="s">
        <v>66</v>
      </c>
      <c r="E383" s="23">
        <v>48</v>
      </c>
      <c r="F383" s="1">
        <v>46</v>
      </c>
      <c r="G383" s="1">
        <v>49</v>
      </c>
      <c r="H383" s="1">
        <v>47</v>
      </c>
      <c r="I383" s="1">
        <v>49</v>
      </c>
      <c r="J383" s="1">
        <v>47</v>
      </c>
      <c r="K383" s="1">
        <v>44</v>
      </c>
      <c r="L383" s="1">
        <v>19</v>
      </c>
      <c r="M383" s="1">
        <v>9</v>
      </c>
      <c r="N383" s="1">
        <v>29</v>
      </c>
      <c r="O383" s="1">
        <v>30</v>
      </c>
      <c r="P383" s="1">
        <v>31</v>
      </c>
      <c r="Q383" s="24">
        <f t="shared" si="15"/>
        <v>448</v>
      </c>
      <c r="R383" s="23">
        <v>5965</v>
      </c>
      <c r="S383" s="1">
        <v>6661</v>
      </c>
      <c r="T383" s="1">
        <v>7000</v>
      </c>
      <c r="U383" s="1">
        <v>5967</v>
      </c>
      <c r="V383" s="1">
        <v>7193</v>
      </c>
      <c r="W383" s="1">
        <v>7568</v>
      </c>
      <c r="X383" s="1">
        <v>6637</v>
      </c>
      <c r="Y383" s="1">
        <v>2193</v>
      </c>
      <c r="Z383" s="1">
        <v>1240</v>
      </c>
      <c r="AA383" s="1">
        <v>4494</v>
      </c>
      <c r="AB383" s="1">
        <v>4205</v>
      </c>
      <c r="AC383" s="1">
        <v>4757</v>
      </c>
      <c r="AD383" s="24">
        <f t="shared" si="16"/>
        <v>63880</v>
      </c>
      <c r="AE383" s="23">
        <v>0</v>
      </c>
      <c r="AF383" s="1">
        <v>0</v>
      </c>
      <c r="AG383" s="1">
        <v>0</v>
      </c>
      <c r="AH383" s="1">
        <v>0</v>
      </c>
      <c r="AI383" s="1">
        <v>0</v>
      </c>
      <c r="AJ383" s="1">
        <v>0</v>
      </c>
      <c r="AK383" s="1">
        <v>0</v>
      </c>
      <c r="AL383" s="1">
        <v>0</v>
      </c>
      <c r="AM383" s="1">
        <v>0</v>
      </c>
      <c r="AN383" s="1">
        <v>0</v>
      </c>
      <c r="AO383" s="1">
        <v>0</v>
      </c>
      <c r="AP383" s="1">
        <v>0</v>
      </c>
      <c r="AQ383" s="24">
        <f t="shared" si="17"/>
        <v>0</v>
      </c>
    </row>
    <row r="384" spans="1:43" ht="17.25" customHeight="1" x14ac:dyDescent="0.45">
      <c r="A384" s="12" t="s">
        <v>113</v>
      </c>
      <c r="B384" s="12" t="s">
        <v>68</v>
      </c>
      <c r="C384" s="12" t="s">
        <v>48</v>
      </c>
      <c r="D384" s="12" t="s">
        <v>66</v>
      </c>
      <c r="E384" s="25">
        <v>4</v>
      </c>
      <c r="F384" s="10">
        <v>4</v>
      </c>
      <c r="G384" s="10">
        <v>5</v>
      </c>
      <c r="H384" s="10">
        <v>4</v>
      </c>
      <c r="I384" s="10">
        <v>4</v>
      </c>
      <c r="J384" s="10">
        <v>16</v>
      </c>
      <c r="K384" s="10">
        <v>15</v>
      </c>
      <c r="L384" s="10">
        <v>3</v>
      </c>
      <c r="M384" s="10">
        <v>0</v>
      </c>
      <c r="N384" s="10">
        <v>4</v>
      </c>
      <c r="O384" s="10">
        <v>5</v>
      </c>
      <c r="P384" s="10">
        <v>4</v>
      </c>
      <c r="Q384" s="26">
        <f t="shared" si="15"/>
        <v>68</v>
      </c>
      <c r="R384" s="25">
        <v>565</v>
      </c>
      <c r="S384" s="10">
        <v>566</v>
      </c>
      <c r="T384" s="10">
        <v>726</v>
      </c>
      <c r="U384" s="10">
        <v>439</v>
      </c>
      <c r="V384" s="10">
        <v>461</v>
      </c>
      <c r="W384" s="10">
        <v>1650</v>
      </c>
      <c r="X384" s="10">
        <v>1721</v>
      </c>
      <c r="Y384" s="10">
        <v>313</v>
      </c>
      <c r="Z384" s="10">
        <v>0</v>
      </c>
      <c r="AA384" s="10">
        <v>537</v>
      </c>
      <c r="AB384" s="10">
        <v>623</v>
      </c>
      <c r="AC384" s="10">
        <v>512</v>
      </c>
      <c r="AD384" s="26">
        <f t="shared" si="16"/>
        <v>8113</v>
      </c>
      <c r="AE384" s="25">
        <v>0</v>
      </c>
      <c r="AF384" s="10">
        <v>0</v>
      </c>
      <c r="AG384" s="10">
        <v>0</v>
      </c>
      <c r="AH384" s="10">
        <v>0</v>
      </c>
      <c r="AI384" s="10">
        <v>0</v>
      </c>
      <c r="AJ384" s="10">
        <v>0</v>
      </c>
      <c r="AK384" s="10">
        <v>0</v>
      </c>
      <c r="AL384" s="10">
        <v>0</v>
      </c>
      <c r="AM384" s="10">
        <v>0</v>
      </c>
      <c r="AN384" s="10">
        <v>0</v>
      </c>
      <c r="AO384" s="10">
        <v>0</v>
      </c>
      <c r="AP384" s="10">
        <v>0</v>
      </c>
      <c r="AQ384" s="26">
        <f t="shared" si="17"/>
        <v>0</v>
      </c>
    </row>
    <row r="385" spans="1:43" ht="17.25" customHeight="1" x14ac:dyDescent="0.45">
      <c r="A385" s="2" t="s">
        <v>114</v>
      </c>
      <c r="B385" s="2" t="s">
        <v>65</v>
      </c>
      <c r="C385" s="2" t="s">
        <v>10</v>
      </c>
      <c r="D385" s="2" t="s">
        <v>66</v>
      </c>
      <c r="E385" s="23">
        <v>17</v>
      </c>
      <c r="F385" s="1">
        <v>16</v>
      </c>
      <c r="G385" s="1">
        <v>19</v>
      </c>
      <c r="H385" s="1">
        <v>10</v>
      </c>
      <c r="I385" s="1">
        <v>0</v>
      </c>
      <c r="J385" s="1">
        <v>0</v>
      </c>
      <c r="K385" s="1">
        <v>0</v>
      </c>
      <c r="L385" s="1">
        <v>0</v>
      </c>
      <c r="M385" s="1">
        <v>0</v>
      </c>
      <c r="N385" s="1">
        <v>5</v>
      </c>
      <c r="O385" s="1">
        <v>16</v>
      </c>
      <c r="P385" s="1">
        <v>25</v>
      </c>
      <c r="Q385" s="24">
        <f t="shared" si="15"/>
        <v>108</v>
      </c>
      <c r="R385" s="23">
        <v>2929</v>
      </c>
      <c r="S385" s="1">
        <v>2595</v>
      </c>
      <c r="T385" s="1">
        <v>2823</v>
      </c>
      <c r="U385" s="1">
        <v>1388</v>
      </c>
      <c r="V385" s="1">
        <v>0</v>
      </c>
      <c r="W385" s="1">
        <v>0</v>
      </c>
      <c r="X385" s="1">
        <v>0</v>
      </c>
      <c r="Y385" s="1">
        <v>0</v>
      </c>
      <c r="Z385" s="1">
        <v>0</v>
      </c>
      <c r="AA385" s="1">
        <v>729</v>
      </c>
      <c r="AB385" s="1">
        <v>2303</v>
      </c>
      <c r="AC385" s="1">
        <v>3489</v>
      </c>
      <c r="AD385" s="24">
        <f t="shared" si="16"/>
        <v>16256</v>
      </c>
      <c r="AE385" s="23">
        <v>0</v>
      </c>
      <c r="AF385" s="1">
        <v>0</v>
      </c>
      <c r="AG385" s="1">
        <v>0</v>
      </c>
      <c r="AH385" s="1">
        <v>0</v>
      </c>
      <c r="AI385" s="1">
        <v>0</v>
      </c>
      <c r="AJ385" s="1">
        <v>0</v>
      </c>
      <c r="AK385" s="1">
        <v>0</v>
      </c>
      <c r="AL385" s="1">
        <v>0</v>
      </c>
      <c r="AM385" s="1">
        <v>0</v>
      </c>
      <c r="AN385" s="1">
        <v>0</v>
      </c>
      <c r="AO385" s="1">
        <v>0</v>
      </c>
      <c r="AP385" s="1">
        <v>0</v>
      </c>
      <c r="AQ385" s="24">
        <f t="shared" si="17"/>
        <v>0</v>
      </c>
    </row>
    <row r="386" spans="1:43" ht="17.25" customHeight="1" x14ac:dyDescent="0.45">
      <c r="A386" s="12" t="s">
        <v>114</v>
      </c>
      <c r="B386" s="12" t="s">
        <v>65</v>
      </c>
      <c r="C386" s="12" t="s">
        <v>40</v>
      </c>
      <c r="D386" s="12" t="s">
        <v>66</v>
      </c>
      <c r="E386" s="25">
        <v>4</v>
      </c>
      <c r="F386" s="10">
        <v>5</v>
      </c>
      <c r="G386" s="10">
        <v>3</v>
      </c>
      <c r="H386" s="10">
        <v>0</v>
      </c>
      <c r="I386" s="10">
        <v>0</v>
      </c>
      <c r="J386" s="10">
        <v>0</v>
      </c>
      <c r="K386" s="10">
        <v>0</v>
      </c>
      <c r="L386" s="10">
        <v>0</v>
      </c>
      <c r="M386" s="10">
        <v>0</v>
      </c>
      <c r="N386" s="10">
        <v>0</v>
      </c>
      <c r="O386" s="10">
        <v>0</v>
      </c>
      <c r="P386" s="10">
        <v>3</v>
      </c>
      <c r="Q386" s="26">
        <f t="shared" si="15"/>
        <v>15</v>
      </c>
      <c r="R386" s="25">
        <v>650</v>
      </c>
      <c r="S386" s="10">
        <v>870</v>
      </c>
      <c r="T386" s="10">
        <v>537</v>
      </c>
      <c r="U386" s="10">
        <v>0</v>
      </c>
      <c r="V386" s="10">
        <v>0</v>
      </c>
      <c r="W386" s="10">
        <v>0</v>
      </c>
      <c r="X386" s="10">
        <v>0</v>
      </c>
      <c r="Y386" s="10">
        <v>0</v>
      </c>
      <c r="Z386" s="10">
        <v>0</v>
      </c>
      <c r="AA386" s="10">
        <v>0</v>
      </c>
      <c r="AB386" s="10">
        <v>0</v>
      </c>
      <c r="AC386" s="10">
        <v>484</v>
      </c>
      <c r="AD386" s="26">
        <f t="shared" si="16"/>
        <v>2541</v>
      </c>
      <c r="AE386" s="25">
        <v>0</v>
      </c>
      <c r="AF386" s="10">
        <v>0</v>
      </c>
      <c r="AG386" s="10">
        <v>0</v>
      </c>
      <c r="AH386" s="10">
        <v>0</v>
      </c>
      <c r="AI386" s="10">
        <v>0</v>
      </c>
      <c r="AJ386" s="10">
        <v>0</v>
      </c>
      <c r="AK386" s="10">
        <v>0</v>
      </c>
      <c r="AL386" s="10">
        <v>0</v>
      </c>
      <c r="AM386" s="10">
        <v>0</v>
      </c>
      <c r="AN386" s="10">
        <v>0</v>
      </c>
      <c r="AO386" s="10">
        <v>0</v>
      </c>
      <c r="AP386" s="10">
        <v>0</v>
      </c>
      <c r="AQ386" s="26">
        <f t="shared" si="17"/>
        <v>0</v>
      </c>
    </row>
    <row r="387" spans="1:43" ht="17.25" customHeight="1" x14ac:dyDescent="0.45">
      <c r="A387" s="2" t="s">
        <v>114</v>
      </c>
      <c r="B387" s="2" t="s">
        <v>65</v>
      </c>
      <c r="C387" s="2" t="s">
        <v>17</v>
      </c>
      <c r="D387" s="2" t="s">
        <v>66</v>
      </c>
      <c r="E387" s="23">
        <v>9</v>
      </c>
      <c r="F387" s="1">
        <v>9</v>
      </c>
      <c r="G387" s="1">
        <v>8</v>
      </c>
      <c r="H387" s="1">
        <v>8</v>
      </c>
      <c r="I387" s="1">
        <v>2</v>
      </c>
      <c r="J387" s="1">
        <v>0</v>
      </c>
      <c r="K387" s="1">
        <v>0</v>
      </c>
      <c r="L387" s="1">
        <v>0</v>
      </c>
      <c r="M387" s="1">
        <v>0</v>
      </c>
      <c r="N387" s="1">
        <v>5</v>
      </c>
      <c r="O387" s="1">
        <v>11</v>
      </c>
      <c r="P387" s="1">
        <v>13</v>
      </c>
      <c r="Q387" s="24">
        <f t="shared" si="15"/>
        <v>65</v>
      </c>
      <c r="R387" s="23">
        <v>1530</v>
      </c>
      <c r="S387" s="1">
        <v>1522</v>
      </c>
      <c r="T387" s="1">
        <v>1175</v>
      </c>
      <c r="U387" s="1">
        <v>998</v>
      </c>
      <c r="V387" s="1">
        <v>212</v>
      </c>
      <c r="W387" s="1">
        <v>0</v>
      </c>
      <c r="X387" s="1">
        <v>0</v>
      </c>
      <c r="Y387" s="1">
        <v>0</v>
      </c>
      <c r="Z387" s="1">
        <v>0</v>
      </c>
      <c r="AA387" s="1">
        <v>718</v>
      </c>
      <c r="AB387" s="1">
        <v>1524</v>
      </c>
      <c r="AC387" s="1">
        <v>1943</v>
      </c>
      <c r="AD387" s="24">
        <f t="shared" si="16"/>
        <v>9622</v>
      </c>
      <c r="AE387" s="23">
        <v>0</v>
      </c>
      <c r="AF387" s="1">
        <v>0</v>
      </c>
      <c r="AG387" s="1">
        <v>0</v>
      </c>
      <c r="AH387" s="1">
        <v>0</v>
      </c>
      <c r="AI387" s="1">
        <v>0</v>
      </c>
      <c r="AJ387" s="1">
        <v>0</v>
      </c>
      <c r="AK387" s="1">
        <v>0</v>
      </c>
      <c r="AL387" s="1">
        <v>0</v>
      </c>
      <c r="AM387" s="1">
        <v>0</v>
      </c>
      <c r="AN387" s="1">
        <v>0</v>
      </c>
      <c r="AO387" s="1">
        <v>0</v>
      </c>
      <c r="AP387" s="1">
        <v>0</v>
      </c>
      <c r="AQ387" s="24">
        <f t="shared" si="17"/>
        <v>0</v>
      </c>
    </row>
    <row r="388" spans="1:43" ht="17.25" customHeight="1" x14ac:dyDescent="0.45">
      <c r="A388" s="12" t="s">
        <v>114</v>
      </c>
      <c r="B388" s="12" t="s">
        <v>65</v>
      </c>
      <c r="C388" s="12" t="s">
        <v>48</v>
      </c>
      <c r="D388" s="12" t="s">
        <v>66</v>
      </c>
      <c r="E388" s="25">
        <v>4</v>
      </c>
      <c r="F388" s="10">
        <v>4</v>
      </c>
      <c r="G388" s="10">
        <v>5</v>
      </c>
      <c r="H388" s="10">
        <v>4</v>
      </c>
      <c r="I388" s="10">
        <v>1</v>
      </c>
      <c r="J388" s="10">
        <v>0</v>
      </c>
      <c r="K388" s="10">
        <v>0</v>
      </c>
      <c r="L388" s="10">
        <v>0</v>
      </c>
      <c r="M388" s="10">
        <v>0</v>
      </c>
      <c r="N388" s="10">
        <v>1</v>
      </c>
      <c r="O388" s="10">
        <v>5</v>
      </c>
      <c r="P388" s="10">
        <v>7</v>
      </c>
      <c r="Q388" s="26">
        <f t="shared" si="15"/>
        <v>31</v>
      </c>
      <c r="R388" s="25">
        <v>686</v>
      </c>
      <c r="S388" s="10">
        <v>667</v>
      </c>
      <c r="T388" s="10">
        <v>667</v>
      </c>
      <c r="U388" s="10">
        <v>523</v>
      </c>
      <c r="V388" s="10">
        <v>53</v>
      </c>
      <c r="W388" s="10">
        <v>0</v>
      </c>
      <c r="X388" s="10">
        <v>0</v>
      </c>
      <c r="Y388" s="10">
        <v>0</v>
      </c>
      <c r="Z388" s="10">
        <v>0</v>
      </c>
      <c r="AA388" s="10">
        <v>165</v>
      </c>
      <c r="AB388" s="10">
        <v>651</v>
      </c>
      <c r="AC388" s="10">
        <v>839</v>
      </c>
      <c r="AD388" s="26">
        <f t="shared" si="16"/>
        <v>4251</v>
      </c>
      <c r="AE388" s="25">
        <v>0</v>
      </c>
      <c r="AF388" s="10">
        <v>0</v>
      </c>
      <c r="AG388" s="10">
        <v>0</v>
      </c>
      <c r="AH388" s="10">
        <v>0</v>
      </c>
      <c r="AI388" s="10">
        <v>0</v>
      </c>
      <c r="AJ388" s="10">
        <v>0</v>
      </c>
      <c r="AK388" s="10">
        <v>0</v>
      </c>
      <c r="AL388" s="10">
        <v>0</v>
      </c>
      <c r="AM388" s="10">
        <v>0</v>
      </c>
      <c r="AN388" s="10">
        <v>0</v>
      </c>
      <c r="AO388" s="10">
        <v>0</v>
      </c>
      <c r="AP388" s="10">
        <v>0</v>
      </c>
      <c r="AQ388" s="26">
        <f t="shared" si="17"/>
        <v>0</v>
      </c>
    </row>
    <row r="389" spans="1:43" ht="17.25" customHeight="1" x14ac:dyDescent="0.45">
      <c r="A389" s="2" t="s">
        <v>115</v>
      </c>
      <c r="B389" s="2" t="s">
        <v>65</v>
      </c>
      <c r="C389" s="2" t="s">
        <v>10</v>
      </c>
      <c r="D389" s="2" t="s">
        <v>66</v>
      </c>
      <c r="E389" s="23">
        <v>16</v>
      </c>
      <c r="F389" s="1">
        <v>9</v>
      </c>
      <c r="G389" s="1">
        <v>18</v>
      </c>
      <c r="H389" s="1">
        <v>8</v>
      </c>
      <c r="I389" s="1">
        <v>7</v>
      </c>
      <c r="J389" s="1">
        <v>3</v>
      </c>
      <c r="K389" s="1">
        <v>0</v>
      </c>
      <c r="L389" s="1">
        <v>0</v>
      </c>
      <c r="M389" s="1">
        <v>0</v>
      </c>
      <c r="N389" s="1">
        <v>1</v>
      </c>
      <c r="O389" s="1">
        <v>5</v>
      </c>
      <c r="P389" s="1">
        <v>12</v>
      </c>
      <c r="Q389" s="24">
        <f t="shared" si="15"/>
        <v>79</v>
      </c>
      <c r="R389" s="23">
        <v>1911</v>
      </c>
      <c r="S389" s="1">
        <v>1277</v>
      </c>
      <c r="T389" s="1">
        <v>2291</v>
      </c>
      <c r="U389" s="1">
        <v>580</v>
      </c>
      <c r="V389" s="1">
        <v>640</v>
      </c>
      <c r="W389" s="1">
        <v>107</v>
      </c>
      <c r="X389" s="1">
        <v>0</v>
      </c>
      <c r="Y389" s="1">
        <v>0</v>
      </c>
      <c r="Z389" s="1">
        <v>0</v>
      </c>
      <c r="AA389" s="1">
        <v>126</v>
      </c>
      <c r="AB389" s="1">
        <v>730</v>
      </c>
      <c r="AC389" s="1">
        <v>1961</v>
      </c>
      <c r="AD389" s="24">
        <f t="shared" si="16"/>
        <v>9623</v>
      </c>
      <c r="AE389" s="23">
        <v>0</v>
      </c>
      <c r="AF389" s="1">
        <v>0</v>
      </c>
      <c r="AG389" s="1">
        <v>0</v>
      </c>
      <c r="AH389" s="1">
        <v>0</v>
      </c>
      <c r="AI389" s="1">
        <v>0</v>
      </c>
      <c r="AJ389" s="1">
        <v>0</v>
      </c>
      <c r="AK389" s="1">
        <v>0</v>
      </c>
      <c r="AL389" s="1">
        <v>0</v>
      </c>
      <c r="AM389" s="1">
        <v>0</v>
      </c>
      <c r="AN389" s="1">
        <v>0</v>
      </c>
      <c r="AO389" s="1">
        <v>0</v>
      </c>
      <c r="AP389" s="1">
        <v>0</v>
      </c>
      <c r="AQ389" s="24">
        <f t="shared" si="17"/>
        <v>0</v>
      </c>
    </row>
    <row r="390" spans="1:43" ht="17.25" customHeight="1" x14ac:dyDescent="0.45">
      <c r="A390" s="12" t="s">
        <v>115</v>
      </c>
      <c r="B390" s="12" t="s">
        <v>65</v>
      </c>
      <c r="C390" s="12" t="s">
        <v>17</v>
      </c>
      <c r="D390" s="12" t="s">
        <v>66</v>
      </c>
      <c r="E390" s="25">
        <v>9</v>
      </c>
      <c r="F390" s="10">
        <v>7</v>
      </c>
      <c r="G390" s="10">
        <v>9</v>
      </c>
      <c r="H390" s="10">
        <v>0</v>
      </c>
      <c r="I390" s="10">
        <v>0</v>
      </c>
      <c r="J390" s="10">
        <v>0</v>
      </c>
      <c r="K390" s="10">
        <v>0</v>
      </c>
      <c r="L390" s="10">
        <v>0</v>
      </c>
      <c r="M390" s="10">
        <v>0</v>
      </c>
      <c r="N390" s="10">
        <v>0</v>
      </c>
      <c r="O390" s="10">
        <v>0</v>
      </c>
      <c r="P390" s="10">
        <v>2</v>
      </c>
      <c r="Q390" s="26">
        <f t="shared" si="15"/>
        <v>27</v>
      </c>
      <c r="R390" s="25">
        <v>1133</v>
      </c>
      <c r="S390" s="10">
        <v>887</v>
      </c>
      <c r="T390" s="10">
        <v>736</v>
      </c>
      <c r="U390" s="10">
        <v>0</v>
      </c>
      <c r="V390" s="10">
        <v>0</v>
      </c>
      <c r="W390" s="10">
        <v>0</v>
      </c>
      <c r="X390" s="10">
        <v>0</v>
      </c>
      <c r="Y390" s="10">
        <v>0</v>
      </c>
      <c r="Z390" s="10">
        <v>0</v>
      </c>
      <c r="AA390" s="10">
        <v>0</v>
      </c>
      <c r="AB390" s="10">
        <v>0</v>
      </c>
      <c r="AC390" s="10">
        <v>336</v>
      </c>
      <c r="AD390" s="26">
        <f t="shared" si="16"/>
        <v>3092</v>
      </c>
      <c r="AE390" s="25">
        <v>0</v>
      </c>
      <c r="AF390" s="10">
        <v>0</v>
      </c>
      <c r="AG390" s="10">
        <v>0</v>
      </c>
      <c r="AH390" s="10">
        <v>0</v>
      </c>
      <c r="AI390" s="10">
        <v>0</v>
      </c>
      <c r="AJ390" s="10">
        <v>0</v>
      </c>
      <c r="AK390" s="10">
        <v>0</v>
      </c>
      <c r="AL390" s="10">
        <v>0</v>
      </c>
      <c r="AM390" s="10">
        <v>0</v>
      </c>
      <c r="AN390" s="10">
        <v>0</v>
      </c>
      <c r="AO390" s="10">
        <v>0</v>
      </c>
      <c r="AP390" s="10">
        <v>0</v>
      </c>
      <c r="AQ390" s="26">
        <f t="shared" si="17"/>
        <v>0</v>
      </c>
    </row>
    <row r="391" spans="1:43" ht="17.25" customHeight="1" x14ac:dyDescent="0.45">
      <c r="A391" s="2" t="s">
        <v>116</v>
      </c>
      <c r="B391" s="2" t="s">
        <v>96</v>
      </c>
      <c r="C391" s="2" t="s">
        <v>10</v>
      </c>
      <c r="D391" s="2" t="s">
        <v>66</v>
      </c>
      <c r="E391" s="23">
        <v>21</v>
      </c>
      <c r="F391" s="1">
        <v>18</v>
      </c>
      <c r="G391" s="1">
        <v>18</v>
      </c>
      <c r="H391" s="1">
        <v>17</v>
      </c>
      <c r="I391" s="1">
        <v>23</v>
      </c>
      <c r="J391" s="1">
        <v>25</v>
      </c>
      <c r="K391" s="1">
        <v>25</v>
      </c>
      <c r="L391" s="1">
        <v>26</v>
      </c>
      <c r="M391" s="1">
        <v>29</v>
      </c>
      <c r="N391" s="1">
        <v>31</v>
      </c>
      <c r="O391" s="1">
        <v>29</v>
      </c>
      <c r="P391" s="1">
        <v>31</v>
      </c>
      <c r="Q391" s="24">
        <f t="shared" si="15"/>
        <v>293</v>
      </c>
      <c r="R391" s="23">
        <v>1865</v>
      </c>
      <c r="S391" s="1">
        <v>1976</v>
      </c>
      <c r="T391" s="1">
        <v>2340</v>
      </c>
      <c r="U391" s="1">
        <v>2233</v>
      </c>
      <c r="V391" s="1">
        <v>2003</v>
      </c>
      <c r="W391" s="1">
        <v>2447</v>
      </c>
      <c r="X391" s="1">
        <v>3107</v>
      </c>
      <c r="Y391" s="1">
        <v>3268</v>
      </c>
      <c r="Z391" s="1">
        <v>2975</v>
      </c>
      <c r="AA391" s="1">
        <v>3875</v>
      </c>
      <c r="AB391" s="1">
        <v>3835</v>
      </c>
      <c r="AC391" s="1">
        <v>4053</v>
      </c>
      <c r="AD391" s="24">
        <f t="shared" si="16"/>
        <v>33977</v>
      </c>
      <c r="AE391" s="23">
        <v>0</v>
      </c>
      <c r="AF391" s="1">
        <v>0</v>
      </c>
      <c r="AG391" s="1">
        <v>0</v>
      </c>
      <c r="AH391" s="1">
        <v>0</v>
      </c>
      <c r="AI391" s="1">
        <v>0</v>
      </c>
      <c r="AJ391" s="1">
        <v>0</v>
      </c>
      <c r="AK391" s="1">
        <v>0</v>
      </c>
      <c r="AL391" s="1">
        <v>0</v>
      </c>
      <c r="AM391" s="1">
        <v>0</v>
      </c>
      <c r="AN391" s="1">
        <v>0</v>
      </c>
      <c r="AO391" s="1">
        <v>0</v>
      </c>
      <c r="AP391" s="1">
        <v>0</v>
      </c>
      <c r="AQ391" s="24">
        <f t="shared" si="17"/>
        <v>0</v>
      </c>
    </row>
    <row r="392" spans="1:43" ht="17.25" customHeight="1" x14ac:dyDescent="0.45">
      <c r="A392" s="12" t="s">
        <v>116</v>
      </c>
      <c r="B392" s="12" t="s">
        <v>96</v>
      </c>
      <c r="C392" s="12" t="s">
        <v>23</v>
      </c>
      <c r="D392" s="12" t="s">
        <v>66</v>
      </c>
      <c r="E392" s="25">
        <v>4</v>
      </c>
      <c r="F392" s="10">
        <v>4</v>
      </c>
      <c r="G392" s="10">
        <v>5</v>
      </c>
      <c r="H392" s="10">
        <v>4</v>
      </c>
      <c r="I392" s="10">
        <v>4</v>
      </c>
      <c r="J392" s="10">
        <v>5</v>
      </c>
      <c r="K392" s="10">
        <v>4</v>
      </c>
      <c r="L392" s="10">
        <v>5</v>
      </c>
      <c r="M392" s="10">
        <v>4</v>
      </c>
      <c r="N392" s="10">
        <v>4</v>
      </c>
      <c r="O392" s="10">
        <v>5</v>
      </c>
      <c r="P392" s="10">
        <v>4</v>
      </c>
      <c r="Q392" s="26">
        <f t="shared" ref="Q392:Q455" si="18">SUM(E392:P392)</f>
        <v>52</v>
      </c>
      <c r="R392" s="25">
        <v>447</v>
      </c>
      <c r="S392" s="10">
        <v>447</v>
      </c>
      <c r="T392" s="10">
        <v>612</v>
      </c>
      <c r="U392" s="10">
        <v>482</v>
      </c>
      <c r="V392" s="10">
        <v>285</v>
      </c>
      <c r="W392" s="10">
        <v>378</v>
      </c>
      <c r="X392" s="10">
        <v>370</v>
      </c>
      <c r="Y392" s="10">
        <v>583</v>
      </c>
      <c r="Z392" s="10">
        <v>279</v>
      </c>
      <c r="AA392" s="10">
        <v>322</v>
      </c>
      <c r="AB392" s="10">
        <v>445</v>
      </c>
      <c r="AC392" s="10">
        <v>401</v>
      </c>
      <c r="AD392" s="26">
        <f t="shared" ref="AD392:AD455" si="19">SUM(R392:AC392)</f>
        <v>5051</v>
      </c>
      <c r="AE392" s="25">
        <v>0</v>
      </c>
      <c r="AF392" s="10">
        <v>0</v>
      </c>
      <c r="AG392" s="10">
        <v>0</v>
      </c>
      <c r="AH392" s="10">
        <v>0</v>
      </c>
      <c r="AI392" s="10">
        <v>0</v>
      </c>
      <c r="AJ392" s="10">
        <v>0</v>
      </c>
      <c r="AK392" s="10">
        <v>0</v>
      </c>
      <c r="AL392" s="10">
        <v>0</v>
      </c>
      <c r="AM392" s="10">
        <v>0</v>
      </c>
      <c r="AN392" s="10">
        <v>0</v>
      </c>
      <c r="AO392" s="10">
        <v>0</v>
      </c>
      <c r="AP392" s="10">
        <v>0</v>
      </c>
      <c r="AQ392" s="26">
        <f t="shared" ref="AQ392:AQ455" si="20">SUM(AE392:AP392)</f>
        <v>0</v>
      </c>
    </row>
    <row r="393" spans="1:43" ht="17.25" customHeight="1" x14ac:dyDescent="0.45">
      <c r="A393" s="2" t="s">
        <v>116</v>
      </c>
      <c r="B393" s="2" t="s">
        <v>96</v>
      </c>
      <c r="C393" s="2" t="s">
        <v>12</v>
      </c>
      <c r="D393" s="2" t="s">
        <v>66</v>
      </c>
      <c r="E393" s="23">
        <v>30</v>
      </c>
      <c r="F393" s="1">
        <v>29</v>
      </c>
      <c r="G393" s="1">
        <v>31</v>
      </c>
      <c r="H393" s="1">
        <v>30</v>
      </c>
      <c r="I393" s="1">
        <v>31</v>
      </c>
      <c r="J393" s="1">
        <v>30</v>
      </c>
      <c r="K393" s="1">
        <v>31</v>
      </c>
      <c r="L393" s="1">
        <v>31</v>
      </c>
      <c r="M393" s="1">
        <v>30</v>
      </c>
      <c r="N393" s="1">
        <v>31</v>
      </c>
      <c r="O393" s="1">
        <v>29</v>
      </c>
      <c r="P393" s="1">
        <v>30</v>
      </c>
      <c r="Q393" s="24">
        <f t="shared" si="18"/>
        <v>363</v>
      </c>
      <c r="R393" s="23">
        <v>4240</v>
      </c>
      <c r="S393" s="1">
        <v>4239</v>
      </c>
      <c r="T393" s="1">
        <v>4453</v>
      </c>
      <c r="U393" s="1">
        <v>4442</v>
      </c>
      <c r="V393" s="1">
        <v>4424</v>
      </c>
      <c r="W393" s="1">
        <v>3963</v>
      </c>
      <c r="X393" s="1">
        <v>4288</v>
      </c>
      <c r="Y393" s="1">
        <v>4685</v>
      </c>
      <c r="Z393" s="1">
        <v>4267</v>
      </c>
      <c r="AA393" s="1">
        <v>4391</v>
      </c>
      <c r="AB393" s="1">
        <v>4202</v>
      </c>
      <c r="AC393" s="1">
        <v>4142</v>
      </c>
      <c r="AD393" s="24">
        <f t="shared" si="19"/>
        <v>51736</v>
      </c>
      <c r="AE393" s="23">
        <v>70</v>
      </c>
      <c r="AF393" s="1">
        <v>16</v>
      </c>
      <c r="AG393" s="1">
        <v>0</v>
      </c>
      <c r="AH393" s="1">
        <v>16</v>
      </c>
      <c r="AI393" s="1">
        <v>76</v>
      </c>
      <c r="AJ393" s="1">
        <v>32</v>
      </c>
      <c r="AK393" s="1">
        <v>0</v>
      </c>
      <c r="AL393" s="1">
        <v>0</v>
      </c>
      <c r="AM393" s="1">
        <v>38</v>
      </c>
      <c r="AN393" s="1">
        <v>16</v>
      </c>
      <c r="AO393" s="1">
        <v>0</v>
      </c>
      <c r="AP393" s="1">
        <v>0</v>
      </c>
      <c r="AQ393" s="24">
        <f t="shared" si="20"/>
        <v>264</v>
      </c>
    </row>
    <row r="394" spans="1:43" ht="17.25" customHeight="1" x14ac:dyDescent="0.45">
      <c r="A394" s="12" t="s">
        <v>116</v>
      </c>
      <c r="B394" s="12" t="s">
        <v>96</v>
      </c>
      <c r="C394" s="12" t="s">
        <v>13</v>
      </c>
      <c r="D394" s="12" t="s">
        <v>66</v>
      </c>
      <c r="E394" s="25">
        <v>8</v>
      </c>
      <c r="F394" s="10">
        <v>9</v>
      </c>
      <c r="G394" s="10">
        <v>9</v>
      </c>
      <c r="H394" s="10">
        <v>8</v>
      </c>
      <c r="I394" s="10">
        <v>9</v>
      </c>
      <c r="J394" s="10">
        <v>9</v>
      </c>
      <c r="K394" s="10">
        <v>9</v>
      </c>
      <c r="L394" s="10">
        <v>9</v>
      </c>
      <c r="M394" s="10">
        <v>7</v>
      </c>
      <c r="N394" s="10">
        <v>9</v>
      </c>
      <c r="O394" s="10">
        <v>8</v>
      </c>
      <c r="P394" s="10">
        <v>8</v>
      </c>
      <c r="Q394" s="26">
        <f t="shared" si="18"/>
        <v>102</v>
      </c>
      <c r="R394" s="25">
        <v>1519</v>
      </c>
      <c r="S394" s="10">
        <v>1567</v>
      </c>
      <c r="T394" s="10">
        <v>1399</v>
      </c>
      <c r="U394" s="10">
        <v>1329</v>
      </c>
      <c r="V394" s="10">
        <v>1325</v>
      </c>
      <c r="W394" s="10">
        <v>1471</v>
      </c>
      <c r="X394" s="10">
        <v>1604</v>
      </c>
      <c r="Y394" s="10">
        <v>1620</v>
      </c>
      <c r="Z394" s="10">
        <v>1264</v>
      </c>
      <c r="AA394" s="10">
        <v>1237</v>
      </c>
      <c r="AB394" s="10">
        <v>1246</v>
      </c>
      <c r="AC394" s="10">
        <v>1170</v>
      </c>
      <c r="AD394" s="26">
        <f t="shared" si="19"/>
        <v>16751</v>
      </c>
      <c r="AE394" s="25">
        <v>0</v>
      </c>
      <c r="AF394" s="10">
        <v>0</v>
      </c>
      <c r="AG394" s="10">
        <v>0</v>
      </c>
      <c r="AH394" s="10">
        <v>0</v>
      </c>
      <c r="AI394" s="10">
        <v>0</v>
      </c>
      <c r="AJ394" s="10">
        <v>0</v>
      </c>
      <c r="AK394" s="10">
        <v>0</v>
      </c>
      <c r="AL394" s="10">
        <v>0</v>
      </c>
      <c r="AM394" s="10">
        <v>0</v>
      </c>
      <c r="AN394" s="10">
        <v>0</v>
      </c>
      <c r="AO394" s="10">
        <v>0</v>
      </c>
      <c r="AP394" s="10">
        <v>0</v>
      </c>
      <c r="AQ394" s="26">
        <f t="shared" si="20"/>
        <v>0</v>
      </c>
    </row>
    <row r="395" spans="1:43" ht="17.25" customHeight="1" x14ac:dyDescent="0.45">
      <c r="A395" s="2" t="s">
        <v>116</v>
      </c>
      <c r="B395" s="2" t="s">
        <v>96</v>
      </c>
      <c r="C395" s="2" t="s">
        <v>14</v>
      </c>
      <c r="D395" s="2" t="s">
        <v>66</v>
      </c>
      <c r="E395" s="23">
        <v>16</v>
      </c>
      <c r="F395" s="1">
        <v>13</v>
      </c>
      <c r="G395" s="1">
        <v>13</v>
      </c>
      <c r="H395" s="1">
        <v>13</v>
      </c>
      <c r="I395" s="1">
        <v>13</v>
      </c>
      <c r="J395" s="1">
        <v>13</v>
      </c>
      <c r="K395" s="1">
        <v>13</v>
      </c>
      <c r="L395" s="1">
        <v>14</v>
      </c>
      <c r="M395" s="1">
        <v>12</v>
      </c>
      <c r="N395" s="1">
        <v>14</v>
      </c>
      <c r="O395" s="1">
        <v>12</v>
      </c>
      <c r="P395" s="1">
        <v>13</v>
      </c>
      <c r="Q395" s="24">
        <f t="shared" si="18"/>
        <v>159</v>
      </c>
      <c r="R395" s="23">
        <v>2555</v>
      </c>
      <c r="S395" s="1">
        <v>1329</v>
      </c>
      <c r="T395" s="1">
        <v>1386</v>
      </c>
      <c r="U395" s="1">
        <v>1595</v>
      </c>
      <c r="V395" s="1">
        <v>1328</v>
      </c>
      <c r="W395" s="1">
        <v>1244</v>
      </c>
      <c r="X395" s="1">
        <v>1811</v>
      </c>
      <c r="Y395" s="1">
        <v>2046</v>
      </c>
      <c r="Z395" s="1">
        <v>1401</v>
      </c>
      <c r="AA395" s="1">
        <v>1827</v>
      </c>
      <c r="AB395" s="1">
        <v>1636</v>
      </c>
      <c r="AC395" s="1">
        <v>1500</v>
      </c>
      <c r="AD395" s="24">
        <f t="shared" si="19"/>
        <v>19658</v>
      </c>
      <c r="AE395" s="23">
        <v>0</v>
      </c>
      <c r="AF395" s="1">
        <v>0</v>
      </c>
      <c r="AG395" s="1">
        <v>0</v>
      </c>
      <c r="AH395" s="1">
        <v>0</v>
      </c>
      <c r="AI395" s="1">
        <v>0</v>
      </c>
      <c r="AJ395" s="1">
        <v>0</v>
      </c>
      <c r="AK395" s="1">
        <v>0</v>
      </c>
      <c r="AL395" s="1">
        <v>0</v>
      </c>
      <c r="AM395" s="1">
        <v>0</v>
      </c>
      <c r="AN395" s="1">
        <v>0</v>
      </c>
      <c r="AO395" s="1">
        <v>0</v>
      </c>
      <c r="AP395" s="1">
        <v>0</v>
      </c>
      <c r="AQ395" s="24">
        <f t="shared" si="20"/>
        <v>0</v>
      </c>
    </row>
    <row r="396" spans="1:43" ht="17.25" customHeight="1" x14ac:dyDescent="0.45">
      <c r="A396" s="12" t="s">
        <v>47</v>
      </c>
      <c r="B396" s="12" t="s">
        <v>66</v>
      </c>
      <c r="C396" s="12" t="s">
        <v>73</v>
      </c>
      <c r="D396" s="12" t="s">
        <v>68</v>
      </c>
      <c r="E396" s="25">
        <v>0</v>
      </c>
      <c r="F396" s="10">
        <v>0</v>
      </c>
      <c r="G396" s="10">
        <v>0</v>
      </c>
      <c r="H396" s="10">
        <v>0</v>
      </c>
      <c r="I396" s="10">
        <v>0</v>
      </c>
      <c r="J396" s="10">
        <v>0</v>
      </c>
      <c r="K396" s="10">
        <v>0</v>
      </c>
      <c r="L396" s="10">
        <v>0</v>
      </c>
      <c r="M396" s="10">
        <v>0</v>
      </c>
      <c r="N396" s="10">
        <v>0</v>
      </c>
      <c r="O396" s="10">
        <v>4</v>
      </c>
      <c r="P396" s="10">
        <v>8</v>
      </c>
      <c r="Q396" s="26">
        <f t="shared" si="18"/>
        <v>12</v>
      </c>
      <c r="R396" s="25">
        <v>0</v>
      </c>
      <c r="S396" s="10">
        <v>0</v>
      </c>
      <c r="T396" s="10">
        <v>0</v>
      </c>
      <c r="U396" s="10">
        <v>0</v>
      </c>
      <c r="V396" s="10">
        <v>0</v>
      </c>
      <c r="W396" s="10">
        <v>0</v>
      </c>
      <c r="X396" s="10">
        <v>0</v>
      </c>
      <c r="Y396" s="10">
        <v>0</v>
      </c>
      <c r="Z396" s="10">
        <v>0</v>
      </c>
      <c r="AA396" s="10">
        <v>0</v>
      </c>
      <c r="AB396" s="10">
        <v>225</v>
      </c>
      <c r="AC396" s="10">
        <v>531</v>
      </c>
      <c r="AD396" s="26">
        <f t="shared" si="19"/>
        <v>756</v>
      </c>
      <c r="AE396" s="25">
        <v>0</v>
      </c>
      <c r="AF396" s="10">
        <v>0</v>
      </c>
      <c r="AG396" s="10">
        <v>0</v>
      </c>
      <c r="AH396" s="10">
        <v>0</v>
      </c>
      <c r="AI396" s="10">
        <v>0</v>
      </c>
      <c r="AJ396" s="10">
        <v>0</v>
      </c>
      <c r="AK396" s="10">
        <v>0</v>
      </c>
      <c r="AL396" s="10">
        <v>0</v>
      </c>
      <c r="AM396" s="10">
        <v>0</v>
      </c>
      <c r="AN396" s="10">
        <v>0</v>
      </c>
      <c r="AO396" s="10">
        <v>0</v>
      </c>
      <c r="AP396" s="10">
        <v>0</v>
      </c>
      <c r="AQ396" s="26">
        <f t="shared" si="20"/>
        <v>0</v>
      </c>
    </row>
    <row r="397" spans="1:43" ht="17.25" customHeight="1" x14ac:dyDescent="0.45">
      <c r="A397" s="2" t="s">
        <v>184</v>
      </c>
      <c r="B397" s="2" t="s">
        <v>68</v>
      </c>
      <c r="C397" s="2" t="s">
        <v>11</v>
      </c>
      <c r="D397" s="2" t="s">
        <v>66</v>
      </c>
      <c r="E397" s="23">
        <v>61</v>
      </c>
      <c r="F397" s="1">
        <v>59</v>
      </c>
      <c r="G397" s="1">
        <v>62</v>
      </c>
      <c r="H397" s="1">
        <v>47</v>
      </c>
      <c r="I397" s="1">
        <v>49</v>
      </c>
      <c r="J397" s="1">
        <v>47</v>
      </c>
      <c r="K397" s="1">
        <v>49</v>
      </c>
      <c r="L397" s="1">
        <v>48</v>
      </c>
      <c r="M397" s="1">
        <v>48</v>
      </c>
      <c r="N397" s="1">
        <v>48</v>
      </c>
      <c r="O397" s="1">
        <v>55</v>
      </c>
      <c r="P397" s="1">
        <v>101</v>
      </c>
      <c r="Q397" s="24">
        <f t="shared" si="18"/>
        <v>674</v>
      </c>
      <c r="R397" s="23">
        <v>10088</v>
      </c>
      <c r="S397" s="1">
        <v>9932</v>
      </c>
      <c r="T397" s="1">
        <v>9925</v>
      </c>
      <c r="U397" s="1">
        <v>8346</v>
      </c>
      <c r="V397" s="1">
        <v>9624</v>
      </c>
      <c r="W397" s="1">
        <v>8590</v>
      </c>
      <c r="X397" s="1">
        <v>9151</v>
      </c>
      <c r="Y397" s="1">
        <v>8251</v>
      </c>
      <c r="Z397" s="1">
        <v>9034</v>
      </c>
      <c r="AA397" s="1">
        <v>9238</v>
      </c>
      <c r="AB397" s="1">
        <v>10111</v>
      </c>
      <c r="AC397" s="1">
        <v>16789</v>
      </c>
      <c r="AD397" s="24">
        <f t="shared" si="19"/>
        <v>119079</v>
      </c>
      <c r="AE397" s="23">
        <v>0</v>
      </c>
      <c r="AF397" s="1">
        <v>0</v>
      </c>
      <c r="AG397" s="1">
        <v>0</v>
      </c>
      <c r="AH397" s="1">
        <v>0</v>
      </c>
      <c r="AI397" s="1">
        <v>0</v>
      </c>
      <c r="AJ397" s="1">
        <v>0</v>
      </c>
      <c r="AK397" s="1">
        <v>0</v>
      </c>
      <c r="AL397" s="1">
        <v>0</v>
      </c>
      <c r="AM397" s="1">
        <v>0</v>
      </c>
      <c r="AN397" s="1">
        <v>0</v>
      </c>
      <c r="AO397" s="1">
        <v>0</v>
      </c>
      <c r="AP397" s="1">
        <v>0</v>
      </c>
      <c r="AQ397" s="24">
        <f t="shared" si="20"/>
        <v>0</v>
      </c>
    </row>
    <row r="398" spans="1:43" ht="17.25" customHeight="1" x14ac:dyDescent="0.45">
      <c r="A398" s="12" t="s">
        <v>184</v>
      </c>
      <c r="B398" s="12" t="s">
        <v>68</v>
      </c>
      <c r="C398" s="12" t="s">
        <v>12</v>
      </c>
      <c r="D398" s="12" t="s">
        <v>66</v>
      </c>
      <c r="E398" s="25">
        <v>101</v>
      </c>
      <c r="F398" s="10">
        <v>91</v>
      </c>
      <c r="G398" s="10">
        <v>106</v>
      </c>
      <c r="H398" s="10">
        <v>91</v>
      </c>
      <c r="I398" s="10">
        <v>93</v>
      </c>
      <c r="J398" s="10">
        <v>101</v>
      </c>
      <c r="K398" s="10">
        <v>122</v>
      </c>
      <c r="L398" s="10">
        <v>111</v>
      </c>
      <c r="M398" s="10">
        <v>93</v>
      </c>
      <c r="N398" s="10">
        <v>93</v>
      </c>
      <c r="O398" s="10">
        <v>101</v>
      </c>
      <c r="P398" s="10">
        <v>126</v>
      </c>
      <c r="Q398" s="26">
        <f t="shared" si="18"/>
        <v>1229</v>
      </c>
      <c r="R398" s="25">
        <v>16240</v>
      </c>
      <c r="S398" s="10">
        <v>14412</v>
      </c>
      <c r="T398" s="10">
        <v>14510</v>
      </c>
      <c r="U398" s="10">
        <v>14356</v>
      </c>
      <c r="V398" s="10">
        <v>14965</v>
      </c>
      <c r="W398" s="10">
        <v>15975</v>
      </c>
      <c r="X398" s="10">
        <v>19378</v>
      </c>
      <c r="Y398" s="10">
        <v>16715</v>
      </c>
      <c r="Z398" s="10">
        <v>15910</v>
      </c>
      <c r="AA398" s="10">
        <v>16920</v>
      </c>
      <c r="AB398" s="10">
        <v>18185</v>
      </c>
      <c r="AC398" s="10">
        <v>22004</v>
      </c>
      <c r="AD398" s="26">
        <f t="shared" si="19"/>
        <v>199570</v>
      </c>
      <c r="AE398" s="25">
        <v>0</v>
      </c>
      <c r="AF398" s="10">
        <v>0</v>
      </c>
      <c r="AG398" s="10">
        <v>0</v>
      </c>
      <c r="AH398" s="10">
        <v>0</v>
      </c>
      <c r="AI398" s="10">
        <v>0</v>
      </c>
      <c r="AJ398" s="10">
        <v>0</v>
      </c>
      <c r="AK398" s="10">
        <v>0</v>
      </c>
      <c r="AL398" s="10">
        <v>0</v>
      </c>
      <c r="AM398" s="10">
        <v>60</v>
      </c>
      <c r="AN398" s="10">
        <v>0</v>
      </c>
      <c r="AO398" s="10">
        <v>0</v>
      </c>
      <c r="AP398" s="10">
        <v>0</v>
      </c>
      <c r="AQ398" s="26">
        <f t="shared" si="20"/>
        <v>60</v>
      </c>
    </row>
    <row r="399" spans="1:43" ht="17.25" customHeight="1" x14ac:dyDescent="0.45">
      <c r="A399" s="2" t="s">
        <v>184</v>
      </c>
      <c r="B399" s="2" t="s">
        <v>68</v>
      </c>
      <c r="C399" s="2" t="s">
        <v>13</v>
      </c>
      <c r="D399" s="2" t="s">
        <v>66</v>
      </c>
      <c r="E399" s="23">
        <v>31</v>
      </c>
      <c r="F399" s="1">
        <v>34</v>
      </c>
      <c r="G399" s="1">
        <v>38</v>
      </c>
      <c r="H399" s="1">
        <v>30</v>
      </c>
      <c r="I399" s="1">
        <v>31</v>
      </c>
      <c r="J399" s="1">
        <v>31</v>
      </c>
      <c r="K399" s="1">
        <v>29</v>
      </c>
      <c r="L399" s="1">
        <v>31</v>
      </c>
      <c r="M399" s="1">
        <v>33</v>
      </c>
      <c r="N399" s="1">
        <v>31</v>
      </c>
      <c r="O399" s="1">
        <v>33</v>
      </c>
      <c r="P399" s="1">
        <v>42</v>
      </c>
      <c r="Q399" s="24">
        <f t="shared" si="18"/>
        <v>394</v>
      </c>
      <c r="R399" s="23">
        <v>5303</v>
      </c>
      <c r="S399" s="1">
        <v>5159</v>
      </c>
      <c r="T399" s="1">
        <v>5613</v>
      </c>
      <c r="U399" s="1">
        <v>5026</v>
      </c>
      <c r="V399" s="1">
        <v>5332</v>
      </c>
      <c r="W399" s="1">
        <v>5429</v>
      </c>
      <c r="X399" s="1">
        <v>5577</v>
      </c>
      <c r="Y399" s="1">
        <v>5472</v>
      </c>
      <c r="Z399" s="1">
        <v>5526</v>
      </c>
      <c r="AA399" s="1">
        <v>5633</v>
      </c>
      <c r="AB399" s="1">
        <v>6597</v>
      </c>
      <c r="AC399" s="1">
        <v>6998</v>
      </c>
      <c r="AD399" s="24">
        <f t="shared" si="19"/>
        <v>67665</v>
      </c>
      <c r="AE399" s="23">
        <v>0</v>
      </c>
      <c r="AF399" s="1">
        <v>0</v>
      </c>
      <c r="AG399" s="1">
        <v>0</v>
      </c>
      <c r="AH399" s="1">
        <v>0</v>
      </c>
      <c r="AI399" s="1">
        <v>0</v>
      </c>
      <c r="AJ399" s="1">
        <v>0</v>
      </c>
      <c r="AK399" s="1">
        <v>0</v>
      </c>
      <c r="AL399" s="1">
        <v>0</v>
      </c>
      <c r="AM399" s="1">
        <v>0</v>
      </c>
      <c r="AN399" s="1">
        <v>0</v>
      </c>
      <c r="AO399" s="1">
        <v>0</v>
      </c>
      <c r="AP399" s="1">
        <v>0</v>
      </c>
      <c r="AQ399" s="24">
        <f t="shared" si="20"/>
        <v>0</v>
      </c>
    </row>
    <row r="400" spans="1:43" ht="17.25" customHeight="1" x14ac:dyDescent="0.45">
      <c r="A400" s="12" t="s">
        <v>184</v>
      </c>
      <c r="B400" s="12" t="s">
        <v>68</v>
      </c>
      <c r="C400" s="12" t="s">
        <v>17</v>
      </c>
      <c r="D400" s="12" t="s">
        <v>66</v>
      </c>
      <c r="E400" s="25">
        <v>17</v>
      </c>
      <c r="F400" s="10">
        <v>17</v>
      </c>
      <c r="G400" s="10">
        <v>18</v>
      </c>
      <c r="H400" s="10">
        <v>8</v>
      </c>
      <c r="I400" s="10">
        <v>0</v>
      </c>
      <c r="J400" s="10">
        <v>0</v>
      </c>
      <c r="K400" s="10">
        <v>0</v>
      </c>
      <c r="L400" s="10">
        <v>0</v>
      </c>
      <c r="M400" s="10">
        <v>0</v>
      </c>
      <c r="N400" s="10">
        <v>0</v>
      </c>
      <c r="O400" s="10">
        <v>2</v>
      </c>
      <c r="P400" s="10">
        <v>4</v>
      </c>
      <c r="Q400" s="26">
        <f t="shared" si="18"/>
        <v>66</v>
      </c>
      <c r="R400" s="25">
        <v>1115</v>
      </c>
      <c r="S400" s="10">
        <v>1084</v>
      </c>
      <c r="T400" s="10">
        <v>1146</v>
      </c>
      <c r="U400" s="10">
        <v>478</v>
      </c>
      <c r="V400" s="10">
        <v>0</v>
      </c>
      <c r="W400" s="10">
        <v>0</v>
      </c>
      <c r="X400" s="10">
        <v>0</v>
      </c>
      <c r="Y400" s="10">
        <v>0</v>
      </c>
      <c r="Z400" s="10">
        <v>0</v>
      </c>
      <c r="AA400" s="10">
        <v>0</v>
      </c>
      <c r="AB400" s="10">
        <v>136</v>
      </c>
      <c r="AC400" s="10">
        <v>277</v>
      </c>
      <c r="AD400" s="26">
        <f t="shared" si="19"/>
        <v>4236</v>
      </c>
      <c r="AE400" s="25">
        <v>0</v>
      </c>
      <c r="AF400" s="10">
        <v>0</v>
      </c>
      <c r="AG400" s="10">
        <v>0</v>
      </c>
      <c r="AH400" s="10">
        <v>0</v>
      </c>
      <c r="AI400" s="10">
        <v>0</v>
      </c>
      <c r="AJ400" s="10">
        <v>0</v>
      </c>
      <c r="AK400" s="10">
        <v>0</v>
      </c>
      <c r="AL400" s="10">
        <v>0</v>
      </c>
      <c r="AM400" s="10">
        <v>0</v>
      </c>
      <c r="AN400" s="10">
        <v>0</v>
      </c>
      <c r="AO400" s="10">
        <v>0</v>
      </c>
      <c r="AP400" s="10">
        <v>0</v>
      </c>
      <c r="AQ400" s="26">
        <f t="shared" si="20"/>
        <v>0</v>
      </c>
    </row>
    <row r="401" spans="1:43" ht="17.25" customHeight="1" x14ac:dyDescent="0.45">
      <c r="A401" s="2" t="s">
        <v>184</v>
      </c>
      <c r="B401" s="2" t="s">
        <v>68</v>
      </c>
      <c r="C401" s="2" t="s">
        <v>48</v>
      </c>
      <c r="D401" s="2" t="s">
        <v>66</v>
      </c>
      <c r="E401" s="23">
        <v>17</v>
      </c>
      <c r="F401" s="1">
        <v>15</v>
      </c>
      <c r="G401" s="1">
        <v>18</v>
      </c>
      <c r="H401" s="1">
        <v>9</v>
      </c>
      <c r="I401" s="1">
        <v>0</v>
      </c>
      <c r="J401" s="1">
        <v>0</v>
      </c>
      <c r="K401" s="1">
        <v>0</v>
      </c>
      <c r="L401" s="1">
        <v>0</v>
      </c>
      <c r="M401" s="1">
        <v>0</v>
      </c>
      <c r="N401" s="1">
        <v>5</v>
      </c>
      <c r="O401" s="1">
        <v>29</v>
      </c>
      <c r="P401" s="1">
        <v>25</v>
      </c>
      <c r="Q401" s="24">
        <f t="shared" si="18"/>
        <v>118</v>
      </c>
      <c r="R401" s="23">
        <v>1217</v>
      </c>
      <c r="S401" s="1">
        <v>1063</v>
      </c>
      <c r="T401" s="1">
        <v>1276</v>
      </c>
      <c r="U401" s="1">
        <v>598</v>
      </c>
      <c r="V401" s="1">
        <v>0</v>
      </c>
      <c r="W401" s="1">
        <v>0</v>
      </c>
      <c r="X401" s="1">
        <v>0</v>
      </c>
      <c r="Y401" s="1">
        <v>0</v>
      </c>
      <c r="Z401" s="1">
        <v>0</v>
      </c>
      <c r="AA401" s="1">
        <v>315</v>
      </c>
      <c r="AB401" s="1">
        <v>2605</v>
      </c>
      <c r="AC401" s="1">
        <v>3514</v>
      </c>
      <c r="AD401" s="24">
        <f t="shared" si="19"/>
        <v>10588</v>
      </c>
      <c r="AE401" s="23">
        <v>0</v>
      </c>
      <c r="AF401" s="1">
        <v>0</v>
      </c>
      <c r="AG401" s="1">
        <v>0</v>
      </c>
      <c r="AH401" s="1">
        <v>0</v>
      </c>
      <c r="AI401" s="1">
        <v>0</v>
      </c>
      <c r="AJ401" s="1">
        <v>0</v>
      </c>
      <c r="AK401" s="1">
        <v>0</v>
      </c>
      <c r="AL401" s="1">
        <v>0</v>
      </c>
      <c r="AM401" s="1">
        <v>0</v>
      </c>
      <c r="AN401" s="1">
        <v>0</v>
      </c>
      <c r="AO401" s="1">
        <v>0</v>
      </c>
      <c r="AP401" s="1">
        <v>148</v>
      </c>
      <c r="AQ401" s="24">
        <f t="shared" si="20"/>
        <v>148</v>
      </c>
    </row>
    <row r="402" spans="1:43" ht="17.25" customHeight="1" x14ac:dyDescent="0.45">
      <c r="A402" s="12" t="s">
        <v>184</v>
      </c>
      <c r="B402" s="12" t="s">
        <v>68</v>
      </c>
      <c r="C402" s="12" t="s">
        <v>15</v>
      </c>
      <c r="D402" s="12" t="s">
        <v>66</v>
      </c>
      <c r="E402" s="25">
        <v>0</v>
      </c>
      <c r="F402" s="10">
        <v>0</v>
      </c>
      <c r="G402" s="10">
        <v>0</v>
      </c>
      <c r="H402" s="10">
        <v>0</v>
      </c>
      <c r="I402" s="10">
        <v>0</v>
      </c>
      <c r="J402" s="10">
        <v>0</v>
      </c>
      <c r="K402" s="10">
        <v>0</v>
      </c>
      <c r="L402" s="10">
        <v>0</v>
      </c>
      <c r="M402" s="10">
        <v>0</v>
      </c>
      <c r="N402" s="10">
        <v>2</v>
      </c>
      <c r="O402" s="10">
        <v>12</v>
      </c>
      <c r="P402" s="10">
        <v>14</v>
      </c>
      <c r="Q402" s="26">
        <f t="shared" si="18"/>
        <v>28</v>
      </c>
      <c r="R402" s="25">
        <v>0</v>
      </c>
      <c r="S402" s="10">
        <v>0</v>
      </c>
      <c r="T402" s="10">
        <v>0</v>
      </c>
      <c r="U402" s="10">
        <v>0</v>
      </c>
      <c r="V402" s="10">
        <v>0</v>
      </c>
      <c r="W402" s="10">
        <v>0</v>
      </c>
      <c r="X402" s="10">
        <v>0</v>
      </c>
      <c r="Y402" s="10">
        <v>0</v>
      </c>
      <c r="Z402" s="10">
        <v>0</v>
      </c>
      <c r="AA402" s="10">
        <v>170</v>
      </c>
      <c r="AB402" s="10">
        <v>729</v>
      </c>
      <c r="AC402" s="10">
        <v>558</v>
      </c>
      <c r="AD402" s="26">
        <f t="shared" si="19"/>
        <v>1457</v>
      </c>
      <c r="AE402" s="25">
        <v>0</v>
      </c>
      <c r="AF402" s="10">
        <v>0</v>
      </c>
      <c r="AG402" s="10">
        <v>0</v>
      </c>
      <c r="AH402" s="10">
        <v>0</v>
      </c>
      <c r="AI402" s="10">
        <v>0</v>
      </c>
      <c r="AJ402" s="10">
        <v>0</v>
      </c>
      <c r="AK402" s="10">
        <v>0</v>
      </c>
      <c r="AL402" s="10">
        <v>0</v>
      </c>
      <c r="AM402" s="10">
        <v>0</v>
      </c>
      <c r="AN402" s="10">
        <v>0</v>
      </c>
      <c r="AO402" s="10">
        <v>0</v>
      </c>
      <c r="AP402" s="10">
        <v>0</v>
      </c>
      <c r="AQ402" s="26">
        <f t="shared" si="20"/>
        <v>0</v>
      </c>
    </row>
    <row r="403" spans="1:43" ht="17.25" customHeight="1" x14ac:dyDescent="0.45">
      <c r="A403" s="2" t="s">
        <v>117</v>
      </c>
      <c r="B403" s="2" t="s">
        <v>118</v>
      </c>
      <c r="C403" s="2" t="s">
        <v>10</v>
      </c>
      <c r="D403" s="2" t="s">
        <v>66</v>
      </c>
      <c r="E403" s="23">
        <v>123</v>
      </c>
      <c r="F403" s="1">
        <v>100</v>
      </c>
      <c r="G403" s="1">
        <v>107</v>
      </c>
      <c r="H403" s="1">
        <v>102</v>
      </c>
      <c r="I403" s="1">
        <v>109</v>
      </c>
      <c r="J403" s="1">
        <v>112</v>
      </c>
      <c r="K403" s="1">
        <v>125</v>
      </c>
      <c r="L403" s="1">
        <v>116</v>
      </c>
      <c r="M403" s="1">
        <v>112</v>
      </c>
      <c r="N403" s="1">
        <v>115</v>
      </c>
      <c r="O403" s="1">
        <v>111</v>
      </c>
      <c r="P403" s="1">
        <v>124</v>
      </c>
      <c r="Q403" s="24">
        <f t="shared" si="18"/>
        <v>1356</v>
      </c>
      <c r="R403" s="23">
        <v>21571</v>
      </c>
      <c r="S403" s="1">
        <v>17070</v>
      </c>
      <c r="T403" s="1">
        <v>18632</v>
      </c>
      <c r="U403" s="1">
        <v>17671</v>
      </c>
      <c r="V403" s="1">
        <v>15698</v>
      </c>
      <c r="W403" s="1">
        <v>16157</v>
      </c>
      <c r="X403" s="1">
        <v>17788</v>
      </c>
      <c r="Y403" s="1">
        <v>15186</v>
      </c>
      <c r="Z403" s="1">
        <v>15937</v>
      </c>
      <c r="AA403" s="1">
        <v>18019</v>
      </c>
      <c r="AB403" s="1">
        <v>17195</v>
      </c>
      <c r="AC403" s="1">
        <v>19052</v>
      </c>
      <c r="AD403" s="24">
        <f t="shared" si="19"/>
        <v>209976</v>
      </c>
      <c r="AE403" s="23">
        <v>0</v>
      </c>
      <c r="AF403" s="1">
        <v>0</v>
      </c>
      <c r="AG403" s="1">
        <v>0</v>
      </c>
      <c r="AH403" s="1">
        <v>0</v>
      </c>
      <c r="AI403" s="1">
        <v>0</v>
      </c>
      <c r="AJ403" s="1">
        <v>0</v>
      </c>
      <c r="AK403" s="1">
        <v>0</v>
      </c>
      <c r="AL403" s="1">
        <v>0</v>
      </c>
      <c r="AM403" s="1">
        <v>0</v>
      </c>
      <c r="AN403" s="1">
        <v>0</v>
      </c>
      <c r="AO403" s="1">
        <v>0</v>
      </c>
      <c r="AP403" s="1">
        <v>0</v>
      </c>
      <c r="AQ403" s="24">
        <f t="shared" si="20"/>
        <v>0</v>
      </c>
    </row>
    <row r="404" spans="1:43" ht="17.25" customHeight="1" x14ac:dyDescent="0.45">
      <c r="A404" s="12" t="s">
        <v>117</v>
      </c>
      <c r="B404" s="12" t="s">
        <v>118</v>
      </c>
      <c r="C404" s="12" t="s">
        <v>12</v>
      </c>
      <c r="D404" s="12" t="s">
        <v>66</v>
      </c>
      <c r="E404" s="25">
        <v>122</v>
      </c>
      <c r="F404" s="10">
        <v>116</v>
      </c>
      <c r="G404" s="10">
        <v>122</v>
      </c>
      <c r="H404" s="10">
        <v>109</v>
      </c>
      <c r="I404" s="10">
        <v>93</v>
      </c>
      <c r="J404" s="10">
        <v>90</v>
      </c>
      <c r="K404" s="10">
        <v>93</v>
      </c>
      <c r="L404" s="10">
        <v>93</v>
      </c>
      <c r="M404" s="10">
        <v>89</v>
      </c>
      <c r="N404" s="10">
        <v>92</v>
      </c>
      <c r="O404" s="10">
        <v>86</v>
      </c>
      <c r="P404" s="10">
        <v>89</v>
      </c>
      <c r="Q404" s="26">
        <f t="shared" si="18"/>
        <v>1194</v>
      </c>
      <c r="R404" s="25">
        <v>20609</v>
      </c>
      <c r="S404" s="10">
        <v>17733</v>
      </c>
      <c r="T404" s="10">
        <v>17750</v>
      </c>
      <c r="U404" s="10">
        <v>16861</v>
      </c>
      <c r="V404" s="10">
        <v>13541</v>
      </c>
      <c r="W404" s="10">
        <v>12005</v>
      </c>
      <c r="X404" s="10">
        <v>12994</v>
      </c>
      <c r="Y404" s="10">
        <v>14509</v>
      </c>
      <c r="Z404" s="10">
        <v>13590</v>
      </c>
      <c r="AA404" s="10">
        <v>13772</v>
      </c>
      <c r="AB404" s="10">
        <v>12226</v>
      </c>
      <c r="AC404" s="10">
        <v>11400</v>
      </c>
      <c r="AD404" s="26">
        <f t="shared" si="19"/>
        <v>176990</v>
      </c>
      <c r="AE404" s="25">
        <v>55975</v>
      </c>
      <c r="AF404" s="10">
        <v>68674</v>
      </c>
      <c r="AG404" s="10">
        <v>77497</v>
      </c>
      <c r="AH404" s="10">
        <v>83218</v>
      </c>
      <c r="AI404" s="10">
        <v>65968</v>
      </c>
      <c r="AJ404" s="10">
        <v>62618</v>
      </c>
      <c r="AK404" s="10">
        <v>61894</v>
      </c>
      <c r="AL404" s="10">
        <v>66805</v>
      </c>
      <c r="AM404" s="10">
        <v>63265</v>
      </c>
      <c r="AN404" s="10">
        <v>81218</v>
      </c>
      <c r="AO404" s="10">
        <v>70865</v>
      </c>
      <c r="AP404" s="10">
        <v>72587</v>
      </c>
      <c r="AQ404" s="26">
        <f t="shared" si="20"/>
        <v>830584</v>
      </c>
    </row>
    <row r="405" spans="1:43" ht="17.25" customHeight="1" x14ac:dyDescent="0.45">
      <c r="A405" s="2" t="s">
        <v>119</v>
      </c>
      <c r="B405" s="2" t="s">
        <v>120</v>
      </c>
      <c r="C405" s="2" t="s">
        <v>10</v>
      </c>
      <c r="D405" s="2" t="s">
        <v>66</v>
      </c>
      <c r="E405" s="23">
        <v>21</v>
      </c>
      <c r="F405" s="1">
        <v>21</v>
      </c>
      <c r="G405" s="1">
        <v>22</v>
      </c>
      <c r="H405" s="1">
        <v>5</v>
      </c>
      <c r="I405" s="1">
        <v>4</v>
      </c>
      <c r="J405" s="1">
        <v>4</v>
      </c>
      <c r="K405" s="1">
        <v>5</v>
      </c>
      <c r="L405" s="1">
        <v>4</v>
      </c>
      <c r="M405" s="1">
        <v>5</v>
      </c>
      <c r="N405" s="1">
        <v>6</v>
      </c>
      <c r="O405" s="1">
        <v>18</v>
      </c>
      <c r="P405" s="1">
        <v>18</v>
      </c>
      <c r="Q405" s="24">
        <f t="shared" si="18"/>
        <v>133</v>
      </c>
      <c r="R405" s="23">
        <v>4678</v>
      </c>
      <c r="S405" s="1">
        <v>4925</v>
      </c>
      <c r="T405" s="1">
        <v>3917</v>
      </c>
      <c r="U405" s="1">
        <v>1753</v>
      </c>
      <c r="V405" s="1">
        <v>1493</v>
      </c>
      <c r="W405" s="1">
        <v>1475</v>
      </c>
      <c r="X405" s="1">
        <v>1787</v>
      </c>
      <c r="Y405" s="1">
        <v>1454</v>
      </c>
      <c r="Z405" s="1">
        <v>1875</v>
      </c>
      <c r="AA405" s="1">
        <v>2030</v>
      </c>
      <c r="AB405" s="1">
        <v>4009</v>
      </c>
      <c r="AC405" s="1">
        <v>3677</v>
      </c>
      <c r="AD405" s="24">
        <f t="shared" si="19"/>
        <v>33073</v>
      </c>
      <c r="AE405" s="23">
        <v>106005</v>
      </c>
      <c r="AF405" s="1">
        <v>179211</v>
      </c>
      <c r="AG405" s="1">
        <v>234337</v>
      </c>
      <c r="AH405" s="1">
        <v>0</v>
      </c>
      <c r="AI405" s="1">
        <v>8522</v>
      </c>
      <c r="AJ405" s="1">
        <v>16721</v>
      </c>
      <c r="AK405" s="1">
        <v>3117</v>
      </c>
      <c r="AL405" s="1">
        <v>8103</v>
      </c>
      <c r="AM405" s="1">
        <v>1184</v>
      </c>
      <c r="AN405" s="1">
        <v>18484</v>
      </c>
      <c r="AO405" s="1">
        <v>152545</v>
      </c>
      <c r="AP405" s="1">
        <v>148710</v>
      </c>
      <c r="AQ405" s="24">
        <f t="shared" si="20"/>
        <v>876939</v>
      </c>
    </row>
    <row r="406" spans="1:43" ht="17.25" customHeight="1" x14ac:dyDescent="0.45">
      <c r="A406" s="12" t="s">
        <v>121</v>
      </c>
      <c r="B406" s="12" t="s">
        <v>65</v>
      </c>
      <c r="C406" s="12" t="s">
        <v>10</v>
      </c>
      <c r="D406" s="12" t="s">
        <v>66</v>
      </c>
      <c r="E406" s="25">
        <v>18</v>
      </c>
      <c r="F406" s="10">
        <v>22</v>
      </c>
      <c r="G406" s="10">
        <v>22</v>
      </c>
      <c r="H406" s="10">
        <v>18</v>
      </c>
      <c r="I406" s="10">
        <v>2</v>
      </c>
      <c r="J406" s="10">
        <v>0</v>
      </c>
      <c r="K406" s="10">
        <v>0</v>
      </c>
      <c r="L406" s="10">
        <v>0</v>
      </c>
      <c r="M406" s="10">
        <v>0</v>
      </c>
      <c r="N406" s="10">
        <v>0</v>
      </c>
      <c r="O406" s="10">
        <v>5</v>
      </c>
      <c r="P406" s="10">
        <v>12</v>
      </c>
      <c r="Q406" s="26">
        <f t="shared" si="18"/>
        <v>99</v>
      </c>
      <c r="R406" s="25">
        <v>2607</v>
      </c>
      <c r="S406" s="10">
        <v>3591</v>
      </c>
      <c r="T406" s="10">
        <v>2963</v>
      </c>
      <c r="U406" s="10">
        <v>1889</v>
      </c>
      <c r="V406" s="10">
        <v>72</v>
      </c>
      <c r="W406" s="10">
        <v>0</v>
      </c>
      <c r="X406" s="10">
        <v>0</v>
      </c>
      <c r="Y406" s="10">
        <v>0</v>
      </c>
      <c r="Z406" s="10">
        <v>0</v>
      </c>
      <c r="AA406" s="10">
        <v>0</v>
      </c>
      <c r="AB406" s="10">
        <v>716</v>
      </c>
      <c r="AC406" s="10">
        <v>1990</v>
      </c>
      <c r="AD406" s="26">
        <f t="shared" si="19"/>
        <v>13828</v>
      </c>
      <c r="AE406" s="25">
        <v>0</v>
      </c>
      <c r="AF406" s="10">
        <v>0</v>
      </c>
      <c r="AG406" s="10">
        <v>0</v>
      </c>
      <c r="AH406" s="10">
        <v>0</v>
      </c>
      <c r="AI406" s="10">
        <v>0</v>
      </c>
      <c r="AJ406" s="10">
        <v>0</v>
      </c>
      <c r="AK406" s="10">
        <v>0</v>
      </c>
      <c r="AL406" s="10">
        <v>0</v>
      </c>
      <c r="AM406" s="10">
        <v>0</v>
      </c>
      <c r="AN406" s="10">
        <v>0</v>
      </c>
      <c r="AO406" s="10">
        <v>0</v>
      </c>
      <c r="AP406" s="10">
        <v>0</v>
      </c>
      <c r="AQ406" s="26">
        <f t="shared" si="20"/>
        <v>0</v>
      </c>
    </row>
    <row r="407" spans="1:43" ht="17.25" customHeight="1" x14ac:dyDescent="0.45">
      <c r="A407" s="2" t="s">
        <v>122</v>
      </c>
      <c r="B407" s="2" t="s">
        <v>85</v>
      </c>
      <c r="C407" s="2" t="s">
        <v>10</v>
      </c>
      <c r="D407" s="2" t="s">
        <v>66</v>
      </c>
      <c r="E407" s="23">
        <v>48</v>
      </c>
      <c r="F407" s="1">
        <v>46</v>
      </c>
      <c r="G407" s="1">
        <v>49</v>
      </c>
      <c r="H407" s="1">
        <v>47</v>
      </c>
      <c r="I407" s="1">
        <v>52</v>
      </c>
      <c r="J407" s="1">
        <v>49</v>
      </c>
      <c r="K407" s="1">
        <v>49</v>
      </c>
      <c r="L407" s="1">
        <v>50</v>
      </c>
      <c r="M407" s="1">
        <v>49</v>
      </c>
      <c r="N407" s="1">
        <v>54</v>
      </c>
      <c r="O407" s="1">
        <v>48</v>
      </c>
      <c r="P407" s="1">
        <v>48</v>
      </c>
      <c r="Q407" s="24">
        <f t="shared" si="18"/>
        <v>589</v>
      </c>
      <c r="R407" s="23">
        <v>14499</v>
      </c>
      <c r="S407" s="1">
        <v>13712</v>
      </c>
      <c r="T407" s="1">
        <v>14781</v>
      </c>
      <c r="U407" s="1">
        <v>14476</v>
      </c>
      <c r="V407" s="1">
        <v>15175</v>
      </c>
      <c r="W407" s="1">
        <v>15113</v>
      </c>
      <c r="X407" s="1">
        <v>15673</v>
      </c>
      <c r="Y407" s="1">
        <v>15767</v>
      </c>
      <c r="Z407" s="1">
        <v>14126</v>
      </c>
      <c r="AA407" s="1">
        <v>16263</v>
      </c>
      <c r="AB407" s="1">
        <v>15117</v>
      </c>
      <c r="AC407" s="1">
        <v>14849</v>
      </c>
      <c r="AD407" s="24">
        <f t="shared" si="19"/>
        <v>179551</v>
      </c>
      <c r="AE407" s="23">
        <v>57168</v>
      </c>
      <c r="AF407" s="1">
        <v>45561</v>
      </c>
      <c r="AG407" s="1">
        <v>60463</v>
      </c>
      <c r="AH407" s="1">
        <v>64644</v>
      </c>
      <c r="AI407" s="1">
        <v>80953</v>
      </c>
      <c r="AJ407" s="1">
        <v>63795</v>
      </c>
      <c r="AK407" s="1">
        <v>68975</v>
      </c>
      <c r="AL407" s="1">
        <v>80588</v>
      </c>
      <c r="AM407" s="1">
        <v>94321</v>
      </c>
      <c r="AN407" s="1">
        <v>79267</v>
      </c>
      <c r="AO407" s="1">
        <v>47873</v>
      </c>
      <c r="AP407" s="1">
        <v>41412</v>
      </c>
      <c r="AQ407" s="24">
        <f t="shared" si="20"/>
        <v>785020</v>
      </c>
    </row>
    <row r="408" spans="1:43" ht="17.25" customHeight="1" x14ac:dyDescent="0.45">
      <c r="A408" s="12" t="s">
        <v>122</v>
      </c>
      <c r="B408" s="12" t="s">
        <v>85</v>
      </c>
      <c r="C408" s="12" t="s">
        <v>12</v>
      </c>
      <c r="D408" s="12" t="s">
        <v>66</v>
      </c>
      <c r="E408" s="25">
        <v>53</v>
      </c>
      <c r="F408" s="10">
        <v>49</v>
      </c>
      <c r="G408" s="10">
        <v>54</v>
      </c>
      <c r="H408" s="10">
        <v>60</v>
      </c>
      <c r="I408" s="10">
        <v>62</v>
      </c>
      <c r="J408" s="10">
        <v>59</v>
      </c>
      <c r="K408" s="10">
        <v>62</v>
      </c>
      <c r="L408" s="10">
        <v>62</v>
      </c>
      <c r="M408" s="10">
        <v>59</v>
      </c>
      <c r="N408" s="10">
        <v>60</v>
      </c>
      <c r="O408" s="10">
        <v>52</v>
      </c>
      <c r="P408" s="10">
        <v>53</v>
      </c>
      <c r="Q408" s="26">
        <f t="shared" si="18"/>
        <v>685</v>
      </c>
      <c r="R408" s="25">
        <v>11208</v>
      </c>
      <c r="S408" s="10">
        <v>9593</v>
      </c>
      <c r="T408" s="10">
        <v>11147</v>
      </c>
      <c r="U408" s="10">
        <v>11717</v>
      </c>
      <c r="V408" s="10">
        <v>11650</v>
      </c>
      <c r="W408" s="10">
        <v>11628</v>
      </c>
      <c r="X408" s="10">
        <v>14180</v>
      </c>
      <c r="Y408" s="10">
        <v>13861</v>
      </c>
      <c r="Z408" s="10">
        <v>12389</v>
      </c>
      <c r="AA408" s="10">
        <v>14101</v>
      </c>
      <c r="AB408" s="10">
        <v>11554</v>
      </c>
      <c r="AC408" s="10">
        <v>12015</v>
      </c>
      <c r="AD408" s="26">
        <f t="shared" si="19"/>
        <v>145043</v>
      </c>
      <c r="AE408" s="25">
        <v>359535</v>
      </c>
      <c r="AF408" s="10">
        <v>387449</v>
      </c>
      <c r="AG408" s="10">
        <v>462378</v>
      </c>
      <c r="AH408" s="10">
        <v>462724</v>
      </c>
      <c r="AI408" s="10">
        <v>466509</v>
      </c>
      <c r="AJ408" s="10">
        <v>428771</v>
      </c>
      <c r="AK408" s="10">
        <v>550934</v>
      </c>
      <c r="AL408" s="10">
        <v>642331</v>
      </c>
      <c r="AM408" s="10">
        <v>504645</v>
      </c>
      <c r="AN408" s="10">
        <v>566304</v>
      </c>
      <c r="AO408" s="10">
        <v>461897</v>
      </c>
      <c r="AP408" s="10">
        <v>374676</v>
      </c>
      <c r="AQ408" s="26">
        <f t="shared" si="20"/>
        <v>5668153</v>
      </c>
    </row>
    <row r="409" spans="1:43" ht="17.25" customHeight="1" x14ac:dyDescent="0.45">
      <c r="A409" s="2" t="s">
        <v>54</v>
      </c>
      <c r="B409" s="2" t="s">
        <v>66</v>
      </c>
      <c r="C409" s="2" t="s">
        <v>94</v>
      </c>
      <c r="D409" s="2" t="s">
        <v>65</v>
      </c>
      <c r="E409" s="23">
        <v>4</v>
      </c>
      <c r="F409" s="1">
        <v>4</v>
      </c>
      <c r="G409" s="1">
        <v>5</v>
      </c>
      <c r="H409" s="1">
        <v>4</v>
      </c>
      <c r="I409" s="1">
        <v>0</v>
      </c>
      <c r="J409" s="1">
        <v>0</v>
      </c>
      <c r="K409" s="1">
        <v>0</v>
      </c>
      <c r="L409" s="1">
        <v>0</v>
      </c>
      <c r="M409" s="1">
        <v>0</v>
      </c>
      <c r="N409" s="1">
        <v>0</v>
      </c>
      <c r="O409" s="1">
        <v>5</v>
      </c>
      <c r="P409" s="1">
        <v>4</v>
      </c>
      <c r="Q409" s="24">
        <f t="shared" si="18"/>
        <v>26</v>
      </c>
      <c r="R409" s="23">
        <v>404</v>
      </c>
      <c r="S409" s="1">
        <v>549</v>
      </c>
      <c r="T409" s="1">
        <v>692</v>
      </c>
      <c r="U409" s="1">
        <v>530</v>
      </c>
      <c r="V409" s="1">
        <v>0</v>
      </c>
      <c r="W409" s="1">
        <v>0</v>
      </c>
      <c r="X409" s="1">
        <v>0</v>
      </c>
      <c r="Y409" s="1">
        <v>0</v>
      </c>
      <c r="Z409" s="1">
        <v>0</v>
      </c>
      <c r="AA409" s="1">
        <v>0</v>
      </c>
      <c r="AB409" s="1">
        <v>455</v>
      </c>
      <c r="AC409" s="1">
        <v>451</v>
      </c>
      <c r="AD409" s="24">
        <f t="shared" si="19"/>
        <v>3081</v>
      </c>
      <c r="AE409" s="23">
        <v>0</v>
      </c>
      <c r="AF409" s="1">
        <v>0</v>
      </c>
      <c r="AG409" s="1">
        <v>0</v>
      </c>
      <c r="AH409" s="1">
        <v>0</v>
      </c>
      <c r="AI409" s="1">
        <v>0</v>
      </c>
      <c r="AJ409" s="1">
        <v>0</v>
      </c>
      <c r="AK409" s="1">
        <v>0</v>
      </c>
      <c r="AL409" s="1">
        <v>0</v>
      </c>
      <c r="AM409" s="1">
        <v>0</v>
      </c>
      <c r="AN409" s="1">
        <v>0</v>
      </c>
      <c r="AO409" s="1">
        <v>0</v>
      </c>
      <c r="AP409" s="1">
        <v>0</v>
      </c>
      <c r="AQ409" s="24">
        <f t="shared" si="20"/>
        <v>0</v>
      </c>
    </row>
    <row r="410" spans="1:43" ht="17.25" customHeight="1" x14ac:dyDescent="0.45">
      <c r="A410" s="12" t="s">
        <v>54</v>
      </c>
      <c r="B410" s="12" t="s">
        <v>66</v>
      </c>
      <c r="C410" s="12" t="s">
        <v>67</v>
      </c>
      <c r="D410" s="12" t="s">
        <v>68</v>
      </c>
      <c r="E410" s="25">
        <v>9</v>
      </c>
      <c r="F410" s="10">
        <v>8</v>
      </c>
      <c r="G410" s="10">
        <v>9</v>
      </c>
      <c r="H410" s="10">
        <v>1</v>
      </c>
      <c r="I410" s="10">
        <v>0</v>
      </c>
      <c r="J410" s="10">
        <v>0</v>
      </c>
      <c r="K410" s="10">
        <v>0</v>
      </c>
      <c r="L410" s="10">
        <v>0</v>
      </c>
      <c r="M410" s="10">
        <v>0</v>
      </c>
      <c r="N410" s="10">
        <v>3</v>
      </c>
      <c r="O410" s="10">
        <v>5</v>
      </c>
      <c r="P410" s="10">
        <v>6</v>
      </c>
      <c r="Q410" s="26">
        <f t="shared" si="18"/>
        <v>41</v>
      </c>
      <c r="R410" s="25">
        <v>501</v>
      </c>
      <c r="S410" s="10">
        <v>467</v>
      </c>
      <c r="T410" s="10">
        <v>524</v>
      </c>
      <c r="U410" s="10">
        <v>53</v>
      </c>
      <c r="V410" s="10">
        <v>0</v>
      </c>
      <c r="W410" s="10">
        <v>0</v>
      </c>
      <c r="X410" s="10">
        <v>0</v>
      </c>
      <c r="Y410" s="10">
        <v>0</v>
      </c>
      <c r="Z410" s="10">
        <v>0</v>
      </c>
      <c r="AA410" s="10">
        <v>160</v>
      </c>
      <c r="AB410" s="10">
        <v>325</v>
      </c>
      <c r="AC410" s="10">
        <v>288</v>
      </c>
      <c r="AD410" s="26">
        <f t="shared" si="19"/>
        <v>2318</v>
      </c>
      <c r="AE410" s="25">
        <v>0</v>
      </c>
      <c r="AF410" s="10">
        <v>0</v>
      </c>
      <c r="AG410" s="10">
        <v>0</v>
      </c>
      <c r="AH410" s="10">
        <v>0</v>
      </c>
      <c r="AI410" s="10">
        <v>0</v>
      </c>
      <c r="AJ410" s="10">
        <v>0</v>
      </c>
      <c r="AK410" s="10">
        <v>0</v>
      </c>
      <c r="AL410" s="10">
        <v>0</v>
      </c>
      <c r="AM410" s="10">
        <v>0</v>
      </c>
      <c r="AN410" s="10">
        <v>0</v>
      </c>
      <c r="AO410" s="10">
        <v>0</v>
      </c>
      <c r="AP410" s="10">
        <v>0</v>
      </c>
      <c r="AQ410" s="26">
        <f t="shared" si="20"/>
        <v>0</v>
      </c>
    </row>
    <row r="411" spans="1:43" ht="17.25" customHeight="1" x14ac:dyDescent="0.45">
      <c r="A411" s="2" t="s">
        <v>54</v>
      </c>
      <c r="B411" s="2" t="s">
        <v>66</v>
      </c>
      <c r="C411" s="2" t="s">
        <v>73</v>
      </c>
      <c r="D411" s="2" t="s">
        <v>68</v>
      </c>
      <c r="E411" s="23">
        <v>18</v>
      </c>
      <c r="F411" s="1">
        <v>19</v>
      </c>
      <c r="G411" s="1">
        <v>22</v>
      </c>
      <c r="H411" s="1">
        <v>17</v>
      </c>
      <c r="I411" s="1">
        <v>15</v>
      </c>
      <c r="J411" s="1">
        <v>18</v>
      </c>
      <c r="K411" s="1">
        <v>17</v>
      </c>
      <c r="L411" s="1">
        <v>16</v>
      </c>
      <c r="M411" s="1">
        <v>13</v>
      </c>
      <c r="N411" s="1">
        <v>22</v>
      </c>
      <c r="O411" s="1">
        <v>26</v>
      </c>
      <c r="P411" s="1">
        <v>24</v>
      </c>
      <c r="Q411" s="24">
        <f t="shared" si="18"/>
        <v>227</v>
      </c>
      <c r="R411" s="23">
        <v>1988</v>
      </c>
      <c r="S411" s="1">
        <v>2538</v>
      </c>
      <c r="T411" s="1">
        <v>3330</v>
      </c>
      <c r="U411" s="1">
        <v>2700</v>
      </c>
      <c r="V411" s="1">
        <v>2138</v>
      </c>
      <c r="W411" s="1">
        <v>2065</v>
      </c>
      <c r="X411" s="1">
        <v>1738</v>
      </c>
      <c r="Y411" s="1">
        <v>1534</v>
      </c>
      <c r="Z411" s="1">
        <v>1449</v>
      </c>
      <c r="AA411" s="1">
        <v>2184</v>
      </c>
      <c r="AB411" s="1">
        <v>2856</v>
      </c>
      <c r="AC411" s="1">
        <v>2084</v>
      </c>
      <c r="AD411" s="24">
        <f t="shared" si="19"/>
        <v>26604</v>
      </c>
      <c r="AE411" s="23">
        <v>152</v>
      </c>
      <c r="AF411" s="1">
        <v>131</v>
      </c>
      <c r="AG411" s="1">
        <v>167</v>
      </c>
      <c r="AH411" s="1">
        <v>10</v>
      </c>
      <c r="AI411" s="1">
        <v>65</v>
      </c>
      <c r="AJ411" s="1">
        <v>68</v>
      </c>
      <c r="AK411" s="1">
        <v>19</v>
      </c>
      <c r="AL411" s="1">
        <v>51</v>
      </c>
      <c r="AM411" s="1">
        <v>0</v>
      </c>
      <c r="AN411" s="1">
        <v>25</v>
      </c>
      <c r="AO411" s="1">
        <v>57</v>
      </c>
      <c r="AP411" s="1">
        <v>99</v>
      </c>
      <c r="AQ411" s="24">
        <f t="shared" si="20"/>
        <v>844</v>
      </c>
    </row>
    <row r="412" spans="1:43" ht="17.25" customHeight="1" x14ac:dyDescent="0.45">
      <c r="A412" s="12" t="s">
        <v>54</v>
      </c>
      <c r="B412" s="12" t="s">
        <v>66</v>
      </c>
      <c r="C412" s="12" t="s">
        <v>142</v>
      </c>
      <c r="D412" s="12" t="s">
        <v>68</v>
      </c>
      <c r="E412" s="25">
        <v>30</v>
      </c>
      <c r="F412" s="10">
        <v>29</v>
      </c>
      <c r="G412" s="10">
        <v>31</v>
      </c>
      <c r="H412" s="10">
        <v>15</v>
      </c>
      <c r="I412" s="10">
        <v>13</v>
      </c>
      <c r="J412" s="10">
        <v>13</v>
      </c>
      <c r="K412" s="10">
        <v>13</v>
      </c>
      <c r="L412" s="10">
        <v>3</v>
      </c>
      <c r="M412" s="10">
        <v>0</v>
      </c>
      <c r="N412" s="10">
        <v>11</v>
      </c>
      <c r="O412" s="10">
        <v>29</v>
      </c>
      <c r="P412" s="10">
        <v>31</v>
      </c>
      <c r="Q412" s="26">
        <f t="shared" si="18"/>
        <v>218</v>
      </c>
      <c r="R412" s="25">
        <v>1671</v>
      </c>
      <c r="S412" s="10">
        <v>1694</v>
      </c>
      <c r="T412" s="10">
        <v>1946</v>
      </c>
      <c r="U412" s="10">
        <v>947</v>
      </c>
      <c r="V412" s="10">
        <v>823</v>
      </c>
      <c r="W412" s="10">
        <v>807</v>
      </c>
      <c r="X412" s="10">
        <v>760</v>
      </c>
      <c r="Y412" s="10">
        <v>187</v>
      </c>
      <c r="Z412" s="10">
        <v>0</v>
      </c>
      <c r="AA412" s="10">
        <v>591</v>
      </c>
      <c r="AB412" s="10">
        <v>1736</v>
      </c>
      <c r="AC412" s="10">
        <v>1751</v>
      </c>
      <c r="AD412" s="26">
        <f t="shared" si="19"/>
        <v>12913</v>
      </c>
      <c r="AE412" s="25">
        <v>0</v>
      </c>
      <c r="AF412" s="10">
        <v>0</v>
      </c>
      <c r="AG412" s="10">
        <v>0</v>
      </c>
      <c r="AH412" s="10">
        <v>0</v>
      </c>
      <c r="AI412" s="10">
        <v>0</v>
      </c>
      <c r="AJ412" s="10">
        <v>0</v>
      </c>
      <c r="AK412" s="10">
        <v>0</v>
      </c>
      <c r="AL412" s="10">
        <v>0</v>
      </c>
      <c r="AM412" s="10">
        <v>0</v>
      </c>
      <c r="AN412" s="10">
        <v>0</v>
      </c>
      <c r="AO412" s="10">
        <v>0</v>
      </c>
      <c r="AP412" s="10">
        <v>0</v>
      </c>
      <c r="AQ412" s="26">
        <f t="shared" si="20"/>
        <v>0</v>
      </c>
    </row>
    <row r="413" spans="1:43" ht="17.25" customHeight="1" x14ac:dyDescent="0.45">
      <c r="A413" s="2" t="s">
        <v>54</v>
      </c>
      <c r="B413" s="2" t="s">
        <v>66</v>
      </c>
      <c r="C413" s="2" t="s">
        <v>151</v>
      </c>
      <c r="D413" s="2" t="s">
        <v>68</v>
      </c>
      <c r="E413" s="23">
        <v>4</v>
      </c>
      <c r="F413" s="1">
        <v>4</v>
      </c>
      <c r="G413" s="1">
        <v>5</v>
      </c>
      <c r="H413" s="1">
        <v>2</v>
      </c>
      <c r="I413" s="1">
        <v>0</v>
      </c>
      <c r="J413" s="1">
        <v>0</v>
      </c>
      <c r="K413" s="1">
        <v>0</v>
      </c>
      <c r="L413" s="1">
        <v>0</v>
      </c>
      <c r="M413" s="1">
        <v>0</v>
      </c>
      <c r="N413" s="1">
        <v>0</v>
      </c>
      <c r="O413" s="1">
        <v>0</v>
      </c>
      <c r="P413" s="1">
        <v>0</v>
      </c>
      <c r="Q413" s="24">
        <f t="shared" si="18"/>
        <v>15</v>
      </c>
      <c r="R413" s="23">
        <v>421</v>
      </c>
      <c r="S413" s="1">
        <v>568</v>
      </c>
      <c r="T413" s="1">
        <v>701</v>
      </c>
      <c r="U413" s="1">
        <v>345</v>
      </c>
      <c r="V413" s="1">
        <v>0</v>
      </c>
      <c r="W413" s="1">
        <v>0</v>
      </c>
      <c r="X413" s="1">
        <v>0</v>
      </c>
      <c r="Y413" s="1">
        <v>0</v>
      </c>
      <c r="Z413" s="1">
        <v>0</v>
      </c>
      <c r="AA413" s="1">
        <v>0</v>
      </c>
      <c r="AB413" s="1">
        <v>0</v>
      </c>
      <c r="AC413" s="1">
        <v>0</v>
      </c>
      <c r="AD413" s="24">
        <f t="shared" si="19"/>
        <v>2035</v>
      </c>
      <c r="AE413" s="23">
        <v>0</v>
      </c>
      <c r="AF413" s="1">
        <v>0</v>
      </c>
      <c r="AG413" s="1">
        <v>28</v>
      </c>
      <c r="AH413" s="1">
        <v>0</v>
      </c>
      <c r="AI413" s="1">
        <v>0</v>
      </c>
      <c r="AJ413" s="1">
        <v>0</v>
      </c>
      <c r="AK413" s="1">
        <v>0</v>
      </c>
      <c r="AL413" s="1">
        <v>0</v>
      </c>
      <c r="AM413" s="1">
        <v>0</v>
      </c>
      <c r="AN413" s="1">
        <v>0</v>
      </c>
      <c r="AO413" s="1">
        <v>0</v>
      </c>
      <c r="AP413" s="1">
        <v>0</v>
      </c>
      <c r="AQ413" s="24">
        <f t="shared" si="20"/>
        <v>28</v>
      </c>
    </row>
    <row r="414" spans="1:43" ht="17.25" customHeight="1" x14ac:dyDescent="0.45">
      <c r="A414" s="12" t="s">
        <v>73</v>
      </c>
      <c r="B414" s="12" t="s">
        <v>68</v>
      </c>
      <c r="C414" s="12" t="s">
        <v>16</v>
      </c>
      <c r="D414" s="12" t="s">
        <v>66</v>
      </c>
      <c r="E414" s="25">
        <v>13</v>
      </c>
      <c r="F414" s="10">
        <v>13</v>
      </c>
      <c r="G414" s="10">
        <v>13</v>
      </c>
      <c r="H414" s="10">
        <v>16</v>
      </c>
      <c r="I414" s="10">
        <v>17</v>
      </c>
      <c r="J414" s="10">
        <v>17</v>
      </c>
      <c r="K414" s="10">
        <v>18</v>
      </c>
      <c r="L414" s="10">
        <v>18</v>
      </c>
      <c r="M414" s="10">
        <v>16</v>
      </c>
      <c r="N414" s="10">
        <v>18</v>
      </c>
      <c r="O414" s="10">
        <v>17</v>
      </c>
      <c r="P414" s="10">
        <v>19</v>
      </c>
      <c r="Q414" s="26">
        <f t="shared" si="18"/>
        <v>195</v>
      </c>
      <c r="R414" s="25">
        <v>2025</v>
      </c>
      <c r="S414" s="10">
        <v>1916</v>
      </c>
      <c r="T414" s="10">
        <v>1885</v>
      </c>
      <c r="U414" s="10">
        <v>2553</v>
      </c>
      <c r="V414" s="10">
        <v>2586</v>
      </c>
      <c r="W414" s="10">
        <v>2626</v>
      </c>
      <c r="X414" s="10">
        <v>3041</v>
      </c>
      <c r="Y414" s="10">
        <v>2652</v>
      </c>
      <c r="Z414" s="10">
        <v>2389</v>
      </c>
      <c r="AA414" s="10">
        <v>2627</v>
      </c>
      <c r="AB414" s="10">
        <v>2465</v>
      </c>
      <c r="AC414" s="10">
        <v>3255</v>
      </c>
      <c r="AD414" s="26">
        <f t="shared" si="19"/>
        <v>30020</v>
      </c>
      <c r="AE414" s="25">
        <v>0</v>
      </c>
      <c r="AF414" s="10">
        <v>0</v>
      </c>
      <c r="AG414" s="10">
        <v>0</v>
      </c>
      <c r="AH414" s="10">
        <v>0</v>
      </c>
      <c r="AI414" s="10">
        <v>0</v>
      </c>
      <c r="AJ414" s="10">
        <v>0</v>
      </c>
      <c r="AK414" s="10">
        <v>0</v>
      </c>
      <c r="AL414" s="10">
        <v>0</v>
      </c>
      <c r="AM414" s="10">
        <v>0</v>
      </c>
      <c r="AN414" s="10">
        <v>0</v>
      </c>
      <c r="AO414" s="10">
        <v>0</v>
      </c>
      <c r="AP414" s="10">
        <v>0</v>
      </c>
      <c r="AQ414" s="26">
        <f t="shared" si="20"/>
        <v>0</v>
      </c>
    </row>
    <row r="415" spans="1:43" ht="17.25" customHeight="1" x14ac:dyDescent="0.45">
      <c r="A415" s="2" t="s">
        <v>73</v>
      </c>
      <c r="B415" s="2" t="s">
        <v>68</v>
      </c>
      <c r="C415" s="2" t="s">
        <v>10</v>
      </c>
      <c r="D415" s="2" t="s">
        <v>66</v>
      </c>
      <c r="E415" s="23">
        <v>170</v>
      </c>
      <c r="F415" s="1">
        <v>153</v>
      </c>
      <c r="G415" s="1">
        <v>165</v>
      </c>
      <c r="H415" s="1">
        <v>139</v>
      </c>
      <c r="I415" s="1">
        <v>137</v>
      </c>
      <c r="J415" s="1">
        <v>155</v>
      </c>
      <c r="K415" s="1">
        <v>156</v>
      </c>
      <c r="L415" s="1">
        <v>128</v>
      </c>
      <c r="M415" s="1">
        <v>85</v>
      </c>
      <c r="N415" s="1">
        <v>106</v>
      </c>
      <c r="O415" s="1">
        <v>165</v>
      </c>
      <c r="P415" s="1">
        <v>188</v>
      </c>
      <c r="Q415" s="24">
        <f t="shared" si="18"/>
        <v>1747</v>
      </c>
      <c r="R415" s="23">
        <v>25938</v>
      </c>
      <c r="S415" s="1">
        <v>23939</v>
      </c>
      <c r="T415" s="1">
        <v>26890</v>
      </c>
      <c r="U415" s="1">
        <v>22242</v>
      </c>
      <c r="V415" s="1">
        <v>22377</v>
      </c>
      <c r="W415" s="1">
        <v>25705</v>
      </c>
      <c r="X415" s="1">
        <v>26277</v>
      </c>
      <c r="Y415" s="1">
        <v>20621</v>
      </c>
      <c r="Z415" s="1">
        <v>13509</v>
      </c>
      <c r="AA415" s="1">
        <v>16494</v>
      </c>
      <c r="AB415" s="1">
        <v>26669</v>
      </c>
      <c r="AC415" s="1">
        <v>30904</v>
      </c>
      <c r="AD415" s="24">
        <f t="shared" si="19"/>
        <v>281565</v>
      </c>
      <c r="AE415" s="23">
        <v>198</v>
      </c>
      <c r="AF415" s="1">
        <v>39</v>
      </c>
      <c r="AG415" s="1">
        <v>249.0718474</v>
      </c>
      <c r="AH415" s="1">
        <v>416</v>
      </c>
      <c r="AI415" s="1">
        <v>352</v>
      </c>
      <c r="AJ415" s="1">
        <v>55</v>
      </c>
      <c r="AK415" s="1">
        <v>29</v>
      </c>
      <c r="AL415" s="1">
        <v>47</v>
      </c>
      <c r="AM415" s="1">
        <v>0</v>
      </c>
      <c r="AN415" s="1">
        <v>208</v>
      </c>
      <c r="AO415" s="1">
        <v>201</v>
      </c>
      <c r="AP415" s="1">
        <v>270</v>
      </c>
      <c r="AQ415" s="24">
        <f t="shared" si="20"/>
        <v>2064.0718474</v>
      </c>
    </row>
    <row r="416" spans="1:43" ht="17.25" customHeight="1" x14ac:dyDescent="0.45">
      <c r="A416" s="12" t="s">
        <v>73</v>
      </c>
      <c r="B416" s="12" t="s">
        <v>68</v>
      </c>
      <c r="C416" s="12" t="s">
        <v>22</v>
      </c>
      <c r="D416" s="12" t="s">
        <v>66</v>
      </c>
      <c r="E416" s="25">
        <v>18</v>
      </c>
      <c r="F416" s="10">
        <v>17</v>
      </c>
      <c r="G416" s="10">
        <v>17</v>
      </c>
      <c r="H416" s="10">
        <v>13</v>
      </c>
      <c r="I416" s="10">
        <v>13</v>
      </c>
      <c r="J416" s="10">
        <v>18</v>
      </c>
      <c r="K416" s="10">
        <v>17</v>
      </c>
      <c r="L416" s="10">
        <v>19</v>
      </c>
      <c r="M416" s="10">
        <v>17</v>
      </c>
      <c r="N416" s="10">
        <v>17</v>
      </c>
      <c r="O416" s="10">
        <v>18</v>
      </c>
      <c r="P416" s="10">
        <v>23</v>
      </c>
      <c r="Q416" s="26">
        <f t="shared" si="18"/>
        <v>207</v>
      </c>
      <c r="R416" s="25">
        <v>2858</v>
      </c>
      <c r="S416" s="10">
        <v>2588</v>
      </c>
      <c r="T416" s="10">
        <v>2502</v>
      </c>
      <c r="U416" s="10">
        <v>1971</v>
      </c>
      <c r="V416" s="10">
        <v>2075</v>
      </c>
      <c r="W416" s="10">
        <v>2600</v>
      </c>
      <c r="X416" s="10">
        <v>2524</v>
      </c>
      <c r="Y416" s="10">
        <v>2528</v>
      </c>
      <c r="Z416" s="10">
        <v>2440</v>
      </c>
      <c r="AA416" s="10">
        <v>2281</v>
      </c>
      <c r="AB416" s="10">
        <v>2631</v>
      </c>
      <c r="AC416" s="10">
        <v>4041</v>
      </c>
      <c r="AD416" s="26">
        <f t="shared" si="19"/>
        <v>31039</v>
      </c>
      <c r="AE416" s="25">
        <v>1500</v>
      </c>
      <c r="AF416" s="10">
        <v>600</v>
      </c>
      <c r="AG416" s="10">
        <v>626</v>
      </c>
      <c r="AH416" s="10">
        <v>450</v>
      </c>
      <c r="AI416" s="10">
        <v>750</v>
      </c>
      <c r="AJ416" s="10">
        <v>948</v>
      </c>
      <c r="AK416" s="10">
        <v>663</v>
      </c>
      <c r="AL416" s="10">
        <v>662</v>
      </c>
      <c r="AM416" s="10">
        <v>1632</v>
      </c>
      <c r="AN416" s="10">
        <v>1278</v>
      </c>
      <c r="AO416" s="10">
        <v>1192</v>
      </c>
      <c r="AP416" s="10">
        <v>514</v>
      </c>
      <c r="AQ416" s="26">
        <f t="shared" si="20"/>
        <v>10815</v>
      </c>
    </row>
    <row r="417" spans="1:43" ht="17.25" customHeight="1" x14ac:dyDescent="0.45">
      <c r="A417" s="2" t="s">
        <v>73</v>
      </c>
      <c r="B417" s="2" t="s">
        <v>68</v>
      </c>
      <c r="C417" s="2" t="s">
        <v>11</v>
      </c>
      <c r="D417" s="2" t="s">
        <v>66</v>
      </c>
      <c r="E417" s="23">
        <v>348</v>
      </c>
      <c r="F417" s="1">
        <v>310</v>
      </c>
      <c r="G417" s="1">
        <v>312</v>
      </c>
      <c r="H417" s="1">
        <v>266</v>
      </c>
      <c r="I417" s="1">
        <v>294</v>
      </c>
      <c r="J417" s="1">
        <v>299</v>
      </c>
      <c r="K417" s="1">
        <v>299</v>
      </c>
      <c r="L417" s="1">
        <v>312</v>
      </c>
      <c r="M417" s="1">
        <v>309</v>
      </c>
      <c r="N417" s="1">
        <v>320</v>
      </c>
      <c r="O417" s="1">
        <v>317</v>
      </c>
      <c r="P417" s="1">
        <v>360</v>
      </c>
      <c r="Q417" s="24">
        <f t="shared" si="18"/>
        <v>3746</v>
      </c>
      <c r="R417" s="23">
        <v>51783</v>
      </c>
      <c r="S417" s="1">
        <v>42010</v>
      </c>
      <c r="T417" s="1">
        <v>45691</v>
      </c>
      <c r="U417" s="1">
        <v>40199</v>
      </c>
      <c r="V417" s="1">
        <v>45754</v>
      </c>
      <c r="W417" s="1">
        <v>47633</v>
      </c>
      <c r="X417" s="1">
        <v>49318</v>
      </c>
      <c r="Y417" s="1">
        <v>45810</v>
      </c>
      <c r="Z417" s="1">
        <v>47480</v>
      </c>
      <c r="AA417" s="1">
        <v>51434</v>
      </c>
      <c r="AB417" s="1">
        <v>49355</v>
      </c>
      <c r="AC417" s="1">
        <v>59554</v>
      </c>
      <c r="AD417" s="24">
        <f t="shared" si="19"/>
        <v>576021</v>
      </c>
      <c r="AE417" s="23">
        <v>1090863.2</v>
      </c>
      <c r="AF417" s="1">
        <v>1259569.47</v>
      </c>
      <c r="AG417" s="1">
        <v>1044021.01</v>
      </c>
      <c r="AH417" s="1">
        <v>1242284.58</v>
      </c>
      <c r="AI417" s="1">
        <v>1389429.45</v>
      </c>
      <c r="AJ417" s="1">
        <v>1050946.1500000001</v>
      </c>
      <c r="AK417" s="1">
        <v>1148968.5</v>
      </c>
      <c r="AL417" s="1">
        <v>1360403.701768216</v>
      </c>
      <c r="AM417" s="1">
        <v>1416229.5999999999</v>
      </c>
      <c r="AN417" s="1">
        <v>1319463.0891383504</v>
      </c>
      <c r="AO417" s="1">
        <v>1437783.9359999995</v>
      </c>
      <c r="AP417" s="1">
        <v>1052458.4000000001</v>
      </c>
      <c r="AQ417" s="24">
        <f t="shared" si="20"/>
        <v>14812421.086906567</v>
      </c>
    </row>
    <row r="418" spans="1:43" ht="17.25" customHeight="1" x14ac:dyDescent="0.45">
      <c r="A418" s="12" t="s">
        <v>73</v>
      </c>
      <c r="B418" s="12" t="s">
        <v>68</v>
      </c>
      <c r="C418" s="12" t="s">
        <v>52</v>
      </c>
      <c r="D418" s="12" t="s">
        <v>66</v>
      </c>
      <c r="E418" s="25">
        <v>28</v>
      </c>
      <c r="F418" s="10">
        <v>29</v>
      </c>
      <c r="G418" s="10">
        <v>31</v>
      </c>
      <c r="H418" s="10">
        <v>26</v>
      </c>
      <c r="I418" s="10">
        <v>14</v>
      </c>
      <c r="J418" s="10">
        <v>13</v>
      </c>
      <c r="K418" s="10">
        <v>14</v>
      </c>
      <c r="L418" s="10">
        <v>12</v>
      </c>
      <c r="M418" s="10">
        <v>8</v>
      </c>
      <c r="N418" s="10">
        <v>11</v>
      </c>
      <c r="O418" s="10">
        <v>20</v>
      </c>
      <c r="P418" s="10">
        <v>27</v>
      </c>
      <c r="Q418" s="26">
        <f t="shared" si="18"/>
        <v>233</v>
      </c>
      <c r="R418" s="25">
        <v>3922</v>
      </c>
      <c r="S418" s="10">
        <v>4250</v>
      </c>
      <c r="T418" s="10">
        <v>4249</v>
      </c>
      <c r="U418" s="10">
        <v>3256</v>
      </c>
      <c r="V418" s="10">
        <v>2064</v>
      </c>
      <c r="W418" s="10">
        <v>2194</v>
      </c>
      <c r="X418" s="10">
        <v>2301</v>
      </c>
      <c r="Y418" s="10">
        <v>1774</v>
      </c>
      <c r="Z418" s="10">
        <v>1173</v>
      </c>
      <c r="AA418" s="10">
        <v>1833</v>
      </c>
      <c r="AB418" s="10">
        <v>3371</v>
      </c>
      <c r="AC418" s="10">
        <v>4573</v>
      </c>
      <c r="AD418" s="26">
        <f t="shared" si="19"/>
        <v>34960</v>
      </c>
      <c r="AE418" s="25">
        <v>77</v>
      </c>
      <c r="AF418" s="10">
        <v>0</v>
      </c>
      <c r="AG418" s="10">
        <v>33</v>
      </c>
      <c r="AH418" s="10">
        <v>62</v>
      </c>
      <c r="AI418" s="10">
        <v>33</v>
      </c>
      <c r="AJ418" s="10">
        <v>47</v>
      </c>
      <c r="AK418" s="10">
        <v>0</v>
      </c>
      <c r="AL418" s="10">
        <v>89</v>
      </c>
      <c r="AM418" s="10">
        <v>41</v>
      </c>
      <c r="AN418" s="10">
        <v>187</v>
      </c>
      <c r="AO418" s="10">
        <v>176</v>
      </c>
      <c r="AP418" s="10">
        <v>233</v>
      </c>
      <c r="AQ418" s="26">
        <f t="shared" si="20"/>
        <v>978</v>
      </c>
    </row>
    <row r="419" spans="1:43" ht="17.25" customHeight="1" x14ac:dyDescent="0.45">
      <c r="A419" s="2" t="s">
        <v>73</v>
      </c>
      <c r="B419" s="2" t="s">
        <v>68</v>
      </c>
      <c r="C419" s="2" t="s">
        <v>47</v>
      </c>
      <c r="D419" s="2" t="s">
        <v>66</v>
      </c>
      <c r="E419" s="23">
        <v>0</v>
      </c>
      <c r="F419" s="1">
        <v>0</v>
      </c>
      <c r="G419" s="1">
        <v>0</v>
      </c>
      <c r="H419" s="1">
        <v>0</v>
      </c>
      <c r="I419" s="1">
        <v>0</v>
      </c>
      <c r="J419" s="1">
        <v>0</v>
      </c>
      <c r="K419" s="1">
        <v>0</v>
      </c>
      <c r="L419" s="1">
        <v>0</v>
      </c>
      <c r="M419" s="1">
        <v>0</v>
      </c>
      <c r="N419" s="1">
        <v>0</v>
      </c>
      <c r="O419" s="1">
        <v>4</v>
      </c>
      <c r="P419" s="1">
        <v>8</v>
      </c>
      <c r="Q419" s="24">
        <f t="shared" si="18"/>
        <v>12</v>
      </c>
      <c r="R419" s="23">
        <v>0</v>
      </c>
      <c r="S419" s="1">
        <v>0</v>
      </c>
      <c r="T419" s="1">
        <v>0</v>
      </c>
      <c r="U419" s="1">
        <v>0</v>
      </c>
      <c r="V419" s="1">
        <v>0</v>
      </c>
      <c r="W419" s="1">
        <v>0</v>
      </c>
      <c r="X419" s="1">
        <v>0</v>
      </c>
      <c r="Y419" s="1">
        <v>0</v>
      </c>
      <c r="Z419" s="1">
        <v>0</v>
      </c>
      <c r="AA419" s="1">
        <v>0</v>
      </c>
      <c r="AB419" s="1">
        <v>265</v>
      </c>
      <c r="AC419" s="1">
        <v>540</v>
      </c>
      <c r="AD419" s="24">
        <f t="shared" si="19"/>
        <v>805</v>
      </c>
      <c r="AE419" s="23">
        <v>0</v>
      </c>
      <c r="AF419" s="1">
        <v>0</v>
      </c>
      <c r="AG419" s="1">
        <v>0</v>
      </c>
      <c r="AH419" s="1">
        <v>0</v>
      </c>
      <c r="AI419" s="1">
        <v>0</v>
      </c>
      <c r="AJ419" s="1">
        <v>0</v>
      </c>
      <c r="AK419" s="1">
        <v>0</v>
      </c>
      <c r="AL419" s="1">
        <v>0</v>
      </c>
      <c r="AM419" s="1">
        <v>0</v>
      </c>
      <c r="AN419" s="1">
        <v>0</v>
      </c>
      <c r="AO419" s="1">
        <v>0</v>
      </c>
      <c r="AP419" s="1">
        <v>0</v>
      </c>
      <c r="AQ419" s="24">
        <f t="shared" si="20"/>
        <v>0</v>
      </c>
    </row>
    <row r="420" spans="1:43" ht="17.25" customHeight="1" x14ac:dyDescent="0.45">
      <c r="A420" s="12" t="s">
        <v>73</v>
      </c>
      <c r="B420" s="12" t="s">
        <v>68</v>
      </c>
      <c r="C420" s="12" t="s">
        <v>54</v>
      </c>
      <c r="D420" s="12" t="s">
        <v>66</v>
      </c>
      <c r="E420" s="25">
        <v>18</v>
      </c>
      <c r="F420" s="10">
        <v>19</v>
      </c>
      <c r="G420" s="10">
        <v>22</v>
      </c>
      <c r="H420" s="10">
        <v>17</v>
      </c>
      <c r="I420" s="10">
        <v>15</v>
      </c>
      <c r="J420" s="10">
        <v>18</v>
      </c>
      <c r="K420" s="10">
        <v>17</v>
      </c>
      <c r="L420" s="10">
        <v>16</v>
      </c>
      <c r="M420" s="10">
        <v>13</v>
      </c>
      <c r="N420" s="10">
        <v>22</v>
      </c>
      <c r="O420" s="10">
        <v>26</v>
      </c>
      <c r="P420" s="10">
        <v>24</v>
      </c>
      <c r="Q420" s="26">
        <f t="shared" si="18"/>
        <v>227</v>
      </c>
      <c r="R420" s="25">
        <v>1921</v>
      </c>
      <c r="S420" s="10">
        <v>3100</v>
      </c>
      <c r="T420" s="10">
        <v>3279</v>
      </c>
      <c r="U420" s="10">
        <v>2216</v>
      </c>
      <c r="V420" s="10">
        <v>2083</v>
      </c>
      <c r="W420" s="10">
        <v>1969</v>
      </c>
      <c r="X420" s="10">
        <v>1652</v>
      </c>
      <c r="Y420" s="10">
        <v>1512</v>
      </c>
      <c r="Z420" s="10">
        <v>1595</v>
      </c>
      <c r="AA420" s="10">
        <v>2665</v>
      </c>
      <c r="AB420" s="10">
        <v>2740</v>
      </c>
      <c r="AC420" s="10">
        <v>2449</v>
      </c>
      <c r="AD420" s="26">
        <f t="shared" si="19"/>
        <v>27181</v>
      </c>
      <c r="AE420" s="25">
        <v>111</v>
      </c>
      <c r="AF420" s="10">
        <v>106</v>
      </c>
      <c r="AG420" s="10">
        <v>82</v>
      </c>
      <c r="AH420" s="10">
        <v>16</v>
      </c>
      <c r="AI420" s="10">
        <v>0</v>
      </c>
      <c r="AJ420" s="10">
        <v>25</v>
      </c>
      <c r="AK420" s="10">
        <v>0</v>
      </c>
      <c r="AL420" s="10">
        <v>9</v>
      </c>
      <c r="AM420" s="10">
        <v>0</v>
      </c>
      <c r="AN420" s="10">
        <v>38</v>
      </c>
      <c r="AO420" s="10">
        <v>67</v>
      </c>
      <c r="AP420" s="10">
        <v>77</v>
      </c>
      <c r="AQ420" s="26">
        <f t="shared" si="20"/>
        <v>531</v>
      </c>
    </row>
    <row r="421" spans="1:43" ht="17.25" customHeight="1" x14ac:dyDescent="0.45">
      <c r="A421" s="2" t="s">
        <v>73</v>
      </c>
      <c r="B421" s="2" t="s">
        <v>68</v>
      </c>
      <c r="C421" s="2" t="s">
        <v>56</v>
      </c>
      <c r="D421" s="2" t="s">
        <v>66</v>
      </c>
      <c r="E421" s="23">
        <v>16</v>
      </c>
      <c r="F421" s="1">
        <v>16</v>
      </c>
      <c r="G421" s="1">
        <v>19</v>
      </c>
      <c r="H421" s="1">
        <v>14</v>
      </c>
      <c r="I421" s="1">
        <v>14</v>
      </c>
      <c r="J421" s="1">
        <v>14</v>
      </c>
      <c r="K421" s="1">
        <v>12</v>
      </c>
      <c r="L421" s="1">
        <v>14</v>
      </c>
      <c r="M421" s="1">
        <v>13</v>
      </c>
      <c r="N421" s="1">
        <v>13</v>
      </c>
      <c r="O421" s="1">
        <v>17</v>
      </c>
      <c r="P421" s="1">
        <v>28</v>
      </c>
      <c r="Q421" s="24">
        <f t="shared" si="18"/>
        <v>190</v>
      </c>
      <c r="R421" s="23">
        <v>2409</v>
      </c>
      <c r="S421" s="1">
        <v>2390</v>
      </c>
      <c r="T421" s="1">
        <v>2620</v>
      </c>
      <c r="U421" s="1">
        <v>1622</v>
      </c>
      <c r="V421" s="1">
        <v>1747</v>
      </c>
      <c r="W421" s="1">
        <v>1487</v>
      </c>
      <c r="X421" s="1">
        <v>1144</v>
      </c>
      <c r="Y421" s="1">
        <v>1211</v>
      </c>
      <c r="Z421" s="1">
        <v>851</v>
      </c>
      <c r="AA421" s="1">
        <v>1297</v>
      </c>
      <c r="AB421" s="1">
        <v>1799</v>
      </c>
      <c r="AC421" s="1">
        <v>3099</v>
      </c>
      <c r="AD421" s="24">
        <f t="shared" si="19"/>
        <v>21676</v>
      </c>
      <c r="AE421" s="23">
        <v>67</v>
      </c>
      <c r="AF421" s="1">
        <v>35</v>
      </c>
      <c r="AG421" s="1">
        <v>128</v>
      </c>
      <c r="AH421" s="1">
        <v>0</v>
      </c>
      <c r="AI421" s="1">
        <v>32</v>
      </c>
      <c r="AJ421" s="1">
        <v>29</v>
      </c>
      <c r="AK421" s="1">
        <v>18</v>
      </c>
      <c r="AL421" s="1">
        <v>32</v>
      </c>
      <c r="AM421" s="1">
        <v>0</v>
      </c>
      <c r="AN421" s="1">
        <v>45</v>
      </c>
      <c r="AO421" s="1">
        <v>12</v>
      </c>
      <c r="AP421" s="1">
        <v>98</v>
      </c>
      <c r="AQ421" s="24">
        <f t="shared" si="20"/>
        <v>496</v>
      </c>
    </row>
    <row r="422" spans="1:43" ht="17.25" customHeight="1" x14ac:dyDescent="0.45">
      <c r="A422" s="12" t="s">
        <v>73</v>
      </c>
      <c r="B422" s="12" t="s">
        <v>68</v>
      </c>
      <c r="C422" s="12" t="s">
        <v>40</v>
      </c>
      <c r="D422" s="12" t="s">
        <v>66</v>
      </c>
      <c r="E422" s="25">
        <v>16</v>
      </c>
      <c r="F422" s="10">
        <v>17</v>
      </c>
      <c r="G422" s="10">
        <v>18</v>
      </c>
      <c r="H422" s="10">
        <v>41</v>
      </c>
      <c r="I422" s="10">
        <v>21</v>
      </c>
      <c r="J422" s="10">
        <v>21</v>
      </c>
      <c r="K422" s="10">
        <v>23</v>
      </c>
      <c r="L422" s="10">
        <v>18</v>
      </c>
      <c r="M422" s="10">
        <v>13</v>
      </c>
      <c r="N422" s="10">
        <v>26</v>
      </c>
      <c r="O422" s="10">
        <v>26</v>
      </c>
      <c r="P422" s="10">
        <v>33</v>
      </c>
      <c r="Q422" s="26">
        <f t="shared" si="18"/>
        <v>273</v>
      </c>
      <c r="R422" s="25">
        <v>2260</v>
      </c>
      <c r="S422" s="10">
        <v>2752</v>
      </c>
      <c r="T422" s="10">
        <v>2861</v>
      </c>
      <c r="U422" s="10">
        <v>5093</v>
      </c>
      <c r="V422" s="10">
        <v>2615</v>
      </c>
      <c r="W422" s="10">
        <v>2320</v>
      </c>
      <c r="X422" s="10">
        <v>2325</v>
      </c>
      <c r="Y422" s="10">
        <v>1752</v>
      </c>
      <c r="Z422" s="10">
        <v>1258</v>
      </c>
      <c r="AA422" s="10">
        <v>3295</v>
      </c>
      <c r="AB422" s="10">
        <v>3808</v>
      </c>
      <c r="AC422" s="10">
        <v>4939</v>
      </c>
      <c r="AD422" s="26">
        <f t="shared" si="19"/>
        <v>35278</v>
      </c>
      <c r="AE422" s="25">
        <v>269</v>
      </c>
      <c r="AF422" s="10">
        <v>271</v>
      </c>
      <c r="AG422" s="10">
        <v>1593</v>
      </c>
      <c r="AH422" s="10">
        <v>722</v>
      </c>
      <c r="AI422" s="10">
        <v>946</v>
      </c>
      <c r="AJ422" s="10">
        <v>268</v>
      </c>
      <c r="AK422" s="10">
        <v>570</v>
      </c>
      <c r="AL422" s="10">
        <v>1262</v>
      </c>
      <c r="AM422" s="10">
        <v>111</v>
      </c>
      <c r="AN422" s="10">
        <v>687</v>
      </c>
      <c r="AO422" s="10">
        <v>33</v>
      </c>
      <c r="AP422" s="10">
        <v>620</v>
      </c>
      <c r="AQ422" s="26">
        <f t="shared" si="20"/>
        <v>7352</v>
      </c>
    </row>
    <row r="423" spans="1:43" ht="17.25" customHeight="1" x14ac:dyDescent="0.45">
      <c r="A423" s="2" t="s">
        <v>73</v>
      </c>
      <c r="B423" s="2" t="s">
        <v>68</v>
      </c>
      <c r="C423" s="2" t="s">
        <v>23</v>
      </c>
      <c r="D423" s="2" t="s">
        <v>66</v>
      </c>
      <c r="E423" s="23">
        <v>0</v>
      </c>
      <c r="F423" s="1">
        <v>0</v>
      </c>
      <c r="G423" s="1">
        <v>0</v>
      </c>
      <c r="H423" s="1">
        <v>0</v>
      </c>
      <c r="I423" s="1">
        <v>0</v>
      </c>
      <c r="J423" s="1">
        <v>0</v>
      </c>
      <c r="K423" s="1">
        <v>9</v>
      </c>
      <c r="L423" s="1">
        <v>4</v>
      </c>
      <c r="M423" s="1">
        <v>0</v>
      </c>
      <c r="N423" s="1">
        <v>1</v>
      </c>
      <c r="O423" s="1">
        <v>4</v>
      </c>
      <c r="P423" s="1">
        <v>11</v>
      </c>
      <c r="Q423" s="24">
        <f t="shared" si="18"/>
        <v>29</v>
      </c>
      <c r="R423" s="23">
        <v>0</v>
      </c>
      <c r="S423" s="1">
        <v>0</v>
      </c>
      <c r="T423" s="1">
        <v>0</v>
      </c>
      <c r="U423" s="1">
        <v>0</v>
      </c>
      <c r="V423" s="1">
        <v>0</v>
      </c>
      <c r="W423" s="1">
        <v>0</v>
      </c>
      <c r="X423" s="1">
        <v>0</v>
      </c>
      <c r="Y423" s="1">
        <v>0</v>
      </c>
      <c r="Z423" s="1">
        <v>0</v>
      </c>
      <c r="AA423" s="1">
        <v>0</v>
      </c>
      <c r="AB423" s="1">
        <v>0</v>
      </c>
      <c r="AC423" s="1">
        <v>320</v>
      </c>
      <c r="AD423" s="24">
        <f t="shared" si="19"/>
        <v>320</v>
      </c>
      <c r="AE423" s="23">
        <v>0</v>
      </c>
      <c r="AF423" s="1">
        <v>0</v>
      </c>
      <c r="AG423" s="1">
        <v>0</v>
      </c>
      <c r="AH423" s="1">
        <v>0</v>
      </c>
      <c r="AI423" s="1">
        <v>0</v>
      </c>
      <c r="AJ423" s="1">
        <v>0</v>
      </c>
      <c r="AK423" s="1">
        <v>4890</v>
      </c>
      <c r="AL423" s="1">
        <v>1096</v>
      </c>
      <c r="AM423" s="1">
        <v>0</v>
      </c>
      <c r="AN423" s="1">
        <v>129</v>
      </c>
      <c r="AO423" s="1">
        <v>4323</v>
      </c>
      <c r="AP423" s="1">
        <v>4329</v>
      </c>
      <c r="AQ423" s="24">
        <f t="shared" si="20"/>
        <v>14767</v>
      </c>
    </row>
    <row r="424" spans="1:43" ht="17.25" customHeight="1" x14ac:dyDescent="0.45">
      <c r="A424" s="12" t="s">
        <v>73</v>
      </c>
      <c r="B424" s="12" t="s">
        <v>68</v>
      </c>
      <c r="C424" s="12" t="s">
        <v>12</v>
      </c>
      <c r="D424" s="12" t="s">
        <v>66</v>
      </c>
      <c r="E424" s="25">
        <v>221</v>
      </c>
      <c r="F424" s="10">
        <v>184</v>
      </c>
      <c r="G424" s="10">
        <v>235</v>
      </c>
      <c r="H424" s="10">
        <v>227</v>
      </c>
      <c r="I424" s="10">
        <v>244</v>
      </c>
      <c r="J424" s="10">
        <v>247</v>
      </c>
      <c r="K424" s="10">
        <v>277</v>
      </c>
      <c r="L424" s="10">
        <v>267</v>
      </c>
      <c r="M424" s="10">
        <v>212</v>
      </c>
      <c r="N424" s="10">
        <v>216</v>
      </c>
      <c r="O424" s="10">
        <v>236</v>
      </c>
      <c r="P424" s="10">
        <v>268</v>
      </c>
      <c r="Q424" s="26">
        <f t="shared" si="18"/>
        <v>2834</v>
      </c>
      <c r="R424" s="25">
        <v>36336</v>
      </c>
      <c r="S424" s="10">
        <v>31334</v>
      </c>
      <c r="T424" s="10">
        <v>38411</v>
      </c>
      <c r="U424" s="10">
        <v>35234</v>
      </c>
      <c r="V424" s="10">
        <v>39848</v>
      </c>
      <c r="W424" s="10">
        <v>42187</v>
      </c>
      <c r="X424" s="10">
        <v>46706</v>
      </c>
      <c r="Y424" s="10">
        <v>43374</v>
      </c>
      <c r="Z424" s="10">
        <v>36015</v>
      </c>
      <c r="AA424" s="10">
        <v>39530</v>
      </c>
      <c r="AB424" s="10">
        <v>41897</v>
      </c>
      <c r="AC424" s="10">
        <v>49881</v>
      </c>
      <c r="AD424" s="26">
        <f t="shared" si="19"/>
        <v>480753</v>
      </c>
      <c r="AE424" s="25">
        <v>474577.54274105001</v>
      </c>
      <c r="AF424" s="10">
        <v>517664.2</v>
      </c>
      <c r="AG424" s="10">
        <v>522031.61879747</v>
      </c>
      <c r="AH424" s="10">
        <v>515645.4</v>
      </c>
      <c r="AI424" s="10">
        <v>510508.51282205002</v>
      </c>
      <c r="AJ424" s="10">
        <v>526093.41925736982</v>
      </c>
      <c r="AK424" s="10">
        <v>594979.02483144996</v>
      </c>
      <c r="AL424" s="10">
        <v>551181.14866787998</v>
      </c>
      <c r="AM424" s="10">
        <v>447038.85922968009</v>
      </c>
      <c r="AN424" s="10">
        <v>535779</v>
      </c>
      <c r="AO424" s="10">
        <v>571915.45636842994</v>
      </c>
      <c r="AP424" s="10">
        <v>413139.66180141002</v>
      </c>
      <c r="AQ424" s="26">
        <f t="shared" si="20"/>
        <v>6180553.8445167895</v>
      </c>
    </row>
    <row r="425" spans="1:43" ht="17.25" customHeight="1" x14ac:dyDescent="0.45">
      <c r="A425" s="2" t="s">
        <v>73</v>
      </c>
      <c r="B425" s="2" t="s">
        <v>68</v>
      </c>
      <c r="C425" s="2" t="s">
        <v>13</v>
      </c>
      <c r="D425" s="2" t="s">
        <v>66</v>
      </c>
      <c r="E425" s="23">
        <v>22</v>
      </c>
      <c r="F425" s="1">
        <v>17</v>
      </c>
      <c r="G425" s="1">
        <v>19</v>
      </c>
      <c r="H425" s="1">
        <v>15</v>
      </c>
      <c r="I425" s="1">
        <v>15</v>
      </c>
      <c r="J425" s="1">
        <v>21</v>
      </c>
      <c r="K425" s="1">
        <v>32</v>
      </c>
      <c r="L425" s="1">
        <v>23</v>
      </c>
      <c r="M425" s="1">
        <v>21</v>
      </c>
      <c r="N425" s="1">
        <v>22</v>
      </c>
      <c r="O425" s="1">
        <v>43</v>
      </c>
      <c r="P425" s="1">
        <v>46</v>
      </c>
      <c r="Q425" s="24">
        <f t="shared" si="18"/>
        <v>296</v>
      </c>
      <c r="R425" s="23">
        <v>1927</v>
      </c>
      <c r="S425" s="1">
        <v>1313</v>
      </c>
      <c r="T425" s="1">
        <v>1322</v>
      </c>
      <c r="U425" s="1">
        <v>1093</v>
      </c>
      <c r="V425" s="1">
        <v>1314</v>
      </c>
      <c r="W425" s="1">
        <v>2634</v>
      </c>
      <c r="X425" s="1">
        <v>3744</v>
      </c>
      <c r="Y425" s="1">
        <v>3013</v>
      </c>
      <c r="Z425" s="1">
        <v>2625</v>
      </c>
      <c r="AA425" s="1">
        <v>3329</v>
      </c>
      <c r="AB425" s="1">
        <v>5366</v>
      </c>
      <c r="AC425" s="1">
        <v>6945</v>
      </c>
      <c r="AD425" s="24">
        <f t="shared" si="19"/>
        <v>34625</v>
      </c>
      <c r="AE425" s="23">
        <v>130505</v>
      </c>
      <c r="AF425" s="1">
        <v>310153.49</v>
      </c>
      <c r="AG425" s="1">
        <v>326831.59000000003</v>
      </c>
      <c r="AH425" s="1">
        <v>354987.96</v>
      </c>
      <c r="AI425" s="1">
        <v>59406.65</v>
      </c>
      <c r="AJ425" s="1">
        <v>118371.2</v>
      </c>
      <c r="AK425" s="1">
        <v>334863.5</v>
      </c>
      <c r="AL425" s="1">
        <v>107978.5</v>
      </c>
      <c r="AM425" s="1">
        <v>192844</v>
      </c>
      <c r="AN425" s="1">
        <v>125065.9</v>
      </c>
      <c r="AO425" s="1">
        <v>35940</v>
      </c>
      <c r="AP425" s="1">
        <v>42358.5</v>
      </c>
      <c r="AQ425" s="24">
        <f t="shared" si="20"/>
        <v>2139306.29</v>
      </c>
    </row>
    <row r="426" spans="1:43" ht="17.25" customHeight="1" x14ac:dyDescent="0.45">
      <c r="A426" s="12" t="s">
        <v>73</v>
      </c>
      <c r="B426" s="12" t="s">
        <v>68</v>
      </c>
      <c r="C426" s="12" t="s">
        <v>25</v>
      </c>
      <c r="D426" s="12" t="s">
        <v>66</v>
      </c>
      <c r="E426" s="25">
        <v>22</v>
      </c>
      <c r="F426" s="10">
        <v>21</v>
      </c>
      <c r="G426" s="10">
        <v>22</v>
      </c>
      <c r="H426" s="10">
        <v>21</v>
      </c>
      <c r="I426" s="10">
        <v>22</v>
      </c>
      <c r="J426" s="10">
        <v>21</v>
      </c>
      <c r="K426" s="10">
        <v>22</v>
      </c>
      <c r="L426" s="10">
        <v>23</v>
      </c>
      <c r="M426" s="10">
        <v>21</v>
      </c>
      <c r="N426" s="10">
        <v>23</v>
      </c>
      <c r="O426" s="10">
        <v>21</v>
      </c>
      <c r="P426" s="10">
        <v>24</v>
      </c>
      <c r="Q426" s="26">
        <f t="shared" si="18"/>
        <v>263</v>
      </c>
      <c r="R426" s="25">
        <v>3657</v>
      </c>
      <c r="S426" s="10">
        <v>3033</v>
      </c>
      <c r="T426" s="10">
        <v>3101</v>
      </c>
      <c r="U426" s="10">
        <v>2670</v>
      </c>
      <c r="V426" s="10">
        <v>2987</v>
      </c>
      <c r="W426" s="10">
        <v>3039</v>
      </c>
      <c r="X426" s="10">
        <v>3416</v>
      </c>
      <c r="Y426" s="10">
        <v>3342</v>
      </c>
      <c r="Z426" s="10">
        <v>3009</v>
      </c>
      <c r="AA426" s="10">
        <v>3346</v>
      </c>
      <c r="AB426" s="10">
        <v>3112</v>
      </c>
      <c r="AC426" s="10">
        <v>4167</v>
      </c>
      <c r="AD426" s="26">
        <f t="shared" si="19"/>
        <v>38879</v>
      </c>
      <c r="AE426" s="25">
        <v>0</v>
      </c>
      <c r="AF426" s="10">
        <v>0</v>
      </c>
      <c r="AG426" s="10">
        <v>0</v>
      </c>
      <c r="AH426" s="10">
        <v>0</v>
      </c>
      <c r="AI426" s="10">
        <v>0</v>
      </c>
      <c r="AJ426" s="10">
        <v>0</v>
      </c>
      <c r="AK426" s="10">
        <v>0</v>
      </c>
      <c r="AL426" s="10">
        <v>0</v>
      </c>
      <c r="AM426" s="10">
        <v>0</v>
      </c>
      <c r="AN426" s="10">
        <v>0</v>
      </c>
      <c r="AO426" s="10">
        <v>0</v>
      </c>
      <c r="AP426" s="10">
        <v>0</v>
      </c>
      <c r="AQ426" s="26">
        <f t="shared" si="20"/>
        <v>0</v>
      </c>
    </row>
    <row r="427" spans="1:43" ht="17.25" customHeight="1" x14ac:dyDescent="0.45">
      <c r="A427" s="2" t="s">
        <v>73</v>
      </c>
      <c r="B427" s="2" t="s">
        <v>68</v>
      </c>
      <c r="C427" s="2" t="s">
        <v>26</v>
      </c>
      <c r="D427" s="2" t="s">
        <v>66</v>
      </c>
      <c r="E427" s="23">
        <v>14</v>
      </c>
      <c r="F427" s="1">
        <v>12</v>
      </c>
      <c r="G427" s="1">
        <v>13</v>
      </c>
      <c r="H427" s="1">
        <v>17</v>
      </c>
      <c r="I427" s="1">
        <v>18</v>
      </c>
      <c r="J427" s="1">
        <v>17</v>
      </c>
      <c r="K427" s="1">
        <v>18</v>
      </c>
      <c r="L427" s="1">
        <v>17</v>
      </c>
      <c r="M427" s="1">
        <v>15</v>
      </c>
      <c r="N427" s="1">
        <v>17</v>
      </c>
      <c r="O427" s="1">
        <v>17</v>
      </c>
      <c r="P427" s="1">
        <v>18</v>
      </c>
      <c r="Q427" s="24">
        <f t="shared" si="18"/>
        <v>193</v>
      </c>
      <c r="R427" s="23">
        <v>2224</v>
      </c>
      <c r="S427" s="1">
        <v>1850</v>
      </c>
      <c r="T427" s="1">
        <v>1942</v>
      </c>
      <c r="U427" s="1">
        <v>2114</v>
      </c>
      <c r="V427" s="1">
        <v>2181</v>
      </c>
      <c r="W427" s="1">
        <v>2695</v>
      </c>
      <c r="X427" s="1">
        <v>3014</v>
      </c>
      <c r="Y427" s="1">
        <v>2189</v>
      </c>
      <c r="Z427" s="1">
        <v>1900</v>
      </c>
      <c r="AA427" s="1">
        <v>2629</v>
      </c>
      <c r="AB427" s="1">
        <v>2415</v>
      </c>
      <c r="AC427" s="1">
        <v>3025</v>
      </c>
      <c r="AD427" s="24">
        <f t="shared" si="19"/>
        <v>28178</v>
      </c>
      <c r="AE427" s="23">
        <v>0</v>
      </c>
      <c r="AF427" s="1">
        <v>0</v>
      </c>
      <c r="AG427" s="1">
        <v>0</v>
      </c>
      <c r="AH427" s="1">
        <v>0</v>
      </c>
      <c r="AI427" s="1">
        <v>0</v>
      </c>
      <c r="AJ427" s="1">
        <v>0</v>
      </c>
      <c r="AK427" s="1">
        <v>0</v>
      </c>
      <c r="AL427" s="1">
        <v>0</v>
      </c>
      <c r="AM427" s="1">
        <v>0</v>
      </c>
      <c r="AN427" s="1">
        <v>0</v>
      </c>
      <c r="AO427" s="1">
        <v>0</v>
      </c>
      <c r="AP427" s="1">
        <v>0</v>
      </c>
      <c r="AQ427" s="24">
        <f t="shared" si="20"/>
        <v>0</v>
      </c>
    </row>
    <row r="428" spans="1:43" ht="17.25" customHeight="1" x14ac:dyDescent="0.45">
      <c r="A428" s="12" t="s">
        <v>73</v>
      </c>
      <c r="B428" s="12" t="s">
        <v>68</v>
      </c>
      <c r="C428" s="12" t="s">
        <v>17</v>
      </c>
      <c r="D428" s="12" t="s">
        <v>66</v>
      </c>
      <c r="E428" s="25">
        <v>164</v>
      </c>
      <c r="F428" s="10">
        <v>163</v>
      </c>
      <c r="G428" s="10">
        <v>166</v>
      </c>
      <c r="H428" s="10">
        <v>141</v>
      </c>
      <c r="I428" s="10">
        <v>128</v>
      </c>
      <c r="J428" s="10">
        <v>104</v>
      </c>
      <c r="K428" s="10">
        <v>91</v>
      </c>
      <c r="L428" s="10">
        <v>64</v>
      </c>
      <c r="M428" s="10">
        <v>56</v>
      </c>
      <c r="N428" s="10">
        <v>58</v>
      </c>
      <c r="O428" s="10">
        <v>108</v>
      </c>
      <c r="P428" s="10">
        <v>131</v>
      </c>
      <c r="Q428" s="26">
        <f t="shared" si="18"/>
        <v>1374</v>
      </c>
      <c r="R428" s="25">
        <v>18706</v>
      </c>
      <c r="S428" s="10">
        <v>19298</v>
      </c>
      <c r="T428" s="10">
        <v>23567</v>
      </c>
      <c r="U428" s="10">
        <v>19357</v>
      </c>
      <c r="V428" s="10">
        <v>19276</v>
      </c>
      <c r="W428" s="10">
        <v>16969</v>
      </c>
      <c r="X428" s="10">
        <v>14962</v>
      </c>
      <c r="Y428" s="10">
        <v>10362</v>
      </c>
      <c r="Z428" s="10">
        <v>9137</v>
      </c>
      <c r="AA428" s="10">
        <v>9449</v>
      </c>
      <c r="AB428" s="10">
        <v>16776</v>
      </c>
      <c r="AC428" s="10">
        <v>20645</v>
      </c>
      <c r="AD428" s="26">
        <f t="shared" si="19"/>
        <v>198504</v>
      </c>
      <c r="AE428" s="25">
        <v>69.143694800000006</v>
      </c>
      <c r="AF428" s="10">
        <v>43</v>
      </c>
      <c r="AG428" s="10">
        <v>141</v>
      </c>
      <c r="AH428" s="10">
        <v>45</v>
      </c>
      <c r="AI428" s="10">
        <v>0</v>
      </c>
      <c r="AJ428" s="10">
        <v>0</v>
      </c>
      <c r="AK428" s="10">
        <v>125</v>
      </c>
      <c r="AL428" s="10">
        <v>549</v>
      </c>
      <c r="AM428" s="10">
        <v>63</v>
      </c>
      <c r="AN428" s="10">
        <v>181</v>
      </c>
      <c r="AO428" s="10">
        <v>313</v>
      </c>
      <c r="AP428" s="10">
        <v>317</v>
      </c>
      <c r="AQ428" s="26">
        <f t="shared" si="20"/>
        <v>1846.1436948</v>
      </c>
    </row>
    <row r="429" spans="1:43" ht="17.25" customHeight="1" x14ac:dyDescent="0.45">
      <c r="A429" s="2" t="s">
        <v>73</v>
      </c>
      <c r="B429" s="2" t="s">
        <v>68</v>
      </c>
      <c r="C429" s="2" t="s">
        <v>48</v>
      </c>
      <c r="D429" s="2" t="s">
        <v>66</v>
      </c>
      <c r="E429" s="23">
        <v>198</v>
      </c>
      <c r="F429" s="1">
        <v>176</v>
      </c>
      <c r="G429" s="1">
        <v>209</v>
      </c>
      <c r="H429" s="1">
        <v>187</v>
      </c>
      <c r="I429" s="1">
        <v>183</v>
      </c>
      <c r="J429" s="1">
        <v>191</v>
      </c>
      <c r="K429" s="1">
        <v>192</v>
      </c>
      <c r="L429" s="1">
        <v>179</v>
      </c>
      <c r="M429" s="1">
        <v>141</v>
      </c>
      <c r="N429" s="1">
        <v>164</v>
      </c>
      <c r="O429" s="1">
        <v>160</v>
      </c>
      <c r="P429" s="1">
        <v>188</v>
      </c>
      <c r="Q429" s="24">
        <f t="shared" si="18"/>
        <v>2168</v>
      </c>
      <c r="R429" s="23">
        <v>20935</v>
      </c>
      <c r="S429" s="1">
        <v>21243</v>
      </c>
      <c r="T429" s="1">
        <v>31336</v>
      </c>
      <c r="U429" s="1">
        <v>26195</v>
      </c>
      <c r="V429" s="1">
        <v>28178</v>
      </c>
      <c r="W429" s="1">
        <v>31624</v>
      </c>
      <c r="X429" s="1">
        <v>31435</v>
      </c>
      <c r="Y429" s="1">
        <v>27327</v>
      </c>
      <c r="Z429" s="1">
        <v>19914</v>
      </c>
      <c r="AA429" s="1">
        <v>25001</v>
      </c>
      <c r="AB429" s="1">
        <v>24461</v>
      </c>
      <c r="AC429" s="1">
        <v>28674</v>
      </c>
      <c r="AD429" s="24">
        <f t="shared" si="19"/>
        <v>316323</v>
      </c>
      <c r="AE429" s="23">
        <v>131</v>
      </c>
      <c r="AF429" s="1">
        <v>935</v>
      </c>
      <c r="AG429" s="1">
        <v>583</v>
      </c>
      <c r="AH429" s="1">
        <v>1720</v>
      </c>
      <c r="AI429" s="1">
        <v>1761.1436948</v>
      </c>
      <c r="AJ429" s="1">
        <v>527</v>
      </c>
      <c r="AK429" s="1">
        <v>0</v>
      </c>
      <c r="AL429" s="1">
        <v>112</v>
      </c>
      <c r="AM429" s="1">
        <v>0</v>
      </c>
      <c r="AN429" s="1">
        <v>1343</v>
      </c>
      <c r="AO429" s="1">
        <v>938</v>
      </c>
      <c r="AP429" s="1">
        <v>824</v>
      </c>
      <c r="AQ429" s="24">
        <f t="shared" si="20"/>
        <v>8874.143694800001</v>
      </c>
    </row>
    <row r="430" spans="1:43" ht="17.25" customHeight="1" x14ac:dyDescent="0.45">
      <c r="A430" s="12" t="s">
        <v>73</v>
      </c>
      <c r="B430" s="12" t="s">
        <v>68</v>
      </c>
      <c r="C430" s="12" t="s">
        <v>14</v>
      </c>
      <c r="D430" s="12" t="s">
        <v>66</v>
      </c>
      <c r="E430" s="25">
        <v>13</v>
      </c>
      <c r="F430" s="10">
        <v>15</v>
      </c>
      <c r="G430" s="10">
        <v>13</v>
      </c>
      <c r="H430" s="10">
        <v>3</v>
      </c>
      <c r="I430" s="10">
        <v>3</v>
      </c>
      <c r="J430" s="10">
        <v>1</v>
      </c>
      <c r="K430" s="10">
        <v>16</v>
      </c>
      <c r="L430" s="10">
        <v>11</v>
      </c>
      <c r="M430" s="10">
        <v>15</v>
      </c>
      <c r="N430" s="10">
        <v>13</v>
      </c>
      <c r="O430" s="10">
        <v>17</v>
      </c>
      <c r="P430" s="10">
        <v>18</v>
      </c>
      <c r="Q430" s="26">
        <f t="shared" si="18"/>
        <v>138</v>
      </c>
      <c r="R430" s="25">
        <v>0</v>
      </c>
      <c r="S430" s="10">
        <v>0</v>
      </c>
      <c r="T430" s="10">
        <v>0</v>
      </c>
      <c r="U430" s="10">
        <v>0</v>
      </c>
      <c r="V430" s="10">
        <v>0</v>
      </c>
      <c r="W430" s="10">
        <v>0</v>
      </c>
      <c r="X430" s="10">
        <v>0</v>
      </c>
      <c r="Y430" s="10">
        <v>0</v>
      </c>
      <c r="Z430" s="10">
        <v>0</v>
      </c>
      <c r="AA430" s="10">
        <v>0</v>
      </c>
      <c r="AB430" s="10">
        <v>0</v>
      </c>
      <c r="AC430" s="10">
        <v>0</v>
      </c>
      <c r="AD430" s="26">
        <f t="shared" si="19"/>
        <v>0</v>
      </c>
      <c r="AE430" s="25">
        <v>348492.42</v>
      </c>
      <c r="AF430" s="10">
        <v>396467.4</v>
      </c>
      <c r="AG430" s="10">
        <v>391856.2</v>
      </c>
      <c r="AH430" s="10">
        <v>309983.91000000003</v>
      </c>
      <c r="AI430" s="10">
        <v>100982</v>
      </c>
      <c r="AJ430" s="10">
        <v>37520</v>
      </c>
      <c r="AK430" s="10">
        <v>562829.18006103009</v>
      </c>
      <c r="AL430" s="10">
        <v>316477.89500000002</v>
      </c>
      <c r="AM430" s="10">
        <v>668377</v>
      </c>
      <c r="AN430" s="10">
        <v>591909.0234234978</v>
      </c>
      <c r="AO430" s="10">
        <v>672326.51280000003</v>
      </c>
      <c r="AP430" s="10">
        <v>674027.88620000007</v>
      </c>
      <c r="AQ430" s="26">
        <f t="shared" si="20"/>
        <v>5071249.4274845272</v>
      </c>
    </row>
    <row r="431" spans="1:43" ht="17.25" customHeight="1" x14ac:dyDescent="0.45">
      <c r="A431" s="2" t="s">
        <v>73</v>
      </c>
      <c r="B431" s="2" t="s">
        <v>68</v>
      </c>
      <c r="C431" s="2" t="s">
        <v>247</v>
      </c>
      <c r="D431" s="2" t="s">
        <v>66</v>
      </c>
      <c r="E431" s="23">
        <v>0</v>
      </c>
      <c r="F431" s="1">
        <v>0</v>
      </c>
      <c r="G431" s="1">
        <v>0</v>
      </c>
      <c r="H431" s="1">
        <v>0</v>
      </c>
      <c r="I431" s="1">
        <v>9</v>
      </c>
      <c r="J431" s="1">
        <v>30</v>
      </c>
      <c r="K431" s="1">
        <v>29</v>
      </c>
      <c r="L431" s="1">
        <v>18</v>
      </c>
      <c r="M431" s="1">
        <v>0</v>
      </c>
      <c r="N431" s="1">
        <v>0</v>
      </c>
      <c r="O431" s="1">
        <v>0</v>
      </c>
      <c r="P431" s="1">
        <v>0</v>
      </c>
      <c r="Q431" s="24">
        <f t="shared" si="18"/>
        <v>86</v>
      </c>
      <c r="R431" s="23">
        <v>0</v>
      </c>
      <c r="S431" s="1">
        <v>0</v>
      </c>
      <c r="T431" s="1">
        <v>0</v>
      </c>
      <c r="U431" s="1">
        <v>0</v>
      </c>
      <c r="V431" s="1">
        <v>1362</v>
      </c>
      <c r="W431" s="1">
        <v>4914</v>
      </c>
      <c r="X431" s="1">
        <v>4647</v>
      </c>
      <c r="Y431" s="1">
        <v>2351</v>
      </c>
      <c r="Z431" s="1">
        <v>0</v>
      </c>
      <c r="AA431" s="1">
        <v>0</v>
      </c>
      <c r="AB431" s="1">
        <v>0</v>
      </c>
      <c r="AC431" s="1">
        <v>0</v>
      </c>
      <c r="AD431" s="24">
        <f t="shared" si="19"/>
        <v>13274</v>
      </c>
      <c r="AE431" s="23">
        <v>0</v>
      </c>
      <c r="AF431" s="1">
        <v>0</v>
      </c>
      <c r="AG431" s="1">
        <v>0</v>
      </c>
      <c r="AH431" s="1">
        <v>0</v>
      </c>
      <c r="AI431" s="1">
        <v>0</v>
      </c>
      <c r="AJ431" s="1">
        <v>0</v>
      </c>
      <c r="AK431" s="1">
        <v>0</v>
      </c>
      <c r="AL431" s="1">
        <v>0</v>
      </c>
      <c r="AM431" s="1">
        <v>0</v>
      </c>
      <c r="AN431" s="1">
        <v>0</v>
      </c>
      <c r="AO431" s="1">
        <v>0</v>
      </c>
      <c r="AP431" s="1">
        <v>0</v>
      </c>
      <c r="AQ431" s="24">
        <f t="shared" si="20"/>
        <v>0</v>
      </c>
    </row>
    <row r="432" spans="1:43" ht="17.25" customHeight="1" x14ac:dyDescent="0.45">
      <c r="A432" s="12" t="s">
        <v>73</v>
      </c>
      <c r="B432" s="12" t="s">
        <v>68</v>
      </c>
      <c r="C432" s="12" t="s">
        <v>63</v>
      </c>
      <c r="D432" s="12" t="s">
        <v>66</v>
      </c>
      <c r="E432" s="25">
        <v>4</v>
      </c>
      <c r="F432" s="10">
        <v>4</v>
      </c>
      <c r="G432" s="10">
        <v>5</v>
      </c>
      <c r="H432" s="10">
        <v>9</v>
      </c>
      <c r="I432" s="10">
        <v>9</v>
      </c>
      <c r="J432" s="10">
        <v>7</v>
      </c>
      <c r="K432" s="10">
        <v>8</v>
      </c>
      <c r="L432" s="10">
        <v>9</v>
      </c>
      <c r="M432" s="10">
        <v>9</v>
      </c>
      <c r="N432" s="10">
        <v>9</v>
      </c>
      <c r="O432" s="10">
        <v>8</v>
      </c>
      <c r="P432" s="10">
        <v>9</v>
      </c>
      <c r="Q432" s="26">
        <f t="shared" si="18"/>
        <v>90</v>
      </c>
      <c r="R432" s="25">
        <v>631</v>
      </c>
      <c r="S432" s="10">
        <v>617</v>
      </c>
      <c r="T432" s="10">
        <v>722</v>
      </c>
      <c r="U432" s="10">
        <v>839</v>
      </c>
      <c r="V432" s="10">
        <v>1088</v>
      </c>
      <c r="W432" s="10">
        <v>937</v>
      </c>
      <c r="X432" s="10">
        <v>1189</v>
      </c>
      <c r="Y432" s="10">
        <v>1137</v>
      </c>
      <c r="Z432" s="10">
        <v>814</v>
      </c>
      <c r="AA432" s="10">
        <v>1139</v>
      </c>
      <c r="AB432" s="10">
        <v>1024</v>
      </c>
      <c r="AC432" s="10">
        <v>1524</v>
      </c>
      <c r="AD432" s="26">
        <f t="shared" si="19"/>
        <v>11661</v>
      </c>
      <c r="AE432" s="25">
        <v>0</v>
      </c>
      <c r="AF432" s="10">
        <v>0</v>
      </c>
      <c r="AG432" s="10">
        <v>0</v>
      </c>
      <c r="AH432" s="10">
        <v>0</v>
      </c>
      <c r="AI432" s="10">
        <v>0</v>
      </c>
      <c r="AJ432" s="10">
        <v>0</v>
      </c>
      <c r="AK432" s="10">
        <v>0</v>
      </c>
      <c r="AL432" s="10">
        <v>0</v>
      </c>
      <c r="AM432" s="10">
        <v>0</v>
      </c>
      <c r="AN432" s="10">
        <v>0</v>
      </c>
      <c r="AO432" s="10">
        <v>0</v>
      </c>
      <c r="AP432" s="10">
        <v>0</v>
      </c>
      <c r="AQ432" s="26">
        <f t="shared" si="20"/>
        <v>0</v>
      </c>
    </row>
    <row r="433" spans="1:43" ht="17.25" customHeight="1" x14ac:dyDescent="0.45">
      <c r="A433" s="2" t="s">
        <v>73</v>
      </c>
      <c r="B433" s="2" t="s">
        <v>68</v>
      </c>
      <c r="C433" s="2" t="s">
        <v>62</v>
      </c>
      <c r="D433" s="2" t="s">
        <v>66</v>
      </c>
      <c r="E433" s="23">
        <v>13</v>
      </c>
      <c r="F433" s="1">
        <v>12</v>
      </c>
      <c r="G433" s="1">
        <v>14</v>
      </c>
      <c r="H433" s="1">
        <v>12</v>
      </c>
      <c r="I433" s="1">
        <v>14</v>
      </c>
      <c r="J433" s="1">
        <v>13</v>
      </c>
      <c r="K433" s="1">
        <v>13</v>
      </c>
      <c r="L433" s="1">
        <v>13</v>
      </c>
      <c r="M433" s="1">
        <v>13</v>
      </c>
      <c r="N433" s="1">
        <v>13</v>
      </c>
      <c r="O433" s="1">
        <v>13</v>
      </c>
      <c r="P433" s="1">
        <v>13</v>
      </c>
      <c r="Q433" s="24">
        <f t="shared" si="18"/>
        <v>156</v>
      </c>
      <c r="R433" s="23">
        <v>1617</v>
      </c>
      <c r="S433" s="1">
        <v>1494</v>
      </c>
      <c r="T433" s="1">
        <v>1871</v>
      </c>
      <c r="U433" s="1">
        <v>1706</v>
      </c>
      <c r="V433" s="1">
        <v>2207</v>
      </c>
      <c r="W433" s="1">
        <v>2106</v>
      </c>
      <c r="X433" s="1">
        <v>2109</v>
      </c>
      <c r="Y433" s="1">
        <v>2109</v>
      </c>
      <c r="Z433" s="1">
        <v>2153</v>
      </c>
      <c r="AA433" s="1">
        <v>2121</v>
      </c>
      <c r="AB433" s="1">
        <v>1837</v>
      </c>
      <c r="AC433" s="1">
        <v>2193</v>
      </c>
      <c r="AD433" s="24">
        <f t="shared" si="19"/>
        <v>23523</v>
      </c>
      <c r="AE433" s="23">
        <v>0</v>
      </c>
      <c r="AF433" s="1">
        <v>0</v>
      </c>
      <c r="AG433" s="1">
        <v>0</v>
      </c>
      <c r="AH433" s="1">
        <v>0</v>
      </c>
      <c r="AI433" s="1">
        <v>0</v>
      </c>
      <c r="AJ433" s="1">
        <v>0</v>
      </c>
      <c r="AK433" s="1">
        <v>0</v>
      </c>
      <c r="AL433" s="1">
        <v>0</v>
      </c>
      <c r="AM433" s="1">
        <v>0</v>
      </c>
      <c r="AN433" s="1">
        <v>0</v>
      </c>
      <c r="AO433" s="1">
        <v>0</v>
      </c>
      <c r="AP433" s="1">
        <v>0</v>
      </c>
      <c r="AQ433" s="24">
        <f t="shared" si="20"/>
        <v>0</v>
      </c>
    </row>
    <row r="434" spans="1:43" ht="17.25" customHeight="1" x14ac:dyDescent="0.45">
      <c r="A434" s="12" t="s">
        <v>185</v>
      </c>
      <c r="B434" s="12" t="s">
        <v>68</v>
      </c>
      <c r="C434" s="12" t="s">
        <v>11</v>
      </c>
      <c r="D434" s="12" t="s">
        <v>66</v>
      </c>
      <c r="E434" s="25">
        <v>5</v>
      </c>
      <c r="F434" s="10">
        <v>4</v>
      </c>
      <c r="G434" s="10">
        <v>4</v>
      </c>
      <c r="H434" s="10">
        <v>5</v>
      </c>
      <c r="I434" s="10">
        <v>4</v>
      </c>
      <c r="J434" s="10">
        <v>4</v>
      </c>
      <c r="K434" s="10">
        <v>5</v>
      </c>
      <c r="L434" s="10">
        <v>4</v>
      </c>
      <c r="M434" s="10">
        <v>5</v>
      </c>
      <c r="N434" s="10">
        <v>4</v>
      </c>
      <c r="O434" s="10">
        <v>4</v>
      </c>
      <c r="P434" s="10">
        <v>5</v>
      </c>
      <c r="Q434" s="26">
        <f t="shared" si="18"/>
        <v>53</v>
      </c>
      <c r="R434" s="25">
        <v>0</v>
      </c>
      <c r="S434" s="10">
        <v>0</v>
      </c>
      <c r="T434" s="10">
        <v>0</v>
      </c>
      <c r="U434" s="10">
        <v>0</v>
      </c>
      <c r="V434" s="10">
        <v>0</v>
      </c>
      <c r="W434" s="10">
        <v>0</v>
      </c>
      <c r="X434" s="10">
        <v>0</v>
      </c>
      <c r="Y434" s="10">
        <v>0</v>
      </c>
      <c r="Z434" s="10">
        <v>0</v>
      </c>
      <c r="AA434" s="10">
        <v>0</v>
      </c>
      <c r="AB434" s="10">
        <v>0</v>
      </c>
      <c r="AC434" s="10">
        <v>0</v>
      </c>
      <c r="AD434" s="26">
        <f t="shared" si="19"/>
        <v>0</v>
      </c>
      <c r="AE434" s="25">
        <v>128840</v>
      </c>
      <c r="AF434" s="10">
        <v>129010</v>
      </c>
      <c r="AG434" s="10">
        <v>73678</v>
      </c>
      <c r="AH434" s="10">
        <v>149595</v>
      </c>
      <c r="AI434" s="10">
        <v>119816</v>
      </c>
      <c r="AJ434" s="10">
        <v>136261</v>
      </c>
      <c r="AK434" s="10">
        <v>175838</v>
      </c>
      <c r="AL434" s="10">
        <v>139912</v>
      </c>
      <c r="AM434" s="10">
        <v>163172</v>
      </c>
      <c r="AN434" s="10">
        <v>128386</v>
      </c>
      <c r="AO434" s="10">
        <v>125531</v>
      </c>
      <c r="AP434" s="10">
        <v>166536</v>
      </c>
      <c r="AQ434" s="26">
        <f t="shared" si="20"/>
        <v>1636575</v>
      </c>
    </row>
    <row r="435" spans="1:43" ht="17.25" customHeight="1" x14ac:dyDescent="0.45">
      <c r="A435" s="2" t="s">
        <v>185</v>
      </c>
      <c r="B435" s="2" t="s">
        <v>68</v>
      </c>
      <c r="C435" s="2" t="s">
        <v>13</v>
      </c>
      <c r="D435" s="2" t="s">
        <v>66</v>
      </c>
      <c r="E435" s="23">
        <v>22</v>
      </c>
      <c r="F435" s="1">
        <v>21</v>
      </c>
      <c r="G435" s="1">
        <v>21</v>
      </c>
      <c r="H435" s="1">
        <v>22</v>
      </c>
      <c r="I435" s="1">
        <v>23</v>
      </c>
      <c r="J435" s="1">
        <v>20</v>
      </c>
      <c r="K435" s="1">
        <v>23</v>
      </c>
      <c r="L435" s="1">
        <v>22</v>
      </c>
      <c r="M435" s="1">
        <v>21</v>
      </c>
      <c r="N435" s="1">
        <v>23</v>
      </c>
      <c r="O435" s="1">
        <v>21</v>
      </c>
      <c r="P435" s="1">
        <v>21</v>
      </c>
      <c r="Q435" s="24">
        <f t="shared" si="18"/>
        <v>260</v>
      </c>
      <c r="R435" s="23">
        <v>0</v>
      </c>
      <c r="S435" s="1">
        <v>0</v>
      </c>
      <c r="T435" s="1">
        <v>0</v>
      </c>
      <c r="U435" s="1">
        <v>0</v>
      </c>
      <c r="V435" s="1">
        <v>0</v>
      </c>
      <c r="W435" s="1">
        <v>0</v>
      </c>
      <c r="X435" s="1">
        <v>0</v>
      </c>
      <c r="Y435" s="1">
        <v>0</v>
      </c>
      <c r="Z435" s="1">
        <v>0</v>
      </c>
      <c r="AA435" s="1">
        <v>0</v>
      </c>
      <c r="AB435" s="1">
        <v>0</v>
      </c>
      <c r="AC435" s="1">
        <v>0</v>
      </c>
      <c r="AD435" s="24">
        <f t="shared" si="19"/>
        <v>0</v>
      </c>
      <c r="AE435" s="23">
        <v>396369</v>
      </c>
      <c r="AF435" s="1">
        <v>318910</v>
      </c>
      <c r="AG435" s="1">
        <v>408961</v>
      </c>
      <c r="AH435" s="1">
        <v>365473</v>
      </c>
      <c r="AI435" s="1">
        <v>376570</v>
      </c>
      <c r="AJ435" s="1">
        <v>385064</v>
      </c>
      <c r="AK435" s="1">
        <v>442009</v>
      </c>
      <c r="AL435" s="1">
        <v>379650</v>
      </c>
      <c r="AM435" s="1">
        <v>444222</v>
      </c>
      <c r="AN435" s="1">
        <v>634567</v>
      </c>
      <c r="AO435" s="1">
        <v>397521</v>
      </c>
      <c r="AP435" s="1">
        <v>322464</v>
      </c>
      <c r="AQ435" s="24">
        <f t="shared" si="20"/>
        <v>4871780</v>
      </c>
    </row>
    <row r="436" spans="1:43" ht="17.25" customHeight="1" x14ac:dyDescent="0.45">
      <c r="A436" s="12" t="s">
        <v>185</v>
      </c>
      <c r="B436" s="12" t="s">
        <v>68</v>
      </c>
      <c r="C436" s="12" t="s">
        <v>14</v>
      </c>
      <c r="D436" s="12" t="s">
        <v>66</v>
      </c>
      <c r="E436" s="25">
        <v>22</v>
      </c>
      <c r="F436" s="10">
        <v>21</v>
      </c>
      <c r="G436" s="10">
        <v>21</v>
      </c>
      <c r="H436" s="10">
        <v>22</v>
      </c>
      <c r="I436" s="10">
        <v>23</v>
      </c>
      <c r="J436" s="10">
        <v>20</v>
      </c>
      <c r="K436" s="10">
        <v>23</v>
      </c>
      <c r="L436" s="10">
        <v>22</v>
      </c>
      <c r="M436" s="10">
        <v>21</v>
      </c>
      <c r="N436" s="10">
        <v>23</v>
      </c>
      <c r="O436" s="10">
        <v>21</v>
      </c>
      <c r="P436" s="10">
        <v>21</v>
      </c>
      <c r="Q436" s="26">
        <f t="shared" si="18"/>
        <v>260</v>
      </c>
      <c r="R436" s="25">
        <v>0</v>
      </c>
      <c r="S436" s="10">
        <v>0</v>
      </c>
      <c r="T436" s="10">
        <v>0</v>
      </c>
      <c r="U436" s="10">
        <v>0</v>
      </c>
      <c r="V436" s="10">
        <v>0</v>
      </c>
      <c r="W436" s="10">
        <v>0</v>
      </c>
      <c r="X436" s="10">
        <v>0</v>
      </c>
      <c r="Y436" s="10">
        <v>0</v>
      </c>
      <c r="Z436" s="10">
        <v>0</v>
      </c>
      <c r="AA436" s="10">
        <v>0</v>
      </c>
      <c r="AB436" s="10">
        <v>0</v>
      </c>
      <c r="AC436" s="10">
        <v>0</v>
      </c>
      <c r="AD436" s="26">
        <f t="shared" si="19"/>
        <v>0</v>
      </c>
      <c r="AE436" s="25">
        <v>921902</v>
      </c>
      <c r="AF436" s="10">
        <v>687572</v>
      </c>
      <c r="AG436" s="10">
        <v>864924</v>
      </c>
      <c r="AH436" s="10">
        <v>958345</v>
      </c>
      <c r="AI436" s="10">
        <v>1028037</v>
      </c>
      <c r="AJ436" s="10">
        <v>937644</v>
      </c>
      <c r="AK436" s="10">
        <v>964411</v>
      </c>
      <c r="AL436" s="10">
        <v>989580</v>
      </c>
      <c r="AM436" s="10">
        <v>950100</v>
      </c>
      <c r="AN436" s="10">
        <v>957922</v>
      </c>
      <c r="AO436" s="10">
        <v>923272</v>
      </c>
      <c r="AP436" s="10">
        <v>819299</v>
      </c>
      <c r="AQ436" s="26">
        <f t="shared" si="20"/>
        <v>11003008</v>
      </c>
    </row>
    <row r="437" spans="1:43" ht="17.25" customHeight="1" x14ac:dyDescent="0.45">
      <c r="A437" s="2" t="s">
        <v>186</v>
      </c>
      <c r="B437" s="2" t="s">
        <v>187</v>
      </c>
      <c r="C437" s="2" t="s">
        <v>11</v>
      </c>
      <c r="D437" s="2" t="s">
        <v>66</v>
      </c>
      <c r="E437" s="23">
        <v>26</v>
      </c>
      <c r="F437" s="1">
        <v>21</v>
      </c>
      <c r="G437" s="1">
        <v>21</v>
      </c>
      <c r="H437" s="1">
        <v>9</v>
      </c>
      <c r="I437" s="1">
        <v>9</v>
      </c>
      <c r="J437" s="1">
        <v>9</v>
      </c>
      <c r="K437" s="1">
        <v>8</v>
      </c>
      <c r="L437" s="1">
        <v>9</v>
      </c>
      <c r="M437" s="1">
        <v>9</v>
      </c>
      <c r="N437" s="1">
        <v>9</v>
      </c>
      <c r="O437" s="1">
        <v>9</v>
      </c>
      <c r="P437" s="1">
        <v>9</v>
      </c>
      <c r="Q437" s="24">
        <f t="shared" si="18"/>
        <v>148</v>
      </c>
      <c r="R437" s="23">
        <v>0</v>
      </c>
      <c r="S437" s="1">
        <v>0</v>
      </c>
      <c r="T437" s="1">
        <v>0</v>
      </c>
      <c r="U437" s="1">
        <v>0</v>
      </c>
      <c r="V437" s="1">
        <v>0</v>
      </c>
      <c r="W437" s="1">
        <v>0</v>
      </c>
      <c r="X437" s="1">
        <v>0</v>
      </c>
      <c r="Y437" s="1">
        <v>0</v>
      </c>
      <c r="Z437" s="1">
        <v>0</v>
      </c>
      <c r="AA437" s="1">
        <v>0</v>
      </c>
      <c r="AB437" s="1">
        <v>0</v>
      </c>
      <c r="AC437" s="1">
        <v>0</v>
      </c>
      <c r="AD437" s="24">
        <f t="shared" si="19"/>
        <v>0</v>
      </c>
      <c r="AE437" s="23">
        <v>1336668</v>
      </c>
      <c r="AF437" s="1">
        <v>963966.5</v>
      </c>
      <c r="AG437" s="1">
        <v>1014347.3</v>
      </c>
      <c r="AH437" s="1">
        <v>295371.09999999998</v>
      </c>
      <c r="AI437" s="1">
        <v>139661.19999999998</v>
      </c>
      <c r="AJ437" s="1">
        <v>189468.79999999999</v>
      </c>
      <c r="AK437" s="1">
        <v>134589.20000000001</v>
      </c>
      <c r="AL437" s="1">
        <v>103744</v>
      </c>
      <c r="AM437" s="1">
        <v>74641.5</v>
      </c>
      <c r="AN437" s="1">
        <v>98160.7</v>
      </c>
      <c r="AO437" s="1">
        <v>203495.7</v>
      </c>
      <c r="AP437" s="1">
        <v>173978.19999999998</v>
      </c>
      <c r="AQ437" s="24">
        <f t="shared" si="20"/>
        <v>4728092.2</v>
      </c>
    </row>
    <row r="438" spans="1:43" ht="17.25" customHeight="1" x14ac:dyDescent="0.45">
      <c r="A438" s="12" t="s">
        <v>186</v>
      </c>
      <c r="B438" s="12" t="s">
        <v>187</v>
      </c>
      <c r="C438" s="12" t="s">
        <v>14</v>
      </c>
      <c r="D438" s="12" t="s">
        <v>66</v>
      </c>
      <c r="E438" s="25">
        <v>17</v>
      </c>
      <c r="F438" s="10">
        <v>17</v>
      </c>
      <c r="G438" s="10">
        <v>18</v>
      </c>
      <c r="H438" s="10">
        <v>17</v>
      </c>
      <c r="I438" s="10">
        <v>17</v>
      </c>
      <c r="J438" s="10">
        <v>18</v>
      </c>
      <c r="K438" s="10">
        <v>12</v>
      </c>
      <c r="L438" s="10">
        <v>15</v>
      </c>
      <c r="M438" s="10">
        <v>13</v>
      </c>
      <c r="N438" s="10">
        <v>15</v>
      </c>
      <c r="O438" s="10">
        <v>14</v>
      </c>
      <c r="P438" s="10">
        <v>13</v>
      </c>
      <c r="Q438" s="26">
        <f t="shared" si="18"/>
        <v>186</v>
      </c>
      <c r="R438" s="25">
        <v>0</v>
      </c>
      <c r="S438" s="10">
        <v>0</v>
      </c>
      <c r="T438" s="10">
        <v>0</v>
      </c>
      <c r="U438" s="10">
        <v>0</v>
      </c>
      <c r="V438" s="10">
        <v>0</v>
      </c>
      <c r="W438" s="10">
        <v>0</v>
      </c>
      <c r="X438" s="10">
        <v>0</v>
      </c>
      <c r="Y438" s="10">
        <v>0</v>
      </c>
      <c r="Z438" s="10">
        <v>0</v>
      </c>
      <c r="AA438" s="10">
        <v>0</v>
      </c>
      <c r="AB438" s="10">
        <v>0</v>
      </c>
      <c r="AC438" s="10">
        <v>0</v>
      </c>
      <c r="AD438" s="26">
        <f t="shared" si="19"/>
        <v>0</v>
      </c>
      <c r="AE438" s="25">
        <v>902635.3</v>
      </c>
      <c r="AF438" s="10">
        <v>975609.89999999991</v>
      </c>
      <c r="AG438" s="10">
        <v>1077298.8</v>
      </c>
      <c r="AH438" s="10">
        <v>1043808.7999999999</v>
      </c>
      <c r="AI438" s="10">
        <v>980268.79999999993</v>
      </c>
      <c r="AJ438" s="10">
        <v>1097609</v>
      </c>
      <c r="AK438" s="10">
        <v>720225</v>
      </c>
      <c r="AL438" s="10">
        <v>893030</v>
      </c>
      <c r="AM438" s="10">
        <v>861181.79999999993</v>
      </c>
      <c r="AN438" s="10">
        <v>932407.20000000007</v>
      </c>
      <c r="AO438" s="10">
        <v>947141.9</v>
      </c>
      <c r="AP438" s="10">
        <v>769385.1</v>
      </c>
      <c r="AQ438" s="26">
        <f t="shared" si="20"/>
        <v>11200601.6</v>
      </c>
    </row>
    <row r="439" spans="1:43" ht="17.25" customHeight="1" x14ac:dyDescent="0.45">
      <c r="A439" s="2" t="s">
        <v>123</v>
      </c>
      <c r="B439" s="2" t="s">
        <v>81</v>
      </c>
      <c r="C439" s="2" t="s">
        <v>10</v>
      </c>
      <c r="D439" s="2" t="s">
        <v>66</v>
      </c>
      <c r="E439" s="23">
        <v>38</v>
      </c>
      <c r="F439" s="1">
        <v>32</v>
      </c>
      <c r="G439" s="1">
        <v>39</v>
      </c>
      <c r="H439" s="1">
        <v>38</v>
      </c>
      <c r="I439" s="1">
        <v>42</v>
      </c>
      <c r="J439" s="1">
        <v>49</v>
      </c>
      <c r="K439" s="1">
        <v>62</v>
      </c>
      <c r="L439" s="1">
        <v>68</v>
      </c>
      <c r="M439" s="1">
        <v>49</v>
      </c>
      <c r="N439" s="1">
        <v>44</v>
      </c>
      <c r="O439" s="1">
        <v>39</v>
      </c>
      <c r="P439" s="1">
        <v>43</v>
      </c>
      <c r="Q439" s="24">
        <f t="shared" si="18"/>
        <v>543</v>
      </c>
      <c r="R439" s="23">
        <v>13642</v>
      </c>
      <c r="S439" s="1">
        <v>11188</v>
      </c>
      <c r="T439" s="1">
        <v>13066</v>
      </c>
      <c r="U439" s="1">
        <v>13560</v>
      </c>
      <c r="V439" s="1">
        <v>13054</v>
      </c>
      <c r="W439" s="1">
        <v>15839</v>
      </c>
      <c r="X439" s="1">
        <v>23467</v>
      </c>
      <c r="Y439" s="1">
        <v>25743</v>
      </c>
      <c r="Z439" s="1">
        <v>15485</v>
      </c>
      <c r="AA439" s="1">
        <v>15941</v>
      </c>
      <c r="AB439" s="1">
        <v>14116</v>
      </c>
      <c r="AC439" s="1">
        <v>15219</v>
      </c>
      <c r="AD439" s="24">
        <f t="shared" si="19"/>
        <v>190320</v>
      </c>
      <c r="AE439" s="23">
        <v>143588</v>
      </c>
      <c r="AF439" s="1">
        <v>229506</v>
      </c>
      <c r="AG439" s="1">
        <v>351231</v>
      </c>
      <c r="AH439" s="1">
        <v>279264</v>
      </c>
      <c r="AI439" s="1">
        <v>254258</v>
      </c>
      <c r="AJ439" s="1">
        <v>279771</v>
      </c>
      <c r="AK439" s="1">
        <v>307626</v>
      </c>
      <c r="AL439" s="1">
        <v>397357</v>
      </c>
      <c r="AM439" s="1">
        <v>238000</v>
      </c>
      <c r="AN439" s="1">
        <v>259965</v>
      </c>
      <c r="AO439" s="1">
        <v>294188</v>
      </c>
      <c r="AP439" s="1">
        <v>238355</v>
      </c>
      <c r="AQ439" s="24">
        <f t="shared" si="20"/>
        <v>3273109</v>
      </c>
    </row>
    <row r="440" spans="1:43" ht="17.25" customHeight="1" x14ac:dyDescent="0.45">
      <c r="A440" s="12" t="s">
        <v>123</v>
      </c>
      <c r="B440" s="12" t="s">
        <v>81</v>
      </c>
      <c r="C440" s="12" t="s">
        <v>11</v>
      </c>
      <c r="D440" s="12" t="s">
        <v>66</v>
      </c>
      <c r="E440" s="25">
        <v>13</v>
      </c>
      <c r="F440" s="10">
        <v>13</v>
      </c>
      <c r="G440" s="10">
        <v>19</v>
      </c>
      <c r="H440" s="10">
        <v>21</v>
      </c>
      <c r="I440" s="10">
        <v>26</v>
      </c>
      <c r="J440" s="10">
        <v>30</v>
      </c>
      <c r="K440" s="10">
        <v>31</v>
      </c>
      <c r="L440" s="10">
        <v>31</v>
      </c>
      <c r="M440" s="10">
        <v>30</v>
      </c>
      <c r="N440" s="10">
        <v>26</v>
      </c>
      <c r="O440" s="10">
        <v>17</v>
      </c>
      <c r="P440" s="10">
        <v>18</v>
      </c>
      <c r="Q440" s="26">
        <f t="shared" si="18"/>
        <v>275</v>
      </c>
      <c r="R440" s="25">
        <v>2976</v>
      </c>
      <c r="S440" s="10">
        <v>2945</v>
      </c>
      <c r="T440" s="10">
        <v>4190</v>
      </c>
      <c r="U440" s="10">
        <v>5158</v>
      </c>
      <c r="V440" s="10">
        <v>6316</v>
      </c>
      <c r="W440" s="10">
        <v>7307</v>
      </c>
      <c r="X440" s="10">
        <v>7928</v>
      </c>
      <c r="Y440" s="10">
        <v>7764</v>
      </c>
      <c r="Z440" s="10">
        <v>7188</v>
      </c>
      <c r="AA440" s="10">
        <v>6848</v>
      </c>
      <c r="AB440" s="10">
        <v>4361</v>
      </c>
      <c r="AC440" s="10">
        <v>4066</v>
      </c>
      <c r="AD440" s="26">
        <f t="shared" si="19"/>
        <v>67047</v>
      </c>
      <c r="AE440" s="25">
        <v>104723</v>
      </c>
      <c r="AF440" s="10">
        <v>100950</v>
      </c>
      <c r="AG440" s="10">
        <v>193899</v>
      </c>
      <c r="AH440" s="10">
        <v>130643</v>
      </c>
      <c r="AI440" s="10">
        <v>141811</v>
      </c>
      <c r="AJ440" s="10">
        <v>164261</v>
      </c>
      <c r="AK440" s="10">
        <v>297217</v>
      </c>
      <c r="AL440" s="10">
        <v>229125</v>
      </c>
      <c r="AM440" s="10">
        <v>227065</v>
      </c>
      <c r="AN440" s="10">
        <v>232959</v>
      </c>
      <c r="AO440" s="10">
        <v>144066</v>
      </c>
      <c r="AP440" s="10">
        <v>170601</v>
      </c>
      <c r="AQ440" s="26">
        <f t="shared" si="20"/>
        <v>2137320</v>
      </c>
    </row>
    <row r="441" spans="1:43" ht="17.25" customHeight="1" x14ac:dyDescent="0.45">
      <c r="A441" s="2" t="s">
        <v>123</v>
      </c>
      <c r="B441" s="2" t="s">
        <v>81</v>
      </c>
      <c r="C441" s="2" t="s">
        <v>12</v>
      </c>
      <c r="D441" s="2" t="s">
        <v>66</v>
      </c>
      <c r="E441" s="23">
        <v>175</v>
      </c>
      <c r="F441" s="1">
        <v>162</v>
      </c>
      <c r="G441" s="1">
        <v>172</v>
      </c>
      <c r="H441" s="1">
        <v>176</v>
      </c>
      <c r="I441" s="1">
        <v>181</v>
      </c>
      <c r="J441" s="1">
        <v>177</v>
      </c>
      <c r="K441" s="1">
        <v>182</v>
      </c>
      <c r="L441" s="1">
        <v>181</v>
      </c>
      <c r="M441" s="1">
        <v>176</v>
      </c>
      <c r="N441" s="1">
        <v>169</v>
      </c>
      <c r="O441" s="1">
        <v>159</v>
      </c>
      <c r="P441" s="1">
        <v>167</v>
      </c>
      <c r="Q441" s="24">
        <f t="shared" si="18"/>
        <v>2077</v>
      </c>
      <c r="R441" s="23">
        <v>47445</v>
      </c>
      <c r="S441" s="1">
        <v>39427</v>
      </c>
      <c r="T441" s="1">
        <v>43015</v>
      </c>
      <c r="U441" s="1">
        <v>47292</v>
      </c>
      <c r="V441" s="1">
        <v>47037</v>
      </c>
      <c r="W441" s="1">
        <v>46799</v>
      </c>
      <c r="X441" s="1">
        <v>54132</v>
      </c>
      <c r="Y441" s="1">
        <v>54329</v>
      </c>
      <c r="Z441" s="1">
        <v>47879</v>
      </c>
      <c r="AA441" s="1">
        <v>51869</v>
      </c>
      <c r="AB441" s="1">
        <v>47639</v>
      </c>
      <c r="AC441" s="1">
        <v>47324</v>
      </c>
      <c r="AD441" s="24">
        <f t="shared" si="19"/>
        <v>574187</v>
      </c>
      <c r="AE441" s="23">
        <v>1934732</v>
      </c>
      <c r="AF441" s="1">
        <v>2171607</v>
      </c>
      <c r="AG441" s="1">
        <v>2419473</v>
      </c>
      <c r="AH441" s="1">
        <v>2143933</v>
      </c>
      <c r="AI441" s="1">
        <v>2044701</v>
      </c>
      <c r="AJ441" s="1">
        <v>2008714</v>
      </c>
      <c r="AK441" s="1">
        <v>2160971</v>
      </c>
      <c r="AL441" s="1">
        <v>2112728</v>
      </c>
      <c r="AM441" s="1">
        <v>2028976</v>
      </c>
      <c r="AN441" s="1">
        <v>1939576</v>
      </c>
      <c r="AO441" s="1">
        <v>1895427</v>
      </c>
      <c r="AP441" s="1">
        <v>1760080</v>
      </c>
      <c r="AQ441" s="24">
        <f t="shared" si="20"/>
        <v>24620918</v>
      </c>
    </row>
    <row r="442" spans="1:43" ht="17.25" customHeight="1" x14ac:dyDescent="0.45">
      <c r="A442" s="12" t="s">
        <v>123</v>
      </c>
      <c r="B442" s="12" t="s">
        <v>81</v>
      </c>
      <c r="C442" s="12" t="s">
        <v>13</v>
      </c>
      <c r="D442" s="12" t="s">
        <v>66</v>
      </c>
      <c r="E442" s="25">
        <v>13</v>
      </c>
      <c r="F442" s="10">
        <v>13</v>
      </c>
      <c r="G442" s="10">
        <v>18</v>
      </c>
      <c r="H442" s="10">
        <v>22</v>
      </c>
      <c r="I442" s="10">
        <v>26</v>
      </c>
      <c r="J442" s="10">
        <v>28</v>
      </c>
      <c r="K442" s="10">
        <v>31</v>
      </c>
      <c r="L442" s="10">
        <v>31</v>
      </c>
      <c r="M442" s="10">
        <v>30</v>
      </c>
      <c r="N442" s="10">
        <v>26</v>
      </c>
      <c r="O442" s="10">
        <v>17</v>
      </c>
      <c r="P442" s="10">
        <v>16</v>
      </c>
      <c r="Q442" s="26">
        <f t="shared" si="18"/>
        <v>271</v>
      </c>
      <c r="R442" s="25">
        <v>3018</v>
      </c>
      <c r="S442" s="10">
        <v>2877</v>
      </c>
      <c r="T442" s="10">
        <v>3894</v>
      </c>
      <c r="U442" s="10">
        <v>4386</v>
      </c>
      <c r="V442" s="10">
        <v>4976</v>
      </c>
      <c r="W442" s="10">
        <v>5977</v>
      </c>
      <c r="X442" s="10">
        <v>7244</v>
      </c>
      <c r="Y442" s="10">
        <v>7135</v>
      </c>
      <c r="Z442" s="10">
        <v>6184</v>
      </c>
      <c r="AA442" s="10">
        <v>6498</v>
      </c>
      <c r="AB442" s="10">
        <v>4076</v>
      </c>
      <c r="AC442" s="10">
        <v>3661</v>
      </c>
      <c r="AD442" s="26">
        <f t="shared" si="19"/>
        <v>59926</v>
      </c>
      <c r="AE442" s="25">
        <v>103407</v>
      </c>
      <c r="AF442" s="10">
        <v>129541</v>
      </c>
      <c r="AG442" s="10">
        <v>197873</v>
      </c>
      <c r="AH442" s="10">
        <v>189952</v>
      </c>
      <c r="AI442" s="10">
        <v>231992</v>
      </c>
      <c r="AJ442" s="10">
        <v>236561</v>
      </c>
      <c r="AK442" s="10">
        <v>275181</v>
      </c>
      <c r="AL442" s="10">
        <v>323966</v>
      </c>
      <c r="AM442" s="10">
        <v>236834</v>
      </c>
      <c r="AN442" s="10">
        <v>286534</v>
      </c>
      <c r="AO442" s="10">
        <v>206052</v>
      </c>
      <c r="AP442" s="10">
        <v>166943</v>
      </c>
      <c r="AQ442" s="26">
        <f t="shared" si="20"/>
        <v>2584836</v>
      </c>
    </row>
    <row r="443" spans="1:43" ht="17.25" customHeight="1" x14ac:dyDescent="0.45">
      <c r="A443" s="2" t="s">
        <v>195</v>
      </c>
      <c r="B443" s="2" t="s">
        <v>196</v>
      </c>
      <c r="C443" s="2" t="s">
        <v>12</v>
      </c>
      <c r="D443" s="2" t="s">
        <v>66</v>
      </c>
      <c r="E443" s="23">
        <v>30</v>
      </c>
      <c r="F443" s="1">
        <v>29</v>
      </c>
      <c r="G443" s="1">
        <v>28</v>
      </c>
      <c r="H443" s="1">
        <v>17</v>
      </c>
      <c r="I443" s="1">
        <v>19</v>
      </c>
      <c r="J443" s="1">
        <v>16</v>
      </c>
      <c r="K443" s="1">
        <v>18</v>
      </c>
      <c r="L443" s="1">
        <v>17</v>
      </c>
      <c r="M443" s="1">
        <v>18</v>
      </c>
      <c r="N443" s="1">
        <v>17</v>
      </c>
      <c r="O443" s="1">
        <v>17</v>
      </c>
      <c r="P443" s="1">
        <v>18</v>
      </c>
      <c r="Q443" s="24">
        <f t="shared" si="18"/>
        <v>244</v>
      </c>
      <c r="R443" s="23">
        <v>2231</v>
      </c>
      <c r="S443" s="1">
        <v>1735</v>
      </c>
      <c r="T443" s="1">
        <v>1756</v>
      </c>
      <c r="U443" s="1">
        <v>1068</v>
      </c>
      <c r="V443" s="1">
        <v>1082</v>
      </c>
      <c r="W443" s="1">
        <v>960</v>
      </c>
      <c r="X443" s="1">
        <v>1207</v>
      </c>
      <c r="Y443" s="1">
        <v>1205</v>
      </c>
      <c r="Z443" s="1">
        <v>1076</v>
      </c>
      <c r="AA443" s="1">
        <v>945</v>
      </c>
      <c r="AB443" s="1">
        <v>1075</v>
      </c>
      <c r="AC443" s="1">
        <v>1071</v>
      </c>
      <c r="AD443" s="24">
        <f t="shared" si="19"/>
        <v>15411</v>
      </c>
      <c r="AE443" s="23">
        <v>0</v>
      </c>
      <c r="AF443" s="1">
        <v>15</v>
      </c>
      <c r="AG443" s="1">
        <v>0</v>
      </c>
      <c r="AH443" s="1">
        <v>0</v>
      </c>
      <c r="AI443" s="1">
        <v>17</v>
      </c>
      <c r="AJ443" s="1">
        <v>0</v>
      </c>
      <c r="AK443" s="1">
        <v>0</v>
      </c>
      <c r="AL443" s="1">
        <v>0</v>
      </c>
      <c r="AM443" s="1">
        <v>0</v>
      </c>
      <c r="AN443" s="1">
        <v>0</v>
      </c>
      <c r="AO443" s="1">
        <v>0</v>
      </c>
      <c r="AP443" s="1">
        <v>0</v>
      </c>
      <c r="AQ443" s="24">
        <f t="shared" si="20"/>
        <v>32</v>
      </c>
    </row>
    <row r="444" spans="1:43" ht="17.25" customHeight="1" x14ac:dyDescent="0.45">
      <c r="A444" s="12" t="s">
        <v>124</v>
      </c>
      <c r="B444" s="12" t="s">
        <v>85</v>
      </c>
      <c r="C444" s="12" t="s">
        <v>10</v>
      </c>
      <c r="D444" s="12" t="s">
        <v>66</v>
      </c>
      <c r="E444" s="25">
        <v>19</v>
      </c>
      <c r="F444" s="10">
        <v>16</v>
      </c>
      <c r="G444" s="10">
        <v>17</v>
      </c>
      <c r="H444" s="10">
        <v>19</v>
      </c>
      <c r="I444" s="10">
        <v>27</v>
      </c>
      <c r="J444" s="10">
        <v>25</v>
      </c>
      <c r="K444" s="10">
        <v>25</v>
      </c>
      <c r="L444" s="10">
        <v>27</v>
      </c>
      <c r="M444" s="10">
        <v>27</v>
      </c>
      <c r="N444" s="10">
        <v>25</v>
      </c>
      <c r="O444" s="10">
        <v>17</v>
      </c>
      <c r="P444" s="10">
        <v>17</v>
      </c>
      <c r="Q444" s="26">
        <f t="shared" si="18"/>
        <v>261</v>
      </c>
      <c r="R444" s="25">
        <v>5189</v>
      </c>
      <c r="S444" s="10">
        <v>4529</v>
      </c>
      <c r="T444" s="10">
        <v>4854</v>
      </c>
      <c r="U444" s="10">
        <v>5476</v>
      </c>
      <c r="V444" s="10">
        <v>8837</v>
      </c>
      <c r="W444" s="10">
        <v>8355</v>
      </c>
      <c r="X444" s="10">
        <v>8295</v>
      </c>
      <c r="Y444" s="10">
        <v>9089</v>
      </c>
      <c r="Z444" s="10">
        <v>8468</v>
      </c>
      <c r="AA444" s="10">
        <v>7606</v>
      </c>
      <c r="AB444" s="10">
        <v>5050</v>
      </c>
      <c r="AC444" s="10">
        <v>4898</v>
      </c>
      <c r="AD444" s="26">
        <f t="shared" si="19"/>
        <v>80646</v>
      </c>
      <c r="AE444" s="25">
        <v>0</v>
      </c>
      <c r="AF444" s="10">
        <v>0</v>
      </c>
      <c r="AG444" s="10">
        <v>0</v>
      </c>
      <c r="AH444" s="10">
        <v>0</v>
      </c>
      <c r="AI444" s="10">
        <v>0</v>
      </c>
      <c r="AJ444" s="10">
        <v>0</v>
      </c>
      <c r="AK444" s="10">
        <v>0</v>
      </c>
      <c r="AL444" s="10">
        <v>0</v>
      </c>
      <c r="AM444" s="10">
        <v>0</v>
      </c>
      <c r="AN444" s="10">
        <v>0</v>
      </c>
      <c r="AO444" s="10">
        <v>0</v>
      </c>
      <c r="AP444" s="10">
        <v>0</v>
      </c>
      <c r="AQ444" s="26">
        <f t="shared" si="20"/>
        <v>0</v>
      </c>
    </row>
    <row r="445" spans="1:43" ht="17.25" customHeight="1" x14ac:dyDescent="0.45">
      <c r="A445" s="2" t="s">
        <v>124</v>
      </c>
      <c r="B445" s="2" t="s">
        <v>85</v>
      </c>
      <c r="C445" s="2" t="s">
        <v>17</v>
      </c>
      <c r="D445" s="2" t="s">
        <v>66</v>
      </c>
      <c r="E445" s="23">
        <v>5</v>
      </c>
      <c r="F445" s="1">
        <v>4</v>
      </c>
      <c r="G445" s="1">
        <v>4</v>
      </c>
      <c r="H445" s="1">
        <v>4</v>
      </c>
      <c r="I445" s="1">
        <v>0</v>
      </c>
      <c r="J445" s="1">
        <v>0</v>
      </c>
      <c r="K445" s="1">
        <v>0</v>
      </c>
      <c r="L445" s="1">
        <v>0</v>
      </c>
      <c r="M445" s="1">
        <v>0</v>
      </c>
      <c r="N445" s="1">
        <v>0</v>
      </c>
      <c r="O445" s="1">
        <v>0</v>
      </c>
      <c r="P445" s="1">
        <v>0</v>
      </c>
      <c r="Q445" s="24">
        <f t="shared" si="18"/>
        <v>17</v>
      </c>
      <c r="R445" s="23">
        <v>1329</v>
      </c>
      <c r="S445" s="1">
        <v>926</v>
      </c>
      <c r="T445" s="1">
        <v>983</v>
      </c>
      <c r="U445" s="1">
        <v>971</v>
      </c>
      <c r="V445" s="1">
        <v>0</v>
      </c>
      <c r="W445" s="1">
        <v>0</v>
      </c>
      <c r="X445" s="1">
        <v>0</v>
      </c>
      <c r="Y445" s="1">
        <v>0</v>
      </c>
      <c r="Z445" s="1">
        <v>0</v>
      </c>
      <c r="AA445" s="1">
        <v>0</v>
      </c>
      <c r="AB445" s="1">
        <v>0</v>
      </c>
      <c r="AC445" s="1">
        <v>0</v>
      </c>
      <c r="AD445" s="24">
        <f t="shared" si="19"/>
        <v>4209</v>
      </c>
      <c r="AE445" s="23">
        <v>0</v>
      </c>
      <c r="AF445" s="1">
        <v>0</v>
      </c>
      <c r="AG445" s="1">
        <v>0</v>
      </c>
      <c r="AH445" s="1">
        <v>0</v>
      </c>
      <c r="AI445" s="1">
        <v>0</v>
      </c>
      <c r="AJ445" s="1">
        <v>0</v>
      </c>
      <c r="AK445" s="1">
        <v>0</v>
      </c>
      <c r="AL445" s="1">
        <v>0</v>
      </c>
      <c r="AM445" s="1">
        <v>0</v>
      </c>
      <c r="AN445" s="1">
        <v>0</v>
      </c>
      <c r="AO445" s="1">
        <v>0</v>
      </c>
      <c r="AP445" s="1">
        <v>0</v>
      </c>
      <c r="AQ445" s="24">
        <f t="shared" si="20"/>
        <v>0</v>
      </c>
    </row>
    <row r="446" spans="1:43" ht="17.25" customHeight="1" x14ac:dyDescent="0.45">
      <c r="A446" s="12" t="s">
        <v>56</v>
      </c>
      <c r="B446" s="12" t="s">
        <v>66</v>
      </c>
      <c r="C446" s="12" t="s">
        <v>77</v>
      </c>
      <c r="D446" s="12" t="s">
        <v>68</v>
      </c>
      <c r="E446" s="25">
        <v>0</v>
      </c>
      <c r="F446" s="10">
        <v>0</v>
      </c>
      <c r="G446" s="10">
        <v>0</v>
      </c>
      <c r="H446" s="10">
        <v>0</v>
      </c>
      <c r="I446" s="10">
        <v>0</v>
      </c>
      <c r="J446" s="10">
        <v>0</v>
      </c>
      <c r="K446" s="10">
        <v>0</v>
      </c>
      <c r="L446" s="10">
        <v>0</v>
      </c>
      <c r="M446" s="10">
        <v>0</v>
      </c>
      <c r="N446" s="10">
        <v>0</v>
      </c>
      <c r="O446" s="10">
        <v>4</v>
      </c>
      <c r="P446" s="10">
        <v>5</v>
      </c>
      <c r="Q446" s="26">
        <f t="shared" si="18"/>
        <v>9</v>
      </c>
      <c r="R446" s="25">
        <v>0</v>
      </c>
      <c r="S446" s="10">
        <v>0</v>
      </c>
      <c r="T446" s="10">
        <v>0</v>
      </c>
      <c r="U446" s="10">
        <v>0</v>
      </c>
      <c r="V446" s="10">
        <v>0</v>
      </c>
      <c r="W446" s="10">
        <v>0</v>
      </c>
      <c r="X446" s="10">
        <v>0</v>
      </c>
      <c r="Y446" s="10">
        <v>0</v>
      </c>
      <c r="Z446" s="10">
        <v>0</v>
      </c>
      <c r="AA446" s="10">
        <v>0</v>
      </c>
      <c r="AB446" s="10">
        <v>89</v>
      </c>
      <c r="AC446" s="10">
        <v>160</v>
      </c>
      <c r="AD446" s="26">
        <f t="shared" si="19"/>
        <v>249</v>
      </c>
      <c r="AE446" s="25">
        <v>0</v>
      </c>
      <c r="AF446" s="10">
        <v>0</v>
      </c>
      <c r="AG446" s="10">
        <v>0</v>
      </c>
      <c r="AH446" s="10">
        <v>0</v>
      </c>
      <c r="AI446" s="10">
        <v>0</v>
      </c>
      <c r="AJ446" s="10">
        <v>0</v>
      </c>
      <c r="AK446" s="10">
        <v>0</v>
      </c>
      <c r="AL446" s="10">
        <v>0</v>
      </c>
      <c r="AM446" s="10">
        <v>0</v>
      </c>
      <c r="AN446" s="10">
        <v>0</v>
      </c>
      <c r="AO446" s="10">
        <v>0</v>
      </c>
      <c r="AP446" s="10">
        <v>0</v>
      </c>
      <c r="AQ446" s="26">
        <f t="shared" si="20"/>
        <v>0</v>
      </c>
    </row>
    <row r="447" spans="1:43" ht="17.25" customHeight="1" x14ac:dyDescent="0.45">
      <c r="A447" s="2" t="s">
        <v>56</v>
      </c>
      <c r="B447" s="2" t="s">
        <v>66</v>
      </c>
      <c r="C447" s="2" t="s">
        <v>94</v>
      </c>
      <c r="D447" s="2" t="s">
        <v>65</v>
      </c>
      <c r="E447" s="23">
        <v>12</v>
      </c>
      <c r="F447" s="1">
        <v>13</v>
      </c>
      <c r="G447" s="1">
        <v>14</v>
      </c>
      <c r="H447" s="1">
        <v>8</v>
      </c>
      <c r="I447" s="1">
        <v>0</v>
      </c>
      <c r="J447" s="1">
        <v>0</v>
      </c>
      <c r="K447" s="1">
        <v>0</v>
      </c>
      <c r="L447" s="1">
        <v>0</v>
      </c>
      <c r="M447" s="1">
        <v>0</v>
      </c>
      <c r="N447" s="1">
        <v>1</v>
      </c>
      <c r="O447" s="1">
        <v>9</v>
      </c>
      <c r="P447" s="1">
        <v>14</v>
      </c>
      <c r="Q447" s="24">
        <f t="shared" si="18"/>
        <v>71</v>
      </c>
      <c r="R447" s="23">
        <v>1470</v>
      </c>
      <c r="S447" s="1">
        <v>2161</v>
      </c>
      <c r="T447" s="1">
        <v>2152</v>
      </c>
      <c r="U447" s="1">
        <v>1142</v>
      </c>
      <c r="V447" s="1">
        <v>0</v>
      </c>
      <c r="W447" s="1">
        <v>0</v>
      </c>
      <c r="X447" s="1">
        <v>0</v>
      </c>
      <c r="Y447" s="1">
        <v>0</v>
      </c>
      <c r="Z447" s="1">
        <v>0</v>
      </c>
      <c r="AA447" s="1">
        <v>10</v>
      </c>
      <c r="AB447" s="1">
        <v>632</v>
      </c>
      <c r="AC447" s="1">
        <v>1211</v>
      </c>
      <c r="AD447" s="24">
        <f t="shared" si="19"/>
        <v>8778</v>
      </c>
      <c r="AE447" s="23">
        <v>0</v>
      </c>
      <c r="AF447" s="1">
        <v>0</v>
      </c>
      <c r="AG447" s="1">
        <v>0</v>
      </c>
      <c r="AH447" s="1">
        <v>0</v>
      </c>
      <c r="AI447" s="1">
        <v>0</v>
      </c>
      <c r="AJ447" s="1">
        <v>0</v>
      </c>
      <c r="AK447" s="1">
        <v>0</v>
      </c>
      <c r="AL447" s="1">
        <v>0</v>
      </c>
      <c r="AM447" s="1">
        <v>0</v>
      </c>
      <c r="AN447" s="1">
        <v>0</v>
      </c>
      <c r="AO447" s="1">
        <v>0</v>
      </c>
      <c r="AP447" s="1">
        <v>0</v>
      </c>
      <c r="AQ447" s="24">
        <f t="shared" si="20"/>
        <v>0</v>
      </c>
    </row>
    <row r="448" spans="1:43" ht="17.25" customHeight="1" x14ac:dyDescent="0.45">
      <c r="A448" s="12" t="s">
        <v>56</v>
      </c>
      <c r="B448" s="12" t="s">
        <v>66</v>
      </c>
      <c r="C448" s="12" t="s">
        <v>67</v>
      </c>
      <c r="D448" s="12" t="s">
        <v>68</v>
      </c>
      <c r="E448" s="25">
        <v>9</v>
      </c>
      <c r="F448" s="10">
        <v>8</v>
      </c>
      <c r="G448" s="10">
        <v>9</v>
      </c>
      <c r="H448" s="10">
        <v>1</v>
      </c>
      <c r="I448" s="10">
        <v>0</v>
      </c>
      <c r="J448" s="10">
        <v>0</v>
      </c>
      <c r="K448" s="10">
        <v>0</v>
      </c>
      <c r="L448" s="10">
        <v>0</v>
      </c>
      <c r="M448" s="10">
        <v>0</v>
      </c>
      <c r="N448" s="10">
        <v>0</v>
      </c>
      <c r="O448" s="10">
        <v>5</v>
      </c>
      <c r="P448" s="10">
        <v>6</v>
      </c>
      <c r="Q448" s="26">
        <f t="shared" si="18"/>
        <v>38</v>
      </c>
      <c r="R448" s="25">
        <v>656</v>
      </c>
      <c r="S448" s="10">
        <v>589</v>
      </c>
      <c r="T448" s="10">
        <v>646</v>
      </c>
      <c r="U448" s="10">
        <v>72</v>
      </c>
      <c r="V448" s="10">
        <v>0</v>
      </c>
      <c r="W448" s="10">
        <v>0</v>
      </c>
      <c r="X448" s="10">
        <v>0</v>
      </c>
      <c r="Y448" s="10">
        <v>0</v>
      </c>
      <c r="Z448" s="10">
        <v>0</v>
      </c>
      <c r="AA448" s="10">
        <v>0</v>
      </c>
      <c r="AB448" s="10">
        <v>216</v>
      </c>
      <c r="AC448" s="10">
        <v>231</v>
      </c>
      <c r="AD448" s="26">
        <f t="shared" si="19"/>
        <v>2410</v>
      </c>
      <c r="AE448" s="25">
        <v>0</v>
      </c>
      <c r="AF448" s="10">
        <v>0</v>
      </c>
      <c r="AG448" s="10">
        <v>0</v>
      </c>
      <c r="AH448" s="10">
        <v>0</v>
      </c>
      <c r="AI448" s="10">
        <v>0</v>
      </c>
      <c r="AJ448" s="10">
        <v>0</v>
      </c>
      <c r="AK448" s="10">
        <v>0</v>
      </c>
      <c r="AL448" s="10">
        <v>0</v>
      </c>
      <c r="AM448" s="10">
        <v>0</v>
      </c>
      <c r="AN448" s="10">
        <v>0</v>
      </c>
      <c r="AO448" s="10">
        <v>0</v>
      </c>
      <c r="AP448" s="10">
        <v>0</v>
      </c>
      <c r="AQ448" s="26">
        <f t="shared" si="20"/>
        <v>0</v>
      </c>
    </row>
    <row r="449" spans="1:43" ht="17.25" customHeight="1" x14ac:dyDescent="0.45">
      <c r="A449" s="2" t="s">
        <v>56</v>
      </c>
      <c r="B449" s="2" t="s">
        <v>66</v>
      </c>
      <c r="C449" s="2" t="s">
        <v>69</v>
      </c>
      <c r="D449" s="2" t="s">
        <v>68</v>
      </c>
      <c r="E449" s="23">
        <v>4</v>
      </c>
      <c r="F449" s="1">
        <v>4</v>
      </c>
      <c r="G449" s="1">
        <v>6</v>
      </c>
      <c r="H449" s="1">
        <v>4</v>
      </c>
      <c r="I449" s="1">
        <v>0</v>
      </c>
      <c r="J449" s="1">
        <v>0</v>
      </c>
      <c r="K449" s="1">
        <v>0</v>
      </c>
      <c r="L449" s="1">
        <v>0</v>
      </c>
      <c r="M449" s="1">
        <v>1</v>
      </c>
      <c r="N449" s="1">
        <v>4</v>
      </c>
      <c r="O449" s="1">
        <v>5</v>
      </c>
      <c r="P449" s="1">
        <v>5</v>
      </c>
      <c r="Q449" s="24">
        <f t="shared" si="18"/>
        <v>33</v>
      </c>
      <c r="R449" s="23">
        <v>245</v>
      </c>
      <c r="S449" s="1">
        <v>241</v>
      </c>
      <c r="T449" s="1">
        <v>393</v>
      </c>
      <c r="U449" s="1">
        <v>272</v>
      </c>
      <c r="V449" s="1">
        <v>0</v>
      </c>
      <c r="W449" s="1">
        <v>0</v>
      </c>
      <c r="X449" s="1">
        <v>0</v>
      </c>
      <c r="Y449" s="1">
        <v>0</v>
      </c>
      <c r="Z449" s="1">
        <v>13</v>
      </c>
      <c r="AA449" s="1">
        <v>163</v>
      </c>
      <c r="AB449" s="1">
        <v>257</v>
      </c>
      <c r="AC449" s="1">
        <v>178</v>
      </c>
      <c r="AD449" s="24">
        <f t="shared" si="19"/>
        <v>1762</v>
      </c>
      <c r="AE449" s="23">
        <v>0</v>
      </c>
      <c r="AF449" s="1">
        <v>0</v>
      </c>
      <c r="AG449" s="1">
        <v>0</v>
      </c>
      <c r="AH449" s="1">
        <v>0</v>
      </c>
      <c r="AI449" s="1">
        <v>0</v>
      </c>
      <c r="AJ449" s="1">
        <v>0</v>
      </c>
      <c r="AK449" s="1">
        <v>0</v>
      </c>
      <c r="AL449" s="1">
        <v>0</v>
      </c>
      <c r="AM449" s="1">
        <v>0</v>
      </c>
      <c r="AN449" s="1">
        <v>0</v>
      </c>
      <c r="AO449" s="1">
        <v>0</v>
      </c>
      <c r="AP449" s="1">
        <v>0</v>
      </c>
      <c r="AQ449" s="24">
        <f t="shared" si="20"/>
        <v>0</v>
      </c>
    </row>
    <row r="450" spans="1:43" ht="17.25" customHeight="1" x14ac:dyDescent="0.45">
      <c r="A450" s="12" t="s">
        <v>56</v>
      </c>
      <c r="B450" s="12" t="s">
        <v>66</v>
      </c>
      <c r="C450" s="12" t="s">
        <v>73</v>
      </c>
      <c r="D450" s="12" t="s">
        <v>68</v>
      </c>
      <c r="E450" s="25">
        <v>16</v>
      </c>
      <c r="F450" s="10">
        <v>16</v>
      </c>
      <c r="G450" s="10">
        <v>19</v>
      </c>
      <c r="H450" s="10">
        <v>14</v>
      </c>
      <c r="I450" s="10">
        <v>14</v>
      </c>
      <c r="J450" s="10">
        <v>14</v>
      </c>
      <c r="K450" s="10">
        <v>13</v>
      </c>
      <c r="L450" s="10">
        <v>14</v>
      </c>
      <c r="M450" s="10">
        <v>13</v>
      </c>
      <c r="N450" s="10">
        <v>13</v>
      </c>
      <c r="O450" s="10">
        <v>17</v>
      </c>
      <c r="P450" s="10">
        <v>28</v>
      </c>
      <c r="Q450" s="26">
        <f t="shared" si="18"/>
        <v>191</v>
      </c>
      <c r="R450" s="25">
        <v>2458</v>
      </c>
      <c r="S450" s="10">
        <v>2615</v>
      </c>
      <c r="T450" s="10">
        <v>2872</v>
      </c>
      <c r="U450" s="10">
        <v>1920</v>
      </c>
      <c r="V450" s="10">
        <v>1807</v>
      </c>
      <c r="W450" s="10">
        <v>1452</v>
      </c>
      <c r="X450" s="10">
        <v>1200</v>
      </c>
      <c r="Y450" s="10">
        <v>1304</v>
      </c>
      <c r="Z450" s="10">
        <v>833</v>
      </c>
      <c r="AA450" s="10">
        <v>1041</v>
      </c>
      <c r="AB450" s="10">
        <v>1556</v>
      </c>
      <c r="AC450" s="10">
        <v>2316</v>
      </c>
      <c r="AD450" s="26">
        <f t="shared" si="19"/>
        <v>21374</v>
      </c>
      <c r="AE450" s="25">
        <v>165</v>
      </c>
      <c r="AF450" s="10">
        <v>23</v>
      </c>
      <c r="AG450" s="10">
        <v>160</v>
      </c>
      <c r="AH450" s="10">
        <v>81</v>
      </c>
      <c r="AI450" s="10">
        <v>146</v>
      </c>
      <c r="AJ450" s="10">
        <v>19</v>
      </c>
      <c r="AK450" s="10">
        <v>9</v>
      </c>
      <c r="AL450" s="10">
        <v>23</v>
      </c>
      <c r="AM450" s="10">
        <v>0</v>
      </c>
      <c r="AN450" s="10">
        <v>0</v>
      </c>
      <c r="AO450" s="10">
        <v>0</v>
      </c>
      <c r="AP450" s="10">
        <v>0</v>
      </c>
      <c r="AQ450" s="26">
        <f t="shared" si="20"/>
        <v>626</v>
      </c>
    </row>
    <row r="451" spans="1:43" ht="17.25" customHeight="1" x14ac:dyDescent="0.45">
      <c r="A451" s="2" t="s">
        <v>56</v>
      </c>
      <c r="B451" s="2" t="s">
        <v>66</v>
      </c>
      <c r="C451" s="2" t="s">
        <v>142</v>
      </c>
      <c r="D451" s="2" t="s">
        <v>68</v>
      </c>
      <c r="E451" s="23">
        <v>9</v>
      </c>
      <c r="F451" s="1">
        <v>8</v>
      </c>
      <c r="G451" s="1">
        <v>9</v>
      </c>
      <c r="H451" s="1">
        <v>1</v>
      </c>
      <c r="I451" s="1">
        <v>0</v>
      </c>
      <c r="J451" s="1">
        <v>0</v>
      </c>
      <c r="K451" s="1">
        <v>0</v>
      </c>
      <c r="L451" s="1">
        <v>0</v>
      </c>
      <c r="M451" s="1">
        <v>0</v>
      </c>
      <c r="N451" s="1">
        <v>0</v>
      </c>
      <c r="O451" s="1">
        <v>3</v>
      </c>
      <c r="P451" s="1">
        <v>7</v>
      </c>
      <c r="Q451" s="24">
        <f t="shared" si="18"/>
        <v>37</v>
      </c>
      <c r="R451" s="23">
        <v>529</v>
      </c>
      <c r="S451" s="1">
        <v>472</v>
      </c>
      <c r="T451" s="1">
        <v>554</v>
      </c>
      <c r="U451" s="1">
        <v>55</v>
      </c>
      <c r="V451" s="1">
        <v>0</v>
      </c>
      <c r="W451" s="1">
        <v>0</v>
      </c>
      <c r="X451" s="1">
        <v>0</v>
      </c>
      <c r="Y451" s="1">
        <v>0</v>
      </c>
      <c r="Z451" s="1">
        <v>0</v>
      </c>
      <c r="AA451" s="1">
        <v>0</v>
      </c>
      <c r="AB451" s="1">
        <v>101</v>
      </c>
      <c r="AC451" s="1">
        <v>234</v>
      </c>
      <c r="AD451" s="24">
        <f t="shared" si="19"/>
        <v>1945</v>
      </c>
      <c r="AE451" s="23">
        <v>0</v>
      </c>
      <c r="AF451" s="1">
        <v>0</v>
      </c>
      <c r="AG451" s="1">
        <v>0</v>
      </c>
      <c r="AH451" s="1">
        <v>0</v>
      </c>
      <c r="AI451" s="1">
        <v>0</v>
      </c>
      <c r="AJ451" s="1">
        <v>0</v>
      </c>
      <c r="AK451" s="1">
        <v>0</v>
      </c>
      <c r="AL451" s="1">
        <v>0</v>
      </c>
      <c r="AM451" s="1">
        <v>0</v>
      </c>
      <c r="AN451" s="1">
        <v>0</v>
      </c>
      <c r="AO451" s="1">
        <v>0</v>
      </c>
      <c r="AP451" s="1">
        <v>0</v>
      </c>
      <c r="AQ451" s="24">
        <f t="shared" si="20"/>
        <v>0</v>
      </c>
    </row>
    <row r="452" spans="1:43" ht="17.25" customHeight="1" x14ac:dyDescent="0.45">
      <c r="A452" s="12" t="s">
        <v>40</v>
      </c>
      <c r="B452" s="12" t="s">
        <v>66</v>
      </c>
      <c r="C452" s="12" t="s">
        <v>94</v>
      </c>
      <c r="D452" s="12" t="s">
        <v>65</v>
      </c>
      <c r="E452" s="25">
        <v>21</v>
      </c>
      <c r="F452" s="10">
        <v>20</v>
      </c>
      <c r="G452" s="10">
        <v>23</v>
      </c>
      <c r="H452" s="10">
        <v>17</v>
      </c>
      <c r="I452" s="10">
        <v>2</v>
      </c>
      <c r="J452" s="10">
        <v>0</v>
      </c>
      <c r="K452" s="10">
        <v>0</v>
      </c>
      <c r="L452" s="10">
        <v>0</v>
      </c>
      <c r="M452" s="10">
        <v>0</v>
      </c>
      <c r="N452" s="10">
        <v>7</v>
      </c>
      <c r="O452" s="10">
        <v>21</v>
      </c>
      <c r="P452" s="10">
        <v>25</v>
      </c>
      <c r="Q452" s="26">
        <f t="shared" si="18"/>
        <v>136</v>
      </c>
      <c r="R452" s="25">
        <v>2830</v>
      </c>
      <c r="S452" s="10">
        <v>3225</v>
      </c>
      <c r="T452" s="10">
        <v>3635</v>
      </c>
      <c r="U452" s="10">
        <v>2782</v>
      </c>
      <c r="V452" s="10">
        <v>341</v>
      </c>
      <c r="W452" s="10">
        <v>0</v>
      </c>
      <c r="X452" s="10">
        <v>0</v>
      </c>
      <c r="Y452" s="10">
        <v>0</v>
      </c>
      <c r="Z452" s="10">
        <v>0</v>
      </c>
      <c r="AA452" s="10">
        <v>212</v>
      </c>
      <c r="AB452" s="10">
        <v>2263</v>
      </c>
      <c r="AC452" s="10">
        <v>3055</v>
      </c>
      <c r="AD452" s="26">
        <f t="shared" si="19"/>
        <v>18343</v>
      </c>
      <c r="AE452" s="25">
        <v>0</v>
      </c>
      <c r="AF452" s="10">
        <v>0</v>
      </c>
      <c r="AG452" s="10">
        <v>0</v>
      </c>
      <c r="AH452" s="10">
        <v>0</v>
      </c>
      <c r="AI452" s="10">
        <v>0</v>
      </c>
      <c r="AJ452" s="10">
        <v>0</v>
      </c>
      <c r="AK452" s="10">
        <v>0</v>
      </c>
      <c r="AL452" s="10">
        <v>0</v>
      </c>
      <c r="AM452" s="10">
        <v>0</v>
      </c>
      <c r="AN452" s="10">
        <v>0</v>
      </c>
      <c r="AO452" s="10">
        <v>0</v>
      </c>
      <c r="AP452" s="10">
        <v>0</v>
      </c>
      <c r="AQ452" s="26">
        <f t="shared" si="20"/>
        <v>0</v>
      </c>
    </row>
    <row r="453" spans="1:43" ht="17.25" customHeight="1" x14ac:dyDescent="0.45">
      <c r="A453" s="2" t="s">
        <v>40</v>
      </c>
      <c r="B453" s="2" t="s">
        <v>66</v>
      </c>
      <c r="C453" s="2" t="s">
        <v>67</v>
      </c>
      <c r="D453" s="2" t="s">
        <v>68</v>
      </c>
      <c r="E453" s="23">
        <v>31</v>
      </c>
      <c r="F453" s="1">
        <v>29</v>
      </c>
      <c r="G453" s="1">
        <v>30</v>
      </c>
      <c r="H453" s="1">
        <v>12</v>
      </c>
      <c r="I453" s="1">
        <v>4</v>
      </c>
      <c r="J453" s="1">
        <v>9</v>
      </c>
      <c r="K453" s="1">
        <v>9</v>
      </c>
      <c r="L453" s="1">
        <v>5</v>
      </c>
      <c r="M453" s="1">
        <v>4</v>
      </c>
      <c r="N453" s="1">
        <v>26</v>
      </c>
      <c r="O453" s="1">
        <v>29</v>
      </c>
      <c r="P453" s="1">
        <v>31</v>
      </c>
      <c r="Q453" s="24">
        <f t="shared" si="18"/>
        <v>219</v>
      </c>
      <c r="R453" s="23">
        <v>2969</v>
      </c>
      <c r="S453" s="1">
        <v>3751</v>
      </c>
      <c r="T453" s="1">
        <v>4288</v>
      </c>
      <c r="U453" s="1">
        <v>1806</v>
      </c>
      <c r="V453" s="1">
        <v>571</v>
      </c>
      <c r="W453" s="1">
        <v>1171</v>
      </c>
      <c r="X453" s="1">
        <v>1113</v>
      </c>
      <c r="Y453" s="1">
        <v>476</v>
      </c>
      <c r="Z453" s="1">
        <v>294</v>
      </c>
      <c r="AA453" s="1">
        <v>2322</v>
      </c>
      <c r="AB453" s="1">
        <v>2953</v>
      </c>
      <c r="AC453" s="1">
        <v>3171</v>
      </c>
      <c r="AD453" s="24">
        <f t="shared" si="19"/>
        <v>24885</v>
      </c>
      <c r="AE453" s="23">
        <v>0</v>
      </c>
      <c r="AF453" s="1">
        <v>0</v>
      </c>
      <c r="AG453" s="1">
        <v>52.616714920000007</v>
      </c>
      <c r="AH453" s="1">
        <v>0</v>
      </c>
      <c r="AI453" s="1">
        <v>0</v>
      </c>
      <c r="AJ453" s="1">
        <v>0</v>
      </c>
      <c r="AK453" s="1">
        <v>0</v>
      </c>
      <c r="AL453" s="1">
        <v>0</v>
      </c>
      <c r="AM453" s="1">
        <v>0</v>
      </c>
      <c r="AN453" s="1">
        <v>0</v>
      </c>
      <c r="AO453" s="1">
        <v>0</v>
      </c>
      <c r="AP453" s="1">
        <v>0</v>
      </c>
      <c r="AQ453" s="24">
        <f t="shared" si="20"/>
        <v>52.616714920000007</v>
      </c>
    </row>
    <row r="454" spans="1:43" ht="17.25" customHeight="1" x14ac:dyDescent="0.45">
      <c r="A454" s="12" t="s">
        <v>40</v>
      </c>
      <c r="B454" s="12" t="s">
        <v>66</v>
      </c>
      <c r="C454" s="12" t="s">
        <v>102</v>
      </c>
      <c r="D454" s="12" t="s">
        <v>65</v>
      </c>
      <c r="E454" s="25">
        <v>13</v>
      </c>
      <c r="F454" s="10">
        <v>12</v>
      </c>
      <c r="G454" s="10">
        <v>14</v>
      </c>
      <c r="H454" s="10">
        <v>10</v>
      </c>
      <c r="I454" s="10">
        <v>0</v>
      </c>
      <c r="J454" s="10">
        <v>0</v>
      </c>
      <c r="K454" s="10">
        <v>0</v>
      </c>
      <c r="L454" s="10">
        <v>0</v>
      </c>
      <c r="M454" s="10">
        <v>0</v>
      </c>
      <c r="N454" s="10">
        <v>0</v>
      </c>
      <c r="O454" s="10">
        <v>11</v>
      </c>
      <c r="P454" s="10">
        <v>13</v>
      </c>
      <c r="Q454" s="26">
        <f t="shared" si="18"/>
        <v>73</v>
      </c>
      <c r="R454" s="25">
        <v>1749</v>
      </c>
      <c r="S454" s="10">
        <v>1873</v>
      </c>
      <c r="T454" s="10">
        <v>2217</v>
      </c>
      <c r="U454" s="10">
        <v>1496</v>
      </c>
      <c r="V454" s="10">
        <v>0</v>
      </c>
      <c r="W454" s="10">
        <v>0</v>
      </c>
      <c r="X454" s="10">
        <v>0</v>
      </c>
      <c r="Y454" s="10">
        <v>0</v>
      </c>
      <c r="Z454" s="10">
        <v>0</v>
      </c>
      <c r="AA454" s="10">
        <v>0</v>
      </c>
      <c r="AB454" s="10">
        <v>1255</v>
      </c>
      <c r="AC454" s="10">
        <v>1783</v>
      </c>
      <c r="AD454" s="26">
        <f t="shared" si="19"/>
        <v>10373</v>
      </c>
      <c r="AE454" s="25">
        <v>0</v>
      </c>
      <c r="AF454" s="10">
        <v>0</v>
      </c>
      <c r="AG454" s="10">
        <v>0</v>
      </c>
      <c r="AH454" s="10">
        <v>0</v>
      </c>
      <c r="AI454" s="10">
        <v>0</v>
      </c>
      <c r="AJ454" s="10">
        <v>0</v>
      </c>
      <c r="AK454" s="10">
        <v>0</v>
      </c>
      <c r="AL454" s="10">
        <v>0</v>
      </c>
      <c r="AM454" s="10">
        <v>0</v>
      </c>
      <c r="AN454" s="10">
        <v>0</v>
      </c>
      <c r="AO454" s="10">
        <v>0</v>
      </c>
      <c r="AP454" s="10">
        <v>0</v>
      </c>
      <c r="AQ454" s="26">
        <f t="shared" si="20"/>
        <v>0</v>
      </c>
    </row>
    <row r="455" spans="1:43" ht="17.25" customHeight="1" x14ac:dyDescent="0.45">
      <c r="A455" s="2" t="s">
        <v>40</v>
      </c>
      <c r="B455" s="2" t="s">
        <v>66</v>
      </c>
      <c r="C455" s="2" t="s">
        <v>69</v>
      </c>
      <c r="D455" s="2" t="s">
        <v>68</v>
      </c>
      <c r="E455" s="23">
        <v>5</v>
      </c>
      <c r="F455" s="1">
        <v>7</v>
      </c>
      <c r="G455" s="1">
        <v>11</v>
      </c>
      <c r="H455" s="1">
        <v>8</v>
      </c>
      <c r="I455" s="1">
        <v>4</v>
      </c>
      <c r="J455" s="1">
        <v>5</v>
      </c>
      <c r="K455" s="1">
        <v>4</v>
      </c>
      <c r="L455" s="1">
        <v>3</v>
      </c>
      <c r="M455" s="1">
        <v>0</v>
      </c>
      <c r="N455" s="1">
        <v>0</v>
      </c>
      <c r="O455" s="1">
        <v>0</v>
      </c>
      <c r="P455" s="1">
        <v>3</v>
      </c>
      <c r="Q455" s="24">
        <f t="shared" si="18"/>
        <v>50</v>
      </c>
      <c r="R455" s="23">
        <v>317</v>
      </c>
      <c r="S455" s="1">
        <v>352</v>
      </c>
      <c r="T455" s="1">
        <v>549</v>
      </c>
      <c r="U455" s="1">
        <v>434</v>
      </c>
      <c r="V455" s="1">
        <v>279</v>
      </c>
      <c r="W455" s="1">
        <v>355</v>
      </c>
      <c r="X455" s="1">
        <v>292</v>
      </c>
      <c r="Y455" s="1">
        <v>226</v>
      </c>
      <c r="Z455" s="1">
        <v>0</v>
      </c>
      <c r="AA455" s="1">
        <v>0</v>
      </c>
      <c r="AB455" s="1">
        <v>0</v>
      </c>
      <c r="AC455" s="1">
        <v>121</v>
      </c>
      <c r="AD455" s="24">
        <f t="shared" si="19"/>
        <v>2925</v>
      </c>
      <c r="AE455" s="23">
        <v>0</v>
      </c>
      <c r="AF455" s="1">
        <v>0</v>
      </c>
      <c r="AG455" s="1">
        <v>0</v>
      </c>
      <c r="AH455" s="1">
        <v>0</v>
      </c>
      <c r="AI455" s="1">
        <v>0</v>
      </c>
      <c r="AJ455" s="1">
        <v>0</v>
      </c>
      <c r="AK455" s="1">
        <v>0</v>
      </c>
      <c r="AL455" s="1">
        <v>0</v>
      </c>
      <c r="AM455" s="1">
        <v>0</v>
      </c>
      <c r="AN455" s="1">
        <v>0</v>
      </c>
      <c r="AO455" s="1">
        <v>0</v>
      </c>
      <c r="AP455" s="1">
        <v>0</v>
      </c>
      <c r="AQ455" s="24">
        <f t="shared" si="20"/>
        <v>0</v>
      </c>
    </row>
    <row r="456" spans="1:43" ht="17.25" customHeight="1" x14ac:dyDescent="0.45">
      <c r="A456" s="12" t="s">
        <v>40</v>
      </c>
      <c r="B456" s="12" t="s">
        <v>66</v>
      </c>
      <c r="C456" s="12" t="s">
        <v>114</v>
      </c>
      <c r="D456" s="12" t="s">
        <v>65</v>
      </c>
      <c r="E456" s="25">
        <v>4</v>
      </c>
      <c r="F456" s="10">
        <v>5</v>
      </c>
      <c r="G456" s="10">
        <v>4</v>
      </c>
      <c r="H456" s="10">
        <v>0</v>
      </c>
      <c r="I456" s="10">
        <v>0</v>
      </c>
      <c r="J456" s="10">
        <v>0</v>
      </c>
      <c r="K456" s="10">
        <v>0</v>
      </c>
      <c r="L456" s="10">
        <v>0</v>
      </c>
      <c r="M456" s="10">
        <v>0</v>
      </c>
      <c r="N456" s="10">
        <v>0</v>
      </c>
      <c r="O456" s="10">
        <v>0</v>
      </c>
      <c r="P456" s="10">
        <v>3</v>
      </c>
      <c r="Q456" s="26">
        <f t="shared" ref="Q456:Q519" si="21">SUM(E456:P456)</f>
        <v>16</v>
      </c>
      <c r="R456" s="25">
        <v>674</v>
      </c>
      <c r="S456" s="10">
        <v>875</v>
      </c>
      <c r="T456" s="10">
        <v>747</v>
      </c>
      <c r="U456" s="10">
        <v>0</v>
      </c>
      <c r="V456" s="10">
        <v>0</v>
      </c>
      <c r="W456" s="10">
        <v>0</v>
      </c>
      <c r="X456" s="10">
        <v>0</v>
      </c>
      <c r="Y456" s="10">
        <v>0</v>
      </c>
      <c r="Z456" s="10">
        <v>0</v>
      </c>
      <c r="AA456" s="10">
        <v>0</v>
      </c>
      <c r="AB456" s="10">
        <v>0</v>
      </c>
      <c r="AC456" s="10">
        <v>277</v>
      </c>
      <c r="AD456" s="26">
        <f t="shared" ref="AD456:AD519" si="22">SUM(R456:AC456)</f>
        <v>2573</v>
      </c>
      <c r="AE456" s="25">
        <v>0</v>
      </c>
      <c r="AF456" s="10">
        <v>0</v>
      </c>
      <c r="AG456" s="10">
        <v>0</v>
      </c>
      <c r="AH456" s="10">
        <v>0</v>
      </c>
      <c r="AI456" s="10">
        <v>0</v>
      </c>
      <c r="AJ456" s="10">
        <v>0</v>
      </c>
      <c r="AK456" s="10">
        <v>0</v>
      </c>
      <c r="AL456" s="10">
        <v>0</v>
      </c>
      <c r="AM456" s="10">
        <v>0</v>
      </c>
      <c r="AN456" s="10">
        <v>0</v>
      </c>
      <c r="AO456" s="10">
        <v>0</v>
      </c>
      <c r="AP456" s="10">
        <v>0</v>
      </c>
      <c r="AQ456" s="26">
        <f t="shared" ref="AQ456:AQ519" si="23">SUM(AE456:AP456)</f>
        <v>0</v>
      </c>
    </row>
    <row r="457" spans="1:43" ht="17.25" customHeight="1" x14ac:dyDescent="0.45">
      <c r="A457" s="2" t="s">
        <v>40</v>
      </c>
      <c r="B457" s="2" t="s">
        <v>66</v>
      </c>
      <c r="C457" s="2" t="s">
        <v>73</v>
      </c>
      <c r="D457" s="2" t="s">
        <v>68</v>
      </c>
      <c r="E457" s="23">
        <v>16</v>
      </c>
      <c r="F457" s="1">
        <v>17</v>
      </c>
      <c r="G457" s="1">
        <v>18</v>
      </c>
      <c r="H457" s="1">
        <v>41</v>
      </c>
      <c r="I457" s="1">
        <v>21</v>
      </c>
      <c r="J457" s="1">
        <v>21</v>
      </c>
      <c r="K457" s="1">
        <v>23</v>
      </c>
      <c r="L457" s="1">
        <v>18</v>
      </c>
      <c r="M457" s="1">
        <v>13</v>
      </c>
      <c r="N457" s="1">
        <v>26</v>
      </c>
      <c r="O457" s="1">
        <v>26</v>
      </c>
      <c r="P457" s="1">
        <v>33</v>
      </c>
      <c r="Q457" s="24">
        <f t="shared" si="21"/>
        <v>273</v>
      </c>
      <c r="R457" s="23">
        <v>2441</v>
      </c>
      <c r="S457" s="1">
        <v>2637</v>
      </c>
      <c r="T457" s="1">
        <v>3002</v>
      </c>
      <c r="U457" s="1">
        <v>5862</v>
      </c>
      <c r="V457" s="1">
        <v>2905</v>
      </c>
      <c r="W457" s="1">
        <v>2298</v>
      </c>
      <c r="X457" s="1">
        <v>2407</v>
      </c>
      <c r="Y457" s="1">
        <v>1908</v>
      </c>
      <c r="Z457" s="1">
        <v>1187</v>
      </c>
      <c r="AA457" s="1">
        <v>2559</v>
      </c>
      <c r="AB457" s="1">
        <v>3330</v>
      </c>
      <c r="AC457" s="1">
        <v>3836</v>
      </c>
      <c r="AD457" s="24">
        <f t="shared" si="22"/>
        <v>34372</v>
      </c>
      <c r="AE457" s="23">
        <v>36</v>
      </c>
      <c r="AF457" s="1">
        <v>0</v>
      </c>
      <c r="AG457" s="1">
        <v>36</v>
      </c>
      <c r="AH457" s="1">
        <v>108</v>
      </c>
      <c r="AI457" s="1">
        <v>58</v>
      </c>
      <c r="AJ457" s="1">
        <v>0</v>
      </c>
      <c r="AK457" s="1">
        <v>75</v>
      </c>
      <c r="AL457" s="1">
        <v>11</v>
      </c>
      <c r="AM457" s="1">
        <v>0</v>
      </c>
      <c r="AN457" s="1">
        <v>66</v>
      </c>
      <c r="AO457" s="1">
        <v>80</v>
      </c>
      <c r="AP457" s="1">
        <v>0</v>
      </c>
      <c r="AQ457" s="24">
        <f t="shared" si="23"/>
        <v>470</v>
      </c>
    </row>
    <row r="458" spans="1:43" ht="17.25" customHeight="1" x14ac:dyDescent="0.45">
      <c r="A458" s="12" t="s">
        <v>40</v>
      </c>
      <c r="B458" s="12" t="s">
        <v>66</v>
      </c>
      <c r="C458" s="12" t="s">
        <v>130</v>
      </c>
      <c r="D458" s="12" t="s">
        <v>68</v>
      </c>
      <c r="E458" s="25">
        <v>9</v>
      </c>
      <c r="F458" s="10">
        <v>13</v>
      </c>
      <c r="G458" s="10">
        <v>20</v>
      </c>
      <c r="H458" s="10">
        <v>4</v>
      </c>
      <c r="I458" s="10">
        <v>0</v>
      </c>
      <c r="J458" s="10">
        <v>0</v>
      </c>
      <c r="K458" s="10">
        <v>0</v>
      </c>
      <c r="L458" s="10">
        <v>0</v>
      </c>
      <c r="M458" s="10">
        <v>0</v>
      </c>
      <c r="N458" s="10">
        <v>0</v>
      </c>
      <c r="O458" s="10">
        <v>2</v>
      </c>
      <c r="P458" s="10">
        <v>12</v>
      </c>
      <c r="Q458" s="26">
        <f t="shared" si="21"/>
        <v>60</v>
      </c>
      <c r="R458" s="25">
        <v>1310</v>
      </c>
      <c r="S458" s="10">
        <v>1805</v>
      </c>
      <c r="T458" s="10">
        <v>3331</v>
      </c>
      <c r="U458" s="10">
        <v>657</v>
      </c>
      <c r="V458" s="10">
        <v>0</v>
      </c>
      <c r="W458" s="10">
        <v>0</v>
      </c>
      <c r="X458" s="10">
        <v>0</v>
      </c>
      <c r="Y458" s="10">
        <v>0</v>
      </c>
      <c r="Z458" s="10">
        <v>0</v>
      </c>
      <c r="AA458" s="10">
        <v>0</v>
      </c>
      <c r="AB458" s="10">
        <v>244</v>
      </c>
      <c r="AC458" s="10">
        <v>726</v>
      </c>
      <c r="AD458" s="26">
        <f t="shared" si="22"/>
        <v>8073</v>
      </c>
      <c r="AE458" s="25">
        <v>0</v>
      </c>
      <c r="AF458" s="10">
        <v>0</v>
      </c>
      <c r="AG458" s="10">
        <v>0</v>
      </c>
      <c r="AH458" s="10">
        <v>0</v>
      </c>
      <c r="AI458" s="10">
        <v>0</v>
      </c>
      <c r="AJ458" s="10">
        <v>0</v>
      </c>
      <c r="AK458" s="10">
        <v>0</v>
      </c>
      <c r="AL458" s="10">
        <v>0</v>
      </c>
      <c r="AM458" s="10">
        <v>0</v>
      </c>
      <c r="AN458" s="10">
        <v>0</v>
      </c>
      <c r="AO458" s="10">
        <v>0</v>
      </c>
      <c r="AP458" s="10">
        <v>0</v>
      </c>
      <c r="AQ458" s="26">
        <f t="shared" si="23"/>
        <v>0</v>
      </c>
    </row>
    <row r="459" spans="1:43" ht="17.25" customHeight="1" x14ac:dyDescent="0.45">
      <c r="A459" s="2" t="s">
        <v>40</v>
      </c>
      <c r="B459" s="2" t="s">
        <v>66</v>
      </c>
      <c r="C459" s="2" t="s">
        <v>70</v>
      </c>
      <c r="D459" s="2" t="s">
        <v>65</v>
      </c>
      <c r="E459" s="23">
        <v>5</v>
      </c>
      <c r="F459" s="1">
        <v>4</v>
      </c>
      <c r="G459" s="1">
        <v>4</v>
      </c>
      <c r="H459" s="1">
        <v>2</v>
      </c>
      <c r="I459" s="1">
        <v>0</v>
      </c>
      <c r="J459" s="1">
        <v>0</v>
      </c>
      <c r="K459" s="1">
        <v>0</v>
      </c>
      <c r="L459" s="1">
        <v>0</v>
      </c>
      <c r="M459" s="1">
        <v>0</v>
      </c>
      <c r="N459" s="1">
        <v>0</v>
      </c>
      <c r="O459" s="1">
        <v>0</v>
      </c>
      <c r="P459" s="1">
        <v>3</v>
      </c>
      <c r="Q459" s="24">
        <f t="shared" si="21"/>
        <v>18</v>
      </c>
      <c r="R459" s="23">
        <v>815</v>
      </c>
      <c r="S459" s="1">
        <v>698</v>
      </c>
      <c r="T459" s="1">
        <v>688</v>
      </c>
      <c r="U459" s="1">
        <v>373</v>
      </c>
      <c r="V459" s="1">
        <v>0</v>
      </c>
      <c r="W459" s="1">
        <v>0</v>
      </c>
      <c r="X459" s="1">
        <v>0</v>
      </c>
      <c r="Y459" s="1">
        <v>0</v>
      </c>
      <c r="Z459" s="1">
        <v>0</v>
      </c>
      <c r="AA459" s="1">
        <v>0</v>
      </c>
      <c r="AB459" s="1">
        <v>0</v>
      </c>
      <c r="AC459" s="1">
        <v>483</v>
      </c>
      <c r="AD459" s="24">
        <f t="shared" si="22"/>
        <v>3057</v>
      </c>
      <c r="AE459" s="23">
        <v>0</v>
      </c>
      <c r="AF459" s="1">
        <v>0</v>
      </c>
      <c r="AG459" s="1">
        <v>0</v>
      </c>
      <c r="AH459" s="1">
        <v>0</v>
      </c>
      <c r="AI459" s="1">
        <v>0</v>
      </c>
      <c r="AJ459" s="1">
        <v>0</v>
      </c>
      <c r="AK459" s="1">
        <v>0</v>
      </c>
      <c r="AL459" s="1">
        <v>0</v>
      </c>
      <c r="AM459" s="1">
        <v>0</v>
      </c>
      <c r="AN459" s="1">
        <v>0</v>
      </c>
      <c r="AO459" s="1">
        <v>0</v>
      </c>
      <c r="AP459" s="1">
        <v>0</v>
      </c>
      <c r="AQ459" s="24">
        <f t="shared" si="23"/>
        <v>0</v>
      </c>
    </row>
    <row r="460" spans="1:43" ht="17.25" customHeight="1" x14ac:dyDescent="0.45">
      <c r="A460" s="12" t="s">
        <v>40</v>
      </c>
      <c r="B460" s="12" t="s">
        <v>66</v>
      </c>
      <c r="C460" s="12" t="s">
        <v>142</v>
      </c>
      <c r="D460" s="12" t="s">
        <v>68</v>
      </c>
      <c r="E460" s="25">
        <v>32</v>
      </c>
      <c r="F460" s="10">
        <v>31</v>
      </c>
      <c r="G460" s="10">
        <v>36</v>
      </c>
      <c r="H460" s="10">
        <v>31</v>
      </c>
      <c r="I460" s="10">
        <v>31</v>
      </c>
      <c r="J460" s="10">
        <v>30</v>
      </c>
      <c r="K460" s="10">
        <v>31</v>
      </c>
      <c r="L460" s="10">
        <v>31</v>
      </c>
      <c r="M460" s="10">
        <v>30</v>
      </c>
      <c r="N460" s="10">
        <v>31</v>
      </c>
      <c r="O460" s="10">
        <v>34</v>
      </c>
      <c r="P460" s="10">
        <v>35</v>
      </c>
      <c r="Q460" s="26">
        <f t="shared" si="21"/>
        <v>383</v>
      </c>
      <c r="R460" s="25">
        <v>4333</v>
      </c>
      <c r="S460" s="10">
        <v>4220</v>
      </c>
      <c r="T460" s="10">
        <v>5104</v>
      </c>
      <c r="U460" s="10">
        <v>4757</v>
      </c>
      <c r="V460" s="10">
        <v>4519</v>
      </c>
      <c r="W460" s="10">
        <v>2468</v>
      </c>
      <c r="X460" s="10">
        <v>2300</v>
      </c>
      <c r="Y460" s="10">
        <v>2272</v>
      </c>
      <c r="Z460" s="10">
        <v>2131</v>
      </c>
      <c r="AA460" s="10">
        <v>1901</v>
      </c>
      <c r="AB460" s="10">
        <v>2922</v>
      </c>
      <c r="AC460" s="10">
        <v>3203</v>
      </c>
      <c r="AD460" s="26">
        <f t="shared" si="22"/>
        <v>40130</v>
      </c>
      <c r="AE460" s="25">
        <v>0</v>
      </c>
      <c r="AF460" s="10">
        <v>0</v>
      </c>
      <c r="AG460" s="10">
        <v>10.886216880000001</v>
      </c>
      <c r="AH460" s="10">
        <v>0</v>
      </c>
      <c r="AI460" s="10">
        <v>0</v>
      </c>
      <c r="AJ460" s="10">
        <v>0</v>
      </c>
      <c r="AK460" s="10">
        <v>0</v>
      </c>
      <c r="AL460" s="10">
        <v>0</v>
      </c>
      <c r="AM460" s="10">
        <v>0</v>
      </c>
      <c r="AN460" s="10">
        <v>0</v>
      </c>
      <c r="AO460" s="10">
        <v>0</v>
      </c>
      <c r="AP460" s="10">
        <v>0</v>
      </c>
      <c r="AQ460" s="26">
        <f t="shared" si="23"/>
        <v>10.886216880000001</v>
      </c>
    </row>
    <row r="461" spans="1:43" ht="17.25" customHeight="1" x14ac:dyDescent="0.45">
      <c r="A461" s="2" t="s">
        <v>40</v>
      </c>
      <c r="B461" s="2" t="s">
        <v>66</v>
      </c>
      <c r="C461" s="2" t="s">
        <v>151</v>
      </c>
      <c r="D461" s="2" t="s">
        <v>68</v>
      </c>
      <c r="E461" s="23">
        <v>3</v>
      </c>
      <c r="F461" s="1">
        <v>4</v>
      </c>
      <c r="G461" s="1">
        <v>5</v>
      </c>
      <c r="H461" s="1">
        <v>2</v>
      </c>
      <c r="I461" s="1">
        <v>0</v>
      </c>
      <c r="J461" s="1">
        <v>0</v>
      </c>
      <c r="K461" s="1">
        <v>0</v>
      </c>
      <c r="L461" s="1">
        <v>0</v>
      </c>
      <c r="M461" s="1">
        <v>0</v>
      </c>
      <c r="N461" s="1">
        <v>0</v>
      </c>
      <c r="O461" s="1">
        <v>5</v>
      </c>
      <c r="P461" s="1">
        <v>4</v>
      </c>
      <c r="Q461" s="24">
        <f t="shared" si="21"/>
        <v>23</v>
      </c>
      <c r="R461" s="23">
        <v>469</v>
      </c>
      <c r="S461" s="1">
        <v>652</v>
      </c>
      <c r="T461" s="1">
        <v>644</v>
      </c>
      <c r="U461" s="1">
        <v>345</v>
      </c>
      <c r="V461" s="1">
        <v>0</v>
      </c>
      <c r="W461" s="1">
        <v>0</v>
      </c>
      <c r="X461" s="1">
        <v>0</v>
      </c>
      <c r="Y461" s="1">
        <v>0</v>
      </c>
      <c r="Z461" s="1">
        <v>0</v>
      </c>
      <c r="AA461" s="1">
        <v>0</v>
      </c>
      <c r="AB461" s="1">
        <v>476</v>
      </c>
      <c r="AC461" s="1">
        <v>421</v>
      </c>
      <c r="AD461" s="24">
        <f t="shared" si="22"/>
        <v>3007</v>
      </c>
      <c r="AE461" s="23">
        <v>35</v>
      </c>
      <c r="AF461" s="1">
        <v>14</v>
      </c>
      <c r="AG461" s="1">
        <v>19</v>
      </c>
      <c r="AH461" s="1">
        <v>0</v>
      </c>
      <c r="AI461" s="1">
        <v>0</v>
      </c>
      <c r="AJ461" s="1">
        <v>0</v>
      </c>
      <c r="AK461" s="1">
        <v>0</v>
      </c>
      <c r="AL461" s="1">
        <v>0</v>
      </c>
      <c r="AM461" s="1">
        <v>0</v>
      </c>
      <c r="AN461" s="1">
        <v>0</v>
      </c>
      <c r="AO461" s="1">
        <v>0</v>
      </c>
      <c r="AP461" s="1">
        <v>12</v>
      </c>
      <c r="AQ461" s="24">
        <f t="shared" si="23"/>
        <v>80</v>
      </c>
    </row>
    <row r="462" spans="1:43" ht="17.25" customHeight="1" x14ac:dyDescent="0.45">
      <c r="A462" s="12" t="s">
        <v>40</v>
      </c>
      <c r="B462" s="12" t="s">
        <v>66</v>
      </c>
      <c r="C462" s="12" t="s">
        <v>160</v>
      </c>
      <c r="D462" s="12" t="s">
        <v>65</v>
      </c>
      <c r="E462" s="25">
        <v>4</v>
      </c>
      <c r="F462" s="10">
        <v>4</v>
      </c>
      <c r="G462" s="10">
        <v>5</v>
      </c>
      <c r="H462" s="10">
        <v>2</v>
      </c>
      <c r="I462" s="10">
        <v>0</v>
      </c>
      <c r="J462" s="10">
        <v>0</v>
      </c>
      <c r="K462" s="10">
        <v>0</v>
      </c>
      <c r="L462" s="10">
        <v>0</v>
      </c>
      <c r="M462" s="10">
        <v>0</v>
      </c>
      <c r="N462" s="10">
        <v>0</v>
      </c>
      <c r="O462" s="10">
        <v>0</v>
      </c>
      <c r="P462" s="10">
        <v>3</v>
      </c>
      <c r="Q462" s="26">
        <f t="shared" si="21"/>
        <v>18</v>
      </c>
      <c r="R462" s="25">
        <v>658</v>
      </c>
      <c r="S462" s="10">
        <v>735</v>
      </c>
      <c r="T462" s="10">
        <v>886</v>
      </c>
      <c r="U462" s="10">
        <v>371</v>
      </c>
      <c r="V462" s="10">
        <v>0</v>
      </c>
      <c r="W462" s="10">
        <v>0</v>
      </c>
      <c r="X462" s="10">
        <v>0</v>
      </c>
      <c r="Y462" s="10">
        <v>0</v>
      </c>
      <c r="Z462" s="10">
        <v>0</v>
      </c>
      <c r="AA462" s="10">
        <v>0</v>
      </c>
      <c r="AB462" s="10">
        <v>0</v>
      </c>
      <c r="AC462" s="10">
        <v>476</v>
      </c>
      <c r="AD462" s="26">
        <f t="shared" si="22"/>
        <v>3126</v>
      </c>
      <c r="AE462" s="25">
        <v>0</v>
      </c>
      <c r="AF462" s="10">
        <v>0</v>
      </c>
      <c r="AG462" s="10">
        <v>0</v>
      </c>
      <c r="AH462" s="10">
        <v>0</v>
      </c>
      <c r="AI462" s="10">
        <v>0</v>
      </c>
      <c r="AJ462" s="10">
        <v>0</v>
      </c>
      <c r="AK462" s="10">
        <v>0</v>
      </c>
      <c r="AL462" s="10">
        <v>0</v>
      </c>
      <c r="AM462" s="10">
        <v>0</v>
      </c>
      <c r="AN462" s="10">
        <v>0</v>
      </c>
      <c r="AO462" s="10">
        <v>0</v>
      </c>
      <c r="AP462" s="10">
        <v>0</v>
      </c>
      <c r="AQ462" s="26">
        <f t="shared" si="23"/>
        <v>0</v>
      </c>
    </row>
    <row r="463" spans="1:43" ht="17.25" customHeight="1" x14ac:dyDescent="0.45">
      <c r="A463" s="2" t="s">
        <v>40</v>
      </c>
      <c r="B463" s="2" t="s">
        <v>66</v>
      </c>
      <c r="C463" s="2" t="s">
        <v>71</v>
      </c>
      <c r="D463" s="2" t="s">
        <v>65</v>
      </c>
      <c r="E463" s="23">
        <v>5</v>
      </c>
      <c r="F463" s="1">
        <v>4</v>
      </c>
      <c r="G463" s="1">
        <v>3</v>
      </c>
      <c r="H463" s="1">
        <v>1</v>
      </c>
      <c r="I463" s="1">
        <v>0</v>
      </c>
      <c r="J463" s="1">
        <v>0</v>
      </c>
      <c r="K463" s="1">
        <v>0</v>
      </c>
      <c r="L463" s="1">
        <v>0</v>
      </c>
      <c r="M463" s="1">
        <v>0</v>
      </c>
      <c r="N463" s="1">
        <v>0</v>
      </c>
      <c r="O463" s="1">
        <v>3</v>
      </c>
      <c r="P463" s="1">
        <v>5</v>
      </c>
      <c r="Q463" s="24">
        <f t="shared" si="21"/>
        <v>21</v>
      </c>
      <c r="R463" s="23">
        <v>888</v>
      </c>
      <c r="S463" s="1">
        <v>723</v>
      </c>
      <c r="T463" s="1">
        <v>546</v>
      </c>
      <c r="U463" s="1">
        <v>184</v>
      </c>
      <c r="V463" s="1">
        <v>0</v>
      </c>
      <c r="W463" s="1">
        <v>0</v>
      </c>
      <c r="X463" s="1">
        <v>0</v>
      </c>
      <c r="Y463" s="1">
        <v>0</v>
      </c>
      <c r="Z463" s="1">
        <v>0</v>
      </c>
      <c r="AA463" s="1">
        <v>0</v>
      </c>
      <c r="AB463" s="1">
        <v>503</v>
      </c>
      <c r="AC463" s="1">
        <v>860</v>
      </c>
      <c r="AD463" s="24">
        <f t="shared" si="22"/>
        <v>3704</v>
      </c>
      <c r="AE463" s="23">
        <v>0</v>
      </c>
      <c r="AF463" s="1">
        <v>0</v>
      </c>
      <c r="AG463" s="1">
        <v>0</v>
      </c>
      <c r="AH463" s="1">
        <v>0</v>
      </c>
      <c r="AI463" s="1">
        <v>0</v>
      </c>
      <c r="AJ463" s="1">
        <v>0</v>
      </c>
      <c r="AK463" s="1">
        <v>0</v>
      </c>
      <c r="AL463" s="1">
        <v>0</v>
      </c>
      <c r="AM463" s="1">
        <v>0</v>
      </c>
      <c r="AN463" s="1">
        <v>0</v>
      </c>
      <c r="AO463" s="1">
        <v>0</v>
      </c>
      <c r="AP463" s="1">
        <v>0</v>
      </c>
      <c r="AQ463" s="24">
        <f t="shared" si="23"/>
        <v>0</v>
      </c>
    </row>
    <row r="464" spans="1:43" ht="17.25" customHeight="1" x14ac:dyDescent="0.45">
      <c r="A464" s="12" t="s">
        <v>40</v>
      </c>
      <c r="B464" s="12" t="s">
        <v>66</v>
      </c>
      <c r="C464" s="12" t="s">
        <v>165</v>
      </c>
      <c r="D464" s="12" t="s">
        <v>65</v>
      </c>
      <c r="E464" s="25">
        <v>12</v>
      </c>
      <c r="F464" s="10">
        <v>12</v>
      </c>
      <c r="G464" s="10">
        <v>15</v>
      </c>
      <c r="H464" s="10">
        <v>12</v>
      </c>
      <c r="I464" s="10">
        <v>0</v>
      </c>
      <c r="J464" s="10">
        <v>0</v>
      </c>
      <c r="K464" s="10">
        <v>0</v>
      </c>
      <c r="L464" s="10">
        <v>0</v>
      </c>
      <c r="M464" s="10">
        <v>0</v>
      </c>
      <c r="N464" s="10">
        <v>0</v>
      </c>
      <c r="O464" s="10">
        <v>12</v>
      </c>
      <c r="P464" s="10">
        <v>15</v>
      </c>
      <c r="Q464" s="26">
        <f t="shared" si="21"/>
        <v>78</v>
      </c>
      <c r="R464" s="25">
        <v>1827</v>
      </c>
      <c r="S464" s="10">
        <v>1779</v>
      </c>
      <c r="T464" s="10">
        <v>2447</v>
      </c>
      <c r="U464" s="10">
        <v>1943</v>
      </c>
      <c r="V464" s="10">
        <v>0</v>
      </c>
      <c r="W464" s="10">
        <v>0</v>
      </c>
      <c r="X464" s="10">
        <v>0</v>
      </c>
      <c r="Y464" s="10">
        <v>0</v>
      </c>
      <c r="Z464" s="10">
        <v>0</v>
      </c>
      <c r="AA464" s="10">
        <v>0</v>
      </c>
      <c r="AB464" s="10">
        <v>1465</v>
      </c>
      <c r="AC464" s="10">
        <v>1865</v>
      </c>
      <c r="AD464" s="26">
        <f t="shared" si="22"/>
        <v>11326</v>
      </c>
      <c r="AE464" s="25">
        <v>0</v>
      </c>
      <c r="AF464" s="10">
        <v>0</v>
      </c>
      <c r="AG464" s="10">
        <v>0</v>
      </c>
      <c r="AH464" s="10">
        <v>0</v>
      </c>
      <c r="AI464" s="10">
        <v>0</v>
      </c>
      <c r="AJ464" s="10">
        <v>0</v>
      </c>
      <c r="AK464" s="10">
        <v>0</v>
      </c>
      <c r="AL464" s="10">
        <v>0</v>
      </c>
      <c r="AM464" s="10">
        <v>0</v>
      </c>
      <c r="AN464" s="10">
        <v>0</v>
      </c>
      <c r="AO464" s="10">
        <v>0</v>
      </c>
      <c r="AP464" s="10">
        <v>0</v>
      </c>
      <c r="AQ464" s="26">
        <f t="shared" si="23"/>
        <v>0</v>
      </c>
    </row>
    <row r="465" spans="1:43" ht="17.25" customHeight="1" x14ac:dyDescent="0.45">
      <c r="A465" s="2" t="s">
        <v>40</v>
      </c>
      <c r="B465" s="2" t="s">
        <v>66</v>
      </c>
      <c r="C465" s="2" t="s">
        <v>171</v>
      </c>
      <c r="D465" s="2" t="s">
        <v>65</v>
      </c>
      <c r="E465" s="23">
        <v>4</v>
      </c>
      <c r="F465" s="1">
        <v>4</v>
      </c>
      <c r="G465" s="1">
        <v>5</v>
      </c>
      <c r="H465" s="1">
        <v>0</v>
      </c>
      <c r="I465" s="1">
        <v>0</v>
      </c>
      <c r="J465" s="1">
        <v>0</v>
      </c>
      <c r="K465" s="1">
        <v>0</v>
      </c>
      <c r="L465" s="1">
        <v>0</v>
      </c>
      <c r="M465" s="1">
        <v>0</v>
      </c>
      <c r="N465" s="1">
        <v>0</v>
      </c>
      <c r="O465" s="1">
        <v>0</v>
      </c>
      <c r="P465" s="1">
        <v>3</v>
      </c>
      <c r="Q465" s="24">
        <f t="shared" si="21"/>
        <v>16</v>
      </c>
      <c r="R465" s="23">
        <v>688</v>
      </c>
      <c r="S465" s="1">
        <v>745</v>
      </c>
      <c r="T465" s="1">
        <v>874</v>
      </c>
      <c r="U465" s="1">
        <v>0</v>
      </c>
      <c r="V465" s="1">
        <v>0</v>
      </c>
      <c r="W465" s="1">
        <v>0</v>
      </c>
      <c r="X465" s="1">
        <v>0</v>
      </c>
      <c r="Y465" s="1">
        <v>0</v>
      </c>
      <c r="Z465" s="1">
        <v>0</v>
      </c>
      <c r="AA465" s="1">
        <v>0</v>
      </c>
      <c r="AB465" s="1">
        <v>0</v>
      </c>
      <c r="AC465" s="1">
        <v>493</v>
      </c>
      <c r="AD465" s="24">
        <f t="shared" si="22"/>
        <v>2800</v>
      </c>
      <c r="AE465" s="23">
        <v>0</v>
      </c>
      <c r="AF465" s="1">
        <v>0</v>
      </c>
      <c r="AG465" s="1">
        <v>0</v>
      </c>
      <c r="AH465" s="1">
        <v>0</v>
      </c>
      <c r="AI465" s="1">
        <v>0</v>
      </c>
      <c r="AJ465" s="1">
        <v>0</v>
      </c>
      <c r="AK465" s="1">
        <v>0</v>
      </c>
      <c r="AL465" s="1">
        <v>0</v>
      </c>
      <c r="AM465" s="1">
        <v>0</v>
      </c>
      <c r="AN465" s="1">
        <v>0</v>
      </c>
      <c r="AO465" s="1">
        <v>0</v>
      </c>
      <c r="AP465" s="1">
        <v>0</v>
      </c>
      <c r="AQ465" s="24">
        <f t="shared" si="23"/>
        <v>0</v>
      </c>
    </row>
    <row r="466" spans="1:43" ht="17.25" customHeight="1" x14ac:dyDescent="0.45">
      <c r="A466" s="12" t="s">
        <v>256</v>
      </c>
      <c r="B466" s="12" t="s">
        <v>68</v>
      </c>
      <c r="C466" s="12" t="s">
        <v>10</v>
      </c>
      <c r="D466" s="12" t="s">
        <v>66</v>
      </c>
      <c r="E466" s="25">
        <v>0</v>
      </c>
      <c r="F466" s="10">
        <v>0</v>
      </c>
      <c r="G466" s="10">
        <v>0</v>
      </c>
      <c r="H466" s="10">
        <v>0</v>
      </c>
      <c r="I466" s="10">
        <v>0</v>
      </c>
      <c r="J466" s="10">
        <v>0</v>
      </c>
      <c r="K466" s="10">
        <v>9</v>
      </c>
      <c r="L466" s="10">
        <v>9</v>
      </c>
      <c r="M466" s="10">
        <v>6</v>
      </c>
      <c r="N466" s="10">
        <v>9</v>
      </c>
      <c r="O466" s="10">
        <v>9</v>
      </c>
      <c r="P466" s="10">
        <v>8</v>
      </c>
      <c r="Q466" s="26">
        <f t="shared" si="21"/>
        <v>50</v>
      </c>
      <c r="R466" s="25">
        <v>0</v>
      </c>
      <c r="S466" s="10">
        <v>0</v>
      </c>
      <c r="T466" s="10">
        <v>0</v>
      </c>
      <c r="U466" s="10">
        <v>0</v>
      </c>
      <c r="V466" s="10">
        <v>0</v>
      </c>
      <c r="W466" s="10">
        <v>0</v>
      </c>
      <c r="X466" s="10">
        <v>897</v>
      </c>
      <c r="Y466" s="10">
        <v>531</v>
      </c>
      <c r="Z466" s="10">
        <v>171</v>
      </c>
      <c r="AA466" s="10">
        <v>414</v>
      </c>
      <c r="AB466" s="10">
        <v>498</v>
      </c>
      <c r="AC466" s="10">
        <v>532</v>
      </c>
      <c r="AD466" s="26">
        <f t="shared" si="22"/>
        <v>3043</v>
      </c>
      <c r="AE466" s="25">
        <v>0</v>
      </c>
      <c r="AF466" s="10">
        <v>0</v>
      </c>
      <c r="AG466" s="10">
        <v>0</v>
      </c>
      <c r="AH466" s="10">
        <v>0</v>
      </c>
      <c r="AI466" s="10">
        <v>0</v>
      </c>
      <c r="AJ466" s="10">
        <v>0</v>
      </c>
      <c r="AK466" s="10">
        <v>0</v>
      </c>
      <c r="AL466" s="10">
        <v>0</v>
      </c>
      <c r="AM466" s="10">
        <v>0</v>
      </c>
      <c r="AN466" s="10">
        <v>0</v>
      </c>
      <c r="AO466" s="10">
        <v>0</v>
      </c>
      <c r="AP466" s="10">
        <v>0</v>
      </c>
      <c r="AQ466" s="26">
        <f t="shared" si="23"/>
        <v>0</v>
      </c>
    </row>
    <row r="467" spans="1:43" ht="17.25" customHeight="1" x14ac:dyDescent="0.45">
      <c r="A467" s="2" t="s">
        <v>256</v>
      </c>
      <c r="B467" s="2" t="s">
        <v>68</v>
      </c>
      <c r="C467" s="2" t="s">
        <v>14</v>
      </c>
      <c r="D467" s="2" t="s">
        <v>66</v>
      </c>
      <c r="E467" s="23">
        <v>0</v>
      </c>
      <c r="F467" s="1">
        <v>28</v>
      </c>
      <c r="G467" s="1">
        <v>31</v>
      </c>
      <c r="H467" s="1">
        <v>30</v>
      </c>
      <c r="I467" s="1">
        <v>31</v>
      </c>
      <c r="J467" s="1">
        <v>30</v>
      </c>
      <c r="K467" s="1">
        <v>31</v>
      </c>
      <c r="L467" s="1">
        <v>31</v>
      </c>
      <c r="M467" s="1">
        <v>30</v>
      </c>
      <c r="N467" s="1">
        <v>31</v>
      </c>
      <c r="O467" s="1">
        <v>30</v>
      </c>
      <c r="P467" s="1">
        <v>31</v>
      </c>
      <c r="Q467" s="24">
        <f t="shared" si="21"/>
        <v>334</v>
      </c>
      <c r="R467" s="23">
        <v>0</v>
      </c>
      <c r="S467" s="1">
        <v>1117</v>
      </c>
      <c r="T467" s="1">
        <v>1710</v>
      </c>
      <c r="U467" s="1">
        <v>1492</v>
      </c>
      <c r="V467" s="1">
        <v>1533</v>
      </c>
      <c r="W467" s="1">
        <v>1909</v>
      </c>
      <c r="X467" s="1">
        <v>2222</v>
      </c>
      <c r="Y467" s="1">
        <v>1938</v>
      </c>
      <c r="Z467" s="1">
        <v>1546</v>
      </c>
      <c r="AA467" s="1">
        <v>1929</v>
      </c>
      <c r="AB467" s="1">
        <v>2025</v>
      </c>
      <c r="AC467" s="1">
        <v>2369</v>
      </c>
      <c r="AD467" s="24">
        <f t="shared" si="22"/>
        <v>19790</v>
      </c>
      <c r="AE467" s="23">
        <v>0</v>
      </c>
      <c r="AF467" s="1">
        <v>0</v>
      </c>
      <c r="AG467" s="1">
        <v>0</v>
      </c>
      <c r="AH467" s="1">
        <v>0</v>
      </c>
      <c r="AI467" s="1">
        <v>0</v>
      </c>
      <c r="AJ467" s="1">
        <v>0</v>
      </c>
      <c r="AK467" s="1">
        <v>8</v>
      </c>
      <c r="AL467" s="1">
        <v>0</v>
      </c>
      <c r="AM467" s="1">
        <v>0</v>
      </c>
      <c r="AN467" s="1">
        <v>0</v>
      </c>
      <c r="AO467" s="1">
        <v>0</v>
      </c>
      <c r="AP467" s="1">
        <v>0</v>
      </c>
      <c r="AQ467" s="24">
        <f t="shared" si="23"/>
        <v>8</v>
      </c>
    </row>
    <row r="468" spans="1:43" ht="17.25" customHeight="1" x14ac:dyDescent="0.45">
      <c r="A468" s="12" t="s">
        <v>125</v>
      </c>
      <c r="B468" s="12" t="s">
        <v>87</v>
      </c>
      <c r="C468" s="12" t="s">
        <v>10</v>
      </c>
      <c r="D468" s="12" t="s">
        <v>66</v>
      </c>
      <c r="E468" s="25">
        <v>41</v>
      </c>
      <c r="F468" s="10">
        <v>38</v>
      </c>
      <c r="G468" s="10">
        <v>40</v>
      </c>
      <c r="H468" s="10">
        <v>38</v>
      </c>
      <c r="I468" s="10">
        <v>32</v>
      </c>
      <c r="J468" s="10">
        <v>37</v>
      </c>
      <c r="K468" s="10">
        <v>43</v>
      </c>
      <c r="L468" s="10">
        <v>43</v>
      </c>
      <c r="M468" s="10">
        <v>38</v>
      </c>
      <c r="N468" s="10">
        <v>40</v>
      </c>
      <c r="O468" s="10">
        <v>39</v>
      </c>
      <c r="P468" s="10">
        <v>43</v>
      </c>
      <c r="Q468" s="26">
        <f t="shared" si="21"/>
        <v>472</v>
      </c>
      <c r="R468" s="25">
        <v>7083</v>
      </c>
      <c r="S468" s="10">
        <v>6079</v>
      </c>
      <c r="T468" s="10">
        <v>6307</v>
      </c>
      <c r="U468" s="10">
        <v>5914</v>
      </c>
      <c r="V468" s="10">
        <v>5008</v>
      </c>
      <c r="W468" s="10">
        <v>5950</v>
      </c>
      <c r="X468" s="10">
        <v>5539</v>
      </c>
      <c r="Y468" s="10">
        <v>6371</v>
      </c>
      <c r="Z468" s="10">
        <v>5564</v>
      </c>
      <c r="AA468" s="10">
        <v>5871</v>
      </c>
      <c r="AB468" s="10">
        <v>5117</v>
      </c>
      <c r="AC468" s="10">
        <v>5462</v>
      </c>
      <c r="AD468" s="26">
        <f t="shared" si="22"/>
        <v>70265</v>
      </c>
      <c r="AE468" s="25">
        <v>90</v>
      </c>
      <c r="AF468" s="10">
        <v>0</v>
      </c>
      <c r="AG468" s="10">
        <v>0</v>
      </c>
      <c r="AH468" s="10">
        <v>0</v>
      </c>
      <c r="AI468" s="10">
        <v>0</v>
      </c>
      <c r="AJ468" s="10">
        <v>0</v>
      </c>
      <c r="AK468" s="10">
        <v>0</v>
      </c>
      <c r="AL468" s="10">
        <v>0</v>
      </c>
      <c r="AM468" s="10">
        <v>0</v>
      </c>
      <c r="AN468" s="10">
        <v>0</v>
      </c>
      <c r="AO468" s="10">
        <v>0</v>
      </c>
      <c r="AP468" s="10">
        <v>165</v>
      </c>
      <c r="AQ468" s="26">
        <f t="shared" si="23"/>
        <v>255</v>
      </c>
    </row>
    <row r="469" spans="1:43" ht="17.25" customHeight="1" x14ac:dyDescent="0.45">
      <c r="A469" s="2" t="s">
        <v>125</v>
      </c>
      <c r="B469" s="2" t="s">
        <v>87</v>
      </c>
      <c r="C469" s="2" t="s">
        <v>12</v>
      </c>
      <c r="D469" s="2" t="s">
        <v>66</v>
      </c>
      <c r="E469" s="23">
        <v>62</v>
      </c>
      <c r="F469" s="1">
        <v>58</v>
      </c>
      <c r="G469" s="1">
        <v>62</v>
      </c>
      <c r="H469" s="1">
        <v>60</v>
      </c>
      <c r="I469" s="1">
        <v>62</v>
      </c>
      <c r="J469" s="1">
        <v>71</v>
      </c>
      <c r="K469" s="1">
        <v>93</v>
      </c>
      <c r="L469" s="1">
        <v>80</v>
      </c>
      <c r="M469" s="1">
        <v>60</v>
      </c>
      <c r="N469" s="1">
        <v>62</v>
      </c>
      <c r="O469" s="1">
        <v>61</v>
      </c>
      <c r="P469" s="1">
        <v>61</v>
      </c>
      <c r="Q469" s="24">
        <f t="shared" si="21"/>
        <v>792</v>
      </c>
      <c r="R469" s="23">
        <v>10358</v>
      </c>
      <c r="S469" s="1">
        <v>9456</v>
      </c>
      <c r="T469" s="1">
        <v>9863</v>
      </c>
      <c r="U469" s="1">
        <v>9989</v>
      </c>
      <c r="V469" s="1">
        <v>9983</v>
      </c>
      <c r="W469" s="1">
        <v>11168</v>
      </c>
      <c r="X469" s="1">
        <v>13457</v>
      </c>
      <c r="Y469" s="1">
        <v>13048</v>
      </c>
      <c r="Z469" s="1">
        <v>9696</v>
      </c>
      <c r="AA469" s="1">
        <v>9691</v>
      </c>
      <c r="AB469" s="1">
        <v>9648</v>
      </c>
      <c r="AC469" s="1">
        <v>8537</v>
      </c>
      <c r="AD469" s="24">
        <f t="shared" si="22"/>
        <v>124894</v>
      </c>
      <c r="AE469" s="23">
        <v>34877</v>
      </c>
      <c r="AF469" s="1">
        <v>44856</v>
      </c>
      <c r="AG469" s="1">
        <v>53738</v>
      </c>
      <c r="AH469" s="1">
        <v>50328</v>
      </c>
      <c r="AI469" s="1">
        <v>65735</v>
      </c>
      <c r="AJ469" s="1">
        <v>80816</v>
      </c>
      <c r="AK469" s="1">
        <v>60182</v>
      </c>
      <c r="AL469" s="1">
        <v>58443</v>
      </c>
      <c r="AM469" s="1">
        <v>65015</v>
      </c>
      <c r="AN469" s="1">
        <v>59755</v>
      </c>
      <c r="AO469" s="1">
        <v>53326</v>
      </c>
      <c r="AP469" s="1">
        <v>52727</v>
      </c>
      <c r="AQ469" s="24">
        <f t="shared" si="23"/>
        <v>679798</v>
      </c>
    </row>
    <row r="470" spans="1:43" ht="17.25" customHeight="1" x14ac:dyDescent="0.45">
      <c r="A470" s="12" t="s">
        <v>188</v>
      </c>
      <c r="B470" s="12" t="s">
        <v>68</v>
      </c>
      <c r="C470" s="12" t="s">
        <v>11</v>
      </c>
      <c r="D470" s="12" t="s">
        <v>66</v>
      </c>
      <c r="E470" s="25">
        <v>26</v>
      </c>
      <c r="F470" s="10">
        <v>25</v>
      </c>
      <c r="G470" s="10">
        <v>28</v>
      </c>
      <c r="H470" s="10">
        <v>28</v>
      </c>
      <c r="I470" s="10">
        <v>32</v>
      </c>
      <c r="J470" s="10">
        <v>26</v>
      </c>
      <c r="K470" s="10">
        <v>30</v>
      </c>
      <c r="L470" s="10">
        <v>31</v>
      </c>
      <c r="M470" s="10">
        <v>30</v>
      </c>
      <c r="N470" s="10">
        <v>59</v>
      </c>
      <c r="O470" s="10">
        <v>50</v>
      </c>
      <c r="P470" s="10">
        <v>47</v>
      </c>
      <c r="Q470" s="26">
        <f t="shared" si="21"/>
        <v>412</v>
      </c>
      <c r="R470" s="25">
        <v>0</v>
      </c>
      <c r="S470" s="10">
        <v>0</v>
      </c>
      <c r="T470" s="10">
        <v>0</v>
      </c>
      <c r="U470" s="10">
        <v>0</v>
      </c>
      <c r="V470" s="10">
        <v>0</v>
      </c>
      <c r="W470" s="10">
        <v>0</v>
      </c>
      <c r="X470" s="10">
        <v>0</v>
      </c>
      <c r="Y470" s="10">
        <v>0</v>
      </c>
      <c r="Z470" s="10">
        <v>0</v>
      </c>
      <c r="AA470" s="10">
        <v>0</v>
      </c>
      <c r="AB470" s="10">
        <v>0</v>
      </c>
      <c r="AC470" s="10">
        <v>0</v>
      </c>
      <c r="AD470" s="26">
        <f t="shared" si="22"/>
        <v>0</v>
      </c>
      <c r="AE470" s="25">
        <v>1005748</v>
      </c>
      <c r="AF470" s="10">
        <v>854367</v>
      </c>
      <c r="AG470" s="10">
        <v>1016092</v>
      </c>
      <c r="AH470" s="10">
        <v>940928</v>
      </c>
      <c r="AI470" s="10">
        <v>971528</v>
      </c>
      <c r="AJ470" s="10">
        <v>943347</v>
      </c>
      <c r="AK470" s="10">
        <v>1007808</v>
      </c>
      <c r="AL470" s="10">
        <v>1144942</v>
      </c>
      <c r="AM470" s="10">
        <v>974549</v>
      </c>
      <c r="AN470" s="10">
        <v>1278660</v>
      </c>
      <c r="AO470" s="10">
        <v>1143804</v>
      </c>
      <c r="AP470" s="10">
        <v>1108095</v>
      </c>
      <c r="AQ470" s="26">
        <f t="shared" si="23"/>
        <v>12389868</v>
      </c>
    </row>
    <row r="471" spans="1:43" ht="17.25" customHeight="1" x14ac:dyDescent="0.45">
      <c r="A471" s="2" t="s">
        <v>188</v>
      </c>
      <c r="B471" s="2" t="s">
        <v>68</v>
      </c>
      <c r="C471" s="2" t="s">
        <v>13</v>
      </c>
      <c r="D471" s="2" t="s">
        <v>66</v>
      </c>
      <c r="E471" s="23">
        <v>27</v>
      </c>
      <c r="F471" s="1">
        <v>26</v>
      </c>
      <c r="G471" s="1">
        <v>26</v>
      </c>
      <c r="H471" s="1">
        <v>30</v>
      </c>
      <c r="I471" s="1">
        <v>30</v>
      </c>
      <c r="J471" s="1">
        <v>26</v>
      </c>
      <c r="K471" s="1">
        <v>29</v>
      </c>
      <c r="L471" s="1">
        <v>27</v>
      </c>
      <c r="M471" s="1">
        <v>27</v>
      </c>
      <c r="N471" s="1">
        <v>29</v>
      </c>
      <c r="O471" s="1">
        <v>27</v>
      </c>
      <c r="P471" s="1">
        <v>28</v>
      </c>
      <c r="Q471" s="24">
        <f t="shared" si="21"/>
        <v>332</v>
      </c>
      <c r="R471" s="23">
        <v>0</v>
      </c>
      <c r="S471" s="1">
        <v>0</v>
      </c>
      <c r="T471" s="1">
        <v>0</v>
      </c>
      <c r="U471" s="1">
        <v>0</v>
      </c>
      <c r="V471" s="1">
        <v>0</v>
      </c>
      <c r="W471" s="1">
        <v>0</v>
      </c>
      <c r="X471" s="1">
        <v>0</v>
      </c>
      <c r="Y471" s="1">
        <v>0</v>
      </c>
      <c r="Z471" s="1">
        <v>0</v>
      </c>
      <c r="AA471" s="1">
        <v>0</v>
      </c>
      <c r="AB471" s="1">
        <v>0</v>
      </c>
      <c r="AC471" s="1">
        <v>0</v>
      </c>
      <c r="AD471" s="24">
        <f t="shared" si="22"/>
        <v>0</v>
      </c>
      <c r="AE471" s="23">
        <v>576947</v>
      </c>
      <c r="AF471" s="1">
        <v>506770</v>
      </c>
      <c r="AG471" s="1">
        <v>672216</v>
      </c>
      <c r="AH471" s="1">
        <v>614261</v>
      </c>
      <c r="AI471" s="1">
        <v>597378</v>
      </c>
      <c r="AJ471" s="1">
        <v>640143</v>
      </c>
      <c r="AK471" s="1">
        <v>611194</v>
      </c>
      <c r="AL471" s="1">
        <v>659780</v>
      </c>
      <c r="AM471" s="1">
        <v>524910</v>
      </c>
      <c r="AN471" s="1">
        <v>653524.4673919999</v>
      </c>
      <c r="AO471" s="1">
        <v>531831.63</v>
      </c>
      <c r="AP471" s="1">
        <v>678608</v>
      </c>
      <c r="AQ471" s="24">
        <f t="shared" si="23"/>
        <v>7267563.0973919993</v>
      </c>
    </row>
    <row r="472" spans="1:43" ht="17.25" customHeight="1" x14ac:dyDescent="0.45">
      <c r="A472" s="12" t="s">
        <v>188</v>
      </c>
      <c r="B472" s="12" t="s">
        <v>68</v>
      </c>
      <c r="C472" s="12" t="s">
        <v>28</v>
      </c>
      <c r="D472" s="12" t="s">
        <v>66</v>
      </c>
      <c r="E472" s="25">
        <v>18</v>
      </c>
      <c r="F472" s="10">
        <v>18</v>
      </c>
      <c r="G472" s="10">
        <v>21</v>
      </c>
      <c r="H472" s="10">
        <v>21</v>
      </c>
      <c r="I472" s="10">
        <v>21</v>
      </c>
      <c r="J472" s="10">
        <v>20</v>
      </c>
      <c r="K472" s="10">
        <v>22</v>
      </c>
      <c r="L472" s="10">
        <v>20</v>
      </c>
      <c r="M472" s="10">
        <v>20</v>
      </c>
      <c r="N472" s="10">
        <v>21</v>
      </c>
      <c r="O472" s="10">
        <v>20</v>
      </c>
      <c r="P472" s="10">
        <v>21</v>
      </c>
      <c r="Q472" s="26">
        <f t="shared" si="21"/>
        <v>243</v>
      </c>
      <c r="R472" s="25">
        <v>0</v>
      </c>
      <c r="S472" s="10">
        <v>0</v>
      </c>
      <c r="T472" s="10">
        <v>0</v>
      </c>
      <c r="U472" s="10">
        <v>0</v>
      </c>
      <c r="V472" s="10">
        <v>0</v>
      </c>
      <c r="W472" s="10">
        <v>0</v>
      </c>
      <c r="X472" s="10">
        <v>0</v>
      </c>
      <c r="Y472" s="10">
        <v>0</v>
      </c>
      <c r="Z472" s="10">
        <v>0</v>
      </c>
      <c r="AA472" s="10">
        <v>0</v>
      </c>
      <c r="AB472" s="10">
        <v>0</v>
      </c>
      <c r="AC472" s="10">
        <v>0</v>
      </c>
      <c r="AD472" s="26">
        <f t="shared" si="22"/>
        <v>0</v>
      </c>
      <c r="AE472" s="25">
        <v>496170</v>
      </c>
      <c r="AF472" s="10">
        <v>499392</v>
      </c>
      <c r="AG472" s="10">
        <v>789041</v>
      </c>
      <c r="AH472" s="10">
        <v>1135038</v>
      </c>
      <c r="AI472" s="10">
        <v>1254791</v>
      </c>
      <c r="AJ472" s="10">
        <v>589997</v>
      </c>
      <c r="AK472" s="10">
        <v>1281791</v>
      </c>
      <c r="AL472" s="10">
        <v>584187.94068</v>
      </c>
      <c r="AM472" s="10">
        <v>502488.43327587773</v>
      </c>
      <c r="AN472" s="10">
        <v>530863.64873446431</v>
      </c>
      <c r="AO472" s="10">
        <v>494899.75505760679</v>
      </c>
      <c r="AP472" s="10">
        <v>412182.25528440537</v>
      </c>
      <c r="AQ472" s="26">
        <f t="shared" si="23"/>
        <v>8570842.033032354</v>
      </c>
    </row>
    <row r="473" spans="1:43" ht="17.25" customHeight="1" x14ac:dyDescent="0.45">
      <c r="A473" s="2" t="s">
        <v>188</v>
      </c>
      <c r="B473" s="2" t="s">
        <v>68</v>
      </c>
      <c r="C473" s="2" t="s">
        <v>32</v>
      </c>
      <c r="D473" s="2" t="s">
        <v>66</v>
      </c>
      <c r="E473" s="23">
        <v>22</v>
      </c>
      <c r="F473" s="1">
        <v>24</v>
      </c>
      <c r="G473" s="1">
        <v>22</v>
      </c>
      <c r="H473" s="1">
        <v>22</v>
      </c>
      <c r="I473" s="1">
        <v>27</v>
      </c>
      <c r="J473" s="1">
        <v>23</v>
      </c>
      <c r="K473" s="1">
        <v>23</v>
      </c>
      <c r="L473" s="1">
        <v>25</v>
      </c>
      <c r="M473" s="1">
        <v>28</v>
      </c>
      <c r="N473" s="1">
        <v>26</v>
      </c>
      <c r="O473" s="1">
        <v>22</v>
      </c>
      <c r="P473" s="1">
        <v>25</v>
      </c>
      <c r="Q473" s="24">
        <f t="shared" si="21"/>
        <v>289</v>
      </c>
      <c r="R473" s="23">
        <v>0</v>
      </c>
      <c r="S473" s="1">
        <v>0</v>
      </c>
      <c r="T473" s="1">
        <v>0</v>
      </c>
      <c r="U473" s="1">
        <v>0</v>
      </c>
      <c r="V473" s="1">
        <v>0</v>
      </c>
      <c r="W473" s="1">
        <v>0</v>
      </c>
      <c r="X473" s="1">
        <v>0</v>
      </c>
      <c r="Y473" s="1">
        <v>0</v>
      </c>
      <c r="Z473" s="1">
        <v>0</v>
      </c>
      <c r="AA473" s="1">
        <v>0</v>
      </c>
      <c r="AB473" s="1">
        <v>0</v>
      </c>
      <c r="AC473" s="1">
        <v>0</v>
      </c>
      <c r="AD473" s="24">
        <f t="shared" si="22"/>
        <v>0</v>
      </c>
      <c r="AE473" s="23">
        <v>640387</v>
      </c>
      <c r="AF473" s="1">
        <v>2088308</v>
      </c>
      <c r="AG473" s="1">
        <v>947487</v>
      </c>
      <c r="AH473" s="1">
        <v>802176</v>
      </c>
      <c r="AI473" s="1">
        <v>1054569</v>
      </c>
      <c r="AJ473" s="1">
        <v>966033</v>
      </c>
      <c r="AK473" s="1">
        <v>592723</v>
      </c>
      <c r="AL473" s="1">
        <v>1084091</v>
      </c>
      <c r="AM473" s="1">
        <v>1135704</v>
      </c>
      <c r="AN473" s="1">
        <v>1021413</v>
      </c>
      <c r="AO473" s="1">
        <v>953999</v>
      </c>
      <c r="AP473" s="1">
        <v>857011</v>
      </c>
      <c r="AQ473" s="24">
        <f t="shared" si="23"/>
        <v>12143901</v>
      </c>
    </row>
    <row r="474" spans="1:43" ht="17.25" customHeight="1" x14ac:dyDescent="0.45">
      <c r="A474" s="12" t="s">
        <v>23</v>
      </c>
      <c r="B474" s="12" t="s">
        <v>66</v>
      </c>
      <c r="C474" s="12" t="s">
        <v>77</v>
      </c>
      <c r="D474" s="12" t="s">
        <v>68</v>
      </c>
      <c r="E474" s="25">
        <v>0</v>
      </c>
      <c r="F474" s="10">
        <v>0</v>
      </c>
      <c r="G474" s="10">
        <v>18</v>
      </c>
      <c r="H474" s="10">
        <v>25</v>
      </c>
      <c r="I474" s="10">
        <v>22</v>
      </c>
      <c r="J474" s="10">
        <v>26</v>
      </c>
      <c r="K474" s="10">
        <v>0</v>
      </c>
      <c r="L474" s="10">
        <v>0</v>
      </c>
      <c r="M474" s="10">
        <v>0</v>
      </c>
      <c r="N474" s="10">
        <v>0</v>
      </c>
      <c r="O474" s="10">
        <v>0</v>
      </c>
      <c r="P474" s="10">
        <v>0</v>
      </c>
      <c r="Q474" s="26">
        <f t="shared" si="21"/>
        <v>91</v>
      </c>
      <c r="R474" s="25">
        <v>0</v>
      </c>
      <c r="S474" s="10">
        <v>0</v>
      </c>
      <c r="T474" s="10">
        <v>1275</v>
      </c>
      <c r="U474" s="10">
        <v>1691</v>
      </c>
      <c r="V474" s="10">
        <v>1280</v>
      </c>
      <c r="W474" s="10">
        <v>1852</v>
      </c>
      <c r="X474" s="10">
        <v>0</v>
      </c>
      <c r="Y474" s="10">
        <v>0</v>
      </c>
      <c r="Z474" s="10">
        <v>0</v>
      </c>
      <c r="AA474" s="10">
        <v>0</v>
      </c>
      <c r="AB474" s="10">
        <v>0</v>
      </c>
      <c r="AC474" s="10">
        <v>0</v>
      </c>
      <c r="AD474" s="26">
        <f t="shared" si="22"/>
        <v>6098</v>
      </c>
      <c r="AE474" s="25">
        <v>0</v>
      </c>
      <c r="AF474" s="10">
        <v>0</v>
      </c>
      <c r="AG474" s="10">
        <v>0</v>
      </c>
      <c r="AH474" s="10">
        <v>0</v>
      </c>
      <c r="AI474" s="10">
        <v>0</v>
      </c>
      <c r="AJ474" s="10">
        <v>0</v>
      </c>
      <c r="AK474" s="10">
        <v>0</v>
      </c>
      <c r="AL474" s="10">
        <v>0</v>
      </c>
      <c r="AM474" s="10">
        <v>0</v>
      </c>
      <c r="AN474" s="10">
        <v>0</v>
      </c>
      <c r="AO474" s="10">
        <v>0</v>
      </c>
      <c r="AP474" s="10">
        <v>0</v>
      </c>
      <c r="AQ474" s="26">
        <f t="shared" si="23"/>
        <v>0</v>
      </c>
    </row>
    <row r="475" spans="1:43" ht="17.25" customHeight="1" x14ac:dyDescent="0.45">
      <c r="A475" s="2" t="s">
        <v>23</v>
      </c>
      <c r="B475" s="2" t="s">
        <v>66</v>
      </c>
      <c r="C475" s="2" t="s">
        <v>67</v>
      </c>
      <c r="D475" s="2" t="s">
        <v>68</v>
      </c>
      <c r="E475" s="23">
        <v>31</v>
      </c>
      <c r="F475" s="1">
        <v>29</v>
      </c>
      <c r="G475" s="1">
        <v>31</v>
      </c>
      <c r="H475" s="1">
        <v>29</v>
      </c>
      <c r="I475" s="1">
        <v>29</v>
      </c>
      <c r="J475" s="1">
        <v>31</v>
      </c>
      <c r="K475" s="1">
        <v>29</v>
      </c>
      <c r="L475" s="1">
        <v>31</v>
      </c>
      <c r="M475" s="1">
        <v>7</v>
      </c>
      <c r="N475" s="1">
        <v>24</v>
      </c>
      <c r="O475" s="1">
        <v>28</v>
      </c>
      <c r="P475" s="1">
        <v>28</v>
      </c>
      <c r="Q475" s="24">
        <f t="shared" si="21"/>
        <v>327</v>
      </c>
      <c r="R475" s="23">
        <v>3275</v>
      </c>
      <c r="S475" s="1">
        <v>3099</v>
      </c>
      <c r="T475" s="1">
        <v>3527</v>
      </c>
      <c r="U475" s="1">
        <v>2969</v>
      </c>
      <c r="V475" s="1">
        <v>2244</v>
      </c>
      <c r="W475" s="1">
        <v>3101</v>
      </c>
      <c r="X475" s="1">
        <v>3319</v>
      </c>
      <c r="Y475" s="1">
        <v>2269</v>
      </c>
      <c r="Z475" s="1">
        <v>486</v>
      </c>
      <c r="AA475" s="1">
        <v>1964</v>
      </c>
      <c r="AB475" s="1">
        <v>2866</v>
      </c>
      <c r="AC475" s="1">
        <v>2458</v>
      </c>
      <c r="AD475" s="24">
        <f t="shared" si="22"/>
        <v>31577</v>
      </c>
      <c r="AE475" s="23">
        <v>0</v>
      </c>
      <c r="AF475" s="1">
        <v>0</v>
      </c>
      <c r="AG475" s="1">
        <v>0</v>
      </c>
      <c r="AH475" s="1">
        <v>0</v>
      </c>
      <c r="AI475" s="1">
        <v>0</v>
      </c>
      <c r="AJ475" s="1">
        <v>0</v>
      </c>
      <c r="AK475" s="1">
        <v>42.637682780000006</v>
      </c>
      <c r="AL475" s="1">
        <v>0</v>
      </c>
      <c r="AM475" s="1">
        <v>0</v>
      </c>
      <c r="AN475" s="1">
        <v>0</v>
      </c>
      <c r="AO475" s="1">
        <v>0</v>
      </c>
      <c r="AP475" s="1">
        <v>0</v>
      </c>
      <c r="AQ475" s="24">
        <f t="shared" si="23"/>
        <v>42.637682780000006</v>
      </c>
    </row>
    <row r="476" spans="1:43" ht="17.25" customHeight="1" x14ac:dyDescent="0.45">
      <c r="A476" s="12" t="s">
        <v>23</v>
      </c>
      <c r="B476" s="12" t="s">
        <v>66</v>
      </c>
      <c r="C476" s="12" t="s">
        <v>108</v>
      </c>
      <c r="D476" s="12" t="s">
        <v>104</v>
      </c>
      <c r="E476" s="25">
        <v>18</v>
      </c>
      <c r="F476" s="10">
        <v>16</v>
      </c>
      <c r="G476" s="10">
        <v>19</v>
      </c>
      <c r="H476" s="10">
        <v>16</v>
      </c>
      <c r="I476" s="10">
        <v>18</v>
      </c>
      <c r="J476" s="10">
        <v>15</v>
      </c>
      <c r="K476" s="10">
        <v>13</v>
      </c>
      <c r="L476" s="10">
        <v>10</v>
      </c>
      <c r="M476" s="10">
        <v>3</v>
      </c>
      <c r="N476" s="10">
        <v>0</v>
      </c>
      <c r="O476" s="10">
        <v>2</v>
      </c>
      <c r="P476" s="10">
        <v>8</v>
      </c>
      <c r="Q476" s="26">
        <f t="shared" si="21"/>
        <v>138</v>
      </c>
      <c r="R476" s="25">
        <v>338</v>
      </c>
      <c r="S476" s="10">
        <v>261</v>
      </c>
      <c r="T476" s="10">
        <v>424</v>
      </c>
      <c r="U476" s="10">
        <v>246</v>
      </c>
      <c r="V476" s="10">
        <v>225</v>
      </c>
      <c r="W476" s="10">
        <v>260</v>
      </c>
      <c r="X476" s="10">
        <v>199</v>
      </c>
      <c r="Y476" s="10">
        <v>96</v>
      </c>
      <c r="Z476" s="10">
        <v>38</v>
      </c>
      <c r="AA476" s="10">
        <v>0</v>
      </c>
      <c r="AB476" s="10">
        <v>33</v>
      </c>
      <c r="AC476" s="10">
        <v>254</v>
      </c>
      <c r="AD476" s="26">
        <f t="shared" si="22"/>
        <v>2374</v>
      </c>
      <c r="AE476" s="25">
        <v>0</v>
      </c>
      <c r="AF476" s="10">
        <v>0</v>
      </c>
      <c r="AG476" s="10">
        <v>0</v>
      </c>
      <c r="AH476" s="10">
        <v>0</v>
      </c>
      <c r="AI476" s="10">
        <v>0</v>
      </c>
      <c r="AJ476" s="10">
        <v>0</v>
      </c>
      <c r="AK476" s="10">
        <v>0</v>
      </c>
      <c r="AL476" s="10">
        <v>0</v>
      </c>
      <c r="AM476" s="10">
        <v>0</v>
      </c>
      <c r="AN476" s="10">
        <v>0</v>
      </c>
      <c r="AO476" s="10">
        <v>0</v>
      </c>
      <c r="AP476" s="10">
        <v>0</v>
      </c>
      <c r="AQ476" s="26">
        <f t="shared" si="23"/>
        <v>0</v>
      </c>
    </row>
    <row r="477" spans="1:43" ht="17.25" customHeight="1" x14ac:dyDescent="0.45">
      <c r="A477" s="2" t="s">
        <v>23</v>
      </c>
      <c r="B477" s="2" t="s">
        <v>66</v>
      </c>
      <c r="C477" s="2" t="s">
        <v>69</v>
      </c>
      <c r="D477" s="2" t="s">
        <v>68</v>
      </c>
      <c r="E477" s="23">
        <v>30</v>
      </c>
      <c r="F477" s="1">
        <v>29</v>
      </c>
      <c r="G477" s="1">
        <v>31</v>
      </c>
      <c r="H477" s="1">
        <v>30</v>
      </c>
      <c r="I477" s="1">
        <v>31</v>
      </c>
      <c r="J477" s="1">
        <v>30</v>
      </c>
      <c r="K477" s="1">
        <v>28</v>
      </c>
      <c r="L477" s="1">
        <v>31</v>
      </c>
      <c r="M477" s="1">
        <v>30</v>
      </c>
      <c r="N477" s="1">
        <v>29</v>
      </c>
      <c r="O477" s="1">
        <v>30</v>
      </c>
      <c r="P477" s="1">
        <v>31</v>
      </c>
      <c r="Q477" s="24">
        <f t="shared" si="21"/>
        <v>360</v>
      </c>
      <c r="R477" s="23">
        <v>4099</v>
      </c>
      <c r="S477" s="1">
        <v>4046</v>
      </c>
      <c r="T477" s="1">
        <v>4441</v>
      </c>
      <c r="U477" s="1">
        <v>3546</v>
      </c>
      <c r="V477" s="1">
        <v>2829</v>
      </c>
      <c r="W477" s="1">
        <v>3374</v>
      </c>
      <c r="X477" s="1">
        <v>3948</v>
      </c>
      <c r="Y477" s="1">
        <v>4503</v>
      </c>
      <c r="Z477" s="1">
        <v>3767</v>
      </c>
      <c r="AA477" s="1">
        <v>3345</v>
      </c>
      <c r="AB477" s="1">
        <v>4181</v>
      </c>
      <c r="AC477" s="1">
        <v>4092</v>
      </c>
      <c r="AD477" s="24">
        <f t="shared" si="22"/>
        <v>46171</v>
      </c>
      <c r="AE477" s="23">
        <v>6376</v>
      </c>
      <c r="AF477" s="1">
        <v>6179</v>
      </c>
      <c r="AG477" s="1">
        <v>4856</v>
      </c>
      <c r="AH477" s="1">
        <v>7831</v>
      </c>
      <c r="AI477" s="1">
        <v>5717</v>
      </c>
      <c r="AJ477" s="1">
        <v>5901</v>
      </c>
      <c r="AK477" s="1">
        <v>4093</v>
      </c>
      <c r="AL477" s="1">
        <v>6670</v>
      </c>
      <c r="AM477" s="1">
        <v>12128</v>
      </c>
      <c r="AN477" s="1">
        <v>11270</v>
      </c>
      <c r="AO477" s="1">
        <v>12862</v>
      </c>
      <c r="AP477" s="1">
        <v>17850</v>
      </c>
      <c r="AQ477" s="24">
        <f t="shared" si="23"/>
        <v>101733</v>
      </c>
    </row>
    <row r="478" spans="1:43" ht="17.25" customHeight="1" x14ac:dyDescent="0.45">
      <c r="A478" s="12" t="s">
        <v>23</v>
      </c>
      <c r="B478" s="12" t="s">
        <v>66</v>
      </c>
      <c r="C478" s="12" t="s">
        <v>116</v>
      </c>
      <c r="D478" s="12" t="s">
        <v>96</v>
      </c>
      <c r="E478" s="25">
        <v>4</v>
      </c>
      <c r="F478" s="10">
        <v>4</v>
      </c>
      <c r="G478" s="10">
        <v>5</v>
      </c>
      <c r="H478" s="10">
        <v>4</v>
      </c>
      <c r="I478" s="10">
        <v>4</v>
      </c>
      <c r="J478" s="10">
        <v>5</v>
      </c>
      <c r="K478" s="10">
        <v>4</v>
      </c>
      <c r="L478" s="10">
        <v>5</v>
      </c>
      <c r="M478" s="10">
        <v>4</v>
      </c>
      <c r="N478" s="10">
        <v>4</v>
      </c>
      <c r="O478" s="10">
        <v>5</v>
      </c>
      <c r="P478" s="10">
        <v>4</v>
      </c>
      <c r="Q478" s="26">
        <f t="shared" si="21"/>
        <v>52</v>
      </c>
      <c r="R478" s="25">
        <v>399</v>
      </c>
      <c r="S478" s="10">
        <v>380</v>
      </c>
      <c r="T478" s="10">
        <v>678</v>
      </c>
      <c r="U478" s="10">
        <v>400</v>
      </c>
      <c r="V478" s="10">
        <v>300</v>
      </c>
      <c r="W478" s="10">
        <v>394</v>
      </c>
      <c r="X478" s="10">
        <v>380</v>
      </c>
      <c r="Y478" s="10">
        <v>574</v>
      </c>
      <c r="Z478" s="10">
        <v>312</v>
      </c>
      <c r="AA478" s="10">
        <v>282</v>
      </c>
      <c r="AB478" s="10">
        <v>360</v>
      </c>
      <c r="AC478" s="10">
        <v>523</v>
      </c>
      <c r="AD478" s="26">
        <f t="shared" si="22"/>
        <v>4982</v>
      </c>
      <c r="AE478" s="25">
        <v>0</v>
      </c>
      <c r="AF478" s="10">
        <v>0</v>
      </c>
      <c r="AG478" s="10">
        <v>0</v>
      </c>
      <c r="AH478" s="10">
        <v>0</v>
      </c>
      <c r="AI478" s="10">
        <v>0</v>
      </c>
      <c r="AJ478" s="10">
        <v>0</v>
      </c>
      <c r="AK478" s="10">
        <v>0</v>
      </c>
      <c r="AL478" s="10">
        <v>0</v>
      </c>
      <c r="AM478" s="10">
        <v>0</v>
      </c>
      <c r="AN478" s="10">
        <v>0</v>
      </c>
      <c r="AO478" s="10">
        <v>0</v>
      </c>
      <c r="AP478" s="10">
        <v>0</v>
      </c>
      <c r="AQ478" s="26">
        <f t="shared" si="23"/>
        <v>0</v>
      </c>
    </row>
    <row r="479" spans="1:43" ht="17.25" customHeight="1" x14ac:dyDescent="0.45">
      <c r="A479" s="2" t="s">
        <v>23</v>
      </c>
      <c r="B479" s="2" t="s">
        <v>66</v>
      </c>
      <c r="C479" s="2" t="s">
        <v>73</v>
      </c>
      <c r="D479" s="2" t="s">
        <v>68</v>
      </c>
      <c r="E479" s="23">
        <v>0</v>
      </c>
      <c r="F479" s="1">
        <v>0</v>
      </c>
      <c r="G479" s="1">
        <v>0</v>
      </c>
      <c r="H479" s="1">
        <v>0</v>
      </c>
      <c r="I479" s="1">
        <v>0</v>
      </c>
      <c r="J479" s="1">
        <v>0</v>
      </c>
      <c r="K479" s="1">
        <v>0</v>
      </c>
      <c r="L479" s="1">
        <v>0</v>
      </c>
      <c r="M479" s="1">
        <v>0</v>
      </c>
      <c r="N479" s="1">
        <v>0</v>
      </c>
      <c r="O479" s="1">
        <v>0</v>
      </c>
      <c r="P479" s="1">
        <v>2</v>
      </c>
      <c r="Q479" s="24">
        <f t="shared" si="21"/>
        <v>2</v>
      </c>
      <c r="R479" s="23">
        <v>0</v>
      </c>
      <c r="S479" s="1">
        <v>0</v>
      </c>
      <c r="T479" s="1">
        <v>0</v>
      </c>
      <c r="U479" s="1">
        <v>0</v>
      </c>
      <c r="V479" s="1">
        <v>0</v>
      </c>
      <c r="W479" s="1">
        <v>0</v>
      </c>
      <c r="X479" s="1">
        <v>0</v>
      </c>
      <c r="Y479" s="1">
        <v>0</v>
      </c>
      <c r="Z479" s="1">
        <v>0</v>
      </c>
      <c r="AA479" s="1">
        <v>0</v>
      </c>
      <c r="AB479" s="1">
        <v>0</v>
      </c>
      <c r="AC479" s="1">
        <v>311</v>
      </c>
      <c r="AD479" s="24">
        <f t="shared" si="22"/>
        <v>311</v>
      </c>
      <c r="AE479" s="23">
        <v>0</v>
      </c>
      <c r="AF479" s="1">
        <v>0</v>
      </c>
      <c r="AG479" s="1">
        <v>0</v>
      </c>
      <c r="AH479" s="1">
        <v>0</v>
      </c>
      <c r="AI479" s="1">
        <v>0</v>
      </c>
      <c r="AJ479" s="1">
        <v>0</v>
      </c>
      <c r="AK479" s="1">
        <v>0</v>
      </c>
      <c r="AL479" s="1">
        <v>0</v>
      </c>
      <c r="AM479" s="1">
        <v>0</v>
      </c>
      <c r="AN479" s="1">
        <v>0</v>
      </c>
      <c r="AO479" s="1">
        <v>0</v>
      </c>
      <c r="AP479" s="1">
        <v>0</v>
      </c>
      <c r="AQ479" s="24">
        <f t="shared" si="23"/>
        <v>0</v>
      </c>
    </row>
    <row r="480" spans="1:43" ht="17.25" customHeight="1" x14ac:dyDescent="0.45">
      <c r="A480" s="12" t="s">
        <v>23</v>
      </c>
      <c r="B480" s="12" t="s">
        <v>66</v>
      </c>
      <c r="C480" s="12" t="s">
        <v>126</v>
      </c>
      <c r="D480" s="12" t="s">
        <v>68</v>
      </c>
      <c r="E480" s="25">
        <v>44</v>
      </c>
      <c r="F480" s="10">
        <v>37</v>
      </c>
      <c r="G480" s="10">
        <v>39</v>
      </c>
      <c r="H480" s="10">
        <v>37</v>
      </c>
      <c r="I480" s="10">
        <v>39</v>
      </c>
      <c r="J480" s="10">
        <v>39</v>
      </c>
      <c r="K480" s="10">
        <v>54</v>
      </c>
      <c r="L480" s="10">
        <v>44</v>
      </c>
      <c r="M480" s="10">
        <v>42</v>
      </c>
      <c r="N480" s="10">
        <v>44</v>
      </c>
      <c r="O480" s="10">
        <v>44</v>
      </c>
      <c r="P480" s="10">
        <v>50</v>
      </c>
      <c r="Q480" s="26">
        <f t="shared" si="21"/>
        <v>513</v>
      </c>
      <c r="R480" s="25">
        <v>3694</v>
      </c>
      <c r="S480" s="10">
        <v>3490</v>
      </c>
      <c r="T480" s="10">
        <v>3806</v>
      </c>
      <c r="U480" s="10">
        <v>3359</v>
      </c>
      <c r="V480" s="10">
        <v>2749</v>
      </c>
      <c r="W480" s="10">
        <v>3052</v>
      </c>
      <c r="X480" s="10">
        <v>4088</v>
      </c>
      <c r="Y480" s="10">
        <v>3224</v>
      </c>
      <c r="Z480" s="10">
        <v>2872</v>
      </c>
      <c r="AA480" s="10">
        <v>3616</v>
      </c>
      <c r="AB480" s="10">
        <v>4828</v>
      </c>
      <c r="AC480" s="10">
        <v>4565</v>
      </c>
      <c r="AD480" s="26">
        <f t="shared" si="22"/>
        <v>43343</v>
      </c>
      <c r="AE480" s="25">
        <v>310495</v>
      </c>
      <c r="AF480" s="10">
        <v>153582.03577528</v>
      </c>
      <c r="AG480" s="10">
        <v>146650</v>
      </c>
      <c r="AH480" s="10">
        <v>94716</v>
      </c>
      <c r="AI480" s="10">
        <v>155135.35</v>
      </c>
      <c r="AJ480" s="10">
        <v>213026.35</v>
      </c>
      <c r="AK480" s="10">
        <v>217037.78291769</v>
      </c>
      <c r="AL480" s="10">
        <v>58151</v>
      </c>
      <c r="AM480" s="10">
        <v>91708</v>
      </c>
      <c r="AN480" s="10">
        <v>64473</v>
      </c>
      <c r="AO480" s="10">
        <v>80105</v>
      </c>
      <c r="AP480" s="10">
        <v>288229</v>
      </c>
      <c r="AQ480" s="26">
        <f t="shared" si="23"/>
        <v>1873308.51869297</v>
      </c>
    </row>
    <row r="481" spans="1:43" ht="17.25" customHeight="1" x14ac:dyDescent="0.45">
      <c r="A481" s="2" t="s">
        <v>23</v>
      </c>
      <c r="B481" s="2" t="s">
        <v>66</v>
      </c>
      <c r="C481" s="2" t="s">
        <v>135</v>
      </c>
      <c r="D481" s="2" t="s">
        <v>68</v>
      </c>
      <c r="E481" s="23">
        <v>0</v>
      </c>
      <c r="F481" s="1">
        <v>0</v>
      </c>
      <c r="G481" s="1">
        <v>0</v>
      </c>
      <c r="H481" s="1">
        <v>0</v>
      </c>
      <c r="I481" s="1">
        <v>0</v>
      </c>
      <c r="J481" s="1">
        <v>0</v>
      </c>
      <c r="K481" s="1">
        <v>7</v>
      </c>
      <c r="L481" s="1">
        <v>9</v>
      </c>
      <c r="M481" s="1">
        <v>9</v>
      </c>
      <c r="N481" s="1">
        <v>8</v>
      </c>
      <c r="O481" s="1">
        <v>9</v>
      </c>
      <c r="P481" s="1">
        <v>9</v>
      </c>
      <c r="Q481" s="24">
        <f t="shared" si="21"/>
        <v>51</v>
      </c>
      <c r="R481" s="23">
        <v>0</v>
      </c>
      <c r="S481" s="1">
        <v>0</v>
      </c>
      <c r="T481" s="1">
        <v>0</v>
      </c>
      <c r="U481" s="1">
        <v>0</v>
      </c>
      <c r="V481" s="1">
        <v>0</v>
      </c>
      <c r="W481" s="1">
        <v>0</v>
      </c>
      <c r="X481" s="1">
        <v>917</v>
      </c>
      <c r="Y481" s="1">
        <v>1099</v>
      </c>
      <c r="Z481" s="1">
        <v>1133</v>
      </c>
      <c r="AA481" s="1">
        <v>983</v>
      </c>
      <c r="AB481" s="1">
        <v>1034</v>
      </c>
      <c r="AC481" s="1">
        <v>1028</v>
      </c>
      <c r="AD481" s="24">
        <f t="shared" si="22"/>
        <v>6194</v>
      </c>
      <c r="AE481" s="23">
        <v>0</v>
      </c>
      <c r="AF481" s="1">
        <v>0</v>
      </c>
      <c r="AG481" s="1">
        <v>0</v>
      </c>
      <c r="AH481" s="1">
        <v>0</v>
      </c>
      <c r="AI481" s="1">
        <v>0</v>
      </c>
      <c r="AJ481" s="1">
        <v>0</v>
      </c>
      <c r="AK481" s="1">
        <v>0</v>
      </c>
      <c r="AL481" s="1">
        <v>0</v>
      </c>
      <c r="AM481" s="1">
        <v>0</v>
      </c>
      <c r="AN481" s="1">
        <v>0</v>
      </c>
      <c r="AO481" s="1">
        <v>0</v>
      </c>
      <c r="AP481" s="1">
        <v>0</v>
      </c>
      <c r="AQ481" s="24">
        <f t="shared" si="23"/>
        <v>0</v>
      </c>
    </row>
    <row r="482" spans="1:43" ht="17.25" customHeight="1" x14ac:dyDescent="0.45">
      <c r="A482" s="12" t="s">
        <v>23</v>
      </c>
      <c r="B482" s="12" t="s">
        <v>66</v>
      </c>
      <c r="C482" s="12" t="s">
        <v>71</v>
      </c>
      <c r="D482" s="12" t="s">
        <v>65</v>
      </c>
      <c r="E482" s="25">
        <v>8</v>
      </c>
      <c r="F482" s="10">
        <v>9</v>
      </c>
      <c r="G482" s="10">
        <v>8</v>
      </c>
      <c r="H482" s="10">
        <v>7</v>
      </c>
      <c r="I482" s="10">
        <v>0</v>
      </c>
      <c r="J482" s="10">
        <v>0</v>
      </c>
      <c r="K482" s="10">
        <v>0</v>
      </c>
      <c r="L482" s="10">
        <v>0</v>
      </c>
      <c r="M482" s="10">
        <v>0</v>
      </c>
      <c r="N482" s="10">
        <v>0</v>
      </c>
      <c r="O482" s="10">
        <v>2</v>
      </c>
      <c r="P482" s="10">
        <v>7</v>
      </c>
      <c r="Q482" s="26">
        <f t="shared" si="21"/>
        <v>41</v>
      </c>
      <c r="R482" s="25">
        <v>970</v>
      </c>
      <c r="S482" s="10">
        <v>1174</v>
      </c>
      <c r="T482" s="10">
        <v>1032</v>
      </c>
      <c r="U482" s="10">
        <v>826</v>
      </c>
      <c r="V482" s="10">
        <v>0</v>
      </c>
      <c r="W482" s="10">
        <v>0</v>
      </c>
      <c r="X482" s="10">
        <v>0</v>
      </c>
      <c r="Y482" s="10">
        <v>0</v>
      </c>
      <c r="Z482" s="10">
        <v>0</v>
      </c>
      <c r="AA482" s="10">
        <v>0</v>
      </c>
      <c r="AB482" s="10">
        <v>207</v>
      </c>
      <c r="AC482" s="10">
        <v>818</v>
      </c>
      <c r="AD482" s="26">
        <f t="shared" si="22"/>
        <v>5027</v>
      </c>
      <c r="AE482" s="25">
        <v>0</v>
      </c>
      <c r="AF482" s="10">
        <v>0</v>
      </c>
      <c r="AG482" s="10">
        <v>0</v>
      </c>
      <c r="AH482" s="10">
        <v>0</v>
      </c>
      <c r="AI482" s="10">
        <v>0</v>
      </c>
      <c r="AJ482" s="10">
        <v>0</v>
      </c>
      <c r="AK482" s="10">
        <v>0</v>
      </c>
      <c r="AL482" s="10">
        <v>0</v>
      </c>
      <c r="AM482" s="10">
        <v>0</v>
      </c>
      <c r="AN482" s="10">
        <v>0</v>
      </c>
      <c r="AO482" s="10">
        <v>0</v>
      </c>
      <c r="AP482" s="10">
        <v>0</v>
      </c>
      <c r="AQ482" s="26">
        <f t="shared" si="23"/>
        <v>0</v>
      </c>
    </row>
    <row r="483" spans="1:43" ht="17.25" customHeight="1" x14ac:dyDescent="0.45">
      <c r="A483" s="2" t="s">
        <v>12</v>
      </c>
      <c r="B483" s="2" t="s">
        <v>66</v>
      </c>
      <c r="C483" s="2" t="s">
        <v>74</v>
      </c>
      <c r="D483" s="2" t="s">
        <v>75</v>
      </c>
      <c r="E483" s="23">
        <v>62</v>
      </c>
      <c r="F483" s="1">
        <v>57</v>
      </c>
      <c r="G483" s="1">
        <v>61</v>
      </c>
      <c r="H483" s="1">
        <v>59</v>
      </c>
      <c r="I483" s="1">
        <v>62</v>
      </c>
      <c r="J483" s="1">
        <v>60</v>
      </c>
      <c r="K483" s="1">
        <v>60</v>
      </c>
      <c r="L483" s="1">
        <v>60</v>
      </c>
      <c r="M483" s="1">
        <v>59</v>
      </c>
      <c r="N483" s="1">
        <v>62</v>
      </c>
      <c r="O483" s="1">
        <v>59</v>
      </c>
      <c r="P483" s="1">
        <v>66</v>
      </c>
      <c r="Q483" s="24">
        <f t="shared" si="21"/>
        <v>727</v>
      </c>
      <c r="R483" s="23">
        <v>14077</v>
      </c>
      <c r="S483" s="1">
        <v>12154</v>
      </c>
      <c r="T483" s="1">
        <v>15011</v>
      </c>
      <c r="U483" s="1">
        <v>13262</v>
      </c>
      <c r="V483" s="1">
        <v>15283</v>
      </c>
      <c r="W483" s="1">
        <v>14954</v>
      </c>
      <c r="X483" s="1">
        <v>14842</v>
      </c>
      <c r="Y483" s="1">
        <v>14739</v>
      </c>
      <c r="Z483" s="1">
        <v>16433</v>
      </c>
      <c r="AA483" s="1">
        <v>12814</v>
      </c>
      <c r="AB483" s="1">
        <v>13776</v>
      </c>
      <c r="AC483" s="1">
        <v>14803</v>
      </c>
      <c r="AD483" s="24">
        <f t="shared" si="22"/>
        <v>172148</v>
      </c>
      <c r="AE483" s="23">
        <v>310753</v>
      </c>
      <c r="AF483" s="1">
        <v>376564</v>
      </c>
      <c r="AG483" s="1">
        <v>288873</v>
      </c>
      <c r="AH483" s="1">
        <v>235219</v>
      </c>
      <c r="AI483" s="1">
        <v>203973</v>
      </c>
      <c r="AJ483" s="1">
        <v>250857</v>
      </c>
      <c r="AK483" s="1">
        <v>267740</v>
      </c>
      <c r="AL483" s="1">
        <v>235587</v>
      </c>
      <c r="AM483" s="1">
        <v>206342</v>
      </c>
      <c r="AN483" s="1">
        <v>253301</v>
      </c>
      <c r="AO483" s="1">
        <v>339036</v>
      </c>
      <c r="AP483" s="1">
        <v>383915</v>
      </c>
      <c r="AQ483" s="24">
        <f t="shared" si="23"/>
        <v>3352160</v>
      </c>
    </row>
    <row r="484" spans="1:43" ht="17.25" customHeight="1" x14ac:dyDescent="0.45">
      <c r="A484" s="12" t="s">
        <v>12</v>
      </c>
      <c r="B484" s="12" t="s">
        <v>66</v>
      </c>
      <c r="C484" s="12" t="s">
        <v>77</v>
      </c>
      <c r="D484" s="12" t="s">
        <v>68</v>
      </c>
      <c r="E484" s="25">
        <v>144</v>
      </c>
      <c r="F484" s="10">
        <v>131</v>
      </c>
      <c r="G484" s="10">
        <v>151</v>
      </c>
      <c r="H484" s="10">
        <v>150</v>
      </c>
      <c r="I484" s="10">
        <v>155</v>
      </c>
      <c r="J484" s="10">
        <v>150</v>
      </c>
      <c r="K484" s="10">
        <v>150</v>
      </c>
      <c r="L484" s="10">
        <v>155</v>
      </c>
      <c r="M484" s="10">
        <v>149</v>
      </c>
      <c r="N484" s="10">
        <v>155</v>
      </c>
      <c r="O484" s="10">
        <v>150</v>
      </c>
      <c r="P484" s="10">
        <v>154</v>
      </c>
      <c r="Q484" s="26">
        <f t="shared" si="21"/>
        <v>1794</v>
      </c>
      <c r="R484" s="25">
        <v>22188</v>
      </c>
      <c r="S484" s="10">
        <v>18896</v>
      </c>
      <c r="T484" s="10">
        <v>23763</v>
      </c>
      <c r="U484" s="10">
        <v>22768</v>
      </c>
      <c r="V484" s="10">
        <v>23538</v>
      </c>
      <c r="W484" s="10">
        <v>21772</v>
      </c>
      <c r="X484" s="10">
        <v>22336</v>
      </c>
      <c r="Y484" s="10">
        <v>22427</v>
      </c>
      <c r="Z484" s="10">
        <v>20073</v>
      </c>
      <c r="AA484" s="10">
        <v>20079</v>
      </c>
      <c r="AB484" s="10">
        <v>19405</v>
      </c>
      <c r="AC484" s="10">
        <v>19670</v>
      </c>
      <c r="AD484" s="26">
        <f t="shared" si="22"/>
        <v>256915</v>
      </c>
      <c r="AE484" s="25">
        <v>77588</v>
      </c>
      <c r="AF484" s="10">
        <v>65485</v>
      </c>
      <c r="AG484" s="10">
        <v>29301</v>
      </c>
      <c r="AH484" s="10">
        <v>20456</v>
      </c>
      <c r="AI484" s="10">
        <v>23252</v>
      </c>
      <c r="AJ484" s="10">
        <v>35024</v>
      </c>
      <c r="AK484" s="10">
        <v>48673</v>
      </c>
      <c r="AL484" s="10">
        <v>33276</v>
      </c>
      <c r="AM484" s="10">
        <v>21773</v>
      </c>
      <c r="AN484" s="10">
        <v>37435</v>
      </c>
      <c r="AO484" s="10">
        <v>34178</v>
      </c>
      <c r="AP484" s="10">
        <v>41950</v>
      </c>
      <c r="AQ484" s="26">
        <f t="shared" si="23"/>
        <v>468391</v>
      </c>
    </row>
    <row r="485" spans="1:43" ht="17.25" customHeight="1" x14ac:dyDescent="0.45">
      <c r="A485" s="2" t="s">
        <v>12</v>
      </c>
      <c r="B485" s="2" t="s">
        <v>66</v>
      </c>
      <c r="C485" s="2" t="s">
        <v>78</v>
      </c>
      <c r="D485" s="2" t="s">
        <v>68</v>
      </c>
      <c r="E485" s="23">
        <v>31</v>
      </c>
      <c r="F485" s="1">
        <v>29</v>
      </c>
      <c r="G485" s="1">
        <v>31</v>
      </c>
      <c r="H485" s="1">
        <v>30</v>
      </c>
      <c r="I485" s="1">
        <v>31</v>
      </c>
      <c r="J485" s="1">
        <v>30</v>
      </c>
      <c r="K485" s="1">
        <v>31</v>
      </c>
      <c r="L485" s="1">
        <v>31</v>
      </c>
      <c r="M485" s="1">
        <v>30</v>
      </c>
      <c r="N485" s="1">
        <v>31</v>
      </c>
      <c r="O485" s="1">
        <v>30</v>
      </c>
      <c r="P485" s="1">
        <v>31</v>
      </c>
      <c r="Q485" s="24">
        <f t="shared" si="21"/>
        <v>366</v>
      </c>
      <c r="R485" s="23">
        <v>2556</v>
      </c>
      <c r="S485" s="1">
        <v>2325</v>
      </c>
      <c r="T485" s="1">
        <v>2865</v>
      </c>
      <c r="U485" s="1">
        <v>2569</v>
      </c>
      <c r="V485" s="1">
        <v>2649</v>
      </c>
      <c r="W485" s="1">
        <v>3270</v>
      </c>
      <c r="X485" s="1">
        <v>4878</v>
      </c>
      <c r="Y485" s="1">
        <v>3892</v>
      </c>
      <c r="Z485" s="1">
        <v>2619</v>
      </c>
      <c r="AA485" s="1">
        <v>2985</v>
      </c>
      <c r="AB485" s="1">
        <v>4312</v>
      </c>
      <c r="AC485" s="1">
        <v>4387</v>
      </c>
      <c r="AD485" s="24">
        <f t="shared" si="22"/>
        <v>39307</v>
      </c>
      <c r="AE485" s="23">
        <v>0</v>
      </c>
      <c r="AF485" s="1">
        <v>0</v>
      </c>
      <c r="AG485" s="1">
        <v>20</v>
      </c>
      <c r="AH485" s="1">
        <v>0</v>
      </c>
      <c r="AI485" s="1">
        <v>0</v>
      </c>
      <c r="AJ485" s="1">
        <v>0</v>
      </c>
      <c r="AK485" s="1">
        <v>0</v>
      </c>
      <c r="AL485" s="1">
        <v>0</v>
      </c>
      <c r="AM485" s="1">
        <v>35</v>
      </c>
      <c r="AN485" s="1">
        <v>0</v>
      </c>
      <c r="AO485" s="1">
        <v>5</v>
      </c>
      <c r="AP485" s="1">
        <v>0</v>
      </c>
      <c r="AQ485" s="24">
        <f t="shared" si="23"/>
        <v>60</v>
      </c>
    </row>
    <row r="486" spans="1:43" ht="17.25" customHeight="1" x14ac:dyDescent="0.45">
      <c r="A486" s="12" t="s">
        <v>12</v>
      </c>
      <c r="B486" s="12" t="s">
        <v>66</v>
      </c>
      <c r="C486" s="12" t="s">
        <v>80</v>
      </c>
      <c r="D486" s="12" t="s">
        <v>81</v>
      </c>
      <c r="E486" s="25">
        <v>31</v>
      </c>
      <c r="F486" s="10">
        <v>29</v>
      </c>
      <c r="G486" s="10">
        <v>31</v>
      </c>
      <c r="H486" s="10">
        <v>30</v>
      </c>
      <c r="I486" s="10">
        <v>31</v>
      </c>
      <c r="J486" s="10">
        <v>30</v>
      </c>
      <c r="K486" s="10">
        <v>31</v>
      </c>
      <c r="L486" s="10">
        <v>31</v>
      </c>
      <c r="M486" s="10">
        <v>30</v>
      </c>
      <c r="N486" s="10">
        <v>31</v>
      </c>
      <c r="O486" s="10">
        <v>30</v>
      </c>
      <c r="P486" s="10">
        <v>31</v>
      </c>
      <c r="Q486" s="26">
        <f t="shared" si="21"/>
        <v>366</v>
      </c>
      <c r="R486" s="25">
        <v>3312</v>
      </c>
      <c r="S486" s="10">
        <v>2909</v>
      </c>
      <c r="T486" s="10">
        <v>4569</v>
      </c>
      <c r="U486" s="10">
        <v>3777</v>
      </c>
      <c r="V486" s="10">
        <v>3996</v>
      </c>
      <c r="W486" s="10">
        <v>5687</v>
      </c>
      <c r="X486" s="10">
        <v>6070</v>
      </c>
      <c r="Y486" s="10">
        <v>4625</v>
      </c>
      <c r="Z486" s="10">
        <v>5102</v>
      </c>
      <c r="AA486" s="10">
        <v>3845</v>
      </c>
      <c r="AB486" s="10">
        <v>4284</v>
      </c>
      <c r="AC486" s="10">
        <v>3464</v>
      </c>
      <c r="AD486" s="26">
        <f t="shared" si="22"/>
        <v>51640</v>
      </c>
      <c r="AE486" s="25">
        <v>19399.939999999999</v>
      </c>
      <c r="AF486" s="10">
        <v>1453.3</v>
      </c>
      <c r="AG486" s="10">
        <v>7680.87</v>
      </c>
      <c r="AH486" s="10">
        <v>21182</v>
      </c>
      <c r="AI486" s="10">
        <v>47874.2</v>
      </c>
      <c r="AJ486" s="10">
        <v>30767.1</v>
      </c>
      <c r="AK486" s="10">
        <v>40743.4</v>
      </c>
      <c r="AL486" s="10">
        <v>3438.0999999999995</v>
      </c>
      <c r="AM486" s="10">
        <v>2984.8199999999997</v>
      </c>
      <c r="AN486" s="10">
        <v>1744.12</v>
      </c>
      <c r="AO486" s="10">
        <v>5290.0400000000009</v>
      </c>
      <c r="AP486" s="10">
        <v>9241.5999999999985</v>
      </c>
      <c r="AQ486" s="26">
        <f t="shared" si="23"/>
        <v>191799.49000000002</v>
      </c>
    </row>
    <row r="487" spans="1:43" ht="17.25" customHeight="1" x14ac:dyDescent="0.45">
      <c r="A487" s="2" t="s">
        <v>12</v>
      </c>
      <c r="B487" s="2" t="s">
        <v>66</v>
      </c>
      <c r="C487" s="2" t="s">
        <v>86</v>
      </c>
      <c r="D487" s="2" t="s">
        <v>87</v>
      </c>
      <c r="E487" s="23">
        <v>278</v>
      </c>
      <c r="F487" s="1">
        <v>261</v>
      </c>
      <c r="G487" s="1">
        <v>277</v>
      </c>
      <c r="H487" s="1">
        <v>239</v>
      </c>
      <c r="I487" s="1">
        <v>247</v>
      </c>
      <c r="J487" s="1">
        <v>240</v>
      </c>
      <c r="K487" s="1">
        <v>248</v>
      </c>
      <c r="L487" s="1">
        <v>247</v>
      </c>
      <c r="M487" s="1">
        <v>238</v>
      </c>
      <c r="N487" s="1">
        <v>248</v>
      </c>
      <c r="O487" s="1">
        <v>240</v>
      </c>
      <c r="P487" s="1">
        <v>243</v>
      </c>
      <c r="Q487" s="24">
        <f t="shared" si="21"/>
        <v>3006</v>
      </c>
      <c r="R487" s="23">
        <v>37575</v>
      </c>
      <c r="S487" s="1">
        <v>34487</v>
      </c>
      <c r="T487" s="1">
        <v>40638</v>
      </c>
      <c r="U487" s="1">
        <v>33561</v>
      </c>
      <c r="V487" s="1">
        <v>33638</v>
      </c>
      <c r="W487" s="1">
        <v>35990</v>
      </c>
      <c r="X487" s="1">
        <v>40632</v>
      </c>
      <c r="Y487" s="1">
        <v>36775</v>
      </c>
      <c r="Z487" s="1">
        <v>35693</v>
      </c>
      <c r="AA487" s="1">
        <v>34705</v>
      </c>
      <c r="AB487" s="1">
        <v>39122</v>
      </c>
      <c r="AC487" s="1">
        <v>39302</v>
      </c>
      <c r="AD487" s="24">
        <f t="shared" si="22"/>
        <v>442118</v>
      </c>
      <c r="AE487" s="23">
        <v>28546</v>
      </c>
      <c r="AF487" s="1">
        <v>29058</v>
      </c>
      <c r="AG487" s="1">
        <v>29306</v>
      </c>
      <c r="AH487" s="1">
        <v>37270</v>
      </c>
      <c r="AI487" s="1">
        <v>33485</v>
      </c>
      <c r="AJ487" s="1">
        <v>30834</v>
      </c>
      <c r="AK487" s="1">
        <v>33252</v>
      </c>
      <c r="AL487" s="1">
        <v>45769</v>
      </c>
      <c r="AM487" s="1">
        <v>83813</v>
      </c>
      <c r="AN487" s="1">
        <v>35791</v>
      </c>
      <c r="AO487" s="1">
        <v>38968</v>
      </c>
      <c r="AP487" s="1">
        <v>42291</v>
      </c>
      <c r="AQ487" s="24">
        <f t="shared" si="23"/>
        <v>468383</v>
      </c>
    </row>
    <row r="488" spans="1:43" ht="17.25" customHeight="1" x14ac:dyDescent="0.45">
      <c r="A488" s="12" t="s">
        <v>12</v>
      </c>
      <c r="B488" s="12" t="s">
        <v>66</v>
      </c>
      <c r="C488" s="12" t="s">
        <v>88</v>
      </c>
      <c r="D488" s="12" t="s">
        <v>68</v>
      </c>
      <c r="E488" s="25">
        <v>0</v>
      </c>
      <c r="F488" s="10">
        <v>0</v>
      </c>
      <c r="G488" s="10">
        <v>11</v>
      </c>
      <c r="H488" s="10">
        <v>30</v>
      </c>
      <c r="I488" s="10">
        <v>31</v>
      </c>
      <c r="J488" s="10">
        <v>29</v>
      </c>
      <c r="K488" s="10">
        <v>31</v>
      </c>
      <c r="L488" s="10">
        <v>31</v>
      </c>
      <c r="M488" s="10">
        <v>30</v>
      </c>
      <c r="N488" s="10">
        <v>31</v>
      </c>
      <c r="O488" s="10">
        <v>30</v>
      </c>
      <c r="P488" s="10">
        <v>31</v>
      </c>
      <c r="Q488" s="26">
        <f t="shared" si="21"/>
        <v>285</v>
      </c>
      <c r="R488" s="25">
        <v>0</v>
      </c>
      <c r="S488" s="10">
        <v>0</v>
      </c>
      <c r="T488" s="10">
        <v>1514</v>
      </c>
      <c r="U488" s="10">
        <v>4112</v>
      </c>
      <c r="V488" s="10">
        <v>3997</v>
      </c>
      <c r="W488" s="10">
        <v>3856</v>
      </c>
      <c r="X488" s="10">
        <v>4704</v>
      </c>
      <c r="Y488" s="10">
        <v>4698</v>
      </c>
      <c r="Z488" s="10">
        <v>3620</v>
      </c>
      <c r="AA488" s="10">
        <v>4050</v>
      </c>
      <c r="AB488" s="10">
        <v>3797</v>
      </c>
      <c r="AC488" s="10">
        <v>3751</v>
      </c>
      <c r="AD488" s="26">
        <f t="shared" si="22"/>
        <v>38099</v>
      </c>
      <c r="AE488" s="25">
        <v>0</v>
      </c>
      <c r="AF488" s="10">
        <v>0</v>
      </c>
      <c r="AG488" s="10">
        <v>0</v>
      </c>
      <c r="AH488" s="10">
        <v>0</v>
      </c>
      <c r="AI488" s="10">
        <v>0</v>
      </c>
      <c r="AJ488" s="10">
        <v>0</v>
      </c>
      <c r="AK488" s="10">
        <v>0</v>
      </c>
      <c r="AL488" s="10">
        <v>0</v>
      </c>
      <c r="AM488" s="10">
        <v>15</v>
      </c>
      <c r="AN488" s="10">
        <v>0</v>
      </c>
      <c r="AO488" s="10">
        <v>30</v>
      </c>
      <c r="AP488" s="10">
        <v>0</v>
      </c>
      <c r="AQ488" s="26">
        <f t="shared" si="23"/>
        <v>45</v>
      </c>
    </row>
    <row r="489" spans="1:43" ht="17.25" customHeight="1" x14ac:dyDescent="0.45">
      <c r="A489" s="2" t="s">
        <v>12</v>
      </c>
      <c r="B489" s="2" t="s">
        <v>66</v>
      </c>
      <c r="C489" s="2" t="s">
        <v>92</v>
      </c>
      <c r="D489" s="2" t="s">
        <v>93</v>
      </c>
      <c r="E489" s="23">
        <v>57</v>
      </c>
      <c r="F489" s="1">
        <v>56</v>
      </c>
      <c r="G489" s="1">
        <v>51</v>
      </c>
      <c r="H489" s="1">
        <v>42</v>
      </c>
      <c r="I489" s="1">
        <v>46</v>
      </c>
      <c r="J489" s="1">
        <v>30</v>
      </c>
      <c r="K489" s="1">
        <v>31</v>
      </c>
      <c r="L489" s="1">
        <v>31</v>
      </c>
      <c r="M489" s="1">
        <v>30</v>
      </c>
      <c r="N489" s="1">
        <v>33</v>
      </c>
      <c r="O489" s="1">
        <v>47</v>
      </c>
      <c r="P489" s="1">
        <v>42</v>
      </c>
      <c r="Q489" s="24">
        <f t="shared" si="21"/>
        <v>496</v>
      </c>
      <c r="R489" s="23">
        <v>9793</v>
      </c>
      <c r="S489" s="1">
        <v>13124</v>
      </c>
      <c r="T489" s="1">
        <v>11807</v>
      </c>
      <c r="U489" s="1">
        <v>8744</v>
      </c>
      <c r="V489" s="1">
        <v>10504</v>
      </c>
      <c r="W489" s="1">
        <v>6719</v>
      </c>
      <c r="X489" s="1">
        <v>7579</v>
      </c>
      <c r="Y489" s="1">
        <v>7294</v>
      </c>
      <c r="Z489" s="1">
        <v>7224</v>
      </c>
      <c r="AA489" s="1">
        <v>7569</v>
      </c>
      <c r="AB489" s="1">
        <v>10676</v>
      </c>
      <c r="AC489" s="1">
        <v>9649</v>
      </c>
      <c r="AD489" s="24">
        <f t="shared" si="22"/>
        <v>110682</v>
      </c>
      <c r="AE489" s="23">
        <v>96791</v>
      </c>
      <c r="AF489" s="1">
        <v>105874</v>
      </c>
      <c r="AG489" s="1">
        <v>219171</v>
      </c>
      <c r="AH489" s="1">
        <v>234231</v>
      </c>
      <c r="AI489" s="1">
        <v>280183</v>
      </c>
      <c r="AJ489" s="1">
        <v>196322</v>
      </c>
      <c r="AK489" s="1">
        <v>249052</v>
      </c>
      <c r="AL489" s="1">
        <v>294925</v>
      </c>
      <c r="AM489" s="1">
        <v>292087</v>
      </c>
      <c r="AN489" s="1">
        <v>285763</v>
      </c>
      <c r="AO489" s="1">
        <v>327635</v>
      </c>
      <c r="AP489" s="1">
        <v>227748</v>
      </c>
      <c r="AQ489" s="24">
        <f t="shared" si="23"/>
        <v>2809782</v>
      </c>
    </row>
    <row r="490" spans="1:43" ht="17.25" customHeight="1" x14ac:dyDescent="0.45">
      <c r="A490" s="12" t="s">
        <v>12</v>
      </c>
      <c r="B490" s="12" t="s">
        <v>66</v>
      </c>
      <c r="C490" s="12" t="s">
        <v>97</v>
      </c>
      <c r="D490" s="12" t="s">
        <v>68</v>
      </c>
      <c r="E490" s="25">
        <v>30</v>
      </c>
      <c r="F490" s="10">
        <v>29</v>
      </c>
      <c r="G490" s="10">
        <v>31</v>
      </c>
      <c r="H490" s="10">
        <v>30</v>
      </c>
      <c r="I490" s="10">
        <v>30</v>
      </c>
      <c r="J490" s="10">
        <v>30</v>
      </c>
      <c r="K490" s="10">
        <v>30</v>
      </c>
      <c r="L490" s="10">
        <v>31</v>
      </c>
      <c r="M490" s="10">
        <v>29</v>
      </c>
      <c r="N490" s="10">
        <v>21</v>
      </c>
      <c r="O490" s="10">
        <v>30</v>
      </c>
      <c r="P490" s="10">
        <v>31</v>
      </c>
      <c r="Q490" s="26">
        <f t="shared" si="21"/>
        <v>352</v>
      </c>
      <c r="R490" s="25">
        <v>4631</v>
      </c>
      <c r="S490" s="10">
        <v>3988</v>
      </c>
      <c r="T490" s="10">
        <v>4739</v>
      </c>
      <c r="U490" s="10">
        <v>4173</v>
      </c>
      <c r="V490" s="10">
        <v>4005</v>
      </c>
      <c r="W490" s="10">
        <v>4293</v>
      </c>
      <c r="X490" s="10">
        <v>4867</v>
      </c>
      <c r="Y490" s="10">
        <v>4645</v>
      </c>
      <c r="Z490" s="10">
        <v>3416</v>
      </c>
      <c r="AA490" s="10">
        <v>2532</v>
      </c>
      <c r="AB490" s="10">
        <v>3916</v>
      </c>
      <c r="AC490" s="10">
        <v>4247</v>
      </c>
      <c r="AD490" s="26">
        <f t="shared" si="22"/>
        <v>49452</v>
      </c>
      <c r="AE490" s="25">
        <v>440.89178364000003</v>
      </c>
      <c r="AF490" s="10">
        <v>870.44375802999991</v>
      </c>
      <c r="AG490" s="10">
        <v>854.56802507999998</v>
      </c>
      <c r="AH490" s="10">
        <v>247.66143402</v>
      </c>
      <c r="AI490" s="10">
        <v>87.543327410000003</v>
      </c>
      <c r="AJ490" s="10">
        <v>1334.9223449100002</v>
      </c>
      <c r="AK490" s="10">
        <v>7.7110702900000003</v>
      </c>
      <c r="AL490" s="10">
        <v>1522.7095860900001</v>
      </c>
      <c r="AM490" s="10">
        <v>969.78048706000004</v>
      </c>
      <c r="AN490" s="10">
        <v>0</v>
      </c>
      <c r="AO490" s="10">
        <v>1912.79902429</v>
      </c>
      <c r="AP490" s="10">
        <v>894.93774600999996</v>
      </c>
      <c r="AQ490" s="26">
        <f t="shared" si="23"/>
        <v>9143.9685868300003</v>
      </c>
    </row>
    <row r="491" spans="1:43" ht="17.25" customHeight="1" x14ac:dyDescent="0.45">
      <c r="A491" s="2" t="s">
        <v>12</v>
      </c>
      <c r="B491" s="2" t="s">
        <v>66</v>
      </c>
      <c r="C491" s="2" t="s">
        <v>72</v>
      </c>
      <c r="D491" s="2" t="s">
        <v>68</v>
      </c>
      <c r="E491" s="23">
        <v>213</v>
      </c>
      <c r="F491" s="1">
        <v>190</v>
      </c>
      <c r="G491" s="1">
        <v>210</v>
      </c>
      <c r="H491" s="1">
        <v>196</v>
      </c>
      <c r="I491" s="1">
        <v>203</v>
      </c>
      <c r="J491" s="1">
        <v>208</v>
      </c>
      <c r="K491" s="1">
        <v>234</v>
      </c>
      <c r="L491" s="1">
        <v>211</v>
      </c>
      <c r="M491" s="1">
        <v>162</v>
      </c>
      <c r="N491" s="1">
        <v>180</v>
      </c>
      <c r="O491" s="1">
        <v>197</v>
      </c>
      <c r="P491" s="1">
        <v>222</v>
      </c>
      <c r="Q491" s="24">
        <f t="shared" si="21"/>
        <v>2426</v>
      </c>
      <c r="R491" s="23">
        <v>33696</v>
      </c>
      <c r="S491" s="1">
        <v>26472</v>
      </c>
      <c r="T491" s="1">
        <v>33958</v>
      </c>
      <c r="U491" s="1">
        <v>30411</v>
      </c>
      <c r="V491" s="1">
        <v>32830</v>
      </c>
      <c r="W491" s="1">
        <v>31999</v>
      </c>
      <c r="X491" s="1">
        <v>40637</v>
      </c>
      <c r="Y491" s="1">
        <v>36380</v>
      </c>
      <c r="Z491" s="1">
        <v>27067</v>
      </c>
      <c r="AA491" s="1">
        <v>28236</v>
      </c>
      <c r="AB491" s="1">
        <v>31096</v>
      </c>
      <c r="AC491" s="1">
        <v>32197</v>
      </c>
      <c r="AD491" s="24">
        <f t="shared" si="22"/>
        <v>384979</v>
      </c>
      <c r="AE491" s="23">
        <v>37530.300000000003</v>
      </c>
      <c r="AF491" s="1">
        <v>34592.699999999997</v>
      </c>
      <c r="AG491" s="1">
        <v>38684.35</v>
      </c>
      <c r="AH491" s="1">
        <v>36484.199999999997</v>
      </c>
      <c r="AI491" s="1">
        <v>32814</v>
      </c>
      <c r="AJ491" s="1">
        <v>46118</v>
      </c>
      <c r="AK491" s="1">
        <v>23810.1</v>
      </c>
      <c r="AL491" s="1">
        <v>25690.9</v>
      </c>
      <c r="AM491" s="1">
        <v>23692.5</v>
      </c>
      <c r="AN491" s="1">
        <v>32055</v>
      </c>
      <c r="AO491" s="1">
        <v>27607</v>
      </c>
      <c r="AP491" s="1">
        <v>38047</v>
      </c>
      <c r="AQ491" s="24">
        <f t="shared" si="23"/>
        <v>397126.05</v>
      </c>
    </row>
    <row r="492" spans="1:43" ht="17.25" customHeight="1" x14ac:dyDescent="0.45">
      <c r="A492" s="12" t="s">
        <v>12</v>
      </c>
      <c r="B492" s="12" t="s">
        <v>66</v>
      </c>
      <c r="C492" s="12" t="s">
        <v>67</v>
      </c>
      <c r="D492" s="12" t="s">
        <v>68</v>
      </c>
      <c r="E492" s="25">
        <v>168</v>
      </c>
      <c r="F492" s="10">
        <v>152</v>
      </c>
      <c r="G492" s="10">
        <v>163</v>
      </c>
      <c r="H492" s="10">
        <v>158</v>
      </c>
      <c r="I492" s="10">
        <v>166</v>
      </c>
      <c r="J492" s="10">
        <v>167</v>
      </c>
      <c r="K492" s="10">
        <v>173</v>
      </c>
      <c r="L492" s="10">
        <v>173</v>
      </c>
      <c r="M492" s="10">
        <v>193</v>
      </c>
      <c r="N492" s="10">
        <v>208</v>
      </c>
      <c r="O492" s="10">
        <v>217</v>
      </c>
      <c r="P492" s="10">
        <v>221</v>
      </c>
      <c r="Q492" s="26">
        <f t="shared" si="21"/>
        <v>2159</v>
      </c>
      <c r="R492" s="25">
        <v>24350</v>
      </c>
      <c r="S492" s="10">
        <v>20653</v>
      </c>
      <c r="T492" s="10">
        <v>23553</v>
      </c>
      <c r="U492" s="10">
        <v>22217</v>
      </c>
      <c r="V492" s="10">
        <v>22806</v>
      </c>
      <c r="W492" s="10">
        <v>23463</v>
      </c>
      <c r="X492" s="10">
        <v>27115</v>
      </c>
      <c r="Y492" s="10">
        <v>25441</v>
      </c>
      <c r="Z492" s="10">
        <v>24634</v>
      </c>
      <c r="AA492" s="10">
        <v>26380</v>
      </c>
      <c r="AB492" s="10">
        <v>30232</v>
      </c>
      <c r="AC492" s="10">
        <v>30371</v>
      </c>
      <c r="AD492" s="26">
        <f t="shared" si="22"/>
        <v>301215</v>
      </c>
      <c r="AE492" s="25">
        <v>34111.053408739986</v>
      </c>
      <c r="AF492" s="10">
        <v>38392.965381540016</v>
      </c>
      <c r="AG492" s="10">
        <v>32760.708923249997</v>
      </c>
      <c r="AH492" s="10">
        <v>23739.210275360005</v>
      </c>
      <c r="AI492" s="10">
        <v>38728.623735340007</v>
      </c>
      <c r="AJ492" s="10">
        <v>22235.097977400004</v>
      </c>
      <c r="AK492" s="10">
        <v>16822.833818559993</v>
      </c>
      <c r="AL492" s="10">
        <v>11856.45095943</v>
      </c>
      <c r="AM492" s="10">
        <v>15228.456638009999</v>
      </c>
      <c r="AN492" s="10">
        <v>4877.4787546100015</v>
      </c>
      <c r="AO492" s="10">
        <v>18977.397576060001</v>
      </c>
      <c r="AP492" s="10">
        <v>19540.759299600002</v>
      </c>
      <c r="AQ492" s="26">
        <f t="shared" si="23"/>
        <v>277271.03674789995</v>
      </c>
    </row>
    <row r="493" spans="1:43" ht="17.25" customHeight="1" x14ac:dyDescent="0.45">
      <c r="A493" s="2" t="s">
        <v>12</v>
      </c>
      <c r="B493" s="2" t="s">
        <v>66</v>
      </c>
      <c r="C493" s="2" t="s">
        <v>100</v>
      </c>
      <c r="D493" s="2" t="s">
        <v>68</v>
      </c>
      <c r="E493" s="23">
        <v>78</v>
      </c>
      <c r="F493" s="1">
        <v>51</v>
      </c>
      <c r="G493" s="1">
        <v>79</v>
      </c>
      <c r="H493" s="1">
        <v>48</v>
      </c>
      <c r="I493" s="1">
        <v>49</v>
      </c>
      <c r="J493" s="1">
        <v>47</v>
      </c>
      <c r="K493" s="1">
        <v>49</v>
      </c>
      <c r="L493" s="1">
        <v>49</v>
      </c>
      <c r="M493" s="1">
        <v>47</v>
      </c>
      <c r="N493" s="1">
        <v>50</v>
      </c>
      <c r="O493" s="1">
        <v>60</v>
      </c>
      <c r="P493" s="1">
        <v>87</v>
      </c>
      <c r="Q493" s="24">
        <f t="shared" si="21"/>
        <v>694</v>
      </c>
      <c r="R493" s="23">
        <v>12287</v>
      </c>
      <c r="S493" s="1">
        <v>8055</v>
      </c>
      <c r="T493" s="1">
        <v>11864</v>
      </c>
      <c r="U493" s="1">
        <v>6470</v>
      </c>
      <c r="V493" s="1">
        <v>6959</v>
      </c>
      <c r="W493" s="1">
        <v>7896</v>
      </c>
      <c r="X493" s="1">
        <v>9113</v>
      </c>
      <c r="Y493" s="1">
        <v>7835</v>
      </c>
      <c r="Z493" s="1">
        <v>6943</v>
      </c>
      <c r="AA493" s="1">
        <v>5824</v>
      </c>
      <c r="AB493" s="1">
        <v>8170</v>
      </c>
      <c r="AC493" s="1">
        <v>14149</v>
      </c>
      <c r="AD493" s="24">
        <f t="shared" si="22"/>
        <v>105565</v>
      </c>
      <c r="AE493" s="23">
        <v>0</v>
      </c>
      <c r="AF493" s="1">
        <v>0</v>
      </c>
      <c r="AG493" s="1">
        <v>0</v>
      </c>
      <c r="AH493" s="1">
        <v>0</v>
      </c>
      <c r="AI493" s="1">
        <v>0</v>
      </c>
      <c r="AJ493" s="1">
        <v>0</v>
      </c>
      <c r="AK493" s="1">
        <v>0</v>
      </c>
      <c r="AL493" s="1">
        <v>0</v>
      </c>
      <c r="AM493" s="1">
        <v>0</v>
      </c>
      <c r="AN493" s="1">
        <v>0</v>
      </c>
      <c r="AO493" s="1">
        <v>0</v>
      </c>
      <c r="AP493" s="1">
        <v>0</v>
      </c>
      <c r="AQ493" s="24">
        <f t="shared" si="23"/>
        <v>0</v>
      </c>
    </row>
    <row r="494" spans="1:43" ht="17.25" customHeight="1" x14ac:dyDescent="0.45">
      <c r="A494" s="12" t="s">
        <v>12</v>
      </c>
      <c r="B494" s="12" t="s">
        <v>66</v>
      </c>
      <c r="C494" s="12" t="s">
        <v>101</v>
      </c>
      <c r="D494" s="12" t="s">
        <v>68</v>
      </c>
      <c r="E494" s="25">
        <v>31</v>
      </c>
      <c r="F494" s="10">
        <v>29</v>
      </c>
      <c r="G494" s="10">
        <v>31</v>
      </c>
      <c r="H494" s="10">
        <v>29</v>
      </c>
      <c r="I494" s="10">
        <v>31</v>
      </c>
      <c r="J494" s="10">
        <v>30</v>
      </c>
      <c r="K494" s="10">
        <v>30</v>
      </c>
      <c r="L494" s="10">
        <v>31</v>
      </c>
      <c r="M494" s="10">
        <v>29</v>
      </c>
      <c r="N494" s="10">
        <v>31</v>
      </c>
      <c r="O494" s="10">
        <v>30</v>
      </c>
      <c r="P494" s="10">
        <v>30</v>
      </c>
      <c r="Q494" s="26">
        <f t="shared" si="21"/>
        <v>362</v>
      </c>
      <c r="R494" s="25">
        <v>5247</v>
      </c>
      <c r="S494" s="10">
        <v>4734</v>
      </c>
      <c r="T494" s="10">
        <v>5475</v>
      </c>
      <c r="U494" s="10">
        <v>5062</v>
      </c>
      <c r="V494" s="10">
        <v>5511</v>
      </c>
      <c r="W494" s="10">
        <v>3711</v>
      </c>
      <c r="X494" s="10">
        <v>3546</v>
      </c>
      <c r="Y494" s="10">
        <v>3806</v>
      </c>
      <c r="Z494" s="10">
        <v>3469</v>
      </c>
      <c r="AA494" s="10">
        <v>3553</v>
      </c>
      <c r="AB494" s="10">
        <v>3280</v>
      </c>
      <c r="AC494" s="10">
        <v>3175</v>
      </c>
      <c r="AD494" s="26">
        <f t="shared" si="22"/>
        <v>50569</v>
      </c>
      <c r="AE494" s="25">
        <v>2111</v>
      </c>
      <c r="AF494" s="10">
        <v>4698</v>
      </c>
      <c r="AG494" s="10">
        <v>3976</v>
      </c>
      <c r="AH494" s="10">
        <v>1788</v>
      </c>
      <c r="AI494" s="10">
        <v>1530</v>
      </c>
      <c r="AJ494" s="10">
        <v>3389</v>
      </c>
      <c r="AK494" s="10">
        <v>1640</v>
      </c>
      <c r="AL494" s="10">
        <v>1973</v>
      </c>
      <c r="AM494" s="10">
        <v>2007</v>
      </c>
      <c r="AN494" s="10">
        <v>1595</v>
      </c>
      <c r="AO494" s="10">
        <v>1427</v>
      </c>
      <c r="AP494" s="10">
        <v>810</v>
      </c>
      <c r="AQ494" s="26">
        <f t="shared" si="23"/>
        <v>26944</v>
      </c>
    </row>
    <row r="495" spans="1:43" ht="17.25" customHeight="1" x14ac:dyDescent="0.45">
      <c r="A495" s="2" t="s">
        <v>12</v>
      </c>
      <c r="B495" s="2" t="s">
        <v>66</v>
      </c>
      <c r="C495" s="2" t="s">
        <v>180</v>
      </c>
      <c r="D495" s="2" t="s">
        <v>181</v>
      </c>
      <c r="E495" s="23">
        <v>31</v>
      </c>
      <c r="F495" s="1">
        <v>29</v>
      </c>
      <c r="G495" s="1">
        <v>31</v>
      </c>
      <c r="H495" s="1">
        <v>30</v>
      </c>
      <c r="I495" s="1">
        <v>31</v>
      </c>
      <c r="J495" s="1">
        <v>30</v>
      </c>
      <c r="K495" s="1">
        <v>31</v>
      </c>
      <c r="L495" s="1">
        <v>31</v>
      </c>
      <c r="M495" s="1">
        <v>30</v>
      </c>
      <c r="N495" s="1">
        <v>31</v>
      </c>
      <c r="O495" s="1">
        <v>30</v>
      </c>
      <c r="P495" s="1">
        <v>31</v>
      </c>
      <c r="Q495" s="24">
        <f t="shared" si="21"/>
        <v>366</v>
      </c>
      <c r="R495" s="23">
        <v>3171</v>
      </c>
      <c r="S495" s="1">
        <v>2723</v>
      </c>
      <c r="T495" s="1">
        <v>3393</v>
      </c>
      <c r="U495" s="1">
        <v>2829</v>
      </c>
      <c r="V495" s="1">
        <v>2897</v>
      </c>
      <c r="W495" s="1">
        <v>2499</v>
      </c>
      <c r="X495" s="1">
        <v>2098</v>
      </c>
      <c r="Y495" s="1">
        <v>2234</v>
      </c>
      <c r="Z495" s="1">
        <v>2889</v>
      </c>
      <c r="AA495" s="1">
        <v>3340</v>
      </c>
      <c r="AB495" s="1">
        <v>3358</v>
      </c>
      <c r="AC495" s="1">
        <v>2865</v>
      </c>
      <c r="AD495" s="24">
        <f t="shared" si="22"/>
        <v>34296</v>
      </c>
      <c r="AE495" s="23">
        <v>208803.62</v>
      </c>
      <c r="AF495" s="1">
        <v>164918.79</v>
      </c>
      <c r="AG495" s="1">
        <v>137228.75000000003</v>
      </c>
      <c r="AH495" s="1">
        <v>80179</v>
      </c>
      <c r="AI495" s="1">
        <v>72029.06</v>
      </c>
      <c r="AJ495" s="1">
        <v>58624.19000000001</v>
      </c>
      <c r="AK495" s="1">
        <v>72574.930000000008</v>
      </c>
      <c r="AL495" s="1">
        <v>84964.05</v>
      </c>
      <c r="AM495" s="1">
        <v>143422.92000000001</v>
      </c>
      <c r="AN495" s="1">
        <v>157602.53700000001</v>
      </c>
      <c r="AO495" s="1">
        <v>164295.79000000004</v>
      </c>
      <c r="AP495" s="1">
        <v>203505.16999999998</v>
      </c>
      <c r="AQ495" s="24">
        <f t="shared" si="23"/>
        <v>1548148.807</v>
      </c>
    </row>
    <row r="496" spans="1:43" ht="17.25" customHeight="1" x14ac:dyDescent="0.45">
      <c r="A496" s="12" t="s">
        <v>12</v>
      </c>
      <c r="B496" s="12" t="s">
        <v>66</v>
      </c>
      <c r="C496" s="12" t="s">
        <v>253</v>
      </c>
      <c r="D496" s="12" t="s">
        <v>254</v>
      </c>
      <c r="E496" s="25">
        <v>49</v>
      </c>
      <c r="F496" s="10">
        <v>46</v>
      </c>
      <c r="G496" s="10">
        <v>46</v>
      </c>
      <c r="H496" s="10">
        <v>44</v>
      </c>
      <c r="I496" s="10">
        <v>48</v>
      </c>
      <c r="J496" s="10">
        <v>44</v>
      </c>
      <c r="K496" s="10">
        <v>49</v>
      </c>
      <c r="L496" s="10">
        <v>46</v>
      </c>
      <c r="M496" s="10">
        <v>45</v>
      </c>
      <c r="N496" s="10">
        <v>47</v>
      </c>
      <c r="O496" s="10">
        <v>46</v>
      </c>
      <c r="P496" s="10">
        <v>47</v>
      </c>
      <c r="Q496" s="26">
        <f t="shared" si="21"/>
        <v>557</v>
      </c>
      <c r="R496" s="25">
        <v>5195</v>
      </c>
      <c r="S496" s="10">
        <v>1298</v>
      </c>
      <c r="T496" s="10">
        <v>10955</v>
      </c>
      <c r="U496" s="10">
        <v>9373</v>
      </c>
      <c r="V496" s="10">
        <v>9834</v>
      </c>
      <c r="W496" s="10">
        <v>10385</v>
      </c>
      <c r="X496" s="10">
        <v>12217</v>
      </c>
      <c r="Y496" s="10">
        <v>9509</v>
      </c>
      <c r="Z496" s="10">
        <v>10533</v>
      </c>
      <c r="AA496" s="10">
        <v>9926</v>
      </c>
      <c r="AB496" s="10">
        <v>9691</v>
      </c>
      <c r="AC496" s="10">
        <v>10718</v>
      </c>
      <c r="AD496" s="26">
        <f t="shared" si="22"/>
        <v>109634</v>
      </c>
      <c r="AE496" s="25">
        <v>402283.85</v>
      </c>
      <c r="AF496" s="10">
        <v>376894.54</v>
      </c>
      <c r="AG496" s="10">
        <v>354381</v>
      </c>
      <c r="AH496" s="10">
        <v>335237</v>
      </c>
      <c r="AI496" s="10">
        <v>274825</v>
      </c>
      <c r="AJ496" s="10">
        <v>304130</v>
      </c>
      <c r="AK496" s="10">
        <v>334896</v>
      </c>
      <c r="AL496" s="10">
        <v>357308</v>
      </c>
      <c r="AM496" s="10">
        <v>266363</v>
      </c>
      <c r="AN496" s="10">
        <v>322938</v>
      </c>
      <c r="AO496" s="10">
        <v>308168</v>
      </c>
      <c r="AP496" s="10">
        <v>556708</v>
      </c>
      <c r="AQ496" s="26">
        <f t="shared" si="23"/>
        <v>4194132.3899999997</v>
      </c>
    </row>
    <row r="497" spans="1:43" ht="17.25" customHeight="1" x14ac:dyDescent="0.45">
      <c r="A497" s="2" t="s">
        <v>12</v>
      </c>
      <c r="B497" s="2" t="s">
        <v>66</v>
      </c>
      <c r="C497" s="2" t="s">
        <v>106</v>
      </c>
      <c r="D497" s="2" t="s">
        <v>107</v>
      </c>
      <c r="E497" s="23">
        <v>30</v>
      </c>
      <c r="F497" s="1">
        <v>26</v>
      </c>
      <c r="G497" s="1">
        <v>28</v>
      </c>
      <c r="H497" s="1">
        <v>28</v>
      </c>
      <c r="I497" s="1">
        <v>31</v>
      </c>
      <c r="J497" s="1">
        <v>29</v>
      </c>
      <c r="K497" s="1">
        <v>31</v>
      </c>
      <c r="L497" s="1">
        <v>31</v>
      </c>
      <c r="M497" s="1">
        <v>30</v>
      </c>
      <c r="N497" s="1">
        <v>31</v>
      </c>
      <c r="O497" s="1">
        <v>30</v>
      </c>
      <c r="P497" s="1">
        <v>31</v>
      </c>
      <c r="Q497" s="24">
        <f t="shared" si="21"/>
        <v>356</v>
      </c>
      <c r="R497" s="23">
        <v>9333</v>
      </c>
      <c r="S497" s="1">
        <v>7930</v>
      </c>
      <c r="T497" s="1">
        <v>9343</v>
      </c>
      <c r="U497" s="1">
        <v>9036</v>
      </c>
      <c r="V497" s="1">
        <v>10362</v>
      </c>
      <c r="W497" s="1">
        <v>9826</v>
      </c>
      <c r="X497" s="1">
        <v>10336</v>
      </c>
      <c r="Y497" s="1">
        <v>9845</v>
      </c>
      <c r="Z497" s="1">
        <v>9939</v>
      </c>
      <c r="AA497" s="1">
        <v>9313</v>
      </c>
      <c r="AB497" s="1">
        <v>10287</v>
      </c>
      <c r="AC497" s="1">
        <v>10132</v>
      </c>
      <c r="AD497" s="24">
        <f t="shared" si="22"/>
        <v>115682</v>
      </c>
      <c r="AE497" s="23">
        <v>250102</v>
      </c>
      <c r="AF497" s="1">
        <v>221498</v>
      </c>
      <c r="AG497" s="1">
        <v>210919</v>
      </c>
      <c r="AH497" s="1">
        <v>120815</v>
      </c>
      <c r="AI497" s="1">
        <v>78273</v>
      </c>
      <c r="AJ497" s="1">
        <v>150967</v>
      </c>
      <c r="AK497" s="1">
        <v>129541</v>
      </c>
      <c r="AL497" s="1">
        <v>186410</v>
      </c>
      <c r="AM497" s="1">
        <v>136226</v>
      </c>
      <c r="AN497" s="1">
        <v>208081</v>
      </c>
      <c r="AO497" s="1">
        <v>184952</v>
      </c>
      <c r="AP497" s="1">
        <v>261387</v>
      </c>
      <c r="AQ497" s="24">
        <f t="shared" si="23"/>
        <v>2139171</v>
      </c>
    </row>
    <row r="498" spans="1:43" ht="17.25" customHeight="1" x14ac:dyDescent="0.45">
      <c r="A498" s="12" t="s">
        <v>12</v>
      </c>
      <c r="B498" s="12" t="s">
        <v>66</v>
      </c>
      <c r="C498" s="12" t="s">
        <v>108</v>
      </c>
      <c r="D498" s="12" t="s">
        <v>104</v>
      </c>
      <c r="E498" s="25">
        <v>137</v>
      </c>
      <c r="F498" s="10">
        <v>138</v>
      </c>
      <c r="G498" s="10">
        <v>146</v>
      </c>
      <c r="H498" s="10">
        <v>142</v>
      </c>
      <c r="I498" s="10">
        <v>145</v>
      </c>
      <c r="J498" s="10">
        <v>142</v>
      </c>
      <c r="K498" s="10">
        <v>143</v>
      </c>
      <c r="L498" s="10">
        <v>144</v>
      </c>
      <c r="M498" s="10">
        <v>136</v>
      </c>
      <c r="N498" s="10">
        <v>139</v>
      </c>
      <c r="O498" s="10">
        <v>127</v>
      </c>
      <c r="P498" s="10">
        <v>132</v>
      </c>
      <c r="Q498" s="26">
        <f t="shared" si="21"/>
        <v>1671</v>
      </c>
      <c r="R498" s="25">
        <v>15407</v>
      </c>
      <c r="S498" s="10">
        <v>15198</v>
      </c>
      <c r="T498" s="10">
        <v>17974</v>
      </c>
      <c r="U498" s="10">
        <v>14776</v>
      </c>
      <c r="V498" s="10">
        <v>15268</v>
      </c>
      <c r="W498" s="10">
        <v>17367</v>
      </c>
      <c r="X498" s="10">
        <v>18273</v>
      </c>
      <c r="Y498" s="10">
        <v>15095</v>
      </c>
      <c r="Z498" s="10">
        <v>14803</v>
      </c>
      <c r="AA498" s="10">
        <v>16458</v>
      </c>
      <c r="AB498" s="10">
        <v>19551</v>
      </c>
      <c r="AC498" s="10">
        <v>19686</v>
      </c>
      <c r="AD498" s="26">
        <f t="shared" si="22"/>
        <v>199856</v>
      </c>
      <c r="AE498" s="25">
        <v>23092.1</v>
      </c>
      <c r="AF498" s="10">
        <v>38961.199999999997</v>
      </c>
      <c r="AG498" s="10">
        <v>39250.57</v>
      </c>
      <c r="AH498" s="10">
        <v>28934.25</v>
      </c>
      <c r="AI498" s="10">
        <v>33792</v>
      </c>
      <c r="AJ498" s="10">
        <v>58419.750000000007</v>
      </c>
      <c r="AK498" s="10">
        <v>49267.839999999997</v>
      </c>
      <c r="AL498" s="10">
        <v>59868.800000000003</v>
      </c>
      <c r="AM498" s="10">
        <v>46148.1</v>
      </c>
      <c r="AN498" s="10">
        <v>59162.75</v>
      </c>
      <c r="AO498" s="10">
        <v>53027.5</v>
      </c>
      <c r="AP498" s="10">
        <v>57855.31</v>
      </c>
      <c r="AQ498" s="26">
        <f t="shared" si="23"/>
        <v>547780.16999999993</v>
      </c>
    </row>
    <row r="499" spans="1:43" ht="17.25" customHeight="1" x14ac:dyDescent="0.45">
      <c r="A499" s="2" t="s">
        <v>12</v>
      </c>
      <c r="B499" s="2" t="s">
        <v>66</v>
      </c>
      <c r="C499" s="2" t="s">
        <v>69</v>
      </c>
      <c r="D499" s="2" t="s">
        <v>68</v>
      </c>
      <c r="E499" s="23">
        <v>318</v>
      </c>
      <c r="F499" s="1">
        <v>288</v>
      </c>
      <c r="G499" s="1">
        <v>304</v>
      </c>
      <c r="H499" s="1">
        <v>280</v>
      </c>
      <c r="I499" s="1">
        <v>289</v>
      </c>
      <c r="J499" s="1">
        <v>287</v>
      </c>
      <c r="K499" s="1">
        <v>310</v>
      </c>
      <c r="L499" s="1">
        <v>308</v>
      </c>
      <c r="M499" s="1">
        <v>279</v>
      </c>
      <c r="N499" s="1">
        <v>295</v>
      </c>
      <c r="O499" s="1">
        <v>307</v>
      </c>
      <c r="P499" s="1">
        <v>329</v>
      </c>
      <c r="Q499" s="24">
        <f t="shared" si="21"/>
        <v>3594</v>
      </c>
      <c r="R499" s="23">
        <v>38216</v>
      </c>
      <c r="S499" s="1">
        <v>30318</v>
      </c>
      <c r="T499" s="1">
        <v>35741</v>
      </c>
      <c r="U499" s="1">
        <v>31814</v>
      </c>
      <c r="V499" s="1">
        <v>31630</v>
      </c>
      <c r="W499" s="1">
        <v>33463</v>
      </c>
      <c r="X499" s="1">
        <v>42057</v>
      </c>
      <c r="Y499" s="1">
        <v>37169</v>
      </c>
      <c r="Z499" s="1">
        <v>31349</v>
      </c>
      <c r="AA499" s="1">
        <v>32758</v>
      </c>
      <c r="AB499" s="1">
        <v>37325</v>
      </c>
      <c r="AC499" s="1">
        <v>41578</v>
      </c>
      <c r="AD499" s="24">
        <f t="shared" si="22"/>
        <v>423418</v>
      </c>
      <c r="AE499" s="23">
        <v>19097</v>
      </c>
      <c r="AF499" s="1">
        <v>19389</v>
      </c>
      <c r="AG499" s="1">
        <v>18650.5</v>
      </c>
      <c r="AH499" s="1">
        <v>27318.2</v>
      </c>
      <c r="AI499" s="1">
        <v>26816</v>
      </c>
      <c r="AJ499" s="1">
        <v>14981</v>
      </c>
      <c r="AK499" s="1">
        <v>13389</v>
      </c>
      <c r="AL499" s="1">
        <v>13998.5</v>
      </c>
      <c r="AM499" s="1">
        <v>14123</v>
      </c>
      <c r="AN499" s="1">
        <v>23906</v>
      </c>
      <c r="AO499" s="1">
        <v>24946</v>
      </c>
      <c r="AP499" s="1">
        <v>14053.5</v>
      </c>
      <c r="AQ499" s="24">
        <f t="shared" si="23"/>
        <v>230667.7</v>
      </c>
    </row>
    <row r="500" spans="1:43" ht="17.25" customHeight="1" x14ac:dyDescent="0.45">
      <c r="A500" s="12" t="s">
        <v>12</v>
      </c>
      <c r="B500" s="12" t="s">
        <v>66</v>
      </c>
      <c r="C500" s="12" t="s">
        <v>116</v>
      </c>
      <c r="D500" s="12" t="s">
        <v>96</v>
      </c>
      <c r="E500" s="25">
        <v>30</v>
      </c>
      <c r="F500" s="10">
        <v>29</v>
      </c>
      <c r="G500" s="10">
        <v>31</v>
      </c>
      <c r="H500" s="10">
        <v>30</v>
      </c>
      <c r="I500" s="10">
        <v>31</v>
      </c>
      <c r="J500" s="10">
        <v>30</v>
      </c>
      <c r="K500" s="10">
        <v>31</v>
      </c>
      <c r="L500" s="10">
        <v>31</v>
      </c>
      <c r="M500" s="10">
        <v>30</v>
      </c>
      <c r="N500" s="10">
        <v>31</v>
      </c>
      <c r="O500" s="10">
        <v>30</v>
      </c>
      <c r="P500" s="10">
        <v>30</v>
      </c>
      <c r="Q500" s="26">
        <f t="shared" si="21"/>
        <v>364</v>
      </c>
      <c r="R500" s="25">
        <v>3439</v>
      </c>
      <c r="S500" s="10">
        <v>3895</v>
      </c>
      <c r="T500" s="10">
        <v>4174</v>
      </c>
      <c r="U500" s="10">
        <v>3914</v>
      </c>
      <c r="V500" s="10">
        <v>3951</v>
      </c>
      <c r="W500" s="10">
        <v>3764</v>
      </c>
      <c r="X500" s="10">
        <v>4186</v>
      </c>
      <c r="Y500" s="10">
        <v>4132</v>
      </c>
      <c r="Z500" s="10">
        <v>4046</v>
      </c>
      <c r="AA500" s="10">
        <v>3884</v>
      </c>
      <c r="AB500" s="10">
        <v>3971</v>
      </c>
      <c r="AC500" s="10">
        <v>4090</v>
      </c>
      <c r="AD500" s="26">
        <f t="shared" si="22"/>
        <v>47446</v>
      </c>
      <c r="AE500" s="25">
        <v>0</v>
      </c>
      <c r="AF500" s="10">
        <v>0</v>
      </c>
      <c r="AG500" s="10">
        <v>0</v>
      </c>
      <c r="AH500" s="10">
        <v>0</v>
      </c>
      <c r="AI500" s="10">
        <v>0</v>
      </c>
      <c r="AJ500" s="10">
        <v>0</v>
      </c>
      <c r="AK500" s="10">
        <v>0</v>
      </c>
      <c r="AL500" s="10">
        <v>0</v>
      </c>
      <c r="AM500" s="10">
        <v>0</v>
      </c>
      <c r="AN500" s="10">
        <v>0</v>
      </c>
      <c r="AO500" s="10">
        <v>0</v>
      </c>
      <c r="AP500" s="10">
        <v>0</v>
      </c>
      <c r="AQ500" s="26">
        <f t="shared" si="23"/>
        <v>0</v>
      </c>
    </row>
    <row r="501" spans="1:43" ht="17.25" customHeight="1" x14ac:dyDescent="0.45">
      <c r="A501" s="2" t="s">
        <v>12</v>
      </c>
      <c r="B501" s="2" t="s">
        <v>66</v>
      </c>
      <c r="C501" s="2" t="s">
        <v>184</v>
      </c>
      <c r="D501" s="2" t="s">
        <v>68</v>
      </c>
      <c r="E501" s="23">
        <v>102</v>
      </c>
      <c r="F501" s="1">
        <v>91</v>
      </c>
      <c r="G501" s="1">
        <v>106</v>
      </c>
      <c r="H501" s="1">
        <v>91</v>
      </c>
      <c r="I501" s="1">
        <v>93</v>
      </c>
      <c r="J501" s="1">
        <v>101</v>
      </c>
      <c r="K501" s="1">
        <v>122</v>
      </c>
      <c r="L501" s="1">
        <v>111</v>
      </c>
      <c r="M501" s="1">
        <v>92</v>
      </c>
      <c r="N501" s="1">
        <v>93</v>
      </c>
      <c r="O501" s="1">
        <v>99</v>
      </c>
      <c r="P501" s="1">
        <v>126</v>
      </c>
      <c r="Q501" s="24">
        <f t="shared" si="21"/>
        <v>1227</v>
      </c>
      <c r="R501" s="23">
        <v>16712</v>
      </c>
      <c r="S501" s="1">
        <v>14520</v>
      </c>
      <c r="T501" s="1">
        <v>15623</v>
      </c>
      <c r="U501" s="1">
        <v>14716</v>
      </c>
      <c r="V501" s="1">
        <v>15030</v>
      </c>
      <c r="W501" s="1">
        <v>16027</v>
      </c>
      <c r="X501" s="1">
        <v>20408</v>
      </c>
      <c r="Y501" s="1">
        <v>17724</v>
      </c>
      <c r="Z501" s="1">
        <v>16186</v>
      </c>
      <c r="AA501" s="1">
        <v>16179</v>
      </c>
      <c r="AB501" s="1">
        <v>18246</v>
      </c>
      <c r="AC501" s="1">
        <v>20203</v>
      </c>
      <c r="AD501" s="24">
        <f t="shared" si="22"/>
        <v>201574</v>
      </c>
      <c r="AE501" s="23">
        <v>0</v>
      </c>
      <c r="AF501" s="1">
        <v>0</v>
      </c>
      <c r="AG501" s="1">
        <v>0</v>
      </c>
      <c r="AH501" s="1">
        <v>0</v>
      </c>
      <c r="AI501" s="1">
        <v>0</v>
      </c>
      <c r="AJ501" s="1">
        <v>0</v>
      </c>
      <c r="AK501" s="1">
        <v>0</v>
      </c>
      <c r="AL501" s="1">
        <v>0</v>
      </c>
      <c r="AM501" s="1">
        <v>0</v>
      </c>
      <c r="AN501" s="1">
        <v>0</v>
      </c>
      <c r="AO501" s="1">
        <v>0</v>
      </c>
      <c r="AP501" s="1">
        <v>0</v>
      </c>
      <c r="AQ501" s="24">
        <f t="shared" si="23"/>
        <v>0</v>
      </c>
    </row>
    <row r="502" spans="1:43" ht="17.25" customHeight="1" x14ac:dyDescent="0.45">
      <c r="A502" s="12" t="s">
        <v>12</v>
      </c>
      <c r="B502" s="12" t="s">
        <v>66</v>
      </c>
      <c r="C502" s="12" t="s">
        <v>117</v>
      </c>
      <c r="D502" s="12" t="s">
        <v>118</v>
      </c>
      <c r="E502" s="25">
        <v>122</v>
      </c>
      <c r="F502" s="10">
        <v>116</v>
      </c>
      <c r="G502" s="10">
        <v>123</v>
      </c>
      <c r="H502" s="10">
        <v>109</v>
      </c>
      <c r="I502" s="10">
        <v>93</v>
      </c>
      <c r="J502" s="10">
        <v>90</v>
      </c>
      <c r="K502" s="10">
        <v>93</v>
      </c>
      <c r="L502" s="10">
        <v>93</v>
      </c>
      <c r="M502" s="10">
        <v>89</v>
      </c>
      <c r="N502" s="10">
        <v>92</v>
      </c>
      <c r="O502" s="10">
        <v>86</v>
      </c>
      <c r="P502" s="10">
        <v>89</v>
      </c>
      <c r="Q502" s="26">
        <f t="shared" si="21"/>
        <v>1195</v>
      </c>
      <c r="R502" s="25">
        <v>13647</v>
      </c>
      <c r="S502" s="10">
        <v>16679</v>
      </c>
      <c r="T502" s="10">
        <v>16994</v>
      </c>
      <c r="U502" s="10">
        <v>14076</v>
      </c>
      <c r="V502" s="10">
        <v>13835</v>
      </c>
      <c r="W502" s="10">
        <v>12375</v>
      </c>
      <c r="X502" s="10">
        <v>14171</v>
      </c>
      <c r="Y502" s="10">
        <v>13755</v>
      </c>
      <c r="Z502" s="10">
        <v>13590</v>
      </c>
      <c r="AA502" s="10">
        <v>13379</v>
      </c>
      <c r="AB502" s="10">
        <v>13188</v>
      </c>
      <c r="AC502" s="10">
        <v>13177</v>
      </c>
      <c r="AD502" s="26">
        <f t="shared" si="22"/>
        <v>168866</v>
      </c>
      <c r="AE502" s="25">
        <v>13312.86</v>
      </c>
      <c r="AF502" s="10">
        <v>20381</v>
      </c>
      <c r="AG502" s="10">
        <v>22773.8</v>
      </c>
      <c r="AH502" s="10">
        <v>20590.54</v>
      </c>
      <c r="AI502" s="10">
        <v>16782</v>
      </c>
      <c r="AJ502" s="10">
        <v>12757.95</v>
      </c>
      <c r="AK502" s="10">
        <v>15986.05</v>
      </c>
      <c r="AL502" s="10">
        <v>13531.42</v>
      </c>
      <c r="AM502" s="10">
        <v>35644.5</v>
      </c>
      <c r="AN502" s="10">
        <v>29808</v>
      </c>
      <c r="AO502" s="10">
        <v>13269.869999999999</v>
      </c>
      <c r="AP502" s="10">
        <v>21945.3</v>
      </c>
      <c r="AQ502" s="26">
        <f t="shared" si="23"/>
        <v>236783.29</v>
      </c>
    </row>
    <row r="503" spans="1:43" ht="17.25" customHeight="1" x14ac:dyDescent="0.45">
      <c r="A503" s="2" t="s">
        <v>12</v>
      </c>
      <c r="B503" s="2" t="s">
        <v>66</v>
      </c>
      <c r="C503" s="2" t="s">
        <v>122</v>
      </c>
      <c r="D503" s="2" t="s">
        <v>85</v>
      </c>
      <c r="E503" s="23">
        <v>53</v>
      </c>
      <c r="F503" s="1">
        <v>49</v>
      </c>
      <c r="G503" s="1">
        <v>54</v>
      </c>
      <c r="H503" s="1">
        <v>60</v>
      </c>
      <c r="I503" s="1">
        <v>62</v>
      </c>
      <c r="J503" s="1">
        <v>59</v>
      </c>
      <c r="K503" s="1">
        <v>62</v>
      </c>
      <c r="L503" s="1">
        <v>62</v>
      </c>
      <c r="M503" s="1">
        <v>59</v>
      </c>
      <c r="N503" s="1">
        <v>60</v>
      </c>
      <c r="O503" s="1">
        <v>52</v>
      </c>
      <c r="P503" s="1">
        <v>53</v>
      </c>
      <c r="Q503" s="24">
        <f t="shared" si="21"/>
        <v>685</v>
      </c>
      <c r="R503" s="23">
        <v>11030</v>
      </c>
      <c r="S503" s="1">
        <v>9942</v>
      </c>
      <c r="T503" s="1">
        <v>12829</v>
      </c>
      <c r="U503" s="1">
        <v>13240</v>
      </c>
      <c r="V503" s="1">
        <v>13648</v>
      </c>
      <c r="W503" s="1">
        <v>13349</v>
      </c>
      <c r="X503" s="1">
        <v>13910</v>
      </c>
      <c r="Y503" s="1">
        <v>13776</v>
      </c>
      <c r="Z503" s="1">
        <v>13675</v>
      </c>
      <c r="AA503" s="1">
        <v>12048</v>
      </c>
      <c r="AB503" s="1">
        <v>11632</v>
      </c>
      <c r="AC503" s="1">
        <v>11247</v>
      </c>
      <c r="AD503" s="24">
        <f t="shared" si="22"/>
        <v>150326</v>
      </c>
      <c r="AE503" s="23">
        <v>335736</v>
      </c>
      <c r="AF503" s="1">
        <v>397647</v>
      </c>
      <c r="AG503" s="1">
        <v>250987</v>
      </c>
      <c r="AH503" s="1">
        <v>220865</v>
      </c>
      <c r="AI503" s="1">
        <v>293412</v>
      </c>
      <c r="AJ503" s="1">
        <v>233926</v>
      </c>
      <c r="AK503" s="1">
        <v>244238</v>
      </c>
      <c r="AL503" s="1">
        <v>152820</v>
      </c>
      <c r="AM503" s="1">
        <v>188917</v>
      </c>
      <c r="AN503" s="1">
        <v>247061</v>
      </c>
      <c r="AO503" s="1">
        <v>414940</v>
      </c>
      <c r="AP503" s="1">
        <v>383590</v>
      </c>
      <c r="AQ503" s="24">
        <f t="shared" si="23"/>
        <v>3364139</v>
      </c>
    </row>
    <row r="504" spans="1:43" ht="17.25" customHeight="1" x14ac:dyDescent="0.45">
      <c r="A504" s="12" t="s">
        <v>12</v>
      </c>
      <c r="B504" s="12" t="s">
        <v>66</v>
      </c>
      <c r="C504" s="12" t="s">
        <v>73</v>
      </c>
      <c r="D504" s="12" t="s">
        <v>68</v>
      </c>
      <c r="E504" s="25">
        <v>221</v>
      </c>
      <c r="F504" s="10">
        <v>183</v>
      </c>
      <c r="G504" s="10">
        <v>237</v>
      </c>
      <c r="H504" s="10">
        <v>226</v>
      </c>
      <c r="I504" s="10">
        <v>244</v>
      </c>
      <c r="J504" s="10">
        <v>248</v>
      </c>
      <c r="K504" s="10">
        <v>278</v>
      </c>
      <c r="L504" s="10">
        <v>266</v>
      </c>
      <c r="M504" s="10">
        <v>212</v>
      </c>
      <c r="N504" s="10">
        <v>216</v>
      </c>
      <c r="O504" s="10">
        <v>236</v>
      </c>
      <c r="P504" s="10">
        <v>268</v>
      </c>
      <c r="Q504" s="26">
        <f t="shared" si="21"/>
        <v>2835</v>
      </c>
      <c r="R504" s="25">
        <v>38665</v>
      </c>
      <c r="S504" s="10">
        <v>30591</v>
      </c>
      <c r="T504" s="10">
        <v>39403</v>
      </c>
      <c r="U504" s="10">
        <v>36897</v>
      </c>
      <c r="V504" s="10">
        <v>38366</v>
      </c>
      <c r="W504" s="10">
        <v>37807</v>
      </c>
      <c r="X504" s="10">
        <v>47920</v>
      </c>
      <c r="Y504" s="10">
        <v>44435</v>
      </c>
      <c r="Z504" s="10">
        <v>36507</v>
      </c>
      <c r="AA504" s="10">
        <v>35896</v>
      </c>
      <c r="AB504" s="10">
        <v>40982</v>
      </c>
      <c r="AC504" s="10">
        <v>43425</v>
      </c>
      <c r="AD504" s="26">
        <f t="shared" si="22"/>
        <v>470894</v>
      </c>
      <c r="AE504" s="25">
        <v>568905.13321086997</v>
      </c>
      <c r="AF504" s="10">
        <v>552954.96</v>
      </c>
      <c r="AG504" s="10">
        <v>468882.99154270999</v>
      </c>
      <c r="AH504" s="10">
        <v>470364.79470807</v>
      </c>
      <c r="AI504" s="10">
        <v>417696.12367336982</v>
      </c>
      <c r="AJ504" s="10">
        <v>443972.6064426399</v>
      </c>
      <c r="AK504" s="10">
        <v>409149.8468455699</v>
      </c>
      <c r="AL504" s="10">
        <v>455996.75417872996</v>
      </c>
      <c r="AM504" s="10">
        <v>325094</v>
      </c>
      <c r="AN504" s="10">
        <v>507671</v>
      </c>
      <c r="AO504" s="10">
        <v>599369.19677136012</v>
      </c>
      <c r="AP504" s="10">
        <v>638708.05372615007</v>
      </c>
      <c r="AQ504" s="26">
        <f t="shared" si="23"/>
        <v>5858765.4610994691</v>
      </c>
    </row>
    <row r="505" spans="1:43" ht="17.25" customHeight="1" x14ac:dyDescent="0.45">
      <c r="A505" s="2" t="s">
        <v>12</v>
      </c>
      <c r="B505" s="2" t="s">
        <v>66</v>
      </c>
      <c r="C505" s="2" t="s">
        <v>123</v>
      </c>
      <c r="D505" s="2" t="s">
        <v>81</v>
      </c>
      <c r="E505" s="23">
        <v>175</v>
      </c>
      <c r="F505" s="1">
        <v>161</v>
      </c>
      <c r="G505" s="1">
        <v>174</v>
      </c>
      <c r="H505" s="1">
        <v>197</v>
      </c>
      <c r="I505" s="1">
        <v>208</v>
      </c>
      <c r="J505" s="1">
        <v>206</v>
      </c>
      <c r="K505" s="1">
        <v>212</v>
      </c>
      <c r="L505" s="1">
        <v>213</v>
      </c>
      <c r="M505" s="1">
        <v>204</v>
      </c>
      <c r="N505" s="1">
        <v>192</v>
      </c>
      <c r="O505" s="1">
        <v>176</v>
      </c>
      <c r="P505" s="1">
        <v>182</v>
      </c>
      <c r="Q505" s="24">
        <f t="shared" si="21"/>
        <v>2300</v>
      </c>
      <c r="R505" s="23">
        <v>44553</v>
      </c>
      <c r="S505" s="1">
        <v>38922</v>
      </c>
      <c r="T505" s="1">
        <v>50915</v>
      </c>
      <c r="U505" s="1">
        <v>46720</v>
      </c>
      <c r="V505" s="1">
        <v>53713</v>
      </c>
      <c r="W505" s="1">
        <v>50658</v>
      </c>
      <c r="X505" s="1">
        <v>51389</v>
      </c>
      <c r="Y505" s="1">
        <v>51030</v>
      </c>
      <c r="Z505" s="1">
        <v>52375</v>
      </c>
      <c r="AA505" s="1">
        <v>45659</v>
      </c>
      <c r="AB505" s="1">
        <v>45369</v>
      </c>
      <c r="AC505" s="1">
        <v>45888</v>
      </c>
      <c r="AD505" s="24">
        <f t="shared" si="22"/>
        <v>577191</v>
      </c>
      <c r="AE505" s="23">
        <v>258078</v>
      </c>
      <c r="AF505" s="1">
        <v>458888</v>
      </c>
      <c r="AG505" s="1">
        <v>615944</v>
      </c>
      <c r="AH505" s="1">
        <v>360370</v>
      </c>
      <c r="AI505" s="1">
        <v>687321</v>
      </c>
      <c r="AJ505" s="1">
        <v>507715</v>
      </c>
      <c r="AK505" s="1">
        <v>499071</v>
      </c>
      <c r="AL505" s="1">
        <v>503574</v>
      </c>
      <c r="AM505" s="1">
        <v>430988</v>
      </c>
      <c r="AN505" s="1">
        <v>762959</v>
      </c>
      <c r="AO505" s="1">
        <v>352568</v>
      </c>
      <c r="AP505" s="1">
        <v>225614</v>
      </c>
      <c r="AQ505" s="24">
        <f t="shared" si="23"/>
        <v>5663090</v>
      </c>
    </row>
    <row r="506" spans="1:43" ht="17.25" customHeight="1" x14ac:dyDescent="0.45">
      <c r="A506" s="12" t="s">
        <v>12</v>
      </c>
      <c r="B506" s="12" t="s">
        <v>66</v>
      </c>
      <c r="C506" s="12" t="s">
        <v>195</v>
      </c>
      <c r="D506" s="12" t="s">
        <v>196</v>
      </c>
      <c r="E506" s="25">
        <v>30</v>
      </c>
      <c r="F506" s="10">
        <v>29</v>
      </c>
      <c r="G506" s="10">
        <v>28</v>
      </c>
      <c r="H506" s="10">
        <v>17</v>
      </c>
      <c r="I506" s="10">
        <v>18</v>
      </c>
      <c r="J506" s="10">
        <v>17</v>
      </c>
      <c r="K506" s="10">
        <v>18</v>
      </c>
      <c r="L506" s="10">
        <v>17</v>
      </c>
      <c r="M506" s="10">
        <v>18</v>
      </c>
      <c r="N506" s="10">
        <v>17</v>
      </c>
      <c r="O506" s="10">
        <v>17</v>
      </c>
      <c r="P506" s="10">
        <v>18</v>
      </c>
      <c r="Q506" s="26">
        <f t="shared" si="21"/>
        <v>244</v>
      </c>
      <c r="R506" s="25">
        <v>1701</v>
      </c>
      <c r="S506" s="10">
        <v>1798</v>
      </c>
      <c r="T506" s="10">
        <v>1764</v>
      </c>
      <c r="U506" s="10">
        <v>1046</v>
      </c>
      <c r="V506" s="10">
        <v>1037</v>
      </c>
      <c r="W506" s="10">
        <v>1128</v>
      </c>
      <c r="X506" s="10">
        <v>1367</v>
      </c>
      <c r="Y506" s="10">
        <v>909</v>
      </c>
      <c r="Z506" s="10">
        <v>1158</v>
      </c>
      <c r="AA506" s="10">
        <v>1011</v>
      </c>
      <c r="AB506" s="10">
        <v>1465</v>
      </c>
      <c r="AC506" s="10">
        <v>1557</v>
      </c>
      <c r="AD506" s="26">
        <f t="shared" si="22"/>
        <v>15941</v>
      </c>
      <c r="AE506" s="25">
        <v>0</v>
      </c>
      <c r="AF506" s="10">
        <v>0</v>
      </c>
      <c r="AG506" s="10">
        <v>0</v>
      </c>
      <c r="AH506" s="10">
        <v>25</v>
      </c>
      <c r="AI506" s="10">
        <v>0</v>
      </c>
      <c r="AJ506" s="10">
        <v>0</v>
      </c>
      <c r="AK506" s="10">
        <v>0</v>
      </c>
      <c r="AL506" s="10">
        <v>0</v>
      </c>
      <c r="AM506" s="10">
        <v>108</v>
      </c>
      <c r="AN506" s="10">
        <v>0</v>
      </c>
      <c r="AO506" s="10">
        <v>0</v>
      </c>
      <c r="AP506" s="10">
        <v>0</v>
      </c>
      <c r="AQ506" s="26">
        <f t="shared" si="23"/>
        <v>133</v>
      </c>
    </row>
    <row r="507" spans="1:43" ht="17.25" customHeight="1" x14ac:dyDescent="0.45">
      <c r="A507" s="2" t="s">
        <v>12</v>
      </c>
      <c r="B507" s="2" t="s">
        <v>66</v>
      </c>
      <c r="C507" s="2" t="s">
        <v>125</v>
      </c>
      <c r="D507" s="2" t="s">
        <v>87</v>
      </c>
      <c r="E507" s="23">
        <v>62</v>
      </c>
      <c r="F507" s="1">
        <v>58</v>
      </c>
      <c r="G507" s="1">
        <v>62</v>
      </c>
      <c r="H507" s="1">
        <v>59</v>
      </c>
      <c r="I507" s="1">
        <v>62</v>
      </c>
      <c r="J507" s="1">
        <v>71</v>
      </c>
      <c r="K507" s="1">
        <v>93</v>
      </c>
      <c r="L507" s="1">
        <v>80</v>
      </c>
      <c r="M507" s="1">
        <v>61</v>
      </c>
      <c r="N507" s="1">
        <v>62</v>
      </c>
      <c r="O507" s="1">
        <v>60</v>
      </c>
      <c r="P507" s="1">
        <v>62</v>
      </c>
      <c r="Q507" s="24">
        <f t="shared" si="21"/>
        <v>792</v>
      </c>
      <c r="R507" s="23">
        <v>8044</v>
      </c>
      <c r="S507" s="1">
        <v>7211</v>
      </c>
      <c r="T507" s="1">
        <v>8395</v>
      </c>
      <c r="U507" s="1">
        <v>7507</v>
      </c>
      <c r="V507" s="1">
        <v>8410</v>
      </c>
      <c r="W507" s="1">
        <v>9867</v>
      </c>
      <c r="X507" s="1">
        <v>14670</v>
      </c>
      <c r="Y507" s="1">
        <v>10278</v>
      </c>
      <c r="Z507" s="1">
        <v>8393</v>
      </c>
      <c r="AA507" s="1">
        <v>7924</v>
      </c>
      <c r="AB507" s="1">
        <v>10102</v>
      </c>
      <c r="AC507" s="1">
        <v>10214</v>
      </c>
      <c r="AD507" s="24">
        <f t="shared" si="22"/>
        <v>111015</v>
      </c>
      <c r="AE507" s="23">
        <v>677</v>
      </c>
      <c r="AF507" s="1">
        <v>1806</v>
      </c>
      <c r="AG507" s="1">
        <v>2121</v>
      </c>
      <c r="AH507" s="1">
        <v>1408</v>
      </c>
      <c r="AI507" s="1">
        <v>2899</v>
      </c>
      <c r="AJ507" s="1">
        <v>3789</v>
      </c>
      <c r="AK507" s="1">
        <v>2106</v>
      </c>
      <c r="AL507" s="1">
        <v>3082</v>
      </c>
      <c r="AM507" s="1">
        <v>2051</v>
      </c>
      <c r="AN507" s="1">
        <v>1880</v>
      </c>
      <c r="AO507" s="1">
        <v>1559</v>
      </c>
      <c r="AP507" s="1">
        <v>3099</v>
      </c>
      <c r="AQ507" s="24">
        <f t="shared" si="23"/>
        <v>26477</v>
      </c>
    </row>
    <row r="508" spans="1:43" ht="17.25" customHeight="1" x14ac:dyDescent="0.45">
      <c r="A508" s="12" t="s">
        <v>12</v>
      </c>
      <c r="B508" s="12" t="s">
        <v>66</v>
      </c>
      <c r="C508" s="12" t="s">
        <v>126</v>
      </c>
      <c r="D508" s="12" t="s">
        <v>68</v>
      </c>
      <c r="E508" s="25">
        <v>246</v>
      </c>
      <c r="F508" s="10">
        <v>219</v>
      </c>
      <c r="G508" s="10">
        <v>243</v>
      </c>
      <c r="H508" s="10">
        <v>210</v>
      </c>
      <c r="I508" s="10">
        <v>219</v>
      </c>
      <c r="J508" s="10">
        <v>224</v>
      </c>
      <c r="K508" s="10">
        <v>265</v>
      </c>
      <c r="L508" s="10">
        <v>238</v>
      </c>
      <c r="M508" s="10">
        <v>194</v>
      </c>
      <c r="N508" s="10">
        <v>199</v>
      </c>
      <c r="O508" s="10">
        <v>206</v>
      </c>
      <c r="P508" s="10">
        <v>226</v>
      </c>
      <c r="Q508" s="26">
        <f t="shared" si="21"/>
        <v>2689</v>
      </c>
      <c r="R508" s="25">
        <v>37367</v>
      </c>
      <c r="S508" s="10">
        <v>29959</v>
      </c>
      <c r="T508" s="10">
        <v>36286</v>
      </c>
      <c r="U508" s="10">
        <v>31008</v>
      </c>
      <c r="V508" s="10">
        <v>32734</v>
      </c>
      <c r="W508" s="10">
        <v>32675</v>
      </c>
      <c r="X508" s="10">
        <v>43259</v>
      </c>
      <c r="Y508" s="10">
        <v>34441</v>
      </c>
      <c r="Z508" s="10">
        <v>28119</v>
      </c>
      <c r="AA508" s="10">
        <v>27518</v>
      </c>
      <c r="AB508" s="10">
        <v>32416</v>
      </c>
      <c r="AC508" s="10">
        <v>36237</v>
      </c>
      <c r="AD508" s="26">
        <f t="shared" si="22"/>
        <v>402019</v>
      </c>
      <c r="AE508" s="25">
        <v>164626.28216840001</v>
      </c>
      <c r="AF508" s="10">
        <v>167190.02183592005</v>
      </c>
      <c r="AG508" s="10">
        <v>159068.88364729998</v>
      </c>
      <c r="AH508" s="10">
        <v>144284.60991635997</v>
      </c>
      <c r="AI508" s="10">
        <v>180450.47538967</v>
      </c>
      <c r="AJ508" s="10">
        <v>161300.94632989002</v>
      </c>
      <c r="AK508" s="10">
        <v>168969.22504058009</v>
      </c>
      <c r="AL508" s="10">
        <v>146726.84696749001</v>
      </c>
      <c r="AM508" s="10">
        <v>147335.16642981995</v>
      </c>
      <c r="AN508" s="10">
        <v>156629.10566470001</v>
      </c>
      <c r="AO508" s="10">
        <v>197969.04707400998</v>
      </c>
      <c r="AP508" s="10">
        <v>199245.78833552994</v>
      </c>
      <c r="AQ508" s="26">
        <f t="shared" si="23"/>
        <v>1993796.3987996699</v>
      </c>
    </row>
    <row r="509" spans="1:43" ht="17.25" customHeight="1" x14ac:dyDescent="0.45">
      <c r="A509" s="2" t="s">
        <v>12</v>
      </c>
      <c r="B509" s="2" t="s">
        <v>66</v>
      </c>
      <c r="C509" s="2" t="s">
        <v>130</v>
      </c>
      <c r="D509" s="2" t="s">
        <v>68</v>
      </c>
      <c r="E509" s="23">
        <v>31</v>
      </c>
      <c r="F509" s="1">
        <v>29</v>
      </c>
      <c r="G509" s="1">
        <v>31</v>
      </c>
      <c r="H509" s="1">
        <v>30</v>
      </c>
      <c r="I509" s="1">
        <v>31</v>
      </c>
      <c r="J509" s="1">
        <v>30</v>
      </c>
      <c r="K509" s="1">
        <v>31</v>
      </c>
      <c r="L509" s="1">
        <v>31</v>
      </c>
      <c r="M509" s="1">
        <v>28</v>
      </c>
      <c r="N509" s="1">
        <v>30</v>
      </c>
      <c r="O509" s="1">
        <v>30</v>
      </c>
      <c r="P509" s="1">
        <v>31</v>
      </c>
      <c r="Q509" s="24">
        <f t="shared" si="21"/>
        <v>363</v>
      </c>
      <c r="R509" s="23">
        <v>3353</v>
      </c>
      <c r="S509" s="1">
        <v>2828</v>
      </c>
      <c r="T509" s="1">
        <v>3299</v>
      </c>
      <c r="U509" s="1">
        <v>3215</v>
      </c>
      <c r="V509" s="1">
        <v>3296</v>
      </c>
      <c r="W509" s="1">
        <v>3478</v>
      </c>
      <c r="X509" s="1">
        <v>3799</v>
      </c>
      <c r="Y509" s="1">
        <v>3764</v>
      </c>
      <c r="Z509" s="1">
        <v>2650</v>
      </c>
      <c r="AA509" s="1">
        <v>2818</v>
      </c>
      <c r="AB509" s="1">
        <v>2945</v>
      </c>
      <c r="AC509" s="1">
        <v>2900</v>
      </c>
      <c r="AD509" s="24">
        <f t="shared" si="22"/>
        <v>38345</v>
      </c>
      <c r="AE509" s="23">
        <v>226</v>
      </c>
      <c r="AF509" s="1">
        <v>193</v>
      </c>
      <c r="AG509" s="1">
        <v>5</v>
      </c>
      <c r="AH509" s="1">
        <v>65</v>
      </c>
      <c r="AI509" s="1">
        <v>0</v>
      </c>
      <c r="AJ509" s="1">
        <v>562</v>
      </c>
      <c r="AK509" s="1">
        <v>0</v>
      </c>
      <c r="AL509" s="1">
        <v>126</v>
      </c>
      <c r="AM509" s="1">
        <v>33</v>
      </c>
      <c r="AN509" s="1">
        <v>0</v>
      </c>
      <c r="AO509" s="1">
        <v>52</v>
      </c>
      <c r="AP509" s="1">
        <v>0</v>
      </c>
      <c r="AQ509" s="24">
        <f t="shared" si="23"/>
        <v>1262</v>
      </c>
    </row>
    <row r="510" spans="1:43" ht="17.25" customHeight="1" x14ac:dyDescent="0.45">
      <c r="A510" s="12" t="s">
        <v>12</v>
      </c>
      <c r="B510" s="12" t="s">
        <v>66</v>
      </c>
      <c r="C510" s="12" t="s">
        <v>70</v>
      </c>
      <c r="D510" s="12" t="s">
        <v>65</v>
      </c>
      <c r="E510" s="25">
        <v>102</v>
      </c>
      <c r="F510" s="10">
        <v>87</v>
      </c>
      <c r="G510" s="10">
        <v>92</v>
      </c>
      <c r="H510" s="10">
        <v>80</v>
      </c>
      <c r="I510" s="10">
        <v>61</v>
      </c>
      <c r="J510" s="10">
        <v>57</v>
      </c>
      <c r="K510" s="10">
        <v>60</v>
      </c>
      <c r="L510" s="10">
        <v>62</v>
      </c>
      <c r="M510" s="10">
        <v>59</v>
      </c>
      <c r="N510" s="10">
        <v>62</v>
      </c>
      <c r="O510" s="10">
        <v>59</v>
      </c>
      <c r="P510" s="10">
        <v>61</v>
      </c>
      <c r="Q510" s="26">
        <f t="shared" si="21"/>
        <v>842</v>
      </c>
      <c r="R510" s="25">
        <v>14483</v>
      </c>
      <c r="S510" s="10">
        <v>12456</v>
      </c>
      <c r="T510" s="10">
        <v>13042</v>
      </c>
      <c r="U510" s="10">
        <v>11639</v>
      </c>
      <c r="V510" s="10">
        <v>9217</v>
      </c>
      <c r="W510" s="10">
        <v>8415</v>
      </c>
      <c r="X510" s="10">
        <v>8848</v>
      </c>
      <c r="Y510" s="10">
        <v>9279</v>
      </c>
      <c r="Z510" s="10">
        <v>7804</v>
      </c>
      <c r="AA510" s="10">
        <v>5900</v>
      </c>
      <c r="AB510" s="10">
        <v>6308</v>
      </c>
      <c r="AC510" s="10">
        <v>6557</v>
      </c>
      <c r="AD510" s="26">
        <f t="shared" si="22"/>
        <v>113948</v>
      </c>
      <c r="AE510" s="25">
        <v>20241</v>
      </c>
      <c r="AF510" s="10">
        <v>17697</v>
      </c>
      <c r="AG510" s="10">
        <v>15042</v>
      </c>
      <c r="AH510" s="10">
        <v>16292</v>
      </c>
      <c r="AI510" s="10">
        <v>3702</v>
      </c>
      <c r="AJ510" s="10">
        <v>4670</v>
      </c>
      <c r="AK510" s="10">
        <v>15543</v>
      </c>
      <c r="AL510" s="10">
        <v>16747</v>
      </c>
      <c r="AM510" s="10">
        <v>11954</v>
      </c>
      <c r="AN510" s="10">
        <v>15747</v>
      </c>
      <c r="AO510" s="10">
        <v>11747</v>
      </c>
      <c r="AP510" s="10">
        <v>17777</v>
      </c>
      <c r="AQ510" s="26">
        <f t="shared" si="23"/>
        <v>167159</v>
      </c>
    </row>
    <row r="511" spans="1:43" ht="17.25" customHeight="1" x14ac:dyDescent="0.45">
      <c r="A511" s="2" t="s">
        <v>12</v>
      </c>
      <c r="B511" s="2" t="s">
        <v>66</v>
      </c>
      <c r="C511" s="2" t="s">
        <v>233</v>
      </c>
      <c r="D511" s="2" t="s">
        <v>107</v>
      </c>
      <c r="E511" s="23">
        <v>13</v>
      </c>
      <c r="F511" s="1">
        <v>10</v>
      </c>
      <c r="G511" s="1">
        <v>10</v>
      </c>
      <c r="H511" s="1">
        <v>12</v>
      </c>
      <c r="I511" s="1">
        <v>11</v>
      </c>
      <c r="J511" s="1">
        <v>12</v>
      </c>
      <c r="K511" s="1">
        <v>14</v>
      </c>
      <c r="L511" s="1">
        <v>13</v>
      </c>
      <c r="M511" s="1">
        <v>13</v>
      </c>
      <c r="N511" s="1">
        <v>13</v>
      </c>
      <c r="O511" s="1">
        <v>13</v>
      </c>
      <c r="P511" s="1">
        <v>13</v>
      </c>
      <c r="Q511" s="24">
        <f t="shared" si="21"/>
        <v>147</v>
      </c>
      <c r="R511" s="23">
        <v>3256</v>
      </c>
      <c r="S511" s="1">
        <v>2366</v>
      </c>
      <c r="T511" s="1">
        <v>2497</v>
      </c>
      <c r="U511" s="1">
        <v>2610</v>
      </c>
      <c r="V511" s="1">
        <v>2648</v>
      </c>
      <c r="W511" s="1">
        <v>3163</v>
      </c>
      <c r="X511" s="1">
        <v>3432</v>
      </c>
      <c r="Y511" s="1">
        <v>2972</v>
      </c>
      <c r="Z511" s="1">
        <v>3364</v>
      </c>
      <c r="AA511" s="1">
        <v>2085</v>
      </c>
      <c r="AB511" s="1">
        <v>3673</v>
      </c>
      <c r="AC511" s="1">
        <v>3527</v>
      </c>
      <c r="AD511" s="24">
        <f t="shared" si="22"/>
        <v>35593</v>
      </c>
      <c r="AE511" s="23">
        <v>10958</v>
      </c>
      <c r="AF511" s="1">
        <v>20552</v>
      </c>
      <c r="AG511" s="1">
        <v>2922</v>
      </c>
      <c r="AH511" s="1">
        <v>16726</v>
      </c>
      <c r="AI511" s="1">
        <v>14599</v>
      </c>
      <c r="AJ511" s="1">
        <v>5928</v>
      </c>
      <c r="AK511" s="1">
        <v>3286</v>
      </c>
      <c r="AL511" s="1">
        <v>12956</v>
      </c>
      <c r="AM511" s="1">
        <v>9092</v>
      </c>
      <c r="AN511" s="1">
        <v>11129</v>
      </c>
      <c r="AO511" s="1">
        <v>3491</v>
      </c>
      <c r="AP511" s="1">
        <v>7712</v>
      </c>
      <c r="AQ511" s="24">
        <f t="shared" si="23"/>
        <v>119351</v>
      </c>
    </row>
    <row r="512" spans="1:43" ht="17.25" customHeight="1" x14ac:dyDescent="0.45">
      <c r="A512" s="12" t="s">
        <v>12</v>
      </c>
      <c r="B512" s="12" t="s">
        <v>66</v>
      </c>
      <c r="C512" s="12" t="s">
        <v>132</v>
      </c>
      <c r="D512" s="12" t="s">
        <v>68</v>
      </c>
      <c r="E512" s="25">
        <v>62</v>
      </c>
      <c r="F512" s="10">
        <v>58</v>
      </c>
      <c r="G512" s="10">
        <v>62</v>
      </c>
      <c r="H512" s="10">
        <v>60</v>
      </c>
      <c r="I512" s="10">
        <v>62</v>
      </c>
      <c r="J512" s="10">
        <v>59</v>
      </c>
      <c r="K512" s="10">
        <v>62</v>
      </c>
      <c r="L512" s="10">
        <v>57</v>
      </c>
      <c r="M512" s="10">
        <v>59</v>
      </c>
      <c r="N512" s="10">
        <v>67</v>
      </c>
      <c r="O512" s="10">
        <v>90</v>
      </c>
      <c r="P512" s="10">
        <v>93</v>
      </c>
      <c r="Q512" s="26">
        <f t="shared" si="21"/>
        <v>791</v>
      </c>
      <c r="R512" s="25">
        <v>7461</v>
      </c>
      <c r="S512" s="10">
        <v>6816</v>
      </c>
      <c r="T512" s="10">
        <v>7591</v>
      </c>
      <c r="U512" s="10">
        <v>7231</v>
      </c>
      <c r="V512" s="10">
        <v>7248</v>
      </c>
      <c r="W512" s="10">
        <v>6902</v>
      </c>
      <c r="X512" s="10">
        <v>7361</v>
      </c>
      <c r="Y512" s="10">
        <v>6761</v>
      </c>
      <c r="Z512" s="10">
        <v>6678</v>
      </c>
      <c r="AA512" s="10">
        <v>7590</v>
      </c>
      <c r="AB512" s="10">
        <v>12345</v>
      </c>
      <c r="AC512" s="10">
        <v>12216</v>
      </c>
      <c r="AD512" s="26">
        <f t="shared" si="22"/>
        <v>96200</v>
      </c>
      <c r="AE512" s="25">
        <v>2583</v>
      </c>
      <c r="AF512" s="10">
        <v>2009</v>
      </c>
      <c r="AG512" s="10">
        <v>1197</v>
      </c>
      <c r="AH512" s="10">
        <v>462</v>
      </c>
      <c r="AI512" s="10">
        <v>687</v>
      </c>
      <c r="AJ512" s="10">
        <v>1014</v>
      </c>
      <c r="AK512" s="10">
        <v>628</v>
      </c>
      <c r="AL512" s="10">
        <v>662</v>
      </c>
      <c r="AM512" s="10">
        <v>419</v>
      </c>
      <c r="AN512" s="10">
        <v>1263</v>
      </c>
      <c r="AO512" s="10">
        <v>205</v>
      </c>
      <c r="AP512" s="10">
        <v>2160</v>
      </c>
      <c r="AQ512" s="26">
        <f t="shared" si="23"/>
        <v>13289</v>
      </c>
    </row>
    <row r="513" spans="1:43" ht="17.25" customHeight="1" x14ac:dyDescent="0.45">
      <c r="A513" s="2" t="s">
        <v>12</v>
      </c>
      <c r="B513" s="2" t="s">
        <v>66</v>
      </c>
      <c r="C513" s="2" t="s">
        <v>134</v>
      </c>
      <c r="D513" s="2" t="s">
        <v>68</v>
      </c>
      <c r="E513" s="23">
        <v>198</v>
      </c>
      <c r="F513" s="1">
        <v>174</v>
      </c>
      <c r="G513" s="1">
        <v>197</v>
      </c>
      <c r="H513" s="1">
        <v>194</v>
      </c>
      <c r="I513" s="1">
        <v>217</v>
      </c>
      <c r="J513" s="1">
        <v>209</v>
      </c>
      <c r="K513" s="1">
        <v>215</v>
      </c>
      <c r="L513" s="1">
        <v>216</v>
      </c>
      <c r="M513" s="1">
        <v>187</v>
      </c>
      <c r="N513" s="1">
        <v>185</v>
      </c>
      <c r="O513" s="1">
        <v>179</v>
      </c>
      <c r="P513" s="1">
        <v>199</v>
      </c>
      <c r="Q513" s="24">
        <f t="shared" si="21"/>
        <v>2370</v>
      </c>
      <c r="R513" s="23">
        <v>33250</v>
      </c>
      <c r="S513" s="1">
        <v>28195</v>
      </c>
      <c r="T513" s="1">
        <v>34767</v>
      </c>
      <c r="U513" s="1">
        <v>31620</v>
      </c>
      <c r="V513" s="1">
        <v>37290</v>
      </c>
      <c r="W513" s="1">
        <v>34886</v>
      </c>
      <c r="X513" s="1">
        <v>37243</v>
      </c>
      <c r="Y513" s="1">
        <v>37995</v>
      </c>
      <c r="Z513" s="1">
        <v>32622</v>
      </c>
      <c r="AA513" s="1">
        <v>29916</v>
      </c>
      <c r="AB513" s="1">
        <v>30455</v>
      </c>
      <c r="AC513" s="1">
        <v>31517</v>
      </c>
      <c r="AD513" s="24">
        <f t="shared" si="22"/>
        <v>399756</v>
      </c>
      <c r="AE513" s="23">
        <v>533855.25013011997</v>
      </c>
      <c r="AF513" s="1">
        <v>536956.81388762</v>
      </c>
      <c r="AG513" s="1">
        <v>502068.30013377999</v>
      </c>
      <c r="AH513" s="1">
        <v>404410.44962164003</v>
      </c>
      <c r="AI513" s="1">
        <v>397138.74933210993</v>
      </c>
      <c r="AJ513" s="1">
        <v>363952.57726574002</v>
      </c>
      <c r="AK513" s="1">
        <v>377912.67132427008</v>
      </c>
      <c r="AL513" s="1">
        <v>428198.10430152999</v>
      </c>
      <c r="AM513" s="1">
        <v>494731.27359916002</v>
      </c>
      <c r="AN513" s="1">
        <v>540385.09690513997</v>
      </c>
      <c r="AO513" s="1">
        <v>532777.85079435003</v>
      </c>
      <c r="AP513" s="1">
        <v>483496.60453513998</v>
      </c>
      <c r="AQ513" s="24">
        <f t="shared" si="23"/>
        <v>5595883.7418306004</v>
      </c>
    </row>
    <row r="514" spans="1:43" ht="17.25" customHeight="1" x14ac:dyDescent="0.45">
      <c r="A514" s="12" t="s">
        <v>12</v>
      </c>
      <c r="B514" s="12" t="s">
        <v>66</v>
      </c>
      <c r="C514" s="12" t="s">
        <v>175</v>
      </c>
      <c r="D514" s="12" t="s">
        <v>68</v>
      </c>
      <c r="E514" s="25">
        <v>18</v>
      </c>
      <c r="F514" s="10">
        <v>16</v>
      </c>
      <c r="G514" s="10">
        <v>18</v>
      </c>
      <c r="H514" s="10">
        <v>22</v>
      </c>
      <c r="I514" s="10">
        <v>22</v>
      </c>
      <c r="J514" s="10">
        <v>21</v>
      </c>
      <c r="K514" s="10">
        <v>23</v>
      </c>
      <c r="L514" s="10">
        <v>21</v>
      </c>
      <c r="M514" s="10">
        <v>22</v>
      </c>
      <c r="N514" s="10">
        <v>22</v>
      </c>
      <c r="O514" s="10">
        <v>30</v>
      </c>
      <c r="P514" s="10">
        <v>31</v>
      </c>
      <c r="Q514" s="26">
        <f t="shared" si="21"/>
        <v>266</v>
      </c>
      <c r="R514" s="25">
        <v>3103</v>
      </c>
      <c r="S514" s="10">
        <v>2775</v>
      </c>
      <c r="T514" s="10">
        <v>3010</v>
      </c>
      <c r="U514" s="10">
        <v>3734</v>
      </c>
      <c r="V514" s="10">
        <v>3632</v>
      </c>
      <c r="W514" s="10">
        <v>3277</v>
      </c>
      <c r="X514" s="10">
        <v>4822</v>
      </c>
      <c r="Y514" s="10">
        <v>3831</v>
      </c>
      <c r="Z514" s="10">
        <v>3993</v>
      </c>
      <c r="AA514" s="10">
        <v>3900</v>
      </c>
      <c r="AB514" s="10">
        <v>4970</v>
      </c>
      <c r="AC514" s="10">
        <v>5313</v>
      </c>
      <c r="AD514" s="26">
        <f t="shared" si="22"/>
        <v>46360</v>
      </c>
      <c r="AE514" s="25">
        <v>0</v>
      </c>
      <c r="AF514" s="10">
        <v>0</v>
      </c>
      <c r="AG514" s="10">
        <v>0</v>
      </c>
      <c r="AH514" s="10">
        <v>0</v>
      </c>
      <c r="AI514" s="10">
        <v>0</v>
      </c>
      <c r="AJ514" s="10">
        <v>0</v>
      </c>
      <c r="AK514" s="10">
        <v>0</v>
      </c>
      <c r="AL514" s="10">
        <v>0</v>
      </c>
      <c r="AM514" s="10">
        <v>0</v>
      </c>
      <c r="AN514" s="10">
        <v>0</v>
      </c>
      <c r="AO514" s="10">
        <v>0</v>
      </c>
      <c r="AP514" s="10">
        <v>0</v>
      </c>
      <c r="AQ514" s="26">
        <f t="shared" si="23"/>
        <v>0</v>
      </c>
    </row>
    <row r="515" spans="1:43" ht="17.25" customHeight="1" x14ac:dyDescent="0.45">
      <c r="A515" s="2" t="s">
        <v>12</v>
      </c>
      <c r="B515" s="2" t="s">
        <v>66</v>
      </c>
      <c r="C515" s="2" t="s">
        <v>135</v>
      </c>
      <c r="D515" s="2" t="s">
        <v>68</v>
      </c>
      <c r="E515" s="23">
        <v>117</v>
      </c>
      <c r="F515" s="1">
        <v>100</v>
      </c>
      <c r="G515" s="1">
        <v>117</v>
      </c>
      <c r="H515" s="1">
        <v>104</v>
      </c>
      <c r="I515" s="1">
        <v>106</v>
      </c>
      <c r="J515" s="1">
        <v>103</v>
      </c>
      <c r="K515" s="1">
        <v>106</v>
      </c>
      <c r="L515" s="1">
        <v>106</v>
      </c>
      <c r="M515" s="1">
        <v>101</v>
      </c>
      <c r="N515" s="1">
        <v>100</v>
      </c>
      <c r="O515" s="1">
        <v>115</v>
      </c>
      <c r="P515" s="1">
        <v>132</v>
      </c>
      <c r="Q515" s="24">
        <f t="shared" si="21"/>
        <v>1307</v>
      </c>
      <c r="R515" s="23">
        <v>18412</v>
      </c>
      <c r="S515" s="1">
        <v>14277</v>
      </c>
      <c r="T515" s="1">
        <v>18533</v>
      </c>
      <c r="U515" s="1">
        <v>15466</v>
      </c>
      <c r="V515" s="1">
        <v>15874</v>
      </c>
      <c r="W515" s="1">
        <v>14409</v>
      </c>
      <c r="X515" s="1">
        <v>19099</v>
      </c>
      <c r="Y515" s="1">
        <v>16825</v>
      </c>
      <c r="Z515" s="1">
        <v>16011</v>
      </c>
      <c r="AA515" s="1">
        <v>14339</v>
      </c>
      <c r="AB515" s="1">
        <v>16085</v>
      </c>
      <c r="AC515" s="1">
        <v>20175</v>
      </c>
      <c r="AD515" s="24">
        <f t="shared" si="22"/>
        <v>199505</v>
      </c>
      <c r="AE515" s="23">
        <v>0</v>
      </c>
      <c r="AF515" s="1">
        <v>0</v>
      </c>
      <c r="AG515" s="1">
        <v>199</v>
      </c>
      <c r="AH515" s="1">
        <v>0</v>
      </c>
      <c r="AI515" s="1">
        <v>0</v>
      </c>
      <c r="AJ515" s="1">
        <v>0</v>
      </c>
      <c r="AK515" s="1">
        <v>0</v>
      </c>
      <c r="AL515" s="1">
        <v>0</v>
      </c>
      <c r="AM515" s="1">
        <v>0</v>
      </c>
      <c r="AN515" s="1">
        <v>0</v>
      </c>
      <c r="AO515" s="1">
        <v>0</v>
      </c>
      <c r="AP515" s="1">
        <v>0</v>
      </c>
      <c r="AQ515" s="24">
        <f t="shared" si="23"/>
        <v>199</v>
      </c>
    </row>
    <row r="516" spans="1:43" ht="17.25" customHeight="1" x14ac:dyDescent="0.45">
      <c r="A516" s="12" t="s">
        <v>12</v>
      </c>
      <c r="B516" s="12" t="s">
        <v>66</v>
      </c>
      <c r="C516" s="12" t="s">
        <v>137</v>
      </c>
      <c r="D516" s="12" t="s">
        <v>138</v>
      </c>
      <c r="E516" s="25">
        <v>131</v>
      </c>
      <c r="F516" s="10">
        <v>149</v>
      </c>
      <c r="G516" s="10">
        <v>155</v>
      </c>
      <c r="H516" s="10">
        <v>150</v>
      </c>
      <c r="I516" s="10">
        <v>155</v>
      </c>
      <c r="J516" s="10">
        <v>155</v>
      </c>
      <c r="K516" s="10">
        <v>155</v>
      </c>
      <c r="L516" s="10">
        <v>155</v>
      </c>
      <c r="M516" s="10">
        <v>148</v>
      </c>
      <c r="N516" s="10">
        <v>168</v>
      </c>
      <c r="O516" s="10">
        <v>179</v>
      </c>
      <c r="P516" s="10">
        <v>174</v>
      </c>
      <c r="Q516" s="26">
        <f t="shared" si="21"/>
        <v>1874</v>
      </c>
      <c r="R516" s="25">
        <v>15898</v>
      </c>
      <c r="S516" s="10">
        <v>19821</v>
      </c>
      <c r="T516" s="10">
        <v>22946</v>
      </c>
      <c r="U516" s="10">
        <v>20876</v>
      </c>
      <c r="V516" s="10">
        <v>20683</v>
      </c>
      <c r="W516" s="10">
        <v>21519</v>
      </c>
      <c r="X516" s="10">
        <v>23039</v>
      </c>
      <c r="Y516" s="10">
        <v>22344</v>
      </c>
      <c r="Z516" s="10">
        <v>21378</v>
      </c>
      <c r="AA516" s="10">
        <v>22403</v>
      </c>
      <c r="AB516" s="10">
        <v>25591</v>
      </c>
      <c r="AC516" s="10">
        <v>26160</v>
      </c>
      <c r="AD516" s="26">
        <f t="shared" si="22"/>
        <v>262658</v>
      </c>
      <c r="AE516" s="25">
        <v>79074</v>
      </c>
      <c r="AF516" s="10">
        <v>91153</v>
      </c>
      <c r="AG516" s="10">
        <v>93866</v>
      </c>
      <c r="AH516" s="10">
        <v>76830</v>
      </c>
      <c r="AI516" s="10">
        <v>61900</v>
      </c>
      <c r="AJ516" s="10">
        <v>96634</v>
      </c>
      <c r="AK516" s="10">
        <v>79050.5</v>
      </c>
      <c r="AL516" s="10">
        <v>105886</v>
      </c>
      <c r="AM516" s="10">
        <v>68096</v>
      </c>
      <c r="AN516" s="10">
        <v>87786</v>
      </c>
      <c r="AO516" s="10">
        <v>111798</v>
      </c>
      <c r="AP516" s="10">
        <v>87444</v>
      </c>
      <c r="AQ516" s="26">
        <f t="shared" si="23"/>
        <v>1039517.5</v>
      </c>
    </row>
    <row r="517" spans="1:43" ht="17.25" customHeight="1" x14ac:dyDescent="0.45">
      <c r="A517" s="2" t="s">
        <v>12</v>
      </c>
      <c r="B517" s="2" t="s">
        <v>66</v>
      </c>
      <c r="C517" s="2" t="s">
        <v>139</v>
      </c>
      <c r="D517" s="2" t="s">
        <v>140</v>
      </c>
      <c r="E517" s="23">
        <v>73</v>
      </c>
      <c r="F517" s="1">
        <v>67</v>
      </c>
      <c r="G517" s="1">
        <v>84</v>
      </c>
      <c r="H517" s="1">
        <v>93</v>
      </c>
      <c r="I517" s="1">
        <v>96</v>
      </c>
      <c r="J517" s="1">
        <v>101</v>
      </c>
      <c r="K517" s="1">
        <v>107</v>
      </c>
      <c r="L517" s="1">
        <v>107</v>
      </c>
      <c r="M517" s="1">
        <v>102</v>
      </c>
      <c r="N517" s="1">
        <v>105</v>
      </c>
      <c r="O517" s="1">
        <v>91</v>
      </c>
      <c r="P517" s="1">
        <v>105</v>
      </c>
      <c r="Q517" s="24">
        <f t="shared" si="21"/>
        <v>1131</v>
      </c>
      <c r="R517" s="23">
        <v>18384</v>
      </c>
      <c r="S517" s="1">
        <v>15949</v>
      </c>
      <c r="T517" s="1">
        <v>22921</v>
      </c>
      <c r="U517" s="1">
        <v>24399</v>
      </c>
      <c r="V517" s="1">
        <v>26047</v>
      </c>
      <c r="W517" s="1">
        <v>27680</v>
      </c>
      <c r="X517" s="1">
        <v>28880</v>
      </c>
      <c r="Y517" s="1">
        <v>27764</v>
      </c>
      <c r="Z517" s="1">
        <v>27825</v>
      </c>
      <c r="AA517" s="1">
        <v>23206</v>
      </c>
      <c r="AB517" s="1">
        <v>23369</v>
      </c>
      <c r="AC517" s="1">
        <v>26447</v>
      </c>
      <c r="AD517" s="24">
        <f t="shared" si="22"/>
        <v>292871</v>
      </c>
      <c r="AE517" s="23">
        <v>281758</v>
      </c>
      <c r="AF517" s="1">
        <v>312002</v>
      </c>
      <c r="AG517" s="1">
        <v>180840</v>
      </c>
      <c r="AH517" s="1">
        <v>199999</v>
      </c>
      <c r="AI517" s="1">
        <v>118076</v>
      </c>
      <c r="AJ517" s="1">
        <v>146025</v>
      </c>
      <c r="AK517" s="1">
        <v>214003</v>
      </c>
      <c r="AL517" s="1">
        <v>313121</v>
      </c>
      <c r="AM517" s="1">
        <v>243446</v>
      </c>
      <c r="AN517" s="1">
        <v>273094</v>
      </c>
      <c r="AO517" s="1">
        <v>324990</v>
      </c>
      <c r="AP517" s="1">
        <v>363505</v>
      </c>
      <c r="AQ517" s="24">
        <f t="shared" si="23"/>
        <v>2970859</v>
      </c>
    </row>
    <row r="518" spans="1:43" ht="17.25" customHeight="1" x14ac:dyDescent="0.45">
      <c r="A518" s="12" t="s">
        <v>12</v>
      </c>
      <c r="B518" s="12" t="s">
        <v>66</v>
      </c>
      <c r="C518" s="12" t="s">
        <v>142</v>
      </c>
      <c r="D518" s="12" t="s">
        <v>68</v>
      </c>
      <c r="E518" s="25">
        <v>31</v>
      </c>
      <c r="F518" s="10">
        <v>29</v>
      </c>
      <c r="G518" s="10">
        <v>31</v>
      </c>
      <c r="H518" s="10">
        <v>30</v>
      </c>
      <c r="I518" s="10">
        <v>30</v>
      </c>
      <c r="J518" s="10">
        <v>30</v>
      </c>
      <c r="K518" s="10">
        <v>31</v>
      </c>
      <c r="L518" s="10">
        <v>31</v>
      </c>
      <c r="M518" s="10">
        <v>30</v>
      </c>
      <c r="N518" s="10">
        <v>31</v>
      </c>
      <c r="O518" s="10">
        <v>55</v>
      </c>
      <c r="P518" s="10">
        <v>62</v>
      </c>
      <c r="Q518" s="26">
        <f t="shared" si="21"/>
        <v>421</v>
      </c>
      <c r="R518" s="25">
        <v>4555</v>
      </c>
      <c r="S518" s="10">
        <v>4054</v>
      </c>
      <c r="T518" s="10">
        <v>4704</v>
      </c>
      <c r="U518" s="10">
        <v>4330</v>
      </c>
      <c r="V518" s="10">
        <v>4104</v>
      </c>
      <c r="W518" s="10">
        <v>3845</v>
      </c>
      <c r="X518" s="10">
        <v>4441</v>
      </c>
      <c r="Y518" s="10">
        <v>3881</v>
      </c>
      <c r="Z518" s="10">
        <v>3715</v>
      </c>
      <c r="AA518" s="10">
        <v>3919</v>
      </c>
      <c r="AB518" s="10">
        <v>5781</v>
      </c>
      <c r="AC518" s="10">
        <v>7013</v>
      </c>
      <c r="AD518" s="26">
        <f t="shared" si="22"/>
        <v>54342</v>
      </c>
      <c r="AE518" s="25">
        <v>2151.8422032799999</v>
      </c>
      <c r="AF518" s="10">
        <v>1021.9436096100001</v>
      </c>
      <c r="AG518" s="10">
        <v>272.15542200000004</v>
      </c>
      <c r="AH518" s="10">
        <v>0</v>
      </c>
      <c r="AI518" s="10">
        <v>0</v>
      </c>
      <c r="AJ518" s="10">
        <v>0</v>
      </c>
      <c r="AK518" s="10">
        <v>234.96084766000004</v>
      </c>
      <c r="AL518" s="10">
        <v>310.25718108000001</v>
      </c>
      <c r="AM518" s="10">
        <v>121.56275515999999</v>
      </c>
      <c r="AN518" s="10">
        <v>342.00864698000004</v>
      </c>
      <c r="AO518" s="10">
        <v>713.95439037999995</v>
      </c>
      <c r="AP518" s="10">
        <v>1686.9100240300004</v>
      </c>
      <c r="AQ518" s="26">
        <f t="shared" si="23"/>
        <v>6855.59508018</v>
      </c>
    </row>
    <row r="519" spans="1:43" ht="17.25" customHeight="1" x14ac:dyDescent="0.45">
      <c r="A519" s="2" t="s">
        <v>12</v>
      </c>
      <c r="B519" s="2" t="s">
        <v>66</v>
      </c>
      <c r="C519" s="2" t="s">
        <v>198</v>
      </c>
      <c r="D519" s="2" t="s">
        <v>199</v>
      </c>
      <c r="E519" s="23">
        <v>30</v>
      </c>
      <c r="F519" s="1">
        <v>18</v>
      </c>
      <c r="G519" s="1">
        <v>17</v>
      </c>
      <c r="H519" s="1">
        <v>18</v>
      </c>
      <c r="I519" s="1">
        <v>18</v>
      </c>
      <c r="J519" s="1">
        <v>17</v>
      </c>
      <c r="K519" s="1">
        <v>0</v>
      </c>
      <c r="L519" s="1">
        <v>0</v>
      </c>
      <c r="M519" s="1">
        <v>0</v>
      </c>
      <c r="N519" s="1">
        <v>0</v>
      </c>
      <c r="O519" s="1">
        <v>0</v>
      </c>
      <c r="P519" s="1">
        <v>0</v>
      </c>
      <c r="Q519" s="24">
        <f t="shared" si="21"/>
        <v>118</v>
      </c>
      <c r="R519" s="23">
        <v>2502</v>
      </c>
      <c r="S519" s="1">
        <v>1922</v>
      </c>
      <c r="T519" s="1">
        <v>2239</v>
      </c>
      <c r="U519" s="1">
        <v>1869</v>
      </c>
      <c r="V519" s="1">
        <v>1747</v>
      </c>
      <c r="W519" s="1">
        <v>1878</v>
      </c>
      <c r="X519" s="1">
        <v>0</v>
      </c>
      <c r="Y519" s="1">
        <v>0</v>
      </c>
      <c r="Z519" s="1">
        <v>0</v>
      </c>
      <c r="AA519" s="1">
        <v>0</v>
      </c>
      <c r="AB519" s="1">
        <v>0</v>
      </c>
      <c r="AC519" s="1">
        <v>0</v>
      </c>
      <c r="AD519" s="24">
        <f t="shared" si="22"/>
        <v>12157</v>
      </c>
      <c r="AE519" s="23">
        <v>3122</v>
      </c>
      <c r="AF519" s="1">
        <v>4203</v>
      </c>
      <c r="AG519" s="1">
        <v>8202</v>
      </c>
      <c r="AH519" s="1">
        <v>12844</v>
      </c>
      <c r="AI519" s="1">
        <v>10795</v>
      </c>
      <c r="AJ519" s="1">
        <v>12762</v>
      </c>
      <c r="AK519" s="1">
        <v>0</v>
      </c>
      <c r="AL519" s="1">
        <v>0</v>
      </c>
      <c r="AM519" s="1">
        <v>0</v>
      </c>
      <c r="AN519" s="1">
        <v>0</v>
      </c>
      <c r="AO519" s="1">
        <v>0</v>
      </c>
      <c r="AP519" s="1">
        <v>0</v>
      </c>
      <c r="AQ519" s="24">
        <f t="shared" si="23"/>
        <v>51928</v>
      </c>
    </row>
    <row r="520" spans="1:43" ht="17.25" customHeight="1" x14ac:dyDescent="0.45">
      <c r="A520" s="12" t="s">
        <v>12</v>
      </c>
      <c r="B520" s="12" t="s">
        <v>66</v>
      </c>
      <c r="C520" s="12" t="s">
        <v>145</v>
      </c>
      <c r="D520" s="12" t="s">
        <v>68</v>
      </c>
      <c r="E520" s="25">
        <v>0</v>
      </c>
      <c r="F520" s="10">
        <v>0</v>
      </c>
      <c r="G520" s="10">
        <v>0</v>
      </c>
      <c r="H520" s="10">
        <v>0</v>
      </c>
      <c r="I520" s="10">
        <v>0</v>
      </c>
      <c r="J520" s="10">
        <v>0</v>
      </c>
      <c r="K520" s="10">
        <v>31</v>
      </c>
      <c r="L520" s="10">
        <v>31</v>
      </c>
      <c r="M520" s="10">
        <v>30</v>
      </c>
      <c r="N520" s="10">
        <v>31</v>
      </c>
      <c r="O520" s="10">
        <v>30</v>
      </c>
      <c r="P520" s="10">
        <v>31</v>
      </c>
      <c r="Q520" s="26">
        <f t="shared" ref="Q520:Q583" si="24">SUM(E520:P520)</f>
        <v>184</v>
      </c>
      <c r="R520" s="25">
        <v>0</v>
      </c>
      <c r="S520" s="10">
        <v>0</v>
      </c>
      <c r="T520" s="10">
        <v>0</v>
      </c>
      <c r="U520" s="10">
        <v>0</v>
      </c>
      <c r="V520" s="10">
        <v>0</v>
      </c>
      <c r="W520" s="10">
        <v>0</v>
      </c>
      <c r="X520" s="10">
        <v>2740</v>
      </c>
      <c r="Y520" s="10">
        <v>2587</v>
      </c>
      <c r="Z520" s="10">
        <v>2109</v>
      </c>
      <c r="AA520" s="10">
        <v>1905</v>
      </c>
      <c r="AB520" s="10">
        <v>2023</v>
      </c>
      <c r="AC520" s="10">
        <v>2257</v>
      </c>
      <c r="AD520" s="26">
        <f t="shared" ref="AD520:AD583" si="25">SUM(R520:AC520)</f>
        <v>13621</v>
      </c>
      <c r="AE520" s="25">
        <v>0</v>
      </c>
      <c r="AF520" s="10">
        <v>0</v>
      </c>
      <c r="AG520" s="10">
        <v>0</v>
      </c>
      <c r="AH520" s="10">
        <v>0</v>
      </c>
      <c r="AI520" s="10">
        <v>0</v>
      </c>
      <c r="AJ520" s="10">
        <v>0</v>
      </c>
      <c r="AK520" s="10">
        <v>0</v>
      </c>
      <c r="AL520" s="10">
        <v>0</v>
      </c>
      <c r="AM520" s="10">
        <v>0</v>
      </c>
      <c r="AN520" s="10">
        <v>0</v>
      </c>
      <c r="AO520" s="10">
        <v>0</v>
      </c>
      <c r="AP520" s="10">
        <v>0</v>
      </c>
      <c r="AQ520" s="26">
        <f t="shared" ref="AQ520:AQ583" si="26">SUM(AE520:AP520)</f>
        <v>0</v>
      </c>
    </row>
    <row r="521" spans="1:43" ht="17.25" customHeight="1" x14ac:dyDescent="0.45">
      <c r="A521" s="2" t="s">
        <v>12</v>
      </c>
      <c r="B521" s="2" t="s">
        <v>66</v>
      </c>
      <c r="C521" s="2" t="s">
        <v>147</v>
      </c>
      <c r="D521" s="2" t="s">
        <v>128</v>
      </c>
      <c r="E521" s="23">
        <v>19</v>
      </c>
      <c r="F521" s="1">
        <v>13</v>
      </c>
      <c r="G521" s="1">
        <v>22</v>
      </c>
      <c r="H521" s="1">
        <v>30</v>
      </c>
      <c r="I521" s="1">
        <v>31</v>
      </c>
      <c r="J521" s="1">
        <v>30</v>
      </c>
      <c r="K521" s="1">
        <v>31</v>
      </c>
      <c r="L521" s="1">
        <v>31</v>
      </c>
      <c r="M521" s="1">
        <v>30</v>
      </c>
      <c r="N521" s="1">
        <v>28</v>
      </c>
      <c r="O521" s="1">
        <v>17</v>
      </c>
      <c r="P521" s="1">
        <v>18</v>
      </c>
      <c r="Q521" s="24">
        <f t="shared" si="24"/>
        <v>300</v>
      </c>
      <c r="R521" s="23">
        <v>3387</v>
      </c>
      <c r="S521" s="1">
        <v>2783</v>
      </c>
      <c r="T521" s="1">
        <v>4834</v>
      </c>
      <c r="U521" s="1">
        <v>6746</v>
      </c>
      <c r="V521" s="1">
        <v>7055</v>
      </c>
      <c r="W521" s="1">
        <v>6641</v>
      </c>
      <c r="X521" s="1">
        <v>6896</v>
      </c>
      <c r="Y521" s="1">
        <v>6357</v>
      </c>
      <c r="Z521" s="1">
        <v>6419</v>
      </c>
      <c r="AA521" s="1">
        <v>5291</v>
      </c>
      <c r="AB521" s="1">
        <v>3258</v>
      </c>
      <c r="AC521" s="1">
        <v>3062</v>
      </c>
      <c r="AD521" s="24">
        <f t="shared" si="25"/>
        <v>62729</v>
      </c>
      <c r="AE521" s="23">
        <v>135583</v>
      </c>
      <c r="AF521" s="1">
        <v>99616</v>
      </c>
      <c r="AG521" s="1">
        <v>103522</v>
      </c>
      <c r="AH521" s="1">
        <v>61546</v>
      </c>
      <c r="AI521" s="1">
        <v>47841</v>
      </c>
      <c r="AJ521" s="1">
        <v>90513</v>
      </c>
      <c r="AK521" s="1">
        <v>63508</v>
      </c>
      <c r="AL521" s="1">
        <v>41866</v>
      </c>
      <c r="AM521" s="1">
        <v>152831</v>
      </c>
      <c r="AN521" s="1">
        <v>110508</v>
      </c>
      <c r="AO521" s="1">
        <v>82100</v>
      </c>
      <c r="AP521" s="1">
        <v>35381</v>
      </c>
      <c r="AQ521" s="24">
        <f t="shared" si="26"/>
        <v>1024815</v>
      </c>
    </row>
    <row r="522" spans="1:43" ht="17.25" customHeight="1" x14ac:dyDescent="0.45">
      <c r="A522" s="12" t="s">
        <v>12</v>
      </c>
      <c r="B522" s="12" t="s">
        <v>66</v>
      </c>
      <c r="C522" s="12" t="s">
        <v>176</v>
      </c>
      <c r="D522" s="12" t="s">
        <v>68</v>
      </c>
      <c r="E522" s="25">
        <v>9</v>
      </c>
      <c r="F522" s="10">
        <v>9</v>
      </c>
      <c r="G522" s="10">
        <v>8</v>
      </c>
      <c r="H522" s="10">
        <v>0</v>
      </c>
      <c r="I522" s="10">
        <v>0</v>
      </c>
      <c r="J522" s="10">
        <v>0</v>
      </c>
      <c r="K522" s="10">
        <v>0</v>
      </c>
      <c r="L522" s="10">
        <v>0</v>
      </c>
      <c r="M522" s="10">
        <v>0</v>
      </c>
      <c r="N522" s="10">
        <v>2</v>
      </c>
      <c r="O522" s="10">
        <v>13</v>
      </c>
      <c r="P522" s="10">
        <v>13</v>
      </c>
      <c r="Q522" s="26">
        <f t="shared" si="24"/>
        <v>54</v>
      </c>
      <c r="R522" s="25">
        <v>1470</v>
      </c>
      <c r="S522" s="10">
        <v>1506</v>
      </c>
      <c r="T522" s="10">
        <v>1194</v>
      </c>
      <c r="U522" s="10">
        <v>0</v>
      </c>
      <c r="V522" s="10">
        <v>0</v>
      </c>
      <c r="W522" s="10">
        <v>0</v>
      </c>
      <c r="X522" s="10">
        <v>0</v>
      </c>
      <c r="Y522" s="10">
        <v>0</v>
      </c>
      <c r="Z522" s="10">
        <v>0</v>
      </c>
      <c r="AA522" s="10">
        <v>176</v>
      </c>
      <c r="AB522" s="10">
        <v>1561</v>
      </c>
      <c r="AC522" s="10">
        <v>1895</v>
      </c>
      <c r="AD522" s="26">
        <f t="shared" si="25"/>
        <v>7802</v>
      </c>
      <c r="AE522" s="25">
        <v>0</v>
      </c>
      <c r="AF522" s="10">
        <v>0</v>
      </c>
      <c r="AG522" s="10">
        <v>0</v>
      </c>
      <c r="AH522" s="10">
        <v>0</v>
      </c>
      <c r="AI522" s="10">
        <v>0</v>
      </c>
      <c r="AJ522" s="10">
        <v>0</v>
      </c>
      <c r="AK522" s="10">
        <v>0</v>
      </c>
      <c r="AL522" s="10">
        <v>0</v>
      </c>
      <c r="AM522" s="10">
        <v>0</v>
      </c>
      <c r="AN522" s="10">
        <v>0</v>
      </c>
      <c r="AO522" s="10">
        <v>0</v>
      </c>
      <c r="AP522" s="10">
        <v>0</v>
      </c>
      <c r="AQ522" s="26">
        <f t="shared" si="26"/>
        <v>0</v>
      </c>
    </row>
    <row r="523" spans="1:43" ht="17.25" customHeight="1" x14ac:dyDescent="0.45">
      <c r="A523" s="2" t="s">
        <v>12</v>
      </c>
      <c r="B523" s="2" t="s">
        <v>66</v>
      </c>
      <c r="C523" s="2" t="s">
        <v>148</v>
      </c>
      <c r="D523" s="2" t="s">
        <v>68</v>
      </c>
      <c r="E523" s="23">
        <v>31</v>
      </c>
      <c r="F523" s="1">
        <v>28</v>
      </c>
      <c r="G523" s="1">
        <v>31</v>
      </c>
      <c r="H523" s="1">
        <v>30</v>
      </c>
      <c r="I523" s="1">
        <v>31</v>
      </c>
      <c r="J523" s="1">
        <v>29</v>
      </c>
      <c r="K523" s="1">
        <v>62</v>
      </c>
      <c r="L523" s="1">
        <v>49</v>
      </c>
      <c r="M523" s="1">
        <v>30</v>
      </c>
      <c r="N523" s="1">
        <v>31</v>
      </c>
      <c r="O523" s="1">
        <v>30</v>
      </c>
      <c r="P523" s="1">
        <v>44</v>
      </c>
      <c r="Q523" s="24">
        <f t="shared" si="24"/>
        <v>426</v>
      </c>
      <c r="R523" s="23">
        <v>3703</v>
      </c>
      <c r="S523" s="1">
        <v>3268</v>
      </c>
      <c r="T523" s="1">
        <v>3428</v>
      </c>
      <c r="U523" s="1">
        <v>3040</v>
      </c>
      <c r="V523" s="1">
        <v>3366</v>
      </c>
      <c r="W523" s="1">
        <v>3337</v>
      </c>
      <c r="X523" s="1">
        <v>8249</v>
      </c>
      <c r="Y523" s="1">
        <v>6238</v>
      </c>
      <c r="Z523" s="1">
        <v>3462</v>
      </c>
      <c r="AA523" s="1">
        <v>3530</v>
      </c>
      <c r="AB523" s="1">
        <v>3382</v>
      </c>
      <c r="AC523" s="1">
        <v>5374</v>
      </c>
      <c r="AD523" s="24">
        <f t="shared" si="25"/>
        <v>50377</v>
      </c>
      <c r="AE523" s="23">
        <v>2316</v>
      </c>
      <c r="AF523" s="1">
        <v>2150</v>
      </c>
      <c r="AG523" s="1">
        <v>1289</v>
      </c>
      <c r="AH523" s="1">
        <v>1818</v>
      </c>
      <c r="AI523" s="1">
        <v>2510</v>
      </c>
      <c r="AJ523" s="1">
        <v>2685</v>
      </c>
      <c r="AK523" s="1">
        <v>2157</v>
      </c>
      <c r="AL523" s="1">
        <v>2459</v>
      </c>
      <c r="AM523" s="1">
        <v>2649</v>
      </c>
      <c r="AN523" s="1">
        <v>2323</v>
      </c>
      <c r="AO523" s="1">
        <v>2725</v>
      </c>
      <c r="AP523" s="1">
        <v>2121</v>
      </c>
      <c r="AQ523" s="24">
        <f t="shared" si="26"/>
        <v>27202</v>
      </c>
    </row>
    <row r="524" spans="1:43" ht="17.25" customHeight="1" x14ac:dyDescent="0.45">
      <c r="A524" s="12" t="s">
        <v>12</v>
      </c>
      <c r="B524" s="12" t="s">
        <v>66</v>
      </c>
      <c r="C524" s="12" t="s">
        <v>149</v>
      </c>
      <c r="D524" s="12" t="s">
        <v>68</v>
      </c>
      <c r="E524" s="25">
        <v>127</v>
      </c>
      <c r="F524" s="10">
        <v>117</v>
      </c>
      <c r="G524" s="10">
        <v>124</v>
      </c>
      <c r="H524" s="10">
        <v>121</v>
      </c>
      <c r="I524" s="10">
        <v>124</v>
      </c>
      <c r="J524" s="10">
        <v>119</v>
      </c>
      <c r="K524" s="10">
        <v>122</v>
      </c>
      <c r="L524" s="10">
        <v>124</v>
      </c>
      <c r="M524" s="10">
        <v>118</v>
      </c>
      <c r="N524" s="10">
        <v>124</v>
      </c>
      <c r="O524" s="10">
        <v>120</v>
      </c>
      <c r="P524" s="10">
        <v>123</v>
      </c>
      <c r="Q524" s="26">
        <f t="shared" si="24"/>
        <v>1463</v>
      </c>
      <c r="R524" s="25">
        <v>13540</v>
      </c>
      <c r="S524" s="10">
        <v>10947</v>
      </c>
      <c r="T524" s="10">
        <v>15212</v>
      </c>
      <c r="U524" s="10">
        <v>11948</v>
      </c>
      <c r="V524" s="10">
        <v>12358</v>
      </c>
      <c r="W524" s="10">
        <v>12991</v>
      </c>
      <c r="X524" s="10">
        <v>18315</v>
      </c>
      <c r="Y524" s="10">
        <v>14774</v>
      </c>
      <c r="Z524" s="10">
        <v>11444</v>
      </c>
      <c r="AA524" s="10">
        <v>12470</v>
      </c>
      <c r="AB524" s="10">
        <v>14805</v>
      </c>
      <c r="AC524" s="10">
        <v>15743</v>
      </c>
      <c r="AD524" s="26">
        <f t="shared" si="25"/>
        <v>164547</v>
      </c>
      <c r="AE524" s="25">
        <v>0</v>
      </c>
      <c r="AF524" s="10">
        <v>0</v>
      </c>
      <c r="AG524" s="10">
        <v>0</v>
      </c>
      <c r="AH524" s="10">
        <v>30</v>
      </c>
      <c r="AI524" s="10">
        <v>0</v>
      </c>
      <c r="AJ524" s="10">
        <v>0</v>
      </c>
      <c r="AK524" s="10">
        <v>0</v>
      </c>
      <c r="AL524" s="10">
        <v>0</v>
      </c>
      <c r="AM524" s="10">
        <v>0</v>
      </c>
      <c r="AN524" s="10">
        <v>0</v>
      </c>
      <c r="AO524" s="10">
        <v>0</v>
      </c>
      <c r="AP524" s="10">
        <v>164</v>
      </c>
      <c r="AQ524" s="26">
        <f t="shared" si="26"/>
        <v>194</v>
      </c>
    </row>
    <row r="525" spans="1:43" ht="17.25" customHeight="1" x14ac:dyDescent="0.45">
      <c r="A525" s="2" t="s">
        <v>12</v>
      </c>
      <c r="B525" s="2" t="s">
        <v>66</v>
      </c>
      <c r="C525" s="2" t="s">
        <v>151</v>
      </c>
      <c r="D525" s="2" t="s">
        <v>68</v>
      </c>
      <c r="E525" s="23">
        <v>168</v>
      </c>
      <c r="F525" s="1">
        <v>143</v>
      </c>
      <c r="G525" s="1">
        <v>166</v>
      </c>
      <c r="H525" s="1">
        <v>151</v>
      </c>
      <c r="I525" s="1">
        <v>155</v>
      </c>
      <c r="J525" s="1">
        <v>171</v>
      </c>
      <c r="K525" s="1">
        <v>212</v>
      </c>
      <c r="L525" s="1">
        <v>190</v>
      </c>
      <c r="M525" s="1">
        <v>149</v>
      </c>
      <c r="N525" s="1">
        <v>155</v>
      </c>
      <c r="O525" s="1">
        <v>149</v>
      </c>
      <c r="P525" s="1">
        <v>168</v>
      </c>
      <c r="Q525" s="24">
        <f t="shared" si="24"/>
        <v>1977</v>
      </c>
      <c r="R525" s="23">
        <v>23674</v>
      </c>
      <c r="S525" s="1">
        <v>17289</v>
      </c>
      <c r="T525" s="1">
        <v>21591</v>
      </c>
      <c r="U525" s="1">
        <v>18433</v>
      </c>
      <c r="V525" s="1">
        <v>18532</v>
      </c>
      <c r="W525" s="1">
        <v>19521</v>
      </c>
      <c r="X525" s="1">
        <v>28667</v>
      </c>
      <c r="Y525" s="1">
        <v>22731</v>
      </c>
      <c r="Z525" s="1">
        <v>17664</v>
      </c>
      <c r="AA525" s="1">
        <v>17936</v>
      </c>
      <c r="AB525" s="1">
        <v>18226</v>
      </c>
      <c r="AC525" s="1">
        <v>20322</v>
      </c>
      <c r="AD525" s="24">
        <f t="shared" si="25"/>
        <v>244586</v>
      </c>
      <c r="AE525" s="23">
        <v>7364</v>
      </c>
      <c r="AF525" s="1">
        <v>7532</v>
      </c>
      <c r="AG525" s="1">
        <v>3688</v>
      </c>
      <c r="AH525" s="1">
        <v>6528</v>
      </c>
      <c r="AI525" s="1">
        <v>5118</v>
      </c>
      <c r="AJ525" s="1">
        <v>4905</v>
      </c>
      <c r="AK525" s="1">
        <v>5248</v>
      </c>
      <c r="AL525" s="1">
        <v>5039</v>
      </c>
      <c r="AM525" s="1">
        <v>4137</v>
      </c>
      <c r="AN525" s="1">
        <v>7627</v>
      </c>
      <c r="AO525" s="1">
        <v>3697</v>
      </c>
      <c r="AP525" s="1">
        <v>6190</v>
      </c>
      <c r="AQ525" s="24">
        <f t="shared" si="26"/>
        <v>67073</v>
      </c>
    </row>
    <row r="526" spans="1:43" ht="17.25" customHeight="1" x14ac:dyDescent="0.45">
      <c r="A526" s="12" t="s">
        <v>12</v>
      </c>
      <c r="B526" s="12" t="s">
        <v>66</v>
      </c>
      <c r="C526" s="12" t="s">
        <v>152</v>
      </c>
      <c r="D526" s="12" t="s">
        <v>153</v>
      </c>
      <c r="E526" s="25">
        <v>122</v>
      </c>
      <c r="F526" s="10">
        <v>117</v>
      </c>
      <c r="G526" s="10">
        <v>123</v>
      </c>
      <c r="H526" s="10">
        <v>115</v>
      </c>
      <c r="I526" s="10">
        <v>120</v>
      </c>
      <c r="J526" s="10">
        <v>119</v>
      </c>
      <c r="K526" s="10">
        <v>133</v>
      </c>
      <c r="L526" s="10">
        <v>127</v>
      </c>
      <c r="M526" s="10">
        <v>115</v>
      </c>
      <c r="N526" s="10">
        <v>120</v>
      </c>
      <c r="O526" s="10">
        <v>115</v>
      </c>
      <c r="P526" s="10">
        <v>120</v>
      </c>
      <c r="Q526" s="26">
        <f t="shared" si="24"/>
        <v>1446</v>
      </c>
      <c r="R526" s="25">
        <v>18784</v>
      </c>
      <c r="S526" s="10">
        <v>16797</v>
      </c>
      <c r="T526" s="10">
        <v>18315</v>
      </c>
      <c r="U526" s="10">
        <v>16560</v>
      </c>
      <c r="V526" s="10">
        <v>14985</v>
      </c>
      <c r="W526" s="10">
        <v>15196</v>
      </c>
      <c r="X526" s="10">
        <v>20055</v>
      </c>
      <c r="Y526" s="10">
        <v>15486</v>
      </c>
      <c r="Z526" s="10">
        <v>15182</v>
      </c>
      <c r="AA526" s="10">
        <v>15739</v>
      </c>
      <c r="AB526" s="10">
        <v>17881</v>
      </c>
      <c r="AC526" s="10">
        <v>18415</v>
      </c>
      <c r="AD526" s="26">
        <f t="shared" si="25"/>
        <v>203395</v>
      </c>
      <c r="AE526" s="25">
        <v>8313.7999999999993</v>
      </c>
      <c r="AF526" s="10">
        <v>16613.2</v>
      </c>
      <c r="AG526" s="10">
        <v>14683.4</v>
      </c>
      <c r="AH526" s="10">
        <v>9639</v>
      </c>
      <c r="AI526" s="10">
        <v>32105</v>
      </c>
      <c r="AJ526" s="10">
        <v>17449.599999999999</v>
      </c>
      <c r="AK526" s="10">
        <v>13692.980000000001</v>
      </c>
      <c r="AL526" s="10">
        <v>13369.94</v>
      </c>
      <c r="AM526" s="10">
        <v>18163.2</v>
      </c>
      <c r="AN526" s="10">
        <v>12919.9</v>
      </c>
      <c r="AO526" s="10">
        <v>24959.100000000002</v>
      </c>
      <c r="AP526" s="10">
        <v>22658.799999999999</v>
      </c>
      <c r="AQ526" s="26">
        <f t="shared" si="26"/>
        <v>204567.91999999998</v>
      </c>
    </row>
    <row r="527" spans="1:43" ht="17.25" customHeight="1" x14ac:dyDescent="0.45">
      <c r="A527" s="2" t="s">
        <v>12</v>
      </c>
      <c r="B527" s="2" t="s">
        <v>66</v>
      </c>
      <c r="C527" s="2" t="s">
        <v>200</v>
      </c>
      <c r="D527" s="2" t="s">
        <v>172</v>
      </c>
      <c r="E527" s="23">
        <v>29</v>
      </c>
      <c r="F527" s="1">
        <v>29</v>
      </c>
      <c r="G527" s="1">
        <v>30</v>
      </c>
      <c r="H527" s="1">
        <v>14</v>
      </c>
      <c r="I527" s="1">
        <v>13</v>
      </c>
      <c r="J527" s="1">
        <v>13</v>
      </c>
      <c r="K527" s="1">
        <v>13</v>
      </c>
      <c r="L527" s="1">
        <v>14</v>
      </c>
      <c r="M527" s="1">
        <v>12</v>
      </c>
      <c r="N527" s="1">
        <v>14</v>
      </c>
      <c r="O527" s="1">
        <v>13</v>
      </c>
      <c r="P527" s="1">
        <v>13</v>
      </c>
      <c r="Q527" s="24">
        <f t="shared" si="24"/>
        <v>207</v>
      </c>
      <c r="R527" s="23">
        <v>2034</v>
      </c>
      <c r="S527" s="1">
        <v>1633</v>
      </c>
      <c r="T527" s="1">
        <v>2104</v>
      </c>
      <c r="U527" s="1">
        <v>1219</v>
      </c>
      <c r="V527" s="1">
        <v>1039</v>
      </c>
      <c r="W527" s="1">
        <v>1116</v>
      </c>
      <c r="X527" s="1">
        <v>1160</v>
      </c>
      <c r="Y527" s="1">
        <v>1115</v>
      </c>
      <c r="Z527" s="1">
        <v>904</v>
      </c>
      <c r="AA527" s="1">
        <v>991</v>
      </c>
      <c r="AB527" s="1">
        <v>1113</v>
      </c>
      <c r="AC527" s="1">
        <v>1181</v>
      </c>
      <c r="AD527" s="24">
        <f t="shared" si="25"/>
        <v>15609</v>
      </c>
      <c r="AE527" s="23">
        <v>0</v>
      </c>
      <c r="AF527" s="1">
        <v>0</v>
      </c>
      <c r="AG527" s="1">
        <v>0</v>
      </c>
      <c r="AH527" s="1">
        <v>0</v>
      </c>
      <c r="AI527" s="1">
        <v>0</v>
      </c>
      <c r="AJ527" s="1">
        <v>0</v>
      </c>
      <c r="AK527" s="1">
        <v>0</v>
      </c>
      <c r="AL527" s="1">
        <v>0</v>
      </c>
      <c r="AM527" s="1">
        <v>0</v>
      </c>
      <c r="AN527" s="1">
        <v>0</v>
      </c>
      <c r="AO527" s="1">
        <v>0</v>
      </c>
      <c r="AP527" s="1">
        <v>0</v>
      </c>
      <c r="AQ527" s="24">
        <f t="shared" si="26"/>
        <v>0</v>
      </c>
    </row>
    <row r="528" spans="1:43" ht="17.25" customHeight="1" x14ac:dyDescent="0.45">
      <c r="A528" s="12" t="s">
        <v>12</v>
      </c>
      <c r="B528" s="12" t="s">
        <v>66</v>
      </c>
      <c r="C528" s="12" t="s">
        <v>154</v>
      </c>
      <c r="D528" s="12" t="s">
        <v>155</v>
      </c>
      <c r="E528" s="25">
        <v>77</v>
      </c>
      <c r="F528" s="10">
        <v>74</v>
      </c>
      <c r="G528" s="10">
        <v>79</v>
      </c>
      <c r="H528" s="10">
        <v>64</v>
      </c>
      <c r="I528" s="10">
        <v>67</v>
      </c>
      <c r="J528" s="10">
        <v>64</v>
      </c>
      <c r="K528" s="10">
        <v>68</v>
      </c>
      <c r="L528" s="10">
        <v>66</v>
      </c>
      <c r="M528" s="10">
        <v>63</v>
      </c>
      <c r="N528" s="10">
        <v>71</v>
      </c>
      <c r="O528" s="10">
        <v>64</v>
      </c>
      <c r="P528" s="10">
        <v>66</v>
      </c>
      <c r="Q528" s="26">
        <f t="shared" si="24"/>
        <v>823</v>
      </c>
      <c r="R528" s="25">
        <v>8125</v>
      </c>
      <c r="S528" s="10">
        <v>7415</v>
      </c>
      <c r="T528" s="10">
        <v>9219</v>
      </c>
      <c r="U528" s="10">
        <v>7419</v>
      </c>
      <c r="V528" s="10">
        <v>7507</v>
      </c>
      <c r="W528" s="10">
        <v>7768</v>
      </c>
      <c r="X528" s="10">
        <v>9039</v>
      </c>
      <c r="Y528" s="10">
        <v>7425</v>
      </c>
      <c r="Z528" s="10">
        <v>7430</v>
      </c>
      <c r="AA528" s="10">
        <v>7583</v>
      </c>
      <c r="AB528" s="10">
        <v>8609</v>
      </c>
      <c r="AC528" s="10">
        <v>9419</v>
      </c>
      <c r="AD528" s="26">
        <f t="shared" si="25"/>
        <v>96958</v>
      </c>
      <c r="AE528" s="25">
        <v>15317.400000000001</v>
      </c>
      <c r="AF528" s="10">
        <v>23989.31</v>
      </c>
      <c r="AG528" s="10">
        <v>20827</v>
      </c>
      <c r="AH528" s="10">
        <v>16743.099999999999</v>
      </c>
      <c r="AI528" s="10">
        <v>18245</v>
      </c>
      <c r="AJ528" s="10">
        <v>18134.649999999998</v>
      </c>
      <c r="AK528" s="10">
        <v>30171.7</v>
      </c>
      <c r="AL528" s="10">
        <v>15207.8</v>
      </c>
      <c r="AM528" s="10">
        <v>19128</v>
      </c>
      <c r="AN528" s="10">
        <v>27024.9</v>
      </c>
      <c r="AO528" s="10">
        <v>21372</v>
      </c>
      <c r="AP528" s="10">
        <v>27992.75</v>
      </c>
      <c r="AQ528" s="26">
        <f t="shared" si="26"/>
        <v>254153.61</v>
      </c>
    </row>
    <row r="529" spans="1:43" ht="17.25" customHeight="1" x14ac:dyDescent="0.45">
      <c r="A529" s="2" t="s">
        <v>12</v>
      </c>
      <c r="B529" s="2" t="s">
        <v>66</v>
      </c>
      <c r="C529" s="2" t="s">
        <v>156</v>
      </c>
      <c r="D529" s="2" t="s">
        <v>157</v>
      </c>
      <c r="E529" s="23">
        <v>58</v>
      </c>
      <c r="F529" s="1">
        <v>53</v>
      </c>
      <c r="G529" s="1">
        <v>46</v>
      </c>
      <c r="H529" s="1">
        <v>43</v>
      </c>
      <c r="I529" s="1">
        <v>31</v>
      </c>
      <c r="J529" s="1">
        <v>30</v>
      </c>
      <c r="K529" s="1">
        <v>31</v>
      </c>
      <c r="L529" s="1">
        <v>31</v>
      </c>
      <c r="M529" s="1">
        <v>30</v>
      </c>
      <c r="N529" s="1">
        <v>36</v>
      </c>
      <c r="O529" s="1">
        <v>55</v>
      </c>
      <c r="P529" s="1">
        <v>57</v>
      </c>
      <c r="Q529" s="24">
        <f t="shared" si="24"/>
        <v>501</v>
      </c>
      <c r="R529" s="23">
        <v>10830</v>
      </c>
      <c r="S529" s="1">
        <v>12144</v>
      </c>
      <c r="T529" s="1">
        <v>10269</v>
      </c>
      <c r="U529" s="1">
        <v>6399</v>
      </c>
      <c r="V529" s="1">
        <v>4294</v>
      </c>
      <c r="W529" s="1">
        <v>4407</v>
      </c>
      <c r="X529" s="1">
        <v>6442</v>
      </c>
      <c r="Y529" s="1">
        <v>5238</v>
      </c>
      <c r="Z529" s="1">
        <v>5388</v>
      </c>
      <c r="AA529" s="1">
        <v>6614</v>
      </c>
      <c r="AB529" s="1">
        <v>11937</v>
      </c>
      <c r="AC529" s="1">
        <v>10890</v>
      </c>
      <c r="AD529" s="24">
        <f t="shared" si="25"/>
        <v>94852</v>
      </c>
      <c r="AE529" s="23">
        <v>188565</v>
      </c>
      <c r="AF529" s="1">
        <v>306023</v>
      </c>
      <c r="AG529" s="1">
        <v>351970</v>
      </c>
      <c r="AH529" s="1">
        <v>238191</v>
      </c>
      <c r="AI529" s="1">
        <v>220701</v>
      </c>
      <c r="AJ529" s="1">
        <v>225286</v>
      </c>
      <c r="AK529" s="1">
        <v>279975</v>
      </c>
      <c r="AL529" s="1">
        <v>310197</v>
      </c>
      <c r="AM529" s="1">
        <v>258981</v>
      </c>
      <c r="AN529" s="1">
        <v>228063</v>
      </c>
      <c r="AO529" s="1">
        <v>452434</v>
      </c>
      <c r="AP529" s="1">
        <v>573100</v>
      </c>
      <c r="AQ529" s="24">
        <f t="shared" si="26"/>
        <v>3633486</v>
      </c>
    </row>
    <row r="530" spans="1:43" ht="17.25" customHeight="1" x14ac:dyDescent="0.45">
      <c r="A530" s="12" t="s">
        <v>12</v>
      </c>
      <c r="B530" s="12" t="s">
        <v>66</v>
      </c>
      <c r="C530" s="12" t="s">
        <v>158</v>
      </c>
      <c r="D530" s="12" t="s">
        <v>159</v>
      </c>
      <c r="E530" s="25">
        <v>31</v>
      </c>
      <c r="F530" s="10">
        <v>29</v>
      </c>
      <c r="G530" s="10">
        <v>30</v>
      </c>
      <c r="H530" s="10">
        <v>30</v>
      </c>
      <c r="I530" s="10">
        <v>31</v>
      </c>
      <c r="J530" s="10">
        <v>30</v>
      </c>
      <c r="K530" s="10">
        <v>31</v>
      </c>
      <c r="L530" s="10">
        <v>31</v>
      </c>
      <c r="M530" s="10">
        <v>30</v>
      </c>
      <c r="N530" s="10">
        <v>31</v>
      </c>
      <c r="O530" s="10">
        <v>30</v>
      </c>
      <c r="P530" s="10">
        <v>31</v>
      </c>
      <c r="Q530" s="26">
        <f t="shared" si="24"/>
        <v>365</v>
      </c>
      <c r="R530" s="25">
        <v>2428</v>
      </c>
      <c r="S530" s="10">
        <v>2275</v>
      </c>
      <c r="T530" s="10">
        <v>2464</v>
      </c>
      <c r="U530" s="10">
        <v>2581</v>
      </c>
      <c r="V530" s="10">
        <v>2539</v>
      </c>
      <c r="W530" s="10">
        <v>2930</v>
      </c>
      <c r="X530" s="10">
        <v>4232</v>
      </c>
      <c r="Y530" s="10">
        <v>3306</v>
      </c>
      <c r="Z530" s="10">
        <v>2367</v>
      </c>
      <c r="AA530" s="10">
        <v>2703</v>
      </c>
      <c r="AB530" s="10">
        <v>3754</v>
      </c>
      <c r="AC530" s="10">
        <v>3710</v>
      </c>
      <c r="AD530" s="26">
        <f t="shared" si="25"/>
        <v>35289</v>
      </c>
      <c r="AE530" s="25">
        <v>7665</v>
      </c>
      <c r="AF530" s="10">
        <v>10564</v>
      </c>
      <c r="AG530" s="10">
        <v>15796</v>
      </c>
      <c r="AH530" s="10">
        <v>14001</v>
      </c>
      <c r="AI530" s="10">
        <v>17193</v>
      </c>
      <c r="AJ530" s="10">
        <v>8598</v>
      </c>
      <c r="AK530" s="10">
        <v>9498</v>
      </c>
      <c r="AL530" s="10">
        <v>14193</v>
      </c>
      <c r="AM530" s="10">
        <v>8178</v>
      </c>
      <c r="AN530" s="10">
        <v>9149</v>
      </c>
      <c r="AO530" s="10">
        <v>17681</v>
      </c>
      <c r="AP530" s="10">
        <v>18971</v>
      </c>
      <c r="AQ530" s="26">
        <f t="shared" si="26"/>
        <v>151487</v>
      </c>
    </row>
    <row r="531" spans="1:43" ht="17.25" customHeight="1" x14ac:dyDescent="0.45">
      <c r="A531" s="2" t="s">
        <v>12</v>
      </c>
      <c r="B531" s="2" t="s">
        <v>66</v>
      </c>
      <c r="C531" s="2" t="s">
        <v>201</v>
      </c>
      <c r="D531" s="2" t="s">
        <v>89</v>
      </c>
      <c r="E531" s="23">
        <v>54</v>
      </c>
      <c r="F531" s="1">
        <v>58</v>
      </c>
      <c r="G531" s="1">
        <v>61</v>
      </c>
      <c r="H531" s="1">
        <v>59</v>
      </c>
      <c r="I531" s="1">
        <v>62</v>
      </c>
      <c r="J531" s="1">
        <v>60</v>
      </c>
      <c r="K531" s="1">
        <v>61</v>
      </c>
      <c r="L531" s="1">
        <v>62</v>
      </c>
      <c r="M531" s="1">
        <v>60</v>
      </c>
      <c r="N531" s="1">
        <v>63</v>
      </c>
      <c r="O531" s="1">
        <v>72</v>
      </c>
      <c r="P531" s="1">
        <v>61</v>
      </c>
      <c r="Q531" s="24">
        <f t="shared" si="24"/>
        <v>733</v>
      </c>
      <c r="R531" s="23">
        <v>12074</v>
      </c>
      <c r="S531" s="1">
        <v>12934</v>
      </c>
      <c r="T531" s="1">
        <v>12449</v>
      </c>
      <c r="U531" s="1">
        <v>10945</v>
      </c>
      <c r="V531" s="1">
        <v>11109</v>
      </c>
      <c r="W531" s="1">
        <v>12041</v>
      </c>
      <c r="X531" s="1">
        <v>13958</v>
      </c>
      <c r="Y531" s="1">
        <v>12285</v>
      </c>
      <c r="Z531" s="1">
        <v>11504</v>
      </c>
      <c r="AA531" s="1">
        <v>13025</v>
      </c>
      <c r="AB531" s="1">
        <v>13678</v>
      </c>
      <c r="AC531" s="1">
        <v>10515</v>
      </c>
      <c r="AD531" s="24">
        <f t="shared" si="25"/>
        <v>146517</v>
      </c>
      <c r="AE531" s="23">
        <v>279309</v>
      </c>
      <c r="AF531" s="1">
        <v>356523</v>
      </c>
      <c r="AG531" s="1">
        <v>370724</v>
      </c>
      <c r="AH531" s="1">
        <v>403685</v>
      </c>
      <c r="AI531" s="1">
        <v>464727</v>
      </c>
      <c r="AJ531" s="1">
        <v>415777</v>
      </c>
      <c r="AK531" s="1">
        <v>539638</v>
      </c>
      <c r="AL531" s="1">
        <v>693458</v>
      </c>
      <c r="AM531" s="1">
        <v>595124</v>
      </c>
      <c r="AN531" s="1">
        <v>667698</v>
      </c>
      <c r="AO531" s="1">
        <v>541946</v>
      </c>
      <c r="AP531" s="1">
        <v>508782</v>
      </c>
      <c r="AQ531" s="24">
        <f t="shared" si="26"/>
        <v>5837391</v>
      </c>
    </row>
    <row r="532" spans="1:43" ht="17.25" customHeight="1" x14ac:dyDescent="0.45">
      <c r="A532" s="12" t="s">
        <v>12</v>
      </c>
      <c r="B532" s="12" t="s">
        <v>66</v>
      </c>
      <c r="C532" s="12" t="s">
        <v>161</v>
      </c>
      <c r="D532" s="12" t="s">
        <v>68</v>
      </c>
      <c r="E532" s="25">
        <v>45</v>
      </c>
      <c r="F532" s="10">
        <v>29</v>
      </c>
      <c r="G532" s="10">
        <v>31</v>
      </c>
      <c r="H532" s="10">
        <v>30</v>
      </c>
      <c r="I532" s="10">
        <v>31</v>
      </c>
      <c r="J532" s="10">
        <v>41</v>
      </c>
      <c r="K532" s="10">
        <v>62</v>
      </c>
      <c r="L532" s="10">
        <v>49</v>
      </c>
      <c r="M532" s="10">
        <v>30</v>
      </c>
      <c r="N532" s="10">
        <v>31</v>
      </c>
      <c r="O532" s="10">
        <v>30</v>
      </c>
      <c r="P532" s="10">
        <v>31</v>
      </c>
      <c r="Q532" s="26">
        <f t="shared" si="24"/>
        <v>440</v>
      </c>
      <c r="R532" s="25">
        <v>6546</v>
      </c>
      <c r="S532" s="10">
        <v>3573</v>
      </c>
      <c r="T532" s="10">
        <v>3982</v>
      </c>
      <c r="U532" s="10">
        <v>3879</v>
      </c>
      <c r="V532" s="10">
        <v>3935</v>
      </c>
      <c r="W532" s="10">
        <v>5389</v>
      </c>
      <c r="X532" s="10">
        <v>9705</v>
      </c>
      <c r="Y532" s="10">
        <v>7593</v>
      </c>
      <c r="Z532" s="10">
        <v>4236</v>
      </c>
      <c r="AA532" s="10">
        <v>3657</v>
      </c>
      <c r="AB532" s="10">
        <v>3989</v>
      </c>
      <c r="AC532" s="10">
        <v>4155</v>
      </c>
      <c r="AD532" s="26">
        <f t="shared" si="25"/>
        <v>60639</v>
      </c>
      <c r="AE532" s="25">
        <v>0</v>
      </c>
      <c r="AF532" s="10">
        <v>0</v>
      </c>
      <c r="AG532" s="10">
        <v>0</v>
      </c>
      <c r="AH532" s="10">
        <v>0</v>
      </c>
      <c r="AI532" s="10">
        <v>0</v>
      </c>
      <c r="AJ532" s="10">
        <v>0</v>
      </c>
      <c r="AK532" s="10">
        <v>245</v>
      </c>
      <c r="AL532" s="10">
        <v>0</v>
      </c>
      <c r="AM532" s="10">
        <v>0</v>
      </c>
      <c r="AN532" s="10">
        <v>10</v>
      </c>
      <c r="AO532" s="10">
        <v>0</v>
      </c>
      <c r="AP532" s="10">
        <v>9</v>
      </c>
      <c r="AQ532" s="26">
        <f t="shared" si="26"/>
        <v>264</v>
      </c>
    </row>
    <row r="533" spans="1:43" ht="17.25" customHeight="1" x14ac:dyDescent="0.45">
      <c r="A533" s="2" t="s">
        <v>12</v>
      </c>
      <c r="B533" s="2" t="s">
        <v>66</v>
      </c>
      <c r="C533" s="2" t="s">
        <v>191</v>
      </c>
      <c r="D533" s="2" t="s">
        <v>192</v>
      </c>
      <c r="E533" s="23">
        <v>0</v>
      </c>
      <c r="F533" s="1">
        <v>0</v>
      </c>
      <c r="G533" s="1">
        <v>0</v>
      </c>
      <c r="H533" s="1">
        <v>0</v>
      </c>
      <c r="I533" s="1">
        <v>0</v>
      </c>
      <c r="J533" s="1">
        <v>0</v>
      </c>
      <c r="K533" s="1">
        <v>0</v>
      </c>
      <c r="L533" s="1">
        <v>31</v>
      </c>
      <c r="M533" s="1">
        <v>30</v>
      </c>
      <c r="N533" s="1">
        <v>31</v>
      </c>
      <c r="O533" s="1">
        <v>29</v>
      </c>
      <c r="P533" s="1">
        <v>30</v>
      </c>
      <c r="Q533" s="24">
        <f t="shared" si="24"/>
        <v>151</v>
      </c>
      <c r="R533" s="23">
        <v>0</v>
      </c>
      <c r="S533" s="1">
        <v>0</v>
      </c>
      <c r="T533" s="1">
        <v>0</v>
      </c>
      <c r="U533" s="1">
        <v>0</v>
      </c>
      <c r="V533" s="1">
        <v>0</v>
      </c>
      <c r="W533" s="1">
        <v>0</v>
      </c>
      <c r="X533" s="1">
        <v>0</v>
      </c>
      <c r="Y533" s="1">
        <v>4105</v>
      </c>
      <c r="Z533" s="1">
        <v>4243</v>
      </c>
      <c r="AA533" s="1">
        <v>3786</v>
      </c>
      <c r="AB533" s="1">
        <v>3071</v>
      </c>
      <c r="AC533" s="1">
        <v>2911</v>
      </c>
      <c r="AD533" s="24">
        <f t="shared" si="25"/>
        <v>18116</v>
      </c>
      <c r="AE533" s="23">
        <v>0</v>
      </c>
      <c r="AF533" s="1">
        <v>0</v>
      </c>
      <c r="AG533" s="1">
        <v>0</v>
      </c>
      <c r="AH533" s="1">
        <v>0</v>
      </c>
      <c r="AI533" s="1">
        <v>0</v>
      </c>
      <c r="AJ533" s="1">
        <v>0</v>
      </c>
      <c r="AK533" s="1">
        <v>0</v>
      </c>
      <c r="AL533" s="1">
        <v>0</v>
      </c>
      <c r="AM533" s="1">
        <v>0</v>
      </c>
      <c r="AN533" s="1">
        <v>0</v>
      </c>
      <c r="AO533" s="1">
        <v>0</v>
      </c>
      <c r="AP533" s="1">
        <v>0</v>
      </c>
      <c r="AQ533" s="24">
        <f t="shared" si="26"/>
        <v>0</v>
      </c>
    </row>
    <row r="534" spans="1:43" ht="17.25" customHeight="1" x14ac:dyDescent="0.45">
      <c r="A534" s="12" t="s">
        <v>12</v>
      </c>
      <c r="B534" s="12" t="s">
        <v>66</v>
      </c>
      <c r="C534" s="12" t="s">
        <v>252</v>
      </c>
      <c r="D534" s="12" t="s">
        <v>237</v>
      </c>
      <c r="E534" s="25">
        <v>0</v>
      </c>
      <c r="F534" s="10">
        <v>0</v>
      </c>
      <c r="G534" s="10">
        <v>0</v>
      </c>
      <c r="H534" s="10">
        <v>0</v>
      </c>
      <c r="I534" s="10">
        <v>0</v>
      </c>
      <c r="J534" s="10">
        <v>9</v>
      </c>
      <c r="K534" s="10">
        <v>9</v>
      </c>
      <c r="L534" s="10">
        <v>8</v>
      </c>
      <c r="M534" s="10">
        <v>9</v>
      </c>
      <c r="N534" s="10">
        <v>9</v>
      </c>
      <c r="O534" s="10">
        <v>8</v>
      </c>
      <c r="P534" s="10">
        <v>9</v>
      </c>
      <c r="Q534" s="26">
        <f t="shared" si="24"/>
        <v>61</v>
      </c>
      <c r="R534" s="25">
        <v>0</v>
      </c>
      <c r="S534" s="10">
        <v>0</v>
      </c>
      <c r="T534" s="10">
        <v>0</v>
      </c>
      <c r="U534" s="10">
        <v>0</v>
      </c>
      <c r="V534" s="10">
        <v>0</v>
      </c>
      <c r="W534" s="10">
        <v>1052</v>
      </c>
      <c r="X534" s="10">
        <v>1066</v>
      </c>
      <c r="Y534" s="10">
        <v>909</v>
      </c>
      <c r="Z534" s="10">
        <v>1137</v>
      </c>
      <c r="AA534" s="10">
        <v>1113</v>
      </c>
      <c r="AB534" s="10">
        <v>1104</v>
      </c>
      <c r="AC534" s="10">
        <v>1238</v>
      </c>
      <c r="AD534" s="26">
        <f t="shared" si="25"/>
        <v>7619</v>
      </c>
      <c r="AE534" s="25">
        <v>0</v>
      </c>
      <c r="AF534" s="10">
        <v>0</v>
      </c>
      <c r="AG534" s="10">
        <v>0</v>
      </c>
      <c r="AH534" s="10">
        <v>0</v>
      </c>
      <c r="AI534" s="10">
        <v>0</v>
      </c>
      <c r="AJ534" s="10">
        <v>10756</v>
      </c>
      <c r="AK534" s="10">
        <v>26589</v>
      </c>
      <c r="AL534" s="10">
        <v>26009</v>
      </c>
      <c r="AM534" s="10">
        <v>31463</v>
      </c>
      <c r="AN534" s="10">
        <v>24616</v>
      </c>
      <c r="AO534" s="10">
        <v>21046</v>
      </c>
      <c r="AP534" s="10">
        <v>8891</v>
      </c>
      <c r="AQ534" s="26">
        <f t="shared" si="26"/>
        <v>149370</v>
      </c>
    </row>
    <row r="535" spans="1:43" ht="17.25" customHeight="1" x14ac:dyDescent="0.45">
      <c r="A535" s="2" t="s">
        <v>12</v>
      </c>
      <c r="B535" s="2" t="s">
        <v>66</v>
      </c>
      <c r="C535" s="2" t="s">
        <v>163</v>
      </c>
      <c r="D535" s="2" t="s">
        <v>68</v>
      </c>
      <c r="E535" s="23">
        <v>0</v>
      </c>
      <c r="F535" s="1">
        <v>0</v>
      </c>
      <c r="G535" s="1">
        <v>0</v>
      </c>
      <c r="H535" s="1">
        <v>0</v>
      </c>
      <c r="I535" s="1">
        <v>0</v>
      </c>
      <c r="J535" s="1">
        <v>0</v>
      </c>
      <c r="K535" s="1">
        <v>31</v>
      </c>
      <c r="L535" s="1">
        <v>31</v>
      </c>
      <c r="M535" s="1">
        <v>29</v>
      </c>
      <c r="N535" s="1">
        <v>28</v>
      </c>
      <c r="O535" s="1">
        <v>29</v>
      </c>
      <c r="P535" s="1">
        <v>32</v>
      </c>
      <c r="Q535" s="24">
        <f t="shared" si="24"/>
        <v>180</v>
      </c>
      <c r="R535" s="23">
        <v>0</v>
      </c>
      <c r="S535" s="1">
        <v>0</v>
      </c>
      <c r="T535" s="1">
        <v>0</v>
      </c>
      <c r="U535" s="1">
        <v>0</v>
      </c>
      <c r="V535" s="1">
        <v>0</v>
      </c>
      <c r="W535" s="1">
        <v>0</v>
      </c>
      <c r="X535" s="1">
        <v>2881</v>
      </c>
      <c r="Y535" s="1">
        <v>2592</v>
      </c>
      <c r="Z535" s="1">
        <v>2489</v>
      </c>
      <c r="AA535" s="1">
        <v>2260</v>
      </c>
      <c r="AB535" s="1">
        <v>3231</v>
      </c>
      <c r="AC535" s="1">
        <v>4030</v>
      </c>
      <c r="AD535" s="24">
        <f t="shared" si="25"/>
        <v>17483</v>
      </c>
      <c r="AE535" s="23">
        <v>0</v>
      </c>
      <c r="AF535" s="1">
        <v>0</v>
      </c>
      <c r="AG535" s="1">
        <v>0</v>
      </c>
      <c r="AH535" s="1">
        <v>0</v>
      </c>
      <c r="AI535" s="1">
        <v>0</v>
      </c>
      <c r="AJ535" s="1">
        <v>0</v>
      </c>
      <c r="AK535" s="1">
        <v>0</v>
      </c>
      <c r="AL535" s="1">
        <v>0</v>
      </c>
      <c r="AM535" s="1">
        <v>0</v>
      </c>
      <c r="AN535" s="1">
        <v>0</v>
      </c>
      <c r="AO535" s="1">
        <v>0</v>
      </c>
      <c r="AP535" s="1">
        <v>0</v>
      </c>
      <c r="AQ535" s="24">
        <f t="shared" si="26"/>
        <v>0</v>
      </c>
    </row>
    <row r="536" spans="1:43" ht="17.25" customHeight="1" x14ac:dyDescent="0.45">
      <c r="A536" s="12" t="s">
        <v>12</v>
      </c>
      <c r="B536" s="12" t="s">
        <v>66</v>
      </c>
      <c r="C536" s="12" t="s">
        <v>202</v>
      </c>
      <c r="D536" s="12" t="s">
        <v>203</v>
      </c>
      <c r="E536" s="25">
        <v>61</v>
      </c>
      <c r="F536" s="10">
        <v>59</v>
      </c>
      <c r="G536" s="10">
        <v>61</v>
      </c>
      <c r="H536" s="10">
        <v>60</v>
      </c>
      <c r="I536" s="10">
        <v>62</v>
      </c>
      <c r="J536" s="10">
        <v>60</v>
      </c>
      <c r="K536" s="10">
        <v>62</v>
      </c>
      <c r="L536" s="10">
        <v>38</v>
      </c>
      <c r="M536" s="10">
        <v>46</v>
      </c>
      <c r="N536" s="10">
        <v>45</v>
      </c>
      <c r="O536" s="10">
        <v>38</v>
      </c>
      <c r="P536" s="10">
        <v>49</v>
      </c>
      <c r="Q536" s="26">
        <f t="shared" si="24"/>
        <v>641</v>
      </c>
      <c r="R536" s="25">
        <v>10453</v>
      </c>
      <c r="S536" s="10">
        <v>9173</v>
      </c>
      <c r="T536" s="10">
        <v>10927</v>
      </c>
      <c r="U536" s="10">
        <v>9520</v>
      </c>
      <c r="V536" s="10">
        <v>9776</v>
      </c>
      <c r="W536" s="10">
        <v>10852</v>
      </c>
      <c r="X536" s="10">
        <v>11159</v>
      </c>
      <c r="Y536" s="10">
        <v>4832</v>
      </c>
      <c r="Z536" s="10">
        <v>5794</v>
      </c>
      <c r="AA536" s="10">
        <v>6023</v>
      </c>
      <c r="AB536" s="10">
        <v>4798</v>
      </c>
      <c r="AC536" s="10">
        <v>6158</v>
      </c>
      <c r="AD536" s="26">
        <f t="shared" si="25"/>
        <v>99465</v>
      </c>
      <c r="AE536" s="25">
        <v>50369</v>
      </c>
      <c r="AF536" s="10">
        <v>61000</v>
      </c>
      <c r="AG536" s="10">
        <v>35019</v>
      </c>
      <c r="AH536" s="10">
        <v>50020</v>
      </c>
      <c r="AI536" s="10">
        <v>38294</v>
      </c>
      <c r="AJ536" s="10">
        <v>42849</v>
      </c>
      <c r="AK536" s="10">
        <v>26504</v>
      </c>
      <c r="AL536" s="10">
        <v>50023</v>
      </c>
      <c r="AM536" s="10">
        <v>25697</v>
      </c>
      <c r="AN536" s="10">
        <v>35033</v>
      </c>
      <c r="AO536" s="10">
        <v>27160</v>
      </c>
      <c r="AP536" s="10">
        <v>49299</v>
      </c>
      <c r="AQ536" s="26">
        <f t="shared" si="26"/>
        <v>491267</v>
      </c>
    </row>
    <row r="537" spans="1:43" ht="17.25" customHeight="1" x14ac:dyDescent="0.45">
      <c r="A537" s="2" t="s">
        <v>12</v>
      </c>
      <c r="B537" s="2" t="s">
        <v>66</v>
      </c>
      <c r="C537" s="2" t="s">
        <v>71</v>
      </c>
      <c r="D537" s="2" t="s">
        <v>65</v>
      </c>
      <c r="E537" s="23">
        <v>135</v>
      </c>
      <c r="F537" s="1">
        <v>115</v>
      </c>
      <c r="G537" s="1">
        <v>123</v>
      </c>
      <c r="H537" s="1">
        <v>109</v>
      </c>
      <c r="I537" s="1">
        <v>93</v>
      </c>
      <c r="J537" s="1">
        <v>89</v>
      </c>
      <c r="K537" s="1">
        <v>93</v>
      </c>
      <c r="L537" s="1">
        <v>93</v>
      </c>
      <c r="M537" s="1">
        <v>89</v>
      </c>
      <c r="N537" s="1">
        <v>93</v>
      </c>
      <c r="O537" s="1">
        <v>89</v>
      </c>
      <c r="P537" s="1">
        <v>93</v>
      </c>
      <c r="Q537" s="24">
        <f t="shared" si="24"/>
        <v>1214</v>
      </c>
      <c r="R537" s="23">
        <v>18756</v>
      </c>
      <c r="S537" s="1">
        <v>17128</v>
      </c>
      <c r="T537" s="1">
        <v>17383</v>
      </c>
      <c r="U537" s="1">
        <v>15183</v>
      </c>
      <c r="V537" s="1">
        <v>14045</v>
      </c>
      <c r="W537" s="1">
        <v>12662</v>
      </c>
      <c r="X537" s="1">
        <v>14195</v>
      </c>
      <c r="Y537" s="1">
        <v>13739</v>
      </c>
      <c r="Z537" s="1">
        <v>10881</v>
      </c>
      <c r="AA537" s="1">
        <v>9371</v>
      </c>
      <c r="AB537" s="1">
        <v>10245</v>
      </c>
      <c r="AC537" s="1">
        <v>9597</v>
      </c>
      <c r="AD537" s="24">
        <f t="shared" si="25"/>
        <v>163185</v>
      </c>
      <c r="AE537" s="23">
        <v>36055</v>
      </c>
      <c r="AF537" s="1">
        <v>31262</v>
      </c>
      <c r="AG537" s="1">
        <v>44116</v>
      </c>
      <c r="AH537" s="1">
        <v>35864</v>
      </c>
      <c r="AI537" s="1">
        <v>20241</v>
      </c>
      <c r="AJ537" s="1">
        <v>21165</v>
      </c>
      <c r="AK537" s="1">
        <v>29510</v>
      </c>
      <c r="AL537" s="1">
        <v>20086</v>
      </c>
      <c r="AM537" s="1">
        <v>24548</v>
      </c>
      <c r="AN537" s="1">
        <v>36127</v>
      </c>
      <c r="AO537" s="1">
        <v>34431</v>
      </c>
      <c r="AP537" s="1">
        <v>32978</v>
      </c>
      <c r="AQ537" s="24">
        <f t="shared" si="26"/>
        <v>366383</v>
      </c>
    </row>
    <row r="538" spans="1:43" ht="17.25" customHeight="1" x14ac:dyDescent="0.45">
      <c r="A538" s="12" t="s">
        <v>12</v>
      </c>
      <c r="B538" s="12" t="s">
        <v>66</v>
      </c>
      <c r="C538" s="12" t="s">
        <v>165</v>
      </c>
      <c r="D538" s="12" t="s">
        <v>65</v>
      </c>
      <c r="E538" s="25">
        <v>135</v>
      </c>
      <c r="F538" s="10">
        <v>115</v>
      </c>
      <c r="G538" s="10">
        <v>124</v>
      </c>
      <c r="H538" s="10">
        <v>81</v>
      </c>
      <c r="I538" s="10">
        <v>75</v>
      </c>
      <c r="J538" s="10">
        <v>74</v>
      </c>
      <c r="K538" s="10">
        <v>74</v>
      </c>
      <c r="L538" s="10">
        <v>76</v>
      </c>
      <c r="M538" s="10">
        <v>73</v>
      </c>
      <c r="N538" s="10">
        <v>73</v>
      </c>
      <c r="O538" s="10">
        <v>60</v>
      </c>
      <c r="P538" s="10">
        <v>75</v>
      </c>
      <c r="Q538" s="26">
        <f t="shared" si="24"/>
        <v>1035</v>
      </c>
      <c r="R538" s="25">
        <v>18779</v>
      </c>
      <c r="S538" s="10">
        <v>16497</v>
      </c>
      <c r="T538" s="10">
        <v>15917</v>
      </c>
      <c r="U538" s="10">
        <v>11066</v>
      </c>
      <c r="V538" s="10">
        <v>10628</v>
      </c>
      <c r="W538" s="10">
        <v>10189</v>
      </c>
      <c r="X538" s="10">
        <v>10964</v>
      </c>
      <c r="Y538" s="10">
        <v>10817</v>
      </c>
      <c r="Z538" s="10">
        <v>8651</v>
      </c>
      <c r="AA538" s="10">
        <v>6869</v>
      </c>
      <c r="AB538" s="10">
        <v>6821</v>
      </c>
      <c r="AC538" s="10">
        <v>8792</v>
      </c>
      <c r="AD538" s="26">
        <f t="shared" si="25"/>
        <v>135990</v>
      </c>
      <c r="AE538" s="25">
        <v>30203</v>
      </c>
      <c r="AF538" s="10">
        <v>39319</v>
      </c>
      <c r="AG538" s="10">
        <v>34831</v>
      </c>
      <c r="AH538" s="10">
        <v>21977</v>
      </c>
      <c r="AI538" s="10">
        <v>18584</v>
      </c>
      <c r="AJ538" s="10">
        <v>16637</v>
      </c>
      <c r="AK538" s="10">
        <v>18387</v>
      </c>
      <c r="AL538" s="10">
        <v>12022</v>
      </c>
      <c r="AM538" s="10">
        <v>23651</v>
      </c>
      <c r="AN538" s="10">
        <v>13618</v>
      </c>
      <c r="AO538" s="10">
        <v>15502</v>
      </c>
      <c r="AP538" s="10">
        <v>30327</v>
      </c>
      <c r="AQ538" s="26">
        <f t="shared" si="26"/>
        <v>275058</v>
      </c>
    </row>
    <row r="539" spans="1:43" ht="17.25" customHeight="1" x14ac:dyDescent="0.45">
      <c r="A539" s="2" t="s">
        <v>12</v>
      </c>
      <c r="B539" s="2" t="s">
        <v>66</v>
      </c>
      <c r="C539" s="2" t="s">
        <v>167</v>
      </c>
      <c r="D539" s="2" t="s">
        <v>68</v>
      </c>
      <c r="E539" s="23">
        <v>31</v>
      </c>
      <c r="F539" s="1">
        <v>29</v>
      </c>
      <c r="G539" s="1">
        <v>31</v>
      </c>
      <c r="H539" s="1">
        <v>30</v>
      </c>
      <c r="I539" s="1">
        <v>31</v>
      </c>
      <c r="J539" s="1">
        <v>31</v>
      </c>
      <c r="K539" s="1">
        <v>61</v>
      </c>
      <c r="L539" s="1">
        <v>64</v>
      </c>
      <c r="M539" s="1">
        <v>60</v>
      </c>
      <c r="N539" s="1">
        <v>62</v>
      </c>
      <c r="O539" s="1">
        <v>60</v>
      </c>
      <c r="P539" s="1">
        <v>62</v>
      </c>
      <c r="Q539" s="24">
        <f t="shared" si="24"/>
        <v>552</v>
      </c>
      <c r="R539" s="23">
        <v>4046</v>
      </c>
      <c r="S539" s="1">
        <v>3531</v>
      </c>
      <c r="T539" s="1">
        <v>4376</v>
      </c>
      <c r="U539" s="1">
        <v>4024</v>
      </c>
      <c r="V539" s="1">
        <v>4084</v>
      </c>
      <c r="W539" s="1">
        <v>3990</v>
      </c>
      <c r="X539" s="1">
        <v>8363</v>
      </c>
      <c r="Y539" s="1">
        <v>8469</v>
      </c>
      <c r="Z539" s="1">
        <v>6393</v>
      </c>
      <c r="AA539" s="1">
        <v>6552</v>
      </c>
      <c r="AB539" s="1">
        <v>7188</v>
      </c>
      <c r="AC539" s="1">
        <v>7374</v>
      </c>
      <c r="AD539" s="24">
        <f t="shared" si="25"/>
        <v>68390</v>
      </c>
      <c r="AE539" s="23">
        <v>348</v>
      </c>
      <c r="AF539" s="1">
        <v>361</v>
      </c>
      <c r="AG539" s="1">
        <v>1589</v>
      </c>
      <c r="AH539" s="1">
        <v>2400</v>
      </c>
      <c r="AI539" s="1">
        <v>3509</v>
      </c>
      <c r="AJ539" s="1">
        <v>2313</v>
      </c>
      <c r="AK539" s="1">
        <v>3036</v>
      </c>
      <c r="AL539" s="1">
        <v>2065</v>
      </c>
      <c r="AM539" s="1">
        <v>508</v>
      </c>
      <c r="AN539" s="1">
        <v>47</v>
      </c>
      <c r="AO539" s="1">
        <v>1740</v>
      </c>
      <c r="AP539" s="1">
        <v>600</v>
      </c>
      <c r="AQ539" s="24">
        <f t="shared" si="26"/>
        <v>18516</v>
      </c>
    </row>
    <row r="540" spans="1:43" ht="17.25" customHeight="1" x14ac:dyDescent="0.45">
      <c r="A540" s="12" t="s">
        <v>126</v>
      </c>
      <c r="B540" s="12" t="s">
        <v>68</v>
      </c>
      <c r="C540" s="12" t="s">
        <v>10</v>
      </c>
      <c r="D540" s="12" t="s">
        <v>66</v>
      </c>
      <c r="E540" s="25">
        <v>182</v>
      </c>
      <c r="F540" s="10">
        <v>166</v>
      </c>
      <c r="G540" s="10">
        <v>167</v>
      </c>
      <c r="H540" s="10">
        <v>180</v>
      </c>
      <c r="I540" s="10">
        <v>188</v>
      </c>
      <c r="J540" s="10">
        <v>149</v>
      </c>
      <c r="K540" s="10">
        <v>148</v>
      </c>
      <c r="L540" s="10">
        <v>145</v>
      </c>
      <c r="M540" s="10">
        <v>107</v>
      </c>
      <c r="N540" s="10">
        <v>137</v>
      </c>
      <c r="O540" s="10">
        <v>133</v>
      </c>
      <c r="P540" s="10">
        <v>162</v>
      </c>
      <c r="Q540" s="26">
        <f t="shared" si="24"/>
        <v>1864</v>
      </c>
      <c r="R540" s="25">
        <v>23916</v>
      </c>
      <c r="S540" s="10">
        <v>23681</v>
      </c>
      <c r="T540" s="10">
        <v>24451</v>
      </c>
      <c r="U540" s="10">
        <v>23000</v>
      </c>
      <c r="V540" s="10">
        <v>25845</v>
      </c>
      <c r="W540" s="10">
        <v>21106</v>
      </c>
      <c r="X540" s="10">
        <v>18895</v>
      </c>
      <c r="Y540" s="10">
        <v>19297</v>
      </c>
      <c r="Z540" s="10">
        <v>14633</v>
      </c>
      <c r="AA540" s="10">
        <v>18151</v>
      </c>
      <c r="AB540" s="10">
        <v>17722</v>
      </c>
      <c r="AC540" s="10">
        <v>23091</v>
      </c>
      <c r="AD540" s="26">
        <f t="shared" si="25"/>
        <v>253788</v>
      </c>
      <c r="AE540" s="25">
        <v>155577.77219282999</v>
      </c>
      <c r="AF540" s="10">
        <v>179229.4200627</v>
      </c>
      <c r="AG540" s="10">
        <v>160276.43884086001</v>
      </c>
      <c r="AH540" s="10">
        <v>208132</v>
      </c>
      <c r="AI540" s="10">
        <v>165321.43611338999</v>
      </c>
      <c r="AJ540" s="10">
        <v>128366.80980505999</v>
      </c>
      <c r="AK540" s="10">
        <v>145068.54273372999</v>
      </c>
      <c r="AL540" s="10">
        <v>156515.88508543</v>
      </c>
      <c r="AM540" s="10">
        <v>125040.48261353</v>
      </c>
      <c r="AN540" s="10">
        <v>183962.03334465003</v>
      </c>
      <c r="AO540" s="10">
        <v>122901.63987248001</v>
      </c>
      <c r="AP540" s="10">
        <v>154750.00567858008</v>
      </c>
      <c r="AQ540" s="26">
        <f t="shared" si="26"/>
        <v>1885142.4663432401</v>
      </c>
    </row>
    <row r="541" spans="1:43" ht="17.25" customHeight="1" x14ac:dyDescent="0.45">
      <c r="A541" s="2" t="s">
        <v>126</v>
      </c>
      <c r="B541" s="2" t="s">
        <v>68</v>
      </c>
      <c r="C541" s="2" t="s">
        <v>46</v>
      </c>
      <c r="D541" s="2" t="s">
        <v>66</v>
      </c>
      <c r="E541" s="23">
        <v>31</v>
      </c>
      <c r="F541" s="1">
        <v>29</v>
      </c>
      <c r="G541" s="1">
        <v>31</v>
      </c>
      <c r="H541" s="1">
        <v>30</v>
      </c>
      <c r="I541" s="1">
        <v>31</v>
      </c>
      <c r="J541" s="1">
        <v>30</v>
      </c>
      <c r="K541" s="1">
        <v>31</v>
      </c>
      <c r="L541" s="1">
        <v>30</v>
      </c>
      <c r="M541" s="1">
        <v>3</v>
      </c>
      <c r="N541" s="1">
        <v>25</v>
      </c>
      <c r="O541" s="1">
        <v>24</v>
      </c>
      <c r="P541" s="1">
        <v>27</v>
      </c>
      <c r="Q541" s="24">
        <f t="shared" si="24"/>
        <v>322</v>
      </c>
      <c r="R541" s="23">
        <v>2398</v>
      </c>
      <c r="S541" s="1">
        <v>2737</v>
      </c>
      <c r="T541" s="1">
        <v>3018</v>
      </c>
      <c r="U541" s="1">
        <v>1739</v>
      </c>
      <c r="V541" s="1">
        <v>1989</v>
      </c>
      <c r="W541" s="1">
        <v>2029</v>
      </c>
      <c r="X541" s="1">
        <v>2012</v>
      </c>
      <c r="Y541" s="1">
        <v>1874</v>
      </c>
      <c r="Z541" s="1">
        <v>87</v>
      </c>
      <c r="AA541" s="1">
        <v>1633</v>
      </c>
      <c r="AB541" s="1">
        <v>1540</v>
      </c>
      <c r="AC541" s="1">
        <v>1794</v>
      </c>
      <c r="AD541" s="24">
        <f t="shared" si="25"/>
        <v>22850</v>
      </c>
      <c r="AE541" s="23">
        <v>237.68240188000001</v>
      </c>
      <c r="AF541" s="1">
        <v>161.02529135</v>
      </c>
      <c r="AG541" s="1">
        <v>193.23034962</v>
      </c>
      <c r="AH541" s="1">
        <v>0</v>
      </c>
      <c r="AI541" s="1">
        <v>0</v>
      </c>
      <c r="AJ541" s="1">
        <v>0</v>
      </c>
      <c r="AK541" s="1">
        <v>0</v>
      </c>
      <c r="AL541" s="1">
        <v>0</v>
      </c>
      <c r="AM541" s="1">
        <v>0</v>
      </c>
      <c r="AN541" s="1">
        <v>0</v>
      </c>
      <c r="AO541" s="1">
        <v>0</v>
      </c>
      <c r="AP541" s="1">
        <v>0</v>
      </c>
      <c r="AQ541" s="24">
        <f t="shared" si="26"/>
        <v>591.93804284999999</v>
      </c>
    </row>
    <row r="542" spans="1:43" ht="17.25" customHeight="1" x14ac:dyDescent="0.45">
      <c r="A542" s="12" t="s">
        <v>126</v>
      </c>
      <c r="B542" s="12" t="s">
        <v>68</v>
      </c>
      <c r="C542" s="12" t="s">
        <v>11</v>
      </c>
      <c r="D542" s="12" t="s">
        <v>66</v>
      </c>
      <c r="E542" s="25">
        <v>13</v>
      </c>
      <c r="F542" s="10">
        <v>13</v>
      </c>
      <c r="G542" s="10">
        <v>13</v>
      </c>
      <c r="H542" s="10">
        <v>17</v>
      </c>
      <c r="I542" s="10">
        <v>17</v>
      </c>
      <c r="J542" s="10">
        <v>22</v>
      </c>
      <c r="K542" s="10">
        <v>20</v>
      </c>
      <c r="L542" s="10">
        <v>23</v>
      </c>
      <c r="M542" s="10">
        <v>20</v>
      </c>
      <c r="N542" s="10">
        <v>21</v>
      </c>
      <c r="O542" s="10">
        <v>22</v>
      </c>
      <c r="P542" s="10">
        <v>40</v>
      </c>
      <c r="Q542" s="26">
        <f t="shared" si="24"/>
        <v>241</v>
      </c>
      <c r="R542" s="25">
        <v>1861</v>
      </c>
      <c r="S542" s="10">
        <v>1715</v>
      </c>
      <c r="T542" s="10">
        <v>1678</v>
      </c>
      <c r="U542" s="10">
        <v>2492</v>
      </c>
      <c r="V542" s="10">
        <v>2465</v>
      </c>
      <c r="W542" s="10">
        <v>3061</v>
      </c>
      <c r="X542" s="10">
        <v>3076</v>
      </c>
      <c r="Y542" s="10">
        <v>2916</v>
      </c>
      <c r="Z542" s="10">
        <v>2381</v>
      </c>
      <c r="AA542" s="10">
        <v>2722</v>
      </c>
      <c r="AB542" s="10">
        <v>2807</v>
      </c>
      <c r="AC542" s="10">
        <v>5540</v>
      </c>
      <c r="AD542" s="26">
        <f t="shared" si="25"/>
        <v>32714</v>
      </c>
      <c r="AE542" s="25">
        <v>300</v>
      </c>
      <c r="AF542" s="10">
        <v>180</v>
      </c>
      <c r="AG542" s="10">
        <v>628</v>
      </c>
      <c r="AH542" s="10">
        <v>705.5</v>
      </c>
      <c r="AI542" s="10">
        <v>503</v>
      </c>
      <c r="AJ542" s="10">
        <v>224</v>
      </c>
      <c r="AK542" s="10">
        <v>898</v>
      </c>
      <c r="AL542" s="10">
        <v>514.5</v>
      </c>
      <c r="AM542" s="10">
        <v>312</v>
      </c>
      <c r="AN542" s="10">
        <v>522</v>
      </c>
      <c r="AO542" s="10">
        <v>762</v>
      </c>
      <c r="AP542" s="10">
        <v>1007.5</v>
      </c>
      <c r="AQ542" s="26">
        <f t="shared" si="26"/>
        <v>6556.5</v>
      </c>
    </row>
    <row r="543" spans="1:43" ht="17.25" customHeight="1" x14ac:dyDescent="0.45">
      <c r="A543" s="2" t="s">
        <v>126</v>
      </c>
      <c r="B543" s="2" t="s">
        <v>68</v>
      </c>
      <c r="C543" s="2" t="s">
        <v>23</v>
      </c>
      <c r="D543" s="2" t="s">
        <v>66</v>
      </c>
      <c r="E543" s="23">
        <v>35</v>
      </c>
      <c r="F543" s="1">
        <v>33</v>
      </c>
      <c r="G543" s="1">
        <v>35</v>
      </c>
      <c r="H543" s="1">
        <v>34</v>
      </c>
      <c r="I543" s="1">
        <v>35</v>
      </c>
      <c r="J543" s="1">
        <v>35</v>
      </c>
      <c r="K543" s="1">
        <v>42</v>
      </c>
      <c r="L543" s="1">
        <v>45</v>
      </c>
      <c r="M543" s="1">
        <v>43</v>
      </c>
      <c r="N543" s="1">
        <v>43</v>
      </c>
      <c r="O543" s="1">
        <v>44</v>
      </c>
      <c r="P543" s="1">
        <v>44</v>
      </c>
      <c r="Q543" s="24">
        <f t="shared" si="24"/>
        <v>468</v>
      </c>
      <c r="R543" s="23">
        <v>3688</v>
      </c>
      <c r="S543" s="1">
        <v>3560</v>
      </c>
      <c r="T543" s="1">
        <v>3624</v>
      </c>
      <c r="U543" s="1">
        <v>3173</v>
      </c>
      <c r="V543" s="1">
        <v>3186</v>
      </c>
      <c r="W543" s="1">
        <v>3143</v>
      </c>
      <c r="X543" s="1">
        <v>3936</v>
      </c>
      <c r="Y543" s="1">
        <v>3282</v>
      </c>
      <c r="Z543" s="1">
        <v>3066</v>
      </c>
      <c r="AA543" s="1">
        <v>3901</v>
      </c>
      <c r="AB543" s="1">
        <v>4824</v>
      </c>
      <c r="AC543" s="1">
        <v>5151</v>
      </c>
      <c r="AD543" s="24">
        <f t="shared" si="25"/>
        <v>44534</v>
      </c>
      <c r="AE543" s="23">
        <v>47466</v>
      </c>
      <c r="AF543" s="1">
        <v>52507.794644890004</v>
      </c>
      <c r="AG543" s="1">
        <v>52056</v>
      </c>
      <c r="AH543" s="1">
        <v>52641</v>
      </c>
      <c r="AI543" s="1">
        <v>47049</v>
      </c>
      <c r="AJ543" s="1">
        <v>47178</v>
      </c>
      <c r="AK543" s="1">
        <v>28628</v>
      </c>
      <c r="AL543" s="1">
        <v>50438</v>
      </c>
      <c r="AM543" s="1">
        <v>51023</v>
      </c>
      <c r="AN543" s="1">
        <v>38739</v>
      </c>
      <c r="AO543" s="1">
        <v>117110</v>
      </c>
      <c r="AP543" s="1">
        <v>44267.9127515</v>
      </c>
      <c r="AQ543" s="24">
        <f t="shared" si="26"/>
        <v>629103.70739639003</v>
      </c>
    </row>
    <row r="544" spans="1:43" ht="17.25" customHeight="1" x14ac:dyDescent="0.45">
      <c r="A544" s="12" t="s">
        <v>126</v>
      </c>
      <c r="B544" s="12" t="s">
        <v>68</v>
      </c>
      <c r="C544" s="12" t="s">
        <v>12</v>
      </c>
      <c r="D544" s="12" t="s">
        <v>66</v>
      </c>
      <c r="E544" s="25">
        <v>246</v>
      </c>
      <c r="F544" s="10">
        <v>218</v>
      </c>
      <c r="G544" s="10">
        <v>243</v>
      </c>
      <c r="H544" s="10">
        <v>210</v>
      </c>
      <c r="I544" s="10">
        <v>218</v>
      </c>
      <c r="J544" s="10">
        <v>223</v>
      </c>
      <c r="K544" s="10">
        <v>265</v>
      </c>
      <c r="L544" s="10">
        <v>239</v>
      </c>
      <c r="M544" s="10">
        <v>194</v>
      </c>
      <c r="N544" s="10">
        <v>199</v>
      </c>
      <c r="O544" s="10">
        <v>206</v>
      </c>
      <c r="P544" s="10">
        <v>225</v>
      </c>
      <c r="Q544" s="26">
        <f t="shared" si="24"/>
        <v>2686</v>
      </c>
      <c r="R544" s="25">
        <v>36262</v>
      </c>
      <c r="S544" s="10">
        <v>29711</v>
      </c>
      <c r="T544" s="10">
        <v>30900</v>
      </c>
      <c r="U544" s="10">
        <v>33123</v>
      </c>
      <c r="V544" s="10">
        <v>35982</v>
      </c>
      <c r="W544" s="10">
        <v>35359</v>
      </c>
      <c r="X544" s="10">
        <v>39985</v>
      </c>
      <c r="Y544" s="10">
        <v>37499</v>
      </c>
      <c r="Z544" s="10">
        <v>26671</v>
      </c>
      <c r="AA544" s="10">
        <v>30701</v>
      </c>
      <c r="AB544" s="10">
        <v>33297</v>
      </c>
      <c r="AC544" s="10">
        <v>38292</v>
      </c>
      <c r="AD544" s="26">
        <f t="shared" si="25"/>
        <v>407782</v>
      </c>
      <c r="AE544" s="25">
        <v>55137.335729190003</v>
      </c>
      <c r="AF544" s="10">
        <v>49861.626867430008</v>
      </c>
      <c r="AG544" s="10">
        <v>51846.847475219998</v>
      </c>
      <c r="AH544" s="10">
        <v>51198</v>
      </c>
      <c r="AI544" s="10">
        <v>52774.179026840029</v>
      </c>
      <c r="AJ544" s="10">
        <v>50562.061131879986</v>
      </c>
      <c r="AK544" s="10">
        <v>57954.668061049982</v>
      </c>
      <c r="AL544" s="10">
        <v>55264.427793490016</v>
      </c>
      <c r="AM544" s="10">
        <v>39013.065732900002</v>
      </c>
      <c r="AN544" s="10">
        <v>49959.340850209985</v>
      </c>
      <c r="AO544" s="10">
        <v>47211.357122520014</v>
      </c>
      <c r="AP544" s="10">
        <v>45445.970015119994</v>
      </c>
      <c r="AQ544" s="26">
        <f t="shared" si="26"/>
        <v>606228.87980584998</v>
      </c>
    </row>
    <row r="545" spans="1:43" ht="17.25" customHeight="1" x14ac:dyDescent="0.45">
      <c r="A545" s="2" t="s">
        <v>126</v>
      </c>
      <c r="B545" s="2" t="s">
        <v>68</v>
      </c>
      <c r="C545" s="2" t="s">
        <v>13</v>
      </c>
      <c r="D545" s="2" t="s">
        <v>66</v>
      </c>
      <c r="E545" s="23">
        <v>31</v>
      </c>
      <c r="F545" s="1">
        <v>29</v>
      </c>
      <c r="G545" s="1">
        <v>31</v>
      </c>
      <c r="H545" s="1">
        <v>30</v>
      </c>
      <c r="I545" s="1">
        <v>31</v>
      </c>
      <c r="J545" s="1">
        <v>30</v>
      </c>
      <c r="K545" s="1">
        <v>44</v>
      </c>
      <c r="L545" s="1">
        <v>44</v>
      </c>
      <c r="M545" s="1">
        <v>42</v>
      </c>
      <c r="N545" s="1">
        <v>41</v>
      </c>
      <c r="O545" s="1">
        <v>40</v>
      </c>
      <c r="P545" s="1">
        <v>68</v>
      </c>
      <c r="Q545" s="24">
        <f t="shared" si="24"/>
        <v>461</v>
      </c>
      <c r="R545" s="23">
        <v>1849</v>
      </c>
      <c r="S545" s="1">
        <v>1603</v>
      </c>
      <c r="T545" s="1">
        <v>1775</v>
      </c>
      <c r="U545" s="1">
        <v>1717</v>
      </c>
      <c r="V545" s="1">
        <v>1820</v>
      </c>
      <c r="W545" s="1">
        <v>1713</v>
      </c>
      <c r="X545" s="1">
        <v>4077</v>
      </c>
      <c r="Y545" s="1">
        <v>3726</v>
      </c>
      <c r="Z545" s="1">
        <v>3211</v>
      </c>
      <c r="AA545" s="1">
        <v>2976</v>
      </c>
      <c r="AB545" s="1">
        <v>3380</v>
      </c>
      <c r="AC545" s="1">
        <v>5158</v>
      </c>
      <c r="AD545" s="24">
        <f t="shared" si="25"/>
        <v>33005</v>
      </c>
      <c r="AE545" s="23">
        <v>0</v>
      </c>
      <c r="AF545" s="1">
        <v>0</v>
      </c>
      <c r="AG545" s="1">
        <v>0</v>
      </c>
      <c r="AH545" s="1">
        <v>0</v>
      </c>
      <c r="AI545" s="1">
        <v>0</v>
      </c>
      <c r="AJ545" s="1">
        <v>0</v>
      </c>
      <c r="AK545" s="1">
        <v>0</v>
      </c>
      <c r="AL545" s="1">
        <v>0</v>
      </c>
      <c r="AM545" s="1">
        <v>0</v>
      </c>
      <c r="AN545" s="1">
        <v>0</v>
      </c>
      <c r="AO545" s="1">
        <v>0</v>
      </c>
      <c r="AP545" s="1">
        <v>0</v>
      </c>
      <c r="AQ545" s="24">
        <f t="shared" si="26"/>
        <v>0</v>
      </c>
    </row>
    <row r="546" spans="1:43" ht="17.25" customHeight="1" x14ac:dyDescent="0.45">
      <c r="A546" s="12" t="s">
        <v>126</v>
      </c>
      <c r="B546" s="12" t="s">
        <v>68</v>
      </c>
      <c r="C546" s="12" t="s">
        <v>14</v>
      </c>
      <c r="D546" s="12" t="s">
        <v>66</v>
      </c>
      <c r="E546" s="25">
        <v>6</v>
      </c>
      <c r="F546" s="10">
        <v>11</v>
      </c>
      <c r="G546" s="10">
        <v>6</v>
      </c>
      <c r="H546" s="10">
        <v>4</v>
      </c>
      <c r="I546" s="10">
        <v>4</v>
      </c>
      <c r="J546" s="10">
        <v>4</v>
      </c>
      <c r="K546" s="10">
        <v>7</v>
      </c>
      <c r="L546" s="10">
        <v>4</v>
      </c>
      <c r="M546" s="10">
        <v>4</v>
      </c>
      <c r="N546" s="10">
        <v>6</v>
      </c>
      <c r="O546" s="10">
        <v>6</v>
      </c>
      <c r="P546" s="10">
        <v>3</v>
      </c>
      <c r="Q546" s="26">
        <f t="shared" si="24"/>
        <v>65</v>
      </c>
      <c r="R546" s="25">
        <v>0</v>
      </c>
      <c r="S546" s="10">
        <v>0</v>
      </c>
      <c r="T546" s="10">
        <v>0</v>
      </c>
      <c r="U546" s="10">
        <v>0</v>
      </c>
      <c r="V546" s="10">
        <v>0</v>
      </c>
      <c r="W546" s="10">
        <v>0</v>
      </c>
      <c r="X546" s="10">
        <v>0</v>
      </c>
      <c r="Y546" s="10">
        <v>0</v>
      </c>
      <c r="Z546" s="10">
        <v>0</v>
      </c>
      <c r="AA546" s="10">
        <v>0</v>
      </c>
      <c r="AB546" s="10">
        <v>0</v>
      </c>
      <c r="AC546" s="10">
        <v>0</v>
      </c>
      <c r="AD546" s="26">
        <f t="shared" si="25"/>
        <v>0</v>
      </c>
      <c r="AE546" s="25">
        <v>63256</v>
      </c>
      <c r="AF546" s="10">
        <v>287010</v>
      </c>
      <c r="AG546" s="10">
        <v>161246</v>
      </c>
      <c r="AH546" s="10">
        <v>159437</v>
      </c>
      <c r="AI546" s="10">
        <v>86570</v>
      </c>
      <c r="AJ546" s="10">
        <v>73117</v>
      </c>
      <c r="AK546" s="10">
        <v>95172</v>
      </c>
      <c r="AL546" s="10">
        <v>86731</v>
      </c>
      <c r="AM546" s="10">
        <v>120576</v>
      </c>
      <c r="AN546" s="10">
        <v>246609</v>
      </c>
      <c r="AO546" s="10">
        <v>112115</v>
      </c>
      <c r="AP546" s="10">
        <v>74867</v>
      </c>
      <c r="AQ546" s="26">
        <f t="shared" si="26"/>
        <v>1566706</v>
      </c>
    </row>
    <row r="547" spans="1:43" ht="17.25" customHeight="1" x14ac:dyDescent="0.45">
      <c r="A547" s="2" t="s">
        <v>126</v>
      </c>
      <c r="B547" s="2" t="s">
        <v>68</v>
      </c>
      <c r="C547" s="2" t="s">
        <v>247</v>
      </c>
      <c r="D547" s="2" t="s">
        <v>66</v>
      </c>
      <c r="E547" s="23">
        <v>0</v>
      </c>
      <c r="F547" s="1">
        <v>0</v>
      </c>
      <c r="G547" s="1">
        <v>4</v>
      </c>
      <c r="H547" s="1">
        <v>30</v>
      </c>
      <c r="I547" s="1">
        <v>30</v>
      </c>
      <c r="J547" s="1">
        <v>30</v>
      </c>
      <c r="K547" s="1">
        <v>28</v>
      </c>
      <c r="L547" s="1">
        <v>29</v>
      </c>
      <c r="M547" s="1">
        <v>23</v>
      </c>
      <c r="N547" s="1">
        <v>20</v>
      </c>
      <c r="O547" s="1">
        <v>24</v>
      </c>
      <c r="P547" s="1">
        <v>27</v>
      </c>
      <c r="Q547" s="24">
        <f t="shared" si="24"/>
        <v>245</v>
      </c>
      <c r="R547" s="23">
        <v>0</v>
      </c>
      <c r="S547" s="1">
        <v>0</v>
      </c>
      <c r="T547" s="1">
        <v>609</v>
      </c>
      <c r="U547" s="1">
        <v>2781</v>
      </c>
      <c r="V547" s="1">
        <v>3075</v>
      </c>
      <c r="W547" s="1">
        <v>3924</v>
      </c>
      <c r="X547" s="1">
        <v>3420</v>
      </c>
      <c r="Y547" s="1">
        <v>2914</v>
      </c>
      <c r="Z547" s="1">
        <v>1800</v>
      </c>
      <c r="AA547" s="1">
        <v>1696</v>
      </c>
      <c r="AB547" s="1">
        <v>2335</v>
      </c>
      <c r="AC547" s="1">
        <v>3307</v>
      </c>
      <c r="AD547" s="24">
        <f t="shared" si="25"/>
        <v>25861</v>
      </c>
      <c r="AE547" s="23">
        <v>0</v>
      </c>
      <c r="AF547" s="1">
        <v>0</v>
      </c>
      <c r="AG547" s="1">
        <v>0</v>
      </c>
      <c r="AH547" s="1">
        <v>0</v>
      </c>
      <c r="AI547" s="1">
        <v>0</v>
      </c>
      <c r="AJ547" s="1">
        <v>0</v>
      </c>
      <c r="AK547" s="1">
        <v>0</v>
      </c>
      <c r="AL547" s="1">
        <v>0</v>
      </c>
      <c r="AM547" s="1">
        <v>0</v>
      </c>
      <c r="AN547" s="1">
        <v>0</v>
      </c>
      <c r="AO547" s="1">
        <v>0</v>
      </c>
      <c r="AP547" s="1">
        <v>0</v>
      </c>
      <c r="AQ547" s="24">
        <f t="shared" si="26"/>
        <v>0</v>
      </c>
    </row>
    <row r="548" spans="1:43" ht="17.25" customHeight="1" x14ac:dyDescent="0.45">
      <c r="A548" s="12" t="s">
        <v>127</v>
      </c>
      <c r="B548" s="12" t="s">
        <v>128</v>
      </c>
      <c r="C548" s="12" t="s">
        <v>10</v>
      </c>
      <c r="D548" s="12" t="s">
        <v>66</v>
      </c>
      <c r="E548" s="25">
        <v>4</v>
      </c>
      <c r="F548" s="10">
        <v>5</v>
      </c>
      <c r="G548" s="10">
        <v>4</v>
      </c>
      <c r="H548" s="10">
        <v>4</v>
      </c>
      <c r="I548" s="10">
        <v>5</v>
      </c>
      <c r="J548" s="10">
        <v>5</v>
      </c>
      <c r="K548" s="10">
        <v>5</v>
      </c>
      <c r="L548" s="10">
        <v>5</v>
      </c>
      <c r="M548" s="10">
        <v>5</v>
      </c>
      <c r="N548" s="10">
        <v>5</v>
      </c>
      <c r="O548" s="10">
        <v>4</v>
      </c>
      <c r="P548" s="10">
        <v>0</v>
      </c>
      <c r="Q548" s="26">
        <f t="shared" si="24"/>
        <v>51</v>
      </c>
      <c r="R548" s="25">
        <v>1314</v>
      </c>
      <c r="S548" s="10">
        <v>1667</v>
      </c>
      <c r="T548" s="10">
        <v>1124</v>
      </c>
      <c r="U548" s="10">
        <v>1288</v>
      </c>
      <c r="V548" s="10">
        <v>1231</v>
      </c>
      <c r="W548" s="10">
        <v>1032</v>
      </c>
      <c r="X548" s="10">
        <v>968</v>
      </c>
      <c r="Y548" s="10">
        <v>1050</v>
      </c>
      <c r="Z548" s="10">
        <v>1377</v>
      </c>
      <c r="AA548" s="10">
        <v>1724</v>
      </c>
      <c r="AB548" s="10">
        <v>1350</v>
      </c>
      <c r="AC548" s="10">
        <v>0</v>
      </c>
      <c r="AD548" s="26">
        <f t="shared" si="25"/>
        <v>14125</v>
      </c>
      <c r="AE548" s="25">
        <v>11151</v>
      </c>
      <c r="AF548" s="10">
        <v>21678</v>
      </c>
      <c r="AG548" s="10">
        <v>28012</v>
      </c>
      <c r="AH548" s="10">
        <v>28174</v>
      </c>
      <c r="AI548" s="10">
        <v>22814</v>
      </c>
      <c r="AJ548" s="10">
        <v>19581</v>
      </c>
      <c r="AK548" s="10">
        <v>16549</v>
      </c>
      <c r="AL548" s="10">
        <v>39344</v>
      </c>
      <c r="AM548" s="10">
        <v>34825</v>
      </c>
      <c r="AN548" s="10">
        <v>37785</v>
      </c>
      <c r="AO548" s="10">
        <v>34428</v>
      </c>
      <c r="AP548" s="10">
        <v>0</v>
      </c>
      <c r="AQ548" s="26">
        <f t="shared" si="26"/>
        <v>294341</v>
      </c>
    </row>
    <row r="549" spans="1:43" ht="17.25" customHeight="1" x14ac:dyDescent="0.45">
      <c r="A549" s="2" t="s">
        <v>129</v>
      </c>
      <c r="B549" s="2" t="s">
        <v>68</v>
      </c>
      <c r="C549" s="2" t="s">
        <v>10</v>
      </c>
      <c r="D549" s="2" t="s">
        <v>66</v>
      </c>
      <c r="E549" s="23">
        <v>18</v>
      </c>
      <c r="F549" s="1">
        <v>20</v>
      </c>
      <c r="G549" s="1">
        <v>38</v>
      </c>
      <c r="H549" s="1">
        <v>10</v>
      </c>
      <c r="I549" s="1">
        <v>0</v>
      </c>
      <c r="J549" s="1">
        <v>0</v>
      </c>
      <c r="K549" s="1">
        <v>0</v>
      </c>
      <c r="L549" s="1">
        <v>0</v>
      </c>
      <c r="M549" s="1">
        <v>0</v>
      </c>
      <c r="N549" s="1">
        <v>0</v>
      </c>
      <c r="O549" s="1">
        <v>0</v>
      </c>
      <c r="P549" s="1">
        <v>10</v>
      </c>
      <c r="Q549" s="24">
        <f t="shared" si="24"/>
        <v>96</v>
      </c>
      <c r="R549" s="23">
        <v>2148</v>
      </c>
      <c r="S549" s="1">
        <v>2575</v>
      </c>
      <c r="T549" s="1">
        <v>5449</v>
      </c>
      <c r="U549" s="1">
        <v>633</v>
      </c>
      <c r="V549" s="1">
        <v>0</v>
      </c>
      <c r="W549" s="1">
        <v>0</v>
      </c>
      <c r="X549" s="1">
        <v>0</v>
      </c>
      <c r="Y549" s="1">
        <v>0</v>
      </c>
      <c r="Z549" s="1">
        <v>0</v>
      </c>
      <c r="AA549" s="1">
        <v>0</v>
      </c>
      <c r="AB549" s="1">
        <v>0</v>
      </c>
      <c r="AC549" s="1">
        <v>1479</v>
      </c>
      <c r="AD549" s="24">
        <f t="shared" si="25"/>
        <v>12284</v>
      </c>
      <c r="AE549" s="23">
        <v>0</v>
      </c>
      <c r="AF549" s="1">
        <v>0</v>
      </c>
      <c r="AG549" s="1">
        <v>0</v>
      </c>
      <c r="AH549" s="1">
        <v>0</v>
      </c>
      <c r="AI549" s="1">
        <v>0</v>
      </c>
      <c r="AJ549" s="1">
        <v>0</v>
      </c>
      <c r="AK549" s="1">
        <v>0</v>
      </c>
      <c r="AL549" s="1">
        <v>0</v>
      </c>
      <c r="AM549" s="1">
        <v>0</v>
      </c>
      <c r="AN549" s="1">
        <v>0</v>
      </c>
      <c r="AO549" s="1">
        <v>0</v>
      </c>
      <c r="AP549" s="1">
        <v>0</v>
      </c>
      <c r="AQ549" s="24">
        <f t="shared" si="26"/>
        <v>0</v>
      </c>
    </row>
    <row r="550" spans="1:43" ht="17.25" customHeight="1" x14ac:dyDescent="0.45">
      <c r="A550" s="12" t="s">
        <v>130</v>
      </c>
      <c r="B550" s="12" t="s">
        <v>68</v>
      </c>
      <c r="C550" s="12" t="s">
        <v>10</v>
      </c>
      <c r="D550" s="12" t="s">
        <v>66</v>
      </c>
      <c r="E550" s="25">
        <v>216</v>
      </c>
      <c r="F550" s="10">
        <v>258</v>
      </c>
      <c r="G550" s="10">
        <v>275</v>
      </c>
      <c r="H550" s="10">
        <v>151</v>
      </c>
      <c r="I550" s="10">
        <v>50</v>
      </c>
      <c r="J550" s="10">
        <v>39</v>
      </c>
      <c r="K550" s="10">
        <v>37</v>
      </c>
      <c r="L550" s="10">
        <v>36</v>
      </c>
      <c r="M550" s="10">
        <v>24</v>
      </c>
      <c r="N550" s="10">
        <v>44</v>
      </c>
      <c r="O550" s="10">
        <v>79</v>
      </c>
      <c r="P550" s="10">
        <v>151</v>
      </c>
      <c r="Q550" s="26">
        <f t="shared" si="24"/>
        <v>1360</v>
      </c>
      <c r="R550" s="25">
        <v>32972</v>
      </c>
      <c r="S550" s="10">
        <v>43134</v>
      </c>
      <c r="T550" s="10">
        <v>46134</v>
      </c>
      <c r="U550" s="10">
        <v>19090</v>
      </c>
      <c r="V550" s="10">
        <v>8193</v>
      </c>
      <c r="W550" s="10">
        <v>6580</v>
      </c>
      <c r="X550" s="10">
        <v>5629</v>
      </c>
      <c r="Y550" s="10">
        <v>5722</v>
      </c>
      <c r="Z550" s="10">
        <v>3658</v>
      </c>
      <c r="AA550" s="10">
        <v>6700</v>
      </c>
      <c r="AB550" s="10">
        <v>12369</v>
      </c>
      <c r="AC550" s="10">
        <v>23770</v>
      </c>
      <c r="AD550" s="26">
        <f t="shared" si="25"/>
        <v>213951</v>
      </c>
      <c r="AE550" s="25">
        <v>0</v>
      </c>
      <c r="AF550" s="10">
        <v>0</v>
      </c>
      <c r="AG550" s="10">
        <v>0</v>
      </c>
      <c r="AH550" s="10">
        <v>0</v>
      </c>
      <c r="AI550" s="10">
        <v>0</v>
      </c>
      <c r="AJ550" s="10">
        <v>0</v>
      </c>
      <c r="AK550" s="10">
        <v>836</v>
      </c>
      <c r="AL550" s="10">
        <v>0</v>
      </c>
      <c r="AM550" s="10">
        <v>0</v>
      </c>
      <c r="AN550" s="10">
        <v>0</v>
      </c>
      <c r="AO550" s="10">
        <v>0</v>
      </c>
      <c r="AP550" s="10">
        <v>995</v>
      </c>
      <c r="AQ550" s="26">
        <f t="shared" si="26"/>
        <v>1831</v>
      </c>
    </row>
    <row r="551" spans="1:43" ht="17.25" customHeight="1" x14ac:dyDescent="0.45">
      <c r="A551" s="2" t="s">
        <v>130</v>
      </c>
      <c r="B551" s="2" t="s">
        <v>68</v>
      </c>
      <c r="C551" s="2" t="s">
        <v>46</v>
      </c>
      <c r="D551" s="2" t="s">
        <v>66</v>
      </c>
      <c r="E551" s="23">
        <v>24</v>
      </c>
      <c r="F551" s="1">
        <v>27</v>
      </c>
      <c r="G551" s="1">
        <v>31</v>
      </c>
      <c r="H551" s="1">
        <v>8</v>
      </c>
      <c r="I551" s="1">
        <v>0</v>
      </c>
      <c r="J551" s="1">
        <v>0</v>
      </c>
      <c r="K551" s="1">
        <v>0</v>
      </c>
      <c r="L551" s="1">
        <v>0</v>
      </c>
      <c r="M551" s="1">
        <v>0</v>
      </c>
      <c r="N551" s="1">
        <v>0</v>
      </c>
      <c r="O551" s="1">
        <v>0</v>
      </c>
      <c r="P551" s="1">
        <v>11</v>
      </c>
      <c r="Q551" s="24">
        <f t="shared" si="24"/>
        <v>101</v>
      </c>
      <c r="R551" s="23">
        <v>2984</v>
      </c>
      <c r="S551" s="1">
        <v>3966</v>
      </c>
      <c r="T551" s="1">
        <v>4599</v>
      </c>
      <c r="U551" s="1">
        <v>644</v>
      </c>
      <c r="V551" s="1">
        <v>0</v>
      </c>
      <c r="W551" s="1">
        <v>0</v>
      </c>
      <c r="X551" s="1">
        <v>0</v>
      </c>
      <c r="Y551" s="1">
        <v>0</v>
      </c>
      <c r="Z551" s="1">
        <v>0</v>
      </c>
      <c r="AA551" s="1">
        <v>0</v>
      </c>
      <c r="AB551" s="1">
        <v>0</v>
      </c>
      <c r="AC551" s="1">
        <v>1477</v>
      </c>
      <c r="AD551" s="24">
        <f t="shared" si="25"/>
        <v>13670</v>
      </c>
      <c r="AE551" s="23">
        <v>0</v>
      </c>
      <c r="AF551" s="1">
        <v>0</v>
      </c>
      <c r="AG551" s="1">
        <v>0</v>
      </c>
      <c r="AH551" s="1">
        <v>0</v>
      </c>
      <c r="AI551" s="1">
        <v>0</v>
      </c>
      <c r="AJ551" s="1">
        <v>0</v>
      </c>
      <c r="AK551" s="1">
        <v>0</v>
      </c>
      <c r="AL551" s="1">
        <v>0</v>
      </c>
      <c r="AM551" s="1">
        <v>0</v>
      </c>
      <c r="AN551" s="1">
        <v>0</v>
      </c>
      <c r="AO551" s="1">
        <v>0</v>
      </c>
      <c r="AP551" s="1">
        <v>0</v>
      </c>
      <c r="AQ551" s="24">
        <f t="shared" si="26"/>
        <v>0</v>
      </c>
    </row>
    <row r="552" spans="1:43" ht="17.25" customHeight="1" x14ac:dyDescent="0.45">
      <c r="A552" s="12" t="s">
        <v>130</v>
      </c>
      <c r="B552" s="12" t="s">
        <v>68</v>
      </c>
      <c r="C552" s="12" t="s">
        <v>52</v>
      </c>
      <c r="D552" s="12" t="s">
        <v>66</v>
      </c>
      <c r="E552" s="25">
        <v>9</v>
      </c>
      <c r="F552" s="10">
        <v>8</v>
      </c>
      <c r="G552" s="10">
        <v>9</v>
      </c>
      <c r="H552" s="10">
        <v>2</v>
      </c>
      <c r="I552" s="10">
        <v>0</v>
      </c>
      <c r="J552" s="10">
        <v>0</v>
      </c>
      <c r="K552" s="10">
        <v>0</v>
      </c>
      <c r="L552" s="10">
        <v>0</v>
      </c>
      <c r="M552" s="10">
        <v>0</v>
      </c>
      <c r="N552" s="10">
        <v>0</v>
      </c>
      <c r="O552" s="10">
        <v>0</v>
      </c>
      <c r="P552" s="10">
        <v>6</v>
      </c>
      <c r="Q552" s="26">
        <f t="shared" si="24"/>
        <v>34</v>
      </c>
      <c r="R552" s="25">
        <v>1480</v>
      </c>
      <c r="S552" s="10">
        <v>1275</v>
      </c>
      <c r="T552" s="10">
        <v>1243</v>
      </c>
      <c r="U552" s="10">
        <v>39</v>
      </c>
      <c r="V552" s="10">
        <v>0</v>
      </c>
      <c r="W552" s="10">
        <v>0</v>
      </c>
      <c r="X552" s="10">
        <v>0</v>
      </c>
      <c r="Y552" s="10">
        <v>0</v>
      </c>
      <c r="Z552" s="10">
        <v>0</v>
      </c>
      <c r="AA552" s="10">
        <v>0</v>
      </c>
      <c r="AB552" s="10">
        <v>0</v>
      </c>
      <c r="AC552" s="10">
        <v>841</v>
      </c>
      <c r="AD552" s="26">
        <f t="shared" si="25"/>
        <v>4878</v>
      </c>
      <c r="AE552" s="25">
        <v>0</v>
      </c>
      <c r="AF552" s="10">
        <v>0</v>
      </c>
      <c r="AG552" s="10">
        <v>0</v>
      </c>
      <c r="AH552" s="10">
        <v>0</v>
      </c>
      <c r="AI552" s="10">
        <v>0</v>
      </c>
      <c r="AJ552" s="10">
        <v>0</v>
      </c>
      <c r="AK552" s="10">
        <v>0</v>
      </c>
      <c r="AL552" s="10">
        <v>0</v>
      </c>
      <c r="AM552" s="10">
        <v>0</v>
      </c>
      <c r="AN552" s="10">
        <v>0</v>
      </c>
      <c r="AO552" s="10">
        <v>0</v>
      </c>
      <c r="AP552" s="10">
        <v>0</v>
      </c>
      <c r="AQ552" s="26">
        <f t="shared" si="26"/>
        <v>0</v>
      </c>
    </row>
    <row r="553" spans="1:43" ht="17.25" customHeight="1" x14ac:dyDescent="0.45">
      <c r="A553" s="2" t="s">
        <v>130</v>
      </c>
      <c r="B553" s="2" t="s">
        <v>68</v>
      </c>
      <c r="C553" s="2" t="s">
        <v>40</v>
      </c>
      <c r="D553" s="2" t="s">
        <v>66</v>
      </c>
      <c r="E553" s="23">
        <v>9</v>
      </c>
      <c r="F553" s="1">
        <v>13</v>
      </c>
      <c r="G553" s="1">
        <v>20</v>
      </c>
      <c r="H553" s="1">
        <v>4</v>
      </c>
      <c r="I553" s="1">
        <v>0</v>
      </c>
      <c r="J553" s="1">
        <v>0</v>
      </c>
      <c r="K553" s="1">
        <v>0</v>
      </c>
      <c r="L553" s="1">
        <v>0</v>
      </c>
      <c r="M553" s="1">
        <v>0</v>
      </c>
      <c r="N553" s="1">
        <v>0</v>
      </c>
      <c r="O553" s="1">
        <v>3</v>
      </c>
      <c r="P553" s="1">
        <v>12</v>
      </c>
      <c r="Q553" s="24">
        <f t="shared" si="24"/>
        <v>61</v>
      </c>
      <c r="R553" s="23">
        <v>1488</v>
      </c>
      <c r="S553" s="1">
        <v>2068</v>
      </c>
      <c r="T553" s="1">
        <v>2568</v>
      </c>
      <c r="U553" s="1">
        <v>421</v>
      </c>
      <c r="V553" s="1">
        <v>0</v>
      </c>
      <c r="W553" s="1">
        <v>0</v>
      </c>
      <c r="X553" s="1">
        <v>0</v>
      </c>
      <c r="Y553" s="1">
        <v>0</v>
      </c>
      <c r="Z553" s="1">
        <v>0</v>
      </c>
      <c r="AA553" s="1">
        <v>0</v>
      </c>
      <c r="AB553" s="1">
        <v>407</v>
      </c>
      <c r="AC553" s="1">
        <v>1749</v>
      </c>
      <c r="AD553" s="24">
        <f t="shared" si="25"/>
        <v>8701</v>
      </c>
      <c r="AE553" s="23">
        <v>0</v>
      </c>
      <c r="AF553" s="1">
        <v>0</v>
      </c>
      <c r="AG553" s="1">
        <v>0</v>
      </c>
      <c r="AH553" s="1">
        <v>0</v>
      </c>
      <c r="AI553" s="1">
        <v>0</v>
      </c>
      <c r="AJ553" s="1">
        <v>0</v>
      </c>
      <c r="AK553" s="1">
        <v>0</v>
      </c>
      <c r="AL553" s="1">
        <v>0</v>
      </c>
      <c r="AM553" s="1">
        <v>0</v>
      </c>
      <c r="AN553" s="1">
        <v>0</v>
      </c>
      <c r="AO553" s="1">
        <v>0</v>
      </c>
      <c r="AP553" s="1">
        <v>0</v>
      </c>
      <c r="AQ553" s="24">
        <f t="shared" si="26"/>
        <v>0</v>
      </c>
    </row>
    <row r="554" spans="1:43" ht="17.25" customHeight="1" x14ac:dyDescent="0.45">
      <c r="A554" s="12" t="s">
        <v>130</v>
      </c>
      <c r="B554" s="12" t="s">
        <v>68</v>
      </c>
      <c r="C554" s="12" t="s">
        <v>12</v>
      </c>
      <c r="D554" s="12" t="s">
        <v>66</v>
      </c>
      <c r="E554" s="25">
        <v>31</v>
      </c>
      <c r="F554" s="10">
        <v>29</v>
      </c>
      <c r="G554" s="10">
        <v>31</v>
      </c>
      <c r="H554" s="10">
        <v>30</v>
      </c>
      <c r="I554" s="10">
        <v>31</v>
      </c>
      <c r="J554" s="10">
        <v>30</v>
      </c>
      <c r="K554" s="10">
        <v>31</v>
      </c>
      <c r="L554" s="10">
        <v>31</v>
      </c>
      <c r="M554" s="10">
        <v>29</v>
      </c>
      <c r="N554" s="10">
        <v>31</v>
      </c>
      <c r="O554" s="10">
        <v>30</v>
      </c>
      <c r="P554" s="10">
        <v>31</v>
      </c>
      <c r="Q554" s="26">
        <f t="shared" si="24"/>
        <v>365</v>
      </c>
      <c r="R554" s="25">
        <v>3475</v>
      </c>
      <c r="S554" s="10">
        <v>3249</v>
      </c>
      <c r="T554" s="10">
        <v>3343</v>
      </c>
      <c r="U554" s="10">
        <v>2800</v>
      </c>
      <c r="V554" s="10">
        <v>3465</v>
      </c>
      <c r="W554" s="10">
        <v>3620</v>
      </c>
      <c r="X554" s="10">
        <v>3756</v>
      </c>
      <c r="Y554" s="10">
        <v>3714</v>
      </c>
      <c r="Z554" s="10">
        <v>3169</v>
      </c>
      <c r="AA554" s="10">
        <v>3868</v>
      </c>
      <c r="AB554" s="10">
        <v>3631</v>
      </c>
      <c r="AC554" s="10">
        <v>3847</v>
      </c>
      <c r="AD554" s="26">
        <f t="shared" si="25"/>
        <v>41937</v>
      </c>
      <c r="AE554" s="25">
        <v>1240</v>
      </c>
      <c r="AF554" s="10">
        <v>1423</v>
      </c>
      <c r="AG554" s="10">
        <v>1764</v>
      </c>
      <c r="AH554" s="10">
        <v>995</v>
      </c>
      <c r="AI554" s="10">
        <v>980</v>
      </c>
      <c r="AJ554" s="10">
        <v>1814</v>
      </c>
      <c r="AK554" s="10">
        <v>1994</v>
      </c>
      <c r="AL554" s="10">
        <v>1380</v>
      </c>
      <c r="AM554" s="10">
        <v>4936</v>
      </c>
      <c r="AN554" s="10">
        <v>3601</v>
      </c>
      <c r="AO554" s="10">
        <v>1331</v>
      </c>
      <c r="AP554" s="10">
        <v>1631</v>
      </c>
      <c r="AQ554" s="26">
        <f t="shared" si="26"/>
        <v>23089</v>
      </c>
    </row>
    <row r="555" spans="1:43" ht="17.25" customHeight="1" x14ac:dyDescent="0.45">
      <c r="A555" s="2" t="s">
        <v>130</v>
      </c>
      <c r="B555" s="2" t="s">
        <v>68</v>
      </c>
      <c r="C555" s="2" t="s">
        <v>17</v>
      </c>
      <c r="D555" s="2" t="s">
        <v>66</v>
      </c>
      <c r="E555" s="23">
        <v>80</v>
      </c>
      <c r="F555" s="1">
        <v>83</v>
      </c>
      <c r="G555" s="1">
        <v>106</v>
      </c>
      <c r="H555" s="1">
        <v>42</v>
      </c>
      <c r="I555" s="1">
        <v>0</v>
      </c>
      <c r="J555" s="1">
        <v>0</v>
      </c>
      <c r="K555" s="1">
        <v>0</v>
      </c>
      <c r="L555" s="1">
        <v>0</v>
      </c>
      <c r="M555" s="1">
        <v>0</v>
      </c>
      <c r="N555" s="1">
        <v>0</v>
      </c>
      <c r="O555" s="1">
        <v>11</v>
      </c>
      <c r="P555" s="1">
        <v>46</v>
      </c>
      <c r="Q555" s="24">
        <f t="shared" si="24"/>
        <v>368</v>
      </c>
      <c r="R555" s="23">
        <v>10909</v>
      </c>
      <c r="S555" s="1">
        <v>12339</v>
      </c>
      <c r="T555" s="1">
        <v>15795</v>
      </c>
      <c r="U555" s="1">
        <v>4259</v>
      </c>
      <c r="V555" s="1">
        <v>0</v>
      </c>
      <c r="W555" s="1">
        <v>0</v>
      </c>
      <c r="X555" s="1">
        <v>0</v>
      </c>
      <c r="Y555" s="1">
        <v>0</v>
      </c>
      <c r="Z555" s="1">
        <v>0</v>
      </c>
      <c r="AA555" s="1">
        <v>0</v>
      </c>
      <c r="AB555" s="1">
        <v>1782</v>
      </c>
      <c r="AC555" s="1">
        <v>7358</v>
      </c>
      <c r="AD555" s="24">
        <f t="shared" si="25"/>
        <v>52442</v>
      </c>
      <c r="AE555" s="23">
        <v>0</v>
      </c>
      <c r="AF555" s="1">
        <v>0</v>
      </c>
      <c r="AG555" s="1">
        <v>0</v>
      </c>
      <c r="AH555" s="1">
        <v>0</v>
      </c>
      <c r="AI555" s="1">
        <v>0</v>
      </c>
      <c r="AJ555" s="1">
        <v>0</v>
      </c>
      <c r="AK555" s="1">
        <v>0</v>
      </c>
      <c r="AL555" s="1">
        <v>0</v>
      </c>
      <c r="AM555" s="1">
        <v>0</v>
      </c>
      <c r="AN555" s="1">
        <v>0</v>
      </c>
      <c r="AO555" s="1">
        <v>0</v>
      </c>
      <c r="AP555" s="1">
        <v>0</v>
      </c>
      <c r="AQ555" s="24">
        <f t="shared" si="26"/>
        <v>0</v>
      </c>
    </row>
    <row r="556" spans="1:43" ht="17.25" customHeight="1" x14ac:dyDescent="0.45">
      <c r="A556" s="12" t="s">
        <v>130</v>
      </c>
      <c r="B556" s="12" t="s">
        <v>68</v>
      </c>
      <c r="C556" s="12" t="s">
        <v>48</v>
      </c>
      <c r="D556" s="12" t="s">
        <v>66</v>
      </c>
      <c r="E556" s="25">
        <v>63</v>
      </c>
      <c r="F556" s="10">
        <v>74</v>
      </c>
      <c r="G556" s="10">
        <v>87</v>
      </c>
      <c r="H556" s="10">
        <v>31</v>
      </c>
      <c r="I556" s="10">
        <v>2</v>
      </c>
      <c r="J556" s="10">
        <v>0</v>
      </c>
      <c r="K556" s="10">
        <v>0</v>
      </c>
      <c r="L556" s="10">
        <v>0</v>
      </c>
      <c r="M556" s="10">
        <v>0</v>
      </c>
      <c r="N556" s="10">
        <v>0</v>
      </c>
      <c r="O556" s="10">
        <v>4</v>
      </c>
      <c r="P556" s="10">
        <v>23</v>
      </c>
      <c r="Q556" s="26">
        <f t="shared" si="24"/>
        <v>284</v>
      </c>
      <c r="R556" s="25">
        <v>8054</v>
      </c>
      <c r="S556" s="10">
        <v>10311</v>
      </c>
      <c r="T556" s="10">
        <v>13307</v>
      </c>
      <c r="U556" s="10">
        <v>3431</v>
      </c>
      <c r="V556" s="10">
        <v>307</v>
      </c>
      <c r="W556" s="10">
        <v>0</v>
      </c>
      <c r="X556" s="10">
        <v>0</v>
      </c>
      <c r="Y556" s="10">
        <v>0</v>
      </c>
      <c r="Z556" s="10">
        <v>0</v>
      </c>
      <c r="AA556" s="10">
        <v>0</v>
      </c>
      <c r="AB556" s="10">
        <v>703</v>
      </c>
      <c r="AC556" s="10">
        <v>3593</v>
      </c>
      <c r="AD556" s="26">
        <f t="shared" si="25"/>
        <v>39706</v>
      </c>
      <c r="AE556" s="25">
        <v>0</v>
      </c>
      <c r="AF556" s="10">
        <v>0</v>
      </c>
      <c r="AG556" s="10">
        <v>0</v>
      </c>
      <c r="AH556" s="10">
        <v>0</v>
      </c>
      <c r="AI556" s="10">
        <v>0</v>
      </c>
      <c r="AJ556" s="10">
        <v>0</v>
      </c>
      <c r="AK556" s="10">
        <v>0</v>
      </c>
      <c r="AL556" s="10">
        <v>0</v>
      </c>
      <c r="AM556" s="10">
        <v>0</v>
      </c>
      <c r="AN556" s="10">
        <v>0</v>
      </c>
      <c r="AO556" s="10">
        <v>0</v>
      </c>
      <c r="AP556" s="10">
        <v>0</v>
      </c>
      <c r="AQ556" s="26">
        <f t="shared" si="26"/>
        <v>0</v>
      </c>
    </row>
    <row r="557" spans="1:43" ht="17.25" customHeight="1" x14ac:dyDescent="0.45">
      <c r="A557" s="2" t="s">
        <v>130</v>
      </c>
      <c r="B557" s="2" t="s">
        <v>68</v>
      </c>
      <c r="C557" s="2" t="s">
        <v>247</v>
      </c>
      <c r="D557" s="2" t="s">
        <v>66</v>
      </c>
      <c r="E557" s="23">
        <v>0</v>
      </c>
      <c r="F557" s="1">
        <v>0</v>
      </c>
      <c r="G557" s="1">
        <v>0</v>
      </c>
      <c r="H557" s="1">
        <v>0</v>
      </c>
      <c r="I557" s="1">
        <v>0</v>
      </c>
      <c r="J557" s="1">
        <v>0</v>
      </c>
      <c r="K557" s="1">
        <v>0</v>
      </c>
      <c r="L557" s="1">
        <v>0</v>
      </c>
      <c r="M557" s="1">
        <v>0</v>
      </c>
      <c r="N557" s="1">
        <v>0</v>
      </c>
      <c r="O557" s="1">
        <v>0</v>
      </c>
      <c r="P557" s="1">
        <v>2</v>
      </c>
      <c r="Q557" s="24">
        <f t="shared" si="24"/>
        <v>2</v>
      </c>
      <c r="R557" s="23">
        <v>0</v>
      </c>
      <c r="S557" s="1">
        <v>0</v>
      </c>
      <c r="T557" s="1">
        <v>0</v>
      </c>
      <c r="U557" s="1">
        <v>0</v>
      </c>
      <c r="V557" s="1">
        <v>0</v>
      </c>
      <c r="W557" s="1">
        <v>0</v>
      </c>
      <c r="X557" s="1">
        <v>0</v>
      </c>
      <c r="Y557" s="1">
        <v>0</v>
      </c>
      <c r="Z557" s="1">
        <v>0</v>
      </c>
      <c r="AA557" s="1">
        <v>0</v>
      </c>
      <c r="AB557" s="1">
        <v>0</v>
      </c>
      <c r="AC557" s="1">
        <v>239</v>
      </c>
      <c r="AD557" s="24">
        <f t="shared" si="25"/>
        <v>239</v>
      </c>
      <c r="AE557" s="23">
        <v>0</v>
      </c>
      <c r="AF557" s="1">
        <v>0</v>
      </c>
      <c r="AG557" s="1">
        <v>0</v>
      </c>
      <c r="AH557" s="1">
        <v>0</v>
      </c>
      <c r="AI557" s="1">
        <v>0</v>
      </c>
      <c r="AJ557" s="1">
        <v>0</v>
      </c>
      <c r="AK557" s="1">
        <v>0</v>
      </c>
      <c r="AL557" s="1">
        <v>0</v>
      </c>
      <c r="AM557" s="1">
        <v>0</v>
      </c>
      <c r="AN557" s="1">
        <v>0</v>
      </c>
      <c r="AO557" s="1">
        <v>0</v>
      </c>
      <c r="AP557" s="1">
        <v>0</v>
      </c>
      <c r="AQ557" s="24">
        <f t="shared" si="26"/>
        <v>0</v>
      </c>
    </row>
    <row r="558" spans="1:43" ht="17.25" customHeight="1" x14ac:dyDescent="0.45">
      <c r="A558" s="12" t="s">
        <v>230</v>
      </c>
      <c r="B558" s="12" t="s">
        <v>65</v>
      </c>
      <c r="C558" s="12" t="s">
        <v>10</v>
      </c>
      <c r="D558" s="12" t="s">
        <v>66</v>
      </c>
      <c r="E558" s="25">
        <v>4</v>
      </c>
      <c r="F558" s="10">
        <v>9</v>
      </c>
      <c r="G558" s="10">
        <v>8</v>
      </c>
      <c r="H558" s="10">
        <v>8</v>
      </c>
      <c r="I558" s="10">
        <v>2</v>
      </c>
      <c r="J558" s="10">
        <v>0</v>
      </c>
      <c r="K558" s="10">
        <v>0</v>
      </c>
      <c r="L558" s="10">
        <v>0</v>
      </c>
      <c r="M558" s="10">
        <v>0</v>
      </c>
      <c r="N558" s="10">
        <v>0</v>
      </c>
      <c r="O558" s="10">
        <v>0</v>
      </c>
      <c r="P558" s="10">
        <v>2</v>
      </c>
      <c r="Q558" s="26">
        <f t="shared" si="24"/>
        <v>33</v>
      </c>
      <c r="R558" s="25">
        <v>457</v>
      </c>
      <c r="S558" s="10">
        <v>1395</v>
      </c>
      <c r="T558" s="10">
        <v>1345</v>
      </c>
      <c r="U558" s="10">
        <v>1394</v>
      </c>
      <c r="V558" s="10">
        <v>324</v>
      </c>
      <c r="W558" s="10">
        <v>0</v>
      </c>
      <c r="X558" s="10">
        <v>0</v>
      </c>
      <c r="Y558" s="10">
        <v>0</v>
      </c>
      <c r="Z558" s="10">
        <v>0</v>
      </c>
      <c r="AA558" s="10">
        <v>0</v>
      </c>
      <c r="AB558" s="10">
        <v>0</v>
      </c>
      <c r="AC558" s="10">
        <v>331</v>
      </c>
      <c r="AD558" s="26">
        <f t="shared" si="25"/>
        <v>5246</v>
      </c>
      <c r="AE558" s="25">
        <v>0</v>
      </c>
      <c r="AF558" s="10">
        <v>0</v>
      </c>
      <c r="AG558" s="10">
        <v>0</v>
      </c>
      <c r="AH558" s="10">
        <v>0</v>
      </c>
      <c r="AI558" s="10">
        <v>0</v>
      </c>
      <c r="AJ558" s="10">
        <v>0</v>
      </c>
      <c r="AK558" s="10">
        <v>0</v>
      </c>
      <c r="AL558" s="10">
        <v>0</v>
      </c>
      <c r="AM558" s="10">
        <v>0</v>
      </c>
      <c r="AN558" s="10">
        <v>0</v>
      </c>
      <c r="AO558" s="10">
        <v>0</v>
      </c>
      <c r="AP558" s="10">
        <v>0</v>
      </c>
      <c r="AQ558" s="26">
        <f t="shared" si="26"/>
        <v>0</v>
      </c>
    </row>
    <row r="559" spans="1:43" ht="17.25" customHeight="1" x14ac:dyDescent="0.45">
      <c r="A559" s="2" t="s">
        <v>13</v>
      </c>
      <c r="B559" s="2" t="s">
        <v>66</v>
      </c>
      <c r="C559" s="2" t="s">
        <v>77</v>
      </c>
      <c r="D559" s="2" t="s">
        <v>68</v>
      </c>
      <c r="E559" s="23">
        <v>50</v>
      </c>
      <c r="F559" s="1">
        <v>58</v>
      </c>
      <c r="G559" s="1">
        <v>61</v>
      </c>
      <c r="H559" s="1">
        <v>60</v>
      </c>
      <c r="I559" s="1">
        <v>62</v>
      </c>
      <c r="J559" s="1">
        <v>60</v>
      </c>
      <c r="K559" s="1">
        <v>62</v>
      </c>
      <c r="L559" s="1">
        <v>62</v>
      </c>
      <c r="M559" s="1">
        <v>48</v>
      </c>
      <c r="N559" s="1">
        <v>50</v>
      </c>
      <c r="O559" s="1">
        <v>58</v>
      </c>
      <c r="P559" s="1">
        <v>59</v>
      </c>
      <c r="Q559" s="24">
        <f t="shared" si="24"/>
        <v>690</v>
      </c>
      <c r="R559" s="23">
        <v>5271</v>
      </c>
      <c r="S559" s="1">
        <v>4765</v>
      </c>
      <c r="T559" s="1">
        <v>6769</v>
      </c>
      <c r="U559" s="1">
        <v>6106</v>
      </c>
      <c r="V559" s="1">
        <v>6221</v>
      </c>
      <c r="W559" s="1">
        <v>5976</v>
      </c>
      <c r="X559" s="1">
        <v>6408</v>
      </c>
      <c r="Y559" s="1">
        <v>5960</v>
      </c>
      <c r="Z559" s="1">
        <v>5000</v>
      </c>
      <c r="AA559" s="1">
        <v>5198</v>
      </c>
      <c r="AB559" s="1">
        <v>5132</v>
      </c>
      <c r="AC559" s="1">
        <v>5322</v>
      </c>
      <c r="AD559" s="24">
        <f t="shared" si="25"/>
        <v>68128</v>
      </c>
      <c r="AE559" s="23">
        <v>0</v>
      </c>
      <c r="AF559" s="1">
        <v>0</v>
      </c>
      <c r="AG559" s="1">
        <v>0</v>
      </c>
      <c r="AH559" s="1">
        <v>0</v>
      </c>
      <c r="AI559" s="1">
        <v>0</v>
      </c>
      <c r="AJ559" s="1">
        <v>0</v>
      </c>
      <c r="AK559" s="1">
        <v>0</v>
      </c>
      <c r="AL559" s="1">
        <v>0</v>
      </c>
      <c r="AM559" s="1">
        <v>0</v>
      </c>
      <c r="AN559" s="1">
        <v>0</v>
      </c>
      <c r="AO559" s="1">
        <v>0</v>
      </c>
      <c r="AP559" s="1">
        <v>0</v>
      </c>
      <c r="AQ559" s="24">
        <f t="shared" si="26"/>
        <v>0</v>
      </c>
    </row>
    <row r="560" spans="1:43" ht="17.25" customHeight="1" x14ac:dyDescent="0.45">
      <c r="A560" s="12" t="s">
        <v>13</v>
      </c>
      <c r="B560" s="12" t="s">
        <v>66</v>
      </c>
      <c r="C560" s="12" t="s">
        <v>78</v>
      </c>
      <c r="D560" s="12" t="s">
        <v>68</v>
      </c>
      <c r="E560" s="25">
        <v>0</v>
      </c>
      <c r="F560" s="10">
        <v>0</v>
      </c>
      <c r="G560" s="10">
        <v>5</v>
      </c>
      <c r="H560" s="10">
        <v>13</v>
      </c>
      <c r="I560" s="10">
        <v>13</v>
      </c>
      <c r="J560" s="10">
        <v>17</v>
      </c>
      <c r="K560" s="10">
        <v>18</v>
      </c>
      <c r="L560" s="10">
        <v>17</v>
      </c>
      <c r="M560" s="10">
        <v>16</v>
      </c>
      <c r="N560" s="10">
        <v>17</v>
      </c>
      <c r="O560" s="10">
        <v>16</v>
      </c>
      <c r="P560" s="10">
        <v>15</v>
      </c>
      <c r="Q560" s="26">
        <f t="shared" si="24"/>
        <v>147</v>
      </c>
      <c r="R560" s="25">
        <v>0</v>
      </c>
      <c r="S560" s="10">
        <v>0</v>
      </c>
      <c r="T560" s="10">
        <v>603</v>
      </c>
      <c r="U560" s="10">
        <v>1325</v>
      </c>
      <c r="V560" s="10">
        <v>1281</v>
      </c>
      <c r="W560" s="10">
        <v>1725</v>
      </c>
      <c r="X560" s="10">
        <v>2374</v>
      </c>
      <c r="Y560" s="10">
        <v>1704</v>
      </c>
      <c r="Z560" s="10">
        <v>1853</v>
      </c>
      <c r="AA560" s="10">
        <v>1832</v>
      </c>
      <c r="AB560" s="10">
        <v>1618</v>
      </c>
      <c r="AC560" s="10">
        <v>1621</v>
      </c>
      <c r="AD560" s="26">
        <f t="shared" si="25"/>
        <v>15936</v>
      </c>
      <c r="AE560" s="25">
        <v>0</v>
      </c>
      <c r="AF560" s="10">
        <v>0</v>
      </c>
      <c r="AG560" s="10">
        <v>0</v>
      </c>
      <c r="AH560" s="10">
        <v>0</v>
      </c>
      <c r="AI560" s="10">
        <v>0</v>
      </c>
      <c r="AJ560" s="10">
        <v>0</v>
      </c>
      <c r="AK560" s="10">
        <v>0</v>
      </c>
      <c r="AL560" s="10">
        <v>0</v>
      </c>
      <c r="AM560" s="10">
        <v>0</v>
      </c>
      <c r="AN560" s="10">
        <v>0</v>
      </c>
      <c r="AO560" s="10">
        <v>0</v>
      </c>
      <c r="AP560" s="10">
        <v>0</v>
      </c>
      <c r="AQ560" s="26">
        <f t="shared" si="26"/>
        <v>0</v>
      </c>
    </row>
    <row r="561" spans="1:43" ht="17.25" customHeight="1" x14ac:dyDescent="0.45">
      <c r="A561" s="2" t="s">
        <v>13</v>
      </c>
      <c r="B561" s="2" t="s">
        <v>66</v>
      </c>
      <c r="C561" s="2" t="s">
        <v>86</v>
      </c>
      <c r="D561" s="2" t="s">
        <v>87</v>
      </c>
      <c r="E561" s="23">
        <v>9</v>
      </c>
      <c r="F561" s="1">
        <v>9</v>
      </c>
      <c r="G561" s="1">
        <v>9</v>
      </c>
      <c r="H561" s="1">
        <v>8</v>
      </c>
      <c r="I561" s="1">
        <v>9</v>
      </c>
      <c r="J561" s="1">
        <v>9</v>
      </c>
      <c r="K561" s="1">
        <v>16</v>
      </c>
      <c r="L561" s="1">
        <v>13</v>
      </c>
      <c r="M561" s="1">
        <v>13</v>
      </c>
      <c r="N561" s="1">
        <v>13</v>
      </c>
      <c r="O561" s="1">
        <v>8</v>
      </c>
      <c r="P561" s="1">
        <v>9</v>
      </c>
      <c r="Q561" s="24">
        <f t="shared" si="24"/>
        <v>125</v>
      </c>
      <c r="R561" s="23">
        <v>1037</v>
      </c>
      <c r="S561" s="1">
        <v>1035</v>
      </c>
      <c r="T561" s="1">
        <v>1265</v>
      </c>
      <c r="U561" s="1">
        <v>1002</v>
      </c>
      <c r="V561" s="1">
        <v>1104</v>
      </c>
      <c r="W561" s="1">
        <v>1502</v>
      </c>
      <c r="X561" s="1">
        <v>1402</v>
      </c>
      <c r="Y561" s="1">
        <v>1347</v>
      </c>
      <c r="Z561" s="1">
        <v>1247</v>
      </c>
      <c r="AA561" s="1">
        <v>1252</v>
      </c>
      <c r="AB561" s="1">
        <v>1229</v>
      </c>
      <c r="AC561" s="1">
        <v>1482</v>
      </c>
      <c r="AD561" s="24">
        <f t="shared" si="25"/>
        <v>14904</v>
      </c>
      <c r="AE561" s="23">
        <v>0</v>
      </c>
      <c r="AF561" s="1">
        <v>0</v>
      </c>
      <c r="AG561" s="1">
        <v>0</v>
      </c>
      <c r="AH561" s="1">
        <v>0</v>
      </c>
      <c r="AI561" s="1">
        <v>0</v>
      </c>
      <c r="AJ561" s="1">
        <v>0</v>
      </c>
      <c r="AK561" s="1">
        <v>19217.400000000001</v>
      </c>
      <c r="AL561" s="1">
        <v>27615.462</v>
      </c>
      <c r="AM561" s="1">
        <v>36042</v>
      </c>
      <c r="AN561" s="1">
        <v>6267.5</v>
      </c>
      <c r="AO561" s="1">
        <v>0</v>
      </c>
      <c r="AP561" s="1">
        <v>0</v>
      </c>
      <c r="AQ561" s="24">
        <f t="shared" si="26"/>
        <v>89142.361999999994</v>
      </c>
    </row>
    <row r="562" spans="1:43" ht="17.25" customHeight="1" x14ac:dyDescent="0.45">
      <c r="A562" s="12" t="s">
        <v>13</v>
      </c>
      <c r="B562" s="12" t="s">
        <v>66</v>
      </c>
      <c r="C562" s="12" t="s">
        <v>207</v>
      </c>
      <c r="D562" s="12" t="s">
        <v>68</v>
      </c>
      <c r="E562" s="25">
        <v>0</v>
      </c>
      <c r="F562" s="10">
        <v>0</v>
      </c>
      <c r="G562" s="10">
        <v>0</v>
      </c>
      <c r="H562" s="10">
        <v>0</v>
      </c>
      <c r="I562" s="10">
        <v>0</v>
      </c>
      <c r="J562" s="10">
        <v>0</v>
      </c>
      <c r="K562" s="10">
        <v>0</v>
      </c>
      <c r="L562" s="10">
        <v>0</v>
      </c>
      <c r="M562" s="10">
        <v>0</v>
      </c>
      <c r="N562" s="10">
        <v>14</v>
      </c>
      <c r="O562" s="10">
        <v>27</v>
      </c>
      <c r="P562" s="10">
        <v>12</v>
      </c>
      <c r="Q562" s="26">
        <f t="shared" si="24"/>
        <v>53</v>
      </c>
      <c r="R562" s="25">
        <v>0</v>
      </c>
      <c r="S562" s="10">
        <v>0</v>
      </c>
      <c r="T562" s="10">
        <v>0</v>
      </c>
      <c r="U562" s="10">
        <v>0</v>
      </c>
      <c r="V562" s="10">
        <v>0</v>
      </c>
      <c r="W562" s="10">
        <v>0</v>
      </c>
      <c r="X562" s="10">
        <v>0</v>
      </c>
      <c r="Y562" s="10">
        <v>0</v>
      </c>
      <c r="Z562" s="10">
        <v>0</v>
      </c>
      <c r="AA562" s="10">
        <v>32</v>
      </c>
      <c r="AB562" s="10">
        <v>94</v>
      </c>
      <c r="AC562" s="10">
        <v>51</v>
      </c>
      <c r="AD562" s="26">
        <f t="shared" si="25"/>
        <v>177</v>
      </c>
      <c r="AE562" s="25">
        <v>0</v>
      </c>
      <c r="AF562" s="10">
        <v>0</v>
      </c>
      <c r="AG562" s="10">
        <v>0</v>
      </c>
      <c r="AH562" s="10">
        <v>0</v>
      </c>
      <c r="AI562" s="10">
        <v>0</v>
      </c>
      <c r="AJ562" s="10">
        <v>0</v>
      </c>
      <c r="AK562" s="10">
        <v>0</v>
      </c>
      <c r="AL562" s="10">
        <v>0</v>
      </c>
      <c r="AM562" s="10">
        <v>0</v>
      </c>
      <c r="AN562" s="10">
        <v>0</v>
      </c>
      <c r="AO562" s="10">
        <v>0</v>
      </c>
      <c r="AP562" s="10">
        <v>0</v>
      </c>
      <c r="AQ562" s="26">
        <f t="shared" si="26"/>
        <v>0</v>
      </c>
    </row>
    <row r="563" spans="1:43" ht="17.25" customHeight="1" x14ac:dyDescent="0.45">
      <c r="A563" s="2" t="s">
        <v>13</v>
      </c>
      <c r="B563" s="2" t="s">
        <v>66</v>
      </c>
      <c r="C563" s="2" t="s">
        <v>72</v>
      </c>
      <c r="D563" s="2" t="s">
        <v>68</v>
      </c>
      <c r="E563" s="23">
        <v>51</v>
      </c>
      <c r="F563" s="1">
        <v>41</v>
      </c>
      <c r="G563" s="1">
        <v>46</v>
      </c>
      <c r="H563" s="1">
        <v>47</v>
      </c>
      <c r="I563" s="1">
        <v>49</v>
      </c>
      <c r="J563" s="1">
        <v>46</v>
      </c>
      <c r="K563" s="1">
        <v>50</v>
      </c>
      <c r="L563" s="1">
        <v>55</v>
      </c>
      <c r="M563" s="1">
        <v>47</v>
      </c>
      <c r="N563" s="1">
        <v>48</v>
      </c>
      <c r="O563" s="1">
        <v>75</v>
      </c>
      <c r="P563" s="1">
        <v>80</v>
      </c>
      <c r="Q563" s="24">
        <f t="shared" si="24"/>
        <v>635</v>
      </c>
      <c r="R563" s="23">
        <v>5345</v>
      </c>
      <c r="S563" s="1">
        <v>2841</v>
      </c>
      <c r="T563" s="1">
        <v>4680</v>
      </c>
      <c r="U563" s="1">
        <v>5146</v>
      </c>
      <c r="V563" s="1">
        <v>4985</v>
      </c>
      <c r="W563" s="1">
        <v>4880</v>
      </c>
      <c r="X563" s="1">
        <v>6399</v>
      </c>
      <c r="Y563" s="1">
        <v>6748</v>
      </c>
      <c r="Z563" s="1">
        <v>5188</v>
      </c>
      <c r="AA563" s="1">
        <v>5246</v>
      </c>
      <c r="AB563" s="1">
        <v>7647</v>
      </c>
      <c r="AC563" s="1">
        <v>7993</v>
      </c>
      <c r="AD563" s="24">
        <f t="shared" si="25"/>
        <v>67098</v>
      </c>
      <c r="AE563" s="23">
        <v>0</v>
      </c>
      <c r="AF563" s="1">
        <v>0</v>
      </c>
      <c r="AG563" s="1">
        <v>0</v>
      </c>
      <c r="AH563" s="1">
        <v>1988</v>
      </c>
      <c r="AI563" s="1">
        <v>0</v>
      </c>
      <c r="AJ563" s="1">
        <v>0</v>
      </c>
      <c r="AK563" s="1">
        <v>0</v>
      </c>
      <c r="AL563" s="1">
        <v>0</v>
      </c>
      <c r="AM563" s="1">
        <v>0</v>
      </c>
      <c r="AN563" s="1">
        <v>0</v>
      </c>
      <c r="AO563" s="1">
        <v>0</v>
      </c>
      <c r="AP563" s="1">
        <v>0</v>
      </c>
      <c r="AQ563" s="24">
        <f t="shared" si="26"/>
        <v>1988</v>
      </c>
    </row>
    <row r="564" spans="1:43" ht="17.25" customHeight="1" x14ac:dyDescent="0.45">
      <c r="A564" s="12" t="s">
        <v>13</v>
      </c>
      <c r="B564" s="12" t="s">
        <v>66</v>
      </c>
      <c r="C564" s="12" t="s">
        <v>67</v>
      </c>
      <c r="D564" s="12" t="s">
        <v>68</v>
      </c>
      <c r="E564" s="25">
        <v>188</v>
      </c>
      <c r="F564" s="10">
        <v>174</v>
      </c>
      <c r="G564" s="10">
        <v>187</v>
      </c>
      <c r="H564" s="10">
        <v>177</v>
      </c>
      <c r="I564" s="10">
        <v>177</v>
      </c>
      <c r="J564" s="10">
        <v>209</v>
      </c>
      <c r="K564" s="10">
        <v>213</v>
      </c>
      <c r="L564" s="10">
        <v>210</v>
      </c>
      <c r="M564" s="10">
        <v>188</v>
      </c>
      <c r="N564" s="10">
        <v>203</v>
      </c>
      <c r="O564" s="10">
        <v>191</v>
      </c>
      <c r="P564" s="10">
        <v>199</v>
      </c>
      <c r="Q564" s="26">
        <f t="shared" si="24"/>
        <v>2316</v>
      </c>
      <c r="R564" s="25">
        <v>18361</v>
      </c>
      <c r="S564" s="10">
        <v>13853</v>
      </c>
      <c r="T564" s="10">
        <v>17461</v>
      </c>
      <c r="U564" s="10">
        <v>15792</v>
      </c>
      <c r="V564" s="10">
        <v>15788</v>
      </c>
      <c r="W564" s="10">
        <v>17630</v>
      </c>
      <c r="X564" s="10">
        <v>20755</v>
      </c>
      <c r="Y564" s="10">
        <v>17711</v>
      </c>
      <c r="Z564" s="10">
        <v>17635</v>
      </c>
      <c r="AA564" s="10">
        <v>17966</v>
      </c>
      <c r="AB564" s="10">
        <v>17345</v>
      </c>
      <c r="AC564" s="10">
        <v>17251</v>
      </c>
      <c r="AD564" s="26">
        <f t="shared" si="25"/>
        <v>207548</v>
      </c>
      <c r="AE564" s="25">
        <v>146.89516070000002</v>
      </c>
      <c r="AF564" s="10">
        <v>329.85476509</v>
      </c>
      <c r="AG564" s="10">
        <v>110.24545388000001</v>
      </c>
      <c r="AH564" s="10">
        <v>0</v>
      </c>
      <c r="AI564" s="10">
        <v>0</v>
      </c>
      <c r="AJ564" s="10">
        <v>0</v>
      </c>
      <c r="AK564" s="10">
        <v>0</v>
      </c>
      <c r="AL564" s="10">
        <v>5.4431084400000005</v>
      </c>
      <c r="AM564" s="10">
        <v>0</v>
      </c>
      <c r="AN564" s="10">
        <v>266.25872119000002</v>
      </c>
      <c r="AO564" s="10">
        <v>0</v>
      </c>
      <c r="AP564" s="10">
        <v>5.8967008100000005</v>
      </c>
      <c r="AQ564" s="26">
        <f t="shared" si="26"/>
        <v>864.59391010999991</v>
      </c>
    </row>
    <row r="565" spans="1:43" ht="17.25" customHeight="1" x14ac:dyDescent="0.45">
      <c r="A565" s="2" t="s">
        <v>13</v>
      </c>
      <c r="B565" s="2" t="s">
        <v>66</v>
      </c>
      <c r="C565" s="2" t="s">
        <v>100</v>
      </c>
      <c r="D565" s="2" t="s">
        <v>68</v>
      </c>
      <c r="E565" s="23">
        <v>2</v>
      </c>
      <c r="F565" s="1">
        <v>9</v>
      </c>
      <c r="G565" s="1">
        <v>10</v>
      </c>
      <c r="H565" s="1">
        <v>9</v>
      </c>
      <c r="I565" s="1">
        <v>8</v>
      </c>
      <c r="J565" s="1">
        <v>9</v>
      </c>
      <c r="K565" s="1">
        <v>8</v>
      </c>
      <c r="L565" s="1">
        <v>9</v>
      </c>
      <c r="M565" s="1">
        <v>9</v>
      </c>
      <c r="N565" s="1">
        <v>9</v>
      </c>
      <c r="O565" s="1">
        <v>9</v>
      </c>
      <c r="P565" s="1">
        <v>14</v>
      </c>
      <c r="Q565" s="24">
        <f t="shared" si="24"/>
        <v>105</v>
      </c>
      <c r="R565" s="23">
        <v>243</v>
      </c>
      <c r="S565" s="1">
        <v>1138</v>
      </c>
      <c r="T565" s="1">
        <v>1527</v>
      </c>
      <c r="U565" s="1">
        <v>872</v>
      </c>
      <c r="V565" s="1">
        <v>647</v>
      </c>
      <c r="W565" s="1">
        <v>1065</v>
      </c>
      <c r="X565" s="1">
        <v>1366</v>
      </c>
      <c r="Y565" s="1">
        <v>1410</v>
      </c>
      <c r="Z565" s="1">
        <v>1077</v>
      </c>
      <c r="AA565" s="1">
        <v>1080</v>
      </c>
      <c r="AB565" s="1">
        <v>1121</v>
      </c>
      <c r="AC565" s="1">
        <v>2326</v>
      </c>
      <c r="AD565" s="24">
        <f t="shared" si="25"/>
        <v>13872</v>
      </c>
      <c r="AE565" s="23">
        <v>0</v>
      </c>
      <c r="AF565" s="1">
        <v>0</v>
      </c>
      <c r="AG565" s="1">
        <v>0</v>
      </c>
      <c r="AH565" s="1">
        <v>0</v>
      </c>
      <c r="AI565" s="1">
        <v>0</v>
      </c>
      <c r="AJ565" s="1">
        <v>0</v>
      </c>
      <c r="AK565" s="1">
        <v>0</v>
      </c>
      <c r="AL565" s="1">
        <v>0</v>
      </c>
      <c r="AM565" s="1">
        <v>0</v>
      </c>
      <c r="AN565" s="1">
        <v>0</v>
      </c>
      <c r="AO565" s="1">
        <v>0</v>
      </c>
      <c r="AP565" s="1">
        <v>0</v>
      </c>
      <c r="AQ565" s="24">
        <f t="shared" si="26"/>
        <v>0</v>
      </c>
    </row>
    <row r="566" spans="1:43" ht="17.25" customHeight="1" x14ac:dyDescent="0.45">
      <c r="A566" s="12" t="s">
        <v>13</v>
      </c>
      <c r="B566" s="12" t="s">
        <v>66</v>
      </c>
      <c r="C566" s="12" t="s">
        <v>101</v>
      </c>
      <c r="D566" s="12" t="s">
        <v>68</v>
      </c>
      <c r="E566" s="25">
        <v>29</v>
      </c>
      <c r="F566" s="10">
        <v>29</v>
      </c>
      <c r="G566" s="10">
        <v>30</v>
      </c>
      <c r="H566" s="10">
        <v>26</v>
      </c>
      <c r="I566" s="10">
        <v>27</v>
      </c>
      <c r="J566" s="10">
        <v>27</v>
      </c>
      <c r="K566" s="10">
        <v>31</v>
      </c>
      <c r="L566" s="10">
        <v>31</v>
      </c>
      <c r="M566" s="10">
        <v>22</v>
      </c>
      <c r="N566" s="10">
        <v>23</v>
      </c>
      <c r="O566" s="10">
        <v>22</v>
      </c>
      <c r="P566" s="10">
        <v>23</v>
      </c>
      <c r="Q566" s="26">
        <f t="shared" si="24"/>
        <v>320</v>
      </c>
      <c r="R566" s="25">
        <v>1862</v>
      </c>
      <c r="S566" s="10">
        <v>1704</v>
      </c>
      <c r="T566" s="10">
        <v>2383</v>
      </c>
      <c r="U566" s="10">
        <v>1949</v>
      </c>
      <c r="V566" s="10">
        <v>1975</v>
      </c>
      <c r="W566" s="10">
        <v>2131</v>
      </c>
      <c r="X566" s="10">
        <v>2709</v>
      </c>
      <c r="Y566" s="10">
        <v>2132</v>
      </c>
      <c r="Z566" s="10">
        <v>1526</v>
      </c>
      <c r="AA566" s="10">
        <v>1616</v>
      </c>
      <c r="AB566" s="10">
        <v>1436</v>
      </c>
      <c r="AC566" s="10">
        <v>1371</v>
      </c>
      <c r="AD566" s="26">
        <f t="shared" si="25"/>
        <v>22794</v>
      </c>
      <c r="AE566" s="25">
        <v>1</v>
      </c>
      <c r="AF566" s="10">
        <v>0</v>
      </c>
      <c r="AG566" s="10">
        <v>0</v>
      </c>
      <c r="AH566" s="10">
        <v>0</v>
      </c>
      <c r="AI566" s="10">
        <v>0</v>
      </c>
      <c r="AJ566" s="10">
        <v>0</v>
      </c>
      <c r="AK566" s="10">
        <v>41</v>
      </c>
      <c r="AL566" s="10">
        <v>0</v>
      </c>
      <c r="AM566" s="10">
        <v>0</v>
      </c>
      <c r="AN566" s="10">
        <v>0</v>
      </c>
      <c r="AO566" s="10">
        <v>0</v>
      </c>
      <c r="AP566" s="10">
        <v>0</v>
      </c>
      <c r="AQ566" s="26">
        <f t="shared" si="26"/>
        <v>42</v>
      </c>
    </row>
    <row r="567" spans="1:43" ht="17.25" customHeight="1" x14ac:dyDescent="0.45">
      <c r="A567" s="2" t="s">
        <v>13</v>
      </c>
      <c r="B567" s="2" t="s">
        <v>66</v>
      </c>
      <c r="C567" s="2" t="s">
        <v>69</v>
      </c>
      <c r="D567" s="2" t="s">
        <v>68</v>
      </c>
      <c r="E567" s="23">
        <v>212</v>
      </c>
      <c r="F567" s="1">
        <v>193</v>
      </c>
      <c r="G567" s="1">
        <v>206</v>
      </c>
      <c r="H567" s="1">
        <v>210</v>
      </c>
      <c r="I567" s="1">
        <v>211</v>
      </c>
      <c r="J567" s="1">
        <v>206</v>
      </c>
      <c r="K567" s="1">
        <v>202</v>
      </c>
      <c r="L567" s="1">
        <v>214</v>
      </c>
      <c r="M567" s="1">
        <v>207</v>
      </c>
      <c r="N567" s="1">
        <v>216</v>
      </c>
      <c r="O567" s="1">
        <v>207</v>
      </c>
      <c r="P567" s="1">
        <v>214</v>
      </c>
      <c r="Q567" s="24">
        <f t="shared" si="24"/>
        <v>2498</v>
      </c>
      <c r="R567" s="23">
        <v>17732</v>
      </c>
      <c r="S567" s="1">
        <v>15821</v>
      </c>
      <c r="T567" s="1">
        <v>19637</v>
      </c>
      <c r="U567" s="1">
        <v>18525</v>
      </c>
      <c r="V567" s="1">
        <v>18504</v>
      </c>
      <c r="W567" s="1">
        <v>19170</v>
      </c>
      <c r="X567" s="1">
        <v>23044</v>
      </c>
      <c r="Y567" s="1">
        <v>20102</v>
      </c>
      <c r="Z567" s="1">
        <v>19130</v>
      </c>
      <c r="AA567" s="1">
        <v>19804</v>
      </c>
      <c r="AB567" s="1">
        <v>18715</v>
      </c>
      <c r="AC567" s="1">
        <v>19452</v>
      </c>
      <c r="AD567" s="24">
        <f t="shared" si="25"/>
        <v>229636</v>
      </c>
      <c r="AE567" s="23">
        <v>1190</v>
      </c>
      <c r="AF567" s="1">
        <v>3101</v>
      </c>
      <c r="AG567" s="1">
        <v>4934</v>
      </c>
      <c r="AH567" s="1">
        <v>1432</v>
      </c>
      <c r="AI567" s="1">
        <v>2390</v>
      </c>
      <c r="AJ567" s="1">
        <v>973</v>
      </c>
      <c r="AK567" s="1">
        <v>1888</v>
      </c>
      <c r="AL567" s="1">
        <v>1356</v>
      </c>
      <c r="AM567" s="1">
        <v>1348</v>
      </c>
      <c r="AN567" s="1">
        <v>1891</v>
      </c>
      <c r="AO567" s="1">
        <v>335</v>
      </c>
      <c r="AP567" s="1">
        <v>2005</v>
      </c>
      <c r="AQ567" s="24">
        <f t="shared" si="26"/>
        <v>22843</v>
      </c>
    </row>
    <row r="568" spans="1:43" ht="17.25" customHeight="1" x14ac:dyDescent="0.45">
      <c r="A568" s="12" t="s">
        <v>13</v>
      </c>
      <c r="B568" s="12" t="s">
        <v>66</v>
      </c>
      <c r="C568" s="12" t="s">
        <v>116</v>
      </c>
      <c r="D568" s="12" t="s">
        <v>96</v>
      </c>
      <c r="E568" s="25">
        <v>8</v>
      </c>
      <c r="F568" s="10">
        <v>9</v>
      </c>
      <c r="G568" s="10">
        <v>9</v>
      </c>
      <c r="H568" s="10">
        <v>8</v>
      </c>
      <c r="I568" s="10">
        <v>9</v>
      </c>
      <c r="J568" s="10">
        <v>9</v>
      </c>
      <c r="K568" s="10">
        <v>9</v>
      </c>
      <c r="L568" s="10">
        <v>9</v>
      </c>
      <c r="M568" s="10">
        <v>7</v>
      </c>
      <c r="N568" s="10">
        <v>9</v>
      </c>
      <c r="O568" s="10">
        <v>8</v>
      </c>
      <c r="P568" s="10">
        <v>8</v>
      </c>
      <c r="Q568" s="26">
        <f t="shared" si="24"/>
        <v>102</v>
      </c>
      <c r="R568" s="25">
        <v>1094</v>
      </c>
      <c r="S568" s="10">
        <v>1419</v>
      </c>
      <c r="T568" s="10">
        <v>1293</v>
      </c>
      <c r="U568" s="10">
        <v>1082</v>
      </c>
      <c r="V568" s="10">
        <v>1249</v>
      </c>
      <c r="W568" s="10">
        <v>1393</v>
      </c>
      <c r="X568" s="10">
        <v>1487</v>
      </c>
      <c r="Y568" s="10">
        <v>1378</v>
      </c>
      <c r="Z568" s="10">
        <v>1091</v>
      </c>
      <c r="AA568" s="10">
        <v>1055</v>
      </c>
      <c r="AB568" s="10">
        <v>1174</v>
      </c>
      <c r="AC568" s="10">
        <v>1294</v>
      </c>
      <c r="AD568" s="26">
        <f t="shared" si="25"/>
        <v>15009</v>
      </c>
      <c r="AE568" s="25">
        <v>0</v>
      </c>
      <c r="AF568" s="10">
        <v>0</v>
      </c>
      <c r="AG568" s="10">
        <v>0</v>
      </c>
      <c r="AH568" s="10">
        <v>0</v>
      </c>
      <c r="AI568" s="10">
        <v>0</v>
      </c>
      <c r="AJ568" s="10">
        <v>0</v>
      </c>
      <c r="AK568" s="10">
        <v>0</v>
      </c>
      <c r="AL568" s="10">
        <v>0</v>
      </c>
      <c r="AM568" s="10">
        <v>0</v>
      </c>
      <c r="AN568" s="10">
        <v>0</v>
      </c>
      <c r="AO568" s="10">
        <v>0</v>
      </c>
      <c r="AP568" s="10">
        <v>1275</v>
      </c>
      <c r="AQ568" s="26">
        <f t="shared" si="26"/>
        <v>1275</v>
      </c>
    </row>
    <row r="569" spans="1:43" ht="17.25" customHeight="1" x14ac:dyDescent="0.45">
      <c r="A569" s="2" t="s">
        <v>13</v>
      </c>
      <c r="B569" s="2" t="s">
        <v>66</v>
      </c>
      <c r="C569" s="2" t="s">
        <v>184</v>
      </c>
      <c r="D569" s="2" t="s">
        <v>68</v>
      </c>
      <c r="E569" s="23">
        <v>31</v>
      </c>
      <c r="F569" s="1">
        <v>34</v>
      </c>
      <c r="G569" s="1">
        <v>38</v>
      </c>
      <c r="H569" s="1">
        <v>30</v>
      </c>
      <c r="I569" s="1">
        <v>31</v>
      </c>
      <c r="J569" s="1">
        <v>31</v>
      </c>
      <c r="K569" s="1">
        <v>30</v>
      </c>
      <c r="L569" s="1">
        <v>31</v>
      </c>
      <c r="M569" s="1">
        <v>33</v>
      </c>
      <c r="N569" s="1">
        <v>31</v>
      </c>
      <c r="O569" s="1">
        <v>33</v>
      </c>
      <c r="P569" s="1">
        <v>42</v>
      </c>
      <c r="Q569" s="24">
        <f t="shared" si="24"/>
        <v>395</v>
      </c>
      <c r="R569" s="23">
        <v>5810</v>
      </c>
      <c r="S569" s="1">
        <v>5331</v>
      </c>
      <c r="T569" s="1">
        <v>5910</v>
      </c>
      <c r="U569" s="1">
        <v>4926</v>
      </c>
      <c r="V569" s="1">
        <v>5327</v>
      </c>
      <c r="W569" s="1">
        <v>5514</v>
      </c>
      <c r="X569" s="1">
        <v>5992</v>
      </c>
      <c r="Y569" s="1">
        <v>5562</v>
      </c>
      <c r="Z569" s="1">
        <v>5808</v>
      </c>
      <c r="AA569" s="1">
        <v>5688</v>
      </c>
      <c r="AB569" s="1">
        <v>6480</v>
      </c>
      <c r="AC569" s="1">
        <v>7370</v>
      </c>
      <c r="AD569" s="24">
        <f t="shared" si="25"/>
        <v>69718</v>
      </c>
      <c r="AE569" s="23">
        <v>0</v>
      </c>
      <c r="AF569" s="1">
        <v>0</v>
      </c>
      <c r="AG569" s="1">
        <v>0</v>
      </c>
      <c r="AH569" s="1">
        <v>0</v>
      </c>
      <c r="AI569" s="1">
        <v>0</v>
      </c>
      <c r="AJ569" s="1">
        <v>0</v>
      </c>
      <c r="AK569" s="1">
        <v>0</v>
      </c>
      <c r="AL569" s="1">
        <v>0</v>
      </c>
      <c r="AM569" s="1">
        <v>0</v>
      </c>
      <c r="AN569" s="1">
        <v>0</v>
      </c>
      <c r="AO569" s="1">
        <v>0</v>
      </c>
      <c r="AP569" s="1">
        <v>0</v>
      </c>
      <c r="AQ569" s="24">
        <f t="shared" si="26"/>
        <v>0</v>
      </c>
    </row>
    <row r="570" spans="1:43" ht="17.25" customHeight="1" x14ac:dyDescent="0.45">
      <c r="A570" s="12" t="s">
        <v>13</v>
      </c>
      <c r="B570" s="12" t="s">
        <v>66</v>
      </c>
      <c r="C570" s="12" t="s">
        <v>73</v>
      </c>
      <c r="D570" s="12" t="s">
        <v>68</v>
      </c>
      <c r="E570" s="25">
        <v>16</v>
      </c>
      <c r="F570" s="10">
        <v>9</v>
      </c>
      <c r="G570" s="10">
        <v>9</v>
      </c>
      <c r="H570" s="10">
        <v>8</v>
      </c>
      <c r="I570" s="10">
        <v>9</v>
      </c>
      <c r="J570" s="10">
        <v>18</v>
      </c>
      <c r="K570" s="10">
        <v>22</v>
      </c>
      <c r="L570" s="10">
        <v>20</v>
      </c>
      <c r="M570" s="10">
        <v>17</v>
      </c>
      <c r="N570" s="10">
        <v>18</v>
      </c>
      <c r="O570" s="10">
        <v>42</v>
      </c>
      <c r="P570" s="10">
        <v>44</v>
      </c>
      <c r="Q570" s="26">
        <f t="shared" si="24"/>
        <v>232</v>
      </c>
      <c r="R570" s="25">
        <v>2345</v>
      </c>
      <c r="S570" s="10">
        <v>1459</v>
      </c>
      <c r="T570" s="10">
        <v>1415</v>
      </c>
      <c r="U570" s="10">
        <v>1201</v>
      </c>
      <c r="V570" s="10">
        <v>1379</v>
      </c>
      <c r="W570" s="10">
        <v>2638</v>
      </c>
      <c r="X570" s="10">
        <v>4281</v>
      </c>
      <c r="Y570" s="10">
        <v>3123</v>
      </c>
      <c r="Z570" s="10">
        <v>2761</v>
      </c>
      <c r="AA570" s="10">
        <v>3066</v>
      </c>
      <c r="AB570" s="10">
        <v>4911</v>
      </c>
      <c r="AC570" s="10">
        <v>5886</v>
      </c>
      <c r="AD570" s="26">
        <f t="shared" si="25"/>
        <v>34465</v>
      </c>
      <c r="AE570" s="25">
        <v>0</v>
      </c>
      <c r="AF570" s="10">
        <v>0</v>
      </c>
      <c r="AG570" s="10">
        <v>0</v>
      </c>
      <c r="AH570" s="10">
        <v>0</v>
      </c>
      <c r="AI570" s="10">
        <v>0</v>
      </c>
      <c r="AJ570" s="10">
        <v>0</v>
      </c>
      <c r="AK570" s="10">
        <v>0</v>
      </c>
      <c r="AL570" s="10">
        <v>0</v>
      </c>
      <c r="AM570" s="10">
        <v>0</v>
      </c>
      <c r="AN570" s="10">
        <v>0</v>
      </c>
      <c r="AO570" s="10">
        <v>0</v>
      </c>
      <c r="AP570" s="10">
        <v>0</v>
      </c>
      <c r="AQ570" s="26">
        <f t="shared" si="26"/>
        <v>0</v>
      </c>
    </row>
    <row r="571" spans="1:43" ht="17.25" customHeight="1" x14ac:dyDescent="0.45">
      <c r="A571" s="2" t="s">
        <v>13</v>
      </c>
      <c r="B571" s="2" t="s">
        <v>66</v>
      </c>
      <c r="C571" s="2" t="s">
        <v>185</v>
      </c>
      <c r="D571" s="2" t="s">
        <v>68</v>
      </c>
      <c r="E571" s="23">
        <v>22</v>
      </c>
      <c r="F571" s="1">
        <v>21</v>
      </c>
      <c r="G571" s="1">
        <v>21</v>
      </c>
      <c r="H571" s="1">
        <v>22</v>
      </c>
      <c r="I571" s="1">
        <v>23</v>
      </c>
      <c r="J571" s="1">
        <v>20</v>
      </c>
      <c r="K571" s="1">
        <v>23</v>
      </c>
      <c r="L571" s="1">
        <v>22</v>
      </c>
      <c r="M571" s="1">
        <v>21</v>
      </c>
      <c r="N571" s="1">
        <v>23</v>
      </c>
      <c r="O571" s="1">
        <v>21</v>
      </c>
      <c r="P571" s="1">
        <v>21</v>
      </c>
      <c r="Q571" s="24">
        <f t="shared" si="24"/>
        <v>260</v>
      </c>
      <c r="R571" s="23">
        <v>0</v>
      </c>
      <c r="S571" s="1">
        <v>0</v>
      </c>
      <c r="T571" s="1">
        <v>0</v>
      </c>
      <c r="U571" s="1">
        <v>0</v>
      </c>
      <c r="V571" s="1">
        <v>0</v>
      </c>
      <c r="W571" s="1">
        <v>0</v>
      </c>
      <c r="X571" s="1">
        <v>0</v>
      </c>
      <c r="Y571" s="1">
        <v>0</v>
      </c>
      <c r="Z571" s="1">
        <v>0</v>
      </c>
      <c r="AA571" s="1">
        <v>0</v>
      </c>
      <c r="AB571" s="1">
        <v>0</v>
      </c>
      <c r="AC571" s="1">
        <v>0</v>
      </c>
      <c r="AD571" s="24">
        <f t="shared" si="25"/>
        <v>0</v>
      </c>
      <c r="AE571" s="23">
        <v>484822</v>
      </c>
      <c r="AF571" s="1">
        <v>488655</v>
      </c>
      <c r="AG571" s="1">
        <v>474473</v>
      </c>
      <c r="AH571" s="1">
        <v>433755</v>
      </c>
      <c r="AI571" s="1">
        <v>404289</v>
      </c>
      <c r="AJ571" s="1">
        <v>367543</v>
      </c>
      <c r="AK571" s="1">
        <v>432217</v>
      </c>
      <c r="AL571" s="1">
        <v>436694</v>
      </c>
      <c r="AM571" s="1">
        <v>369361</v>
      </c>
      <c r="AN571" s="1">
        <v>303657</v>
      </c>
      <c r="AO571" s="1">
        <v>350139</v>
      </c>
      <c r="AP571" s="1">
        <v>276337</v>
      </c>
      <c r="AQ571" s="24">
        <f t="shared" si="26"/>
        <v>4821942</v>
      </c>
    </row>
    <row r="572" spans="1:43" ht="17.25" customHeight="1" x14ac:dyDescent="0.45">
      <c r="A572" s="12" t="s">
        <v>13</v>
      </c>
      <c r="B572" s="12" t="s">
        <v>66</v>
      </c>
      <c r="C572" s="12" t="s">
        <v>123</v>
      </c>
      <c r="D572" s="12" t="s">
        <v>81</v>
      </c>
      <c r="E572" s="25">
        <v>13</v>
      </c>
      <c r="F572" s="10">
        <v>13</v>
      </c>
      <c r="G572" s="10">
        <v>18</v>
      </c>
      <c r="H572" s="10">
        <v>22</v>
      </c>
      <c r="I572" s="10">
        <v>25</v>
      </c>
      <c r="J572" s="10">
        <v>30</v>
      </c>
      <c r="K572" s="10">
        <v>31</v>
      </c>
      <c r="L572" s="10">
        <v>31</v>
      </c>
      <c r="M572" s="10">
        <v>30</v>
      </c>
      <c r="N572" s="10">
        <v>24</v>
      </c>
      <c r="O572" s="10">
        <v>18</v>
      </c>
      <c r="P572" s="10">
        <v>16</v>
      </c>
      <c r="Q572" s="26">
        <f t="shared" si="24"/>
        <v>271</v>
      </c>
      <c r="R572" s="25">
        <v>3079</v>
      </c>
      <c r="S572" s="10">
        <v>3176</v>
      </c>
      <c r="T572" s="10">
        <v>4515</v>
      </c>
      <c r="U572" s="10">
        <v>4439</v>
      </c>
      <c r="V572" s="10">
        <v>5724</v>
      </c>
      <c r="W572" s="10">
        <v>7302</v>
      </c>
      <c r="X572" s="10">
        <v>6271</v>
      </c>
      <c r="Y572" s="10">
        <v>6518</v>
      </c>
      <c r="Z572" s="10">
        <v>7036</v>
      </c>
      <c r="AA572" s="10">
        <v>4571</v>
      </c>
      <c r="AB572" s="10">
        <v>3327</v>
      </c>
      <c r="AC572" s="10">
        <v>3446</v>
      </c>
      <c r="AD572" s="26">
        <f t="shared" si="25"/>
        <v>59404</v>
      </c>
      <c r="AE572" s="25">
        <v>5477</v>
      </c>
      <c r="AF572" s="10">
        <v>163608</v>
      </c>
      <c r="AG572" s="10">
        <v>148229</v>
      </c>
      <c r="AH572" s="10">
        <v>95997</v>
      </c>
      <c r="AI572" s="10">
        <v>180042</v>
      </c>
      <c r="AJ572" s="10">
        <v>288972</v>
      </c>
      <c r="AK572" s="10">
        <v>344805</v>
      </c>
      <c r="AL572" s="10">
        <v>137248</v>
      </c>
      <c r="AM572" s="10">
        <v>276394</v>
      </c>
      <c r="AN572" s="10">
        <v>103567</v>
      </c>
      <c r="AO572" s="10">
        <v>23157</v>
      </c>
      <c r="AP572" s="10">
        <v>4588</v>
      </c>
      <c r="AQ572" s="26">
        <f t="shared" si="26"/>
        <v>1772084</v>
      </c>
    </row>
    <row r="573" spans="1:43" ht="17.25" customHeight="1" x14ac:dyDescent="0.45">
      <c r="A573" s="2" t="s">
        <v>13</v>
      </c>
      <c r="B573" s="2" t="s">
        <v>66</v>
      </c>
      <c r="C573" s="2" t="s">
        <v>188</v>
      </c>
      <c r="D573" s="2" t="s">
        <v>68</v>
      </c>
      <c r="E573" s="23">
        <v>28</v>
      </c>
      <c r="F573" s="1">
        <v>29</v>
      </c>
      <c r="G573" s="1">
        <v>28</v>
      </c>
      <c r="H573" s="1">
        <v>33</v>
      </c>
      <c r="I573" s="1">
        <v>30</v>
      </c>
      <c r="J573" s="1">
        <v>31</v>
      </c>
      <c r="K573" s="1">
        <v>31</v>
      </c>
      <c r="L573" s="1">
        <v>29</v>
      </c>
      <c r="M573" s="1">
        <v>27</v>
      </c>
      <c r="N573" s="1">
        <v>31</v>
      </c>
      <c r="O573" s="1">
        <v>26</v>
      </c>
      <c r="P573" s="1">
        <v>20</v>
      </c>
      <c r="Q573" s="24">
        <f t="shared" si="24"/>
        <v>343</v>
      </c>
      <c r="R573" s="23">
        <v>0</v>
      </c>
      <c r="S573" s="1">
        <v>0</v>
      </c>
      <c r="T573" s="1">
        <v>0</v>
      </c>
      <c r="U573" s="1">
        <v>0</v>
      </c>
      <c r="V573" s="1">
        <v>0</v>
      </c>
      <c r="W573" s="1">
        <v>0</v>
      </c>
      <c r="X573" s="1">
        <v>0</v>
      </c>
      <c r="Y573" s="1">
        <v>0</v>
      </c>
      <c r="Z573" s="1">
        <v>0</v>
      </c>
      <c r="AA573" s="1">
        <v>0</v>
      </c>
      <c r="AB573" s="1">
        <v>0</v>
      </c>
      <c r="AC573" s="1">
        <v>0</v>
      </c>
      <c r="AD573" s="24">
        <f t="shared" si="25"/>
        <v>0</v>
      </c>
      <c r="AE573" s="23">
        <v>720005</v>
      </c>
      <c r="AF573" s="1">
        <v>732169</v>
      </c>
      <c r="AG573" s="1">
        <v>685230</v>
      </c>
      <c r="AH573" s="1">
        <v>750213</v>
      </c>
      <c r="AI573" s="1">
        <v>827643</v>
      </c>
      <c r="AJ573" s="1">
        <v>888012</v>
      </c>
      <c r="AK573" s="1">
        <v>846404</v>
      </c>
      <c r="AL573" s="1">
        <v>710310</v>
      </c>
      <c r="AM573" s="1">
        <v>564008</v>
      </c>
      <c r="AN573" s="1">
        <v>684717.08204800007</v>
      </c>
      <c r="AO573" s="1">
        <v>685369</v>
      </c>
      <c r="AP573" s="1">
        <v>379908</v>
      </c>
      <c r="AQ573" s="24">
        <f t="shared" si="26"/>
        <v>8473988.0820479989</v>
      </c>
    </row>
    <row r="574" spans="1:43" ht="17.25" customHeight="1" x14ac:dyDescent="0.45">
      <c r="A574" s="12" t="s">
        <v>13</v>
      </c>
      <c r="B574" s="12" t="s">
        <v>66</v>
      </c>
      <c r="C574" s="12" t="s">
        <v>126</v>
      </c>
      <c r="D574" s="12" t="s">
        <v>68</v>
      </c>
      <c r="E574" s="25">
        <v>31</v>
      </c>
      <c r="F574" s="10">
        <v>29</v>
      </c>
      <c r="G574" s="10">
        <v>31</v>
      </c>
      <c r="H574" s="10">
        <v>30</v>
      </c>
      <c r="I574" s="10">
        <v>31</v>
      </c>
      <c r="J574" s="10">
        <v>30</v>
      </c>
      <c r="K574" s="10">
        <v>53</v>
      </c>
      <c r="L574" s="10">
        <v>45</v>
      </c>
      <c r="M574" s="10">
        <v>48</v>
      </c>
      <c r="N574" s="10">
        <v>41</v>
      </c>
      <c r="O574" s="10">
        <v>40</v>
      </c>
      <c r="P574" s="10">
        <v>68</v>
      </c>
      <c r="Q574" s="26">
        <f t="shared" si="24"/>
        <v>477</v>
      </c>
      <c r="R574" s="25">
        <v>1974</v>
      </c>
      <c r="S574" s="10">
        <v>1711</v>
      </c>
      <c r="T574" s="10">
        <v>2098</v>
      </c>
      <c r="U574" s="10">
        <v>1810</v>
      </c>
      <c r="V574" s="10">
        <v>1888</v>
      </c>
      <c r="W574" s="10">
        <v>1787</v>
      </c>
      <c r="X574" s="10">
        <v>4418</v>
      </c>
      <c r="Y574" s="10">
        <v>3345</v>
      </c>
      <c r="Z574" s="10">
        <v>3174</v>
      </c>
      <c r="AA574" s="10">
        <v>2822</v>
      </c>
      <c r="AB574" s="10">
        <v>3116</v>
      </c>
      <c r="AC574" s="10">
        <v>5677</v>
      </c>
      <c r="AD574" s="26">
        <f t="shared" si="25"/>
        <v>33820</v>
      </c>
      <c r="AE574" s="25">
        <v>0</v>
      </c>
      <c r="AF574" s="10">
        <v>0</v>
      </c>
      <c r="AG574" s="10">
        <v>0</v>
      </c>
      <c r="AH574" s="10">
        <v>0</v>
      </c>
      <c r="AI574" s="10">
        <v>0</v>
      </c>
      <c r="AJ574" s="10">
        <v>0</v>
      </c>
      <c r="AK574" s="10">
        <v>6392</v>
      </c>
      <c r="AL574" s="10">
        <v>0.91300000000000003</v>
      </c>
      <c r="AM574" s="10">
        <v>43407</v>
      </c>
      <c r="AN574" s="10">
        <v>0</v>
      </c>
      <c r="AO574" s="10">
        <v>0</v>
      </c>
      <c r="AP574" s="10">
        <v>0</v>
      </c>
      <c r="AQ574" s="26">
        <f t="shared" si="26"/>
        <v>49799.913</v>
      </c>
    </row>
    <row r="575" spans="1:43" ht="17.25" customHeight="1" x14ac:dyDescent="0.45">
      <c r="A575" s="2" t="s">
        <v>13</v>
      </c>
      <c r="B575" s="2" t="s">
        <v>66</v>
      </c>
      <c r="C575" s="2" t="s">
        <v>134</v>
      </c>
      <c r="D575" s="2" t="s">
        <v>68</v>
      </c>
      <c r="E575" s="23">
        <v>0</v>
      </c>
      <c r="F575" s="1">
        <v>0</v>
      </c>
      <c r="G575" s="1">
        <v>0</v>
      </c>
      <c r="H575" s="1">
        <v>0</v>
      </c>
      <c r="I575" s="1">
        <v>0</v>
      </c>
      <c r="J575" s="1">
        <v>0</v>
      </c>
      <c r="K575" s="1">
        <v>0</v>
      </c>
      <c r="L575" s="1">
        <v>0</v>
      </c>
      <c r="M575" s="1">
        <v>0</v>
      </c>
      <c r="N575" s="1">
        <v>0</v>
      </c>
      <c r="O575" s="1">
        <v>0</v>
      </c>
      <c r="P575" s="1">
        <v>12</v>
      </c>
      <c r="Q575" s="24">
        <f t="shared" si="24"/>
        <v>12</v>
      </c>
      <c r="R575" s="23">
        <v>0</v>
      </c>
      <c r="S575" s="1">
        <v>0</v>
      </c>
      <c r="T575" s="1">
        <v>0</v>
      </c>
      <c r="U575" s="1">
        <v>0</v>
      </c>
      <c r="V575" s="1">
        <v>0</v>
      </c>
      <c r="W575" s="1">
        <v>0</v>
      </c>
      <c r="X575" s="1">
        <v>0</v>
      </c>
      <c r="Y575" s="1">
        <v>0</v>
      </c>
      <c r="Z575" s="1">
        <v>0</v>
      </c>
      <c r="AA575" s="1">
        <v>0</v>
      </c>
      <c r="AB575" s="1">
        <v>0</v>
      </c>
      <c r="AC575" s="1">
        <v>1173</v>
      </c>
      <c r="AD575" s="24">
        <f t="shared" si="25"/>
        <v>1173</v>
      </c>
      <c r="AE575" s="23">
        <v>0</v>
      </c>
      <c r="AF575" s="1">
        <v>0</v>
      </c>
      <c r="AG575" s="1">
        <v>0</v>
      </c>
      <c r="AH575" s="1">
        <v>0</v>
      </c>
      <c r="AI575" s="1">
        <v>0</v>
      </c>
      <c r="AJ575" s="1">
        <v>0</v>
      </c>
      <c r="AK575" s="1">
        <v>0</v>
      </c>
      <c r="AL575" s="1">
        <v>0</v>
      </c>
      <c r="AM575" s="1">
        <v>0</v>
      </c>
      <c r="AN575" s="1">
        <v>0</v>
      </c>
      <c r="AO575" s="1">
        <v>0</v>
      </c>
      <c r="AP575" s="1">
        <v>0</v>
      </c>
      <c r="AQ575" s="24">
        <f t="shared" si="26"/>
        <v>0</v>
      </c>
    </row>
    <row r="576" spans="1:43" ht="17.25" customHeight="1" x14ac:dyDescent="0.45">
      <c r="A576" s="12" t="s">
        <v>13</v>
      </c>
      <c r="B576" s="12" t="s">
        <v>66</v>
      </c>
      <c r="C576" s="12" t="s">
        <v>175</v>
      </c>
      <c r="D576" s="12" t="s">
        <v>68</v>
      </c>
      <c r="E576" s="25">
        <v>0</v>
      </c>
      <c r="F576" s="10">
        <v>0</v>
      </c>
      <c r="G576" s="10">
        <v>0</v>
      </c>
      <c r="H576" s="10">
        <v>0</v>
      </c>
      <c r="I576" s="10">
        <v>0</v>
      </c>
      <c r="J576" s="10">
        <v>0</v>
      </c>
      <c r="K576" s="10">
        <v>8</v>
      </c>
      <c r="L576" s="10">
        <v>9</v>
      </c>
      <c r="M576" s="10">
        <v>9</v>
      </c>
      <c r="N576" s="10">
        <v>8</v>
      </c>
      <c r="O576" s="10">
        <v>25</v>
      </c>
      <c r="P576" s="10">
        <v>26</v>
      </c>
      <c r="Q576" s="26">
        <f t="shared" si="24"/>
        <v>85</v>
      </c>
      <c r="R576" s="25">
        <v>0</v>
      </c>
      <c r="S576" s="10">
        <v>0</v>
      </c>
      <c r="T576" s="10">
        <v>0</v>
      </c>
      <c r="U576" s="10">
        <v>0</v>
      </c>
      <c r="V576" s="10">
        <v>0</v>
      </c>
      <c r="W576" s="10">
        <v>0</v>
      </c>
      <c r="X576" s="10">
        <v>1212</v>
      </c>
      <c r="Y576" s="10">
        <v>1123</v>
      </c>
      <c r="Z576" s="10">
        <v>1079</v>
      </c>
      <c r="AA576" s="10">
        <v>1034</v>
      </c>
      <c r="AB576" s="10">
        <v>1701</v>
      </c>
      <c r="AC576" s="10">
        <v>2161</v>
      </c>
      <c r="AD576" s="26">
        <f t="shared" si="25"/>
        <v>8310</v>
      </c>
      <c r="AE576" s="25">
        <v>0</v>
      </c>
      <c r="AF576" s="10">
        <v>0</v>
      </c>
      <c r="AG576" s="10">
        <v>0</v>
      </c>
      <c r="AH576" s="10">
        <v>0</v>
      </c>
      <c r="AI576" s="10">
        <v>0</v>
      </c>
      <c r="AJ576" s="10">
        <v>0</v>
      </c>
      <c r="AK576" s="10">
        <v>0</v>
      </c>
      <c r="AL576" s="10">
        <v>0</v>
      </c>
      <c r="AM576" s="10">
        <v>0</v>
      </c>
      <c r="AN576" s="10">
        <v>0</v>
      </c>
      <c r="AO576" s="10">
        <v>0</v>
      </c>
      <c r="AP576" s="10">
        <v>0</v>
      </c>
      <c r="AQ576" s="26">
        <f t="shared" si="26"/>
        <v>0</v>
      </c>
    </row>
    <row r="577" spans="1:43" ht="17.25" customHeight="1" x14ac:dyDescent="0.45">
      <c r="A577" s="2" t="s">
        <v>13</v>
      </c>
      <c r="B577" s="2" t="s">
        <v>66</v>
      </c>
      <c r="C577" s="2" t="s">
        <v>135</v>
      </c>
      <c r="D577" s="2" t="s">
        <v>68</v>
      </c>
      <c r="E577" s="23">
        <v>0</v>
      </c>
      <c r="F577" s="1">
        <v>0</v>
      </c>
      <c r="G577" s="1">
        <v>0</v>
      </c>
      <c r="H577" s="1">
        <v>0</v>
      </c>
      <c r="I577" s="1">
        <v>13</v>
      </c>
      <c r="J577" s="1">
        <v>14</v>
      </c>
      <c r="K577" s="1">
        <v>12</v>
      </c>
      <c r="L577" s="1">
        <v>14</v>
      </c>
      <c r="M577" s="1">
        <v>12</v>
      </c>
      <c r="N577" s="1">
        <v>12</v>
      </c>
      <c r="O577" s="1">
        <v>13</v>
      </c>
      <c r="P577" s="1">
        <v>26</v>
      </c>
      <c r="Q577" s="24">
        <f t="shared" si="24"/>
        <v>116</v>
      </c>
      <c r="R577" s="23">
        <v>0</v>
      </c>
      <c r="S577" s="1">
        <v>0</v>
      </c>
      <c r="T577" s="1">
        <v>0</v>
      </c>
      <c r="U577" s="1">
        <v>0</v>
      </c>
      <c r="V577" s="1">
        <v>1804</v>
      </c>
      <c r="W577" s="1">
        <v>2042</v>
      </c>
      <c r="X577" s="1">
        <v>2692</v>
      </c>
      <c r="Y577" s="1">
        <v>2678</v>
      </c>
      <c r="Z577" s="1">
        <v>2013</v>
      </c>
      <c r="AA577" s="1">
        <v>2028</v>
      </c>
      <c r="AB577" s="1">
        <v>1824</v>
      </c>
      <c r="AC577" s="1">
        <v>3817</v>
      </c>
      <c r="AD577" s="24">
        <f t="shared" si="25"/>
        <v>18898</v>
      </c>
      <c r="AE577" s="23">
        <v>0</v>
      </c>
      <c r="AF577" s="1">
        <v>0</v>
      </c>
      <c r="AG577" s="1">
        <v>0</v>
      </c>
      <c r="AH577" s="1">
        <v>0</v>
      </c>
      <c r="AI577" s="1">
        <v>0</v>
      </c>
      <c r="AJ577" s="1">
        <v>0</v>
      </c>
      <c r="AK577" s="1">
        <v>0</v>
      </c>
      <c r="AL577" s="1">
        <v>0</v>
      </c>
      <c r="AM577" s="1">
        <v>0</v>
      </c>
      <c r="AN577" s="1">
        <v>0</v>
      </c>
      <c r="AO577" s="1">
        <v>0</v>
      </c>
      <c r="AP577" s="1">
        <v>0</v>
      </c>
      <c r="AQ577" s="24">
        <f t="shared" si="26"/>
        <v>0</v>
      </c>
    </row>
    <row r="578" spans="1:43" ht="17.25" customHeight="1" x14ac:dyDescent="0.45">
      <c r="A578" s="12" t="s">
        <v>13</v>
      </c>
      <c r="B578" s="12" t="s">
        <v>66</v>
      </c>
      <c r="C578" s="12" t="s">
        <v>137</v>
      </c>
      <c r="D578" s="12" t="s">
        <v>138</v>
      </c>
      <c r="E578" s="25">
        <v>13</v>
      </c>
      <c r="F578" s="10">
        <v>17</v>
      </c>
      <c r="G578" s="10">
        <v>18</v>
      </c>
      <c r="H578" s="10">
        <v>17</v>
      </c>
      <c r="I578" s="10">
        <v>18</v>
      </c>
      <c r="J578" s="10">
        <v>17</v>
      </c>
      <c r="K578" s="10">
        <v>17</v>
      </c>
      <c r="L578" s="10">
        <v>19</v>
      </c>
      <c r="M578" s="10">
        <v>13</v>
      </c>
      <c r="N578" s="10">
        <v>17</v>
      </c>
      <c r="O578" s="10">
        <v>17</v>
      </c>
      <c r="P578" s="10">
        <v>17</v>
      </c>
      <c r="Q578" s="26">
        <f t="shared" si="24"/>
        <v>200</v>
      </c>
      <c r="R578" s="25">
        <v>1174</v>
      </c>
      <c r="S578" s="10">
        <v>1593</v>
      </c>
      <c r="T578" s="10">
        <v>2332</v>
      </c>
      <c r="U578" s="10">
        <v>2151</v>
      </c>
      <c r="V578" s="10">
        <v>2215</v>
      </c>
      <c r="W578" s="10">
        <v>2334</v>
      </c>
      <c r="X578" s="10">
        <v>2571</v>
      </c>
      <c r="Y578" s="10">
        <v>2483</v>
      </c>
      <c r="Z578" s="10">
        <v>1671</v>
      </c>
      <c r="AA578" s="10">
        <v>2253</v>
      </c>
      <c r="AB578" s="10">
        <v>2336</v>
      </c>
      <c r="AC578" s="10">
        <v>2462</v>
      </c>
      <c r="AD578" s="26">
        <f t="shared" si="25"/>
        <v>25575</v>
      </c>
      <c r="AE578" s="25">
        <v>1677</v>
      </c>
      <c r="AF578" s="10">
        <v>2123</v>
      </c>
      <c r="AG578" s="10">
        <v>4618</v>
      </c>
      <c r="AH578" s="10">
        <v>1815</v>
      </c>
      <c r="AI578" s="10">
        <v>2451</v>
      </c>
      <c r="AJ578" s="10">
        <v>3130</v>
      </c>
      <c r="AK578" s="10">
        <v>2930</v>
      </c>
      <c r="AL578" s="10">
        <v>4341</v>
      </c>
      <c r="AM578" s="10">
        <v>2969</v>
      </c>
      <c r="AN578" s="10">
        <v>5306</v>
      </c>
      <c r="AO578" s="10">
        <v>2557</v>
      </c>
      <c r="AP578" s="10">
        <v>1877</v>
      </c>
      <c r="AQ578" s="26">
        <f t="shared" si="26"/>
        <v>35794</v>
      </c>
    </row>
    <row r="579" spans="1:43" ht="17.25" customHeight="1" x14ac:dyDescent="0.45">
      <c r="A579" s="2" t="s">
        <v>13</v>
      </c>
      <c r="B579" s="2" t="s">
        <v>66</v>
      </c>
      <c r="C579" s="2" t="s">
        <v>142</v>
      </c>
      <c r="D579" s="2" t="s">
        <v>68</v>
      </c>
      <c r="E579" s="23">
        <v>31</v>
      </c>
      <c r="F579" s="1">
        <v>29</v>
      </c>
      <c r="G579" s="1">
        <v>31</v>
      </c>
      <c r="H579" s="1">
        <v>30</v>
      </c>
      <c r="I579" s="1">
        <v>31</v>
      </c>
      <c r="J579" s="1">
        <v>29</v>
      </c>
      <c r="K579" s="1">
        <v>31</v>
      </c>
      <c r="L579" s="1">
        <v>31</v>
      </c>
      <c r="M579" s="1">
        <v>30</v>
      </c>
      <c r="N579" s="1">
        <v>31</v>
      </c>
      <c r="O579" s="1">
        <v>30</v>
      </c>
      <c r="P579" s="1">
        <v>31</v>
      </c>
      <c r="Q579" s="24">
        <f t="shared" si="24"/>
        <v>365</v>
      </c>
      <c r="R579" s="23">
        <v>1696</v>
      </c>
      <c r="S579" s="1">
        <v>1425</v>
      </c>
      <c r="T579" s="1">
        <v>1786</v>
      </c>
      <c r="U579" s="1">
        <v>1464</v>
      </c>
      <c r="V579" s="1">
        <v>1408</v>
      </c>
      <c r="W579" s="1">
        <v>1288</v>
      </c>
      <c r="X579" s="1">
        <v>1657</v>
      </c>
      <c r="Y579" s="1">
        <v>1292</v>
      </c>
      <c r="Z579" s="1">
        <v>1470</v>
      </c>
      <c r="AA579" s="1">
        <v>1486</v>
      </c>
      <c r="AB579" s="1">
        <v>1266</v>
      </c>
      <c r="AC579" s="1">
        <v>1553</v>
      </c>
      <c r="AD579" s="24">
        <f t="shared" si="25"/>
        <v>17791</v>
      </c>
      <c r="AE579" s="23">
        <v>0</v>
      </c>
      <c r="AF579" s="1">
        <v>0</v>
      </c>
      <c r="AG579" s="1">
        <v>0</v>
      </c>
      <c r="AH579" s="1">
        <v>0</v>
      </c>
      <c r="AI579" s="1">
        <v>0</v>
      </c>
      <c r="AJ579" s="1">
        <v>0</v>
      </c>
      <c r="AK579" s="1">
        <v>0</v>
      </c>
      <c r="AL579" s="1">
        <v>0</v>
      </c>
      <c r="AM579" s="1">
        <v>0</v>
      </c>
      <c r="AN579" s="1">
        <v>0</v>
      </c>
      <c r="AO579" s="1">
        <v>0</v>
      </c>
      <c r="AP579" s="1">
        <v>0</v>
      </c>
      <c r="AQ579" s="24">
        <f t="shared" si="26"/>
        <v>0</v>
      </c>
    </row>
    <row r="580" spans="1:43" ht="17.25" customHeight="1" x14ac:dyDescent="0.45">
      <c r="A580" s="12" t="s">
        <v>13</v>
      </c>
      <c r="B580" s="12" t="s">
        <v>66</v>
      </c>
      <c r="C580" s="12" t="s">
        <v>148</v>
      </c>
      <c r="D580" s="12" t="s">
        <v>68</v>
      </c>
      <c r="E580" s="25">
        <v>0</v>
      </c>
      <c r="F580" s="10">
        <v>0</v>
      </c>
      <c r="G580" s="10">
        <v>18</v>
      </c>
      <c r="H580" s="10">
        <v>0</v>
      </c>
      <c r="I580" s="10">
        <v>0</v>
      </c>
      <c r="J580" s="10">
        <v>0</v>
      </c>
      <c r="K580" s="10">
        <v>0</v>
      </c>
      <c r="L580" s="10">
        <v>0</v>
      </c>
      <c r="M580" s="10">
        <v>0</v>
      </c>
      <c r="N580" s="10">
        <v>0</v>
      </c>
      <c r="O580" s="10">
        <v>0</v>
      </c>
      <c r="P580" s="10">
        <v>0</v>
      </c>
      <c r="Q580" s="26">
        <f t="shared" si="24"/>
        <v>18</v>
      </c>
      <c r="R580" s="25">
        <v>0</v>
      </c>
      <c r="S580" s="10">
        <v>0</v>
      </c>
      <c r="T580" s="10">
        <v>929</v>
      </c>
      <c r="U580" s="10">
        <v>0</v>
      </c>
      <c r="V580" s="10">
        <v>0</v>
      </c>
      <c r="W580" s="10">
        <v>0</v>
      </c>
      <c r="X580" s="10">
        <v>0</v>
      </c>
      <c r="Y580" s="10">
        <v>0</v>
      </c>
      <c r="Z580" s="10">
        <v>0</v>
      </c>
      <c r="AA580" s="10">
        <v>0</v>
      </c>
      <c r="AB580" s="10">
        <v>0</v>
      </c>
      <c r="AC580" s="10">
        <v>0</v>
      </c>
      <c r="AD580" s="26">
        <f t="shared" si="25"/>
        <v>929</v>
      </c>
      <c r="AE580" s="25">
        <v>0</v>
      </c>
      <c r="AF580" s="10">
        <v>0</v>
      </c>
      <c r="AG580" s="10">
        <v>0</v>
      </c>
      <c r="AH580" s="10">
        <v>0</v>
      </c>
      <c r="AI580" s="10">
        <v>0</v>
      </c>
      <c r="AJ580" s="10">
        <v>0</v>
      </c>
      <c r="AK580" s="10">
        <v>0</v>
      </c>
      <c r="AL580" s="10">
        <v>0</v>
      </c>
      <c r="AM580" s="10">
        <v>0</v>
      </c>
      <c r="AN580" s="10">
        <v>0</v>
      </c>
      <c r="AO580" s="10">
        <v>0</v>
      </c>
      <c r="AP580" s="10">
        <v>0</v>
      </c>
      <c r="AQ580" s="26">
        <f t="shared" si="26"/>
        <v>0</v>
      </c>
    </row>
    <row r="581" spans="1:43" ht="17.25" customHeight="1" x14ac:dyDescent="0.45">
      <c r="A581" s="2" t="s">
        <v>13</v>
      </c>
      <c r="B581" s="2" t="s">
        <v>66</v>
      </c>
      <c r="C581" s="2" t="s">
        <v>149</v>
      </c>
      <c r="D581" s="2" t="s">
        <v>68</v>
      </c>
      <c r="E581" s="23">
        <v>51</v>
      </c>
      <c r="F581" s="1">
        <v>41</v>
      </c>
      <c r="G581" s="1">
        <v>51</v>
      </c>
      <c r="H581" s="1">
        <v>60</v>
      </c>
      <c r="I581" s="1">
        <v>59</v>
      </c>
      <c r="J581" s="1">
        <v>47</v>
      </c>
      <c r="K581" s="1">
        <v>50</v>
      </c>
      <c r="L581" s="1">
        <v>55</v>
      </c>
      <c r="M581" s="1">
        <v>50</v>
      </c>
      <c r="N581" s="1">
        <v>58</v>
      </c>
      <c r="O581" s="1">
        <v>107</v>
      </c>
      <c r="P581" s="1">
        <v>114</v>
      </c>
      <c r="Q581" s="24">
        <f t="shared" si="24"/>
        <v>743</v>
      </c>
      <c r="R581" s="23">
        <v>5875</v>
      </c>
      <c r="S581" s="1">
        <v>4403</v>
      </c>
      <c r="T581" s="1">
        <v>6456</v>
      </c>
      <c r="U581" s="1">
        <v>5207</v>
      </c>
      <c r="V581" s="1">
        <v>5501</v>
      </c>
      <c r="W581" s="1">
        <v>5080</v>
      </c>
      <c r="X581" s="1">
        <v>5921</v>
      </c>
      <c r="Y581" s="1">
        <v>4863</v>
      </c>
      <c r="Z581" s="1">
        <v>5389</v>
      </c>
      <c r="AA581" s="1">
        <v>6915</v>
      </c>
      <c r="AB581" s="1">
        <v>9133</v>
      </c>
      <c r="AC581" s="1">
        <v>12197</v>
      </c>
      <c r="AD581" s="24">
        <f t="shared" si="25"/>
        <v>76940</v>
      </c>
      <c r="AE581" s="23">
        <v>0</v>
      </c>
      <c r="AF581" s="1">
        <v>0</v>
      </c>
      <c r="AG581" s="1">
        <v>0</v>
      </c>
      <c r="AH581" s="1">
        <v>0</v>
      </c>
      <c r="AI581" s="1">
        <v>0</v>
      </c>
      <c r="AJ581" s="1">
        <v>0</v>
      </c>
      <c r="AK581" s="1">
        <v>0</v>
      </c>
      <c r="AL581" s="1">
        <v>0</v>
      </c>
      <c r="AM581" s="1">
        <v>0</v>
      </c>
      <c r="AN581" s="1">
        <v>0</v>
      </c>
      <c r="AO581" s="1">
        <v>0</v>
      </c>
      <c r="AP581" s="1">
        <v>0</v>
      </c>
      <c r="AQ581" s="24">
        <f t="shared" si="26"/>
        <v>0</v>
      </c>
    </row>
    <row r="582" spans="1:43" ht="17.25" customHeight="1" x14ac:dyDescent="0.45">
      <c r="A582" s="12" t="s">
        <v>13</v>
      </c>
      <c r="B582" s="12" t="s">
        <v>66</v>
      </c>
      <c r="C582" s="12" t="s">
        <v>151</v>
      </c>
      <c r="D582" s="12" t="s">
        <v>68</v>
      </c>
      <c r="E582" s="25">
        <v>0</v>
      </c>
      <c r="F582" s="10">
        <v>0</v>
      </c>
      <c r="G582" s="10">
        <v>0</v>
      </c>
      <c r="H582" s="10">
        <v>0</v>
      </c>
      <c r="I582" s="10">
        <v>0</v>
      </c>
      <c r="J582" s="10">
        <v>0</v>
      </c>
      <c r="K582" s="10">
        <v>0</v>
      </c>
      <c r="L582" s="10">
        <v>0</v>
      </c>
      <c r="M582" s="10">
        <v>0</v>
      </c>
      <c r="N582" s="10">
        <v>7</v>
      </c>
      <c r="O582" s="10">
        <v>52</v>
      </c>
      <c r="P582" s="10">
        <v>62</v>
      </c>
      <c r="Q582" s="26">
        <f t="shared" si="24"/>
        <v>121</v>
      </c>
      <c r="R582" s="25">
        <v>0</v>
      </c>
      <c r="S582" s="10">
        <v>0</v>
      </c>
      <c r="T582" s="10">
        <v>0</v>
      </c>
      <c r="U582" s="10">
        <v>0</v>
      </c>
      <c r="V582" s="10">
        <v>0</v>
      </c>
      <c r="W582" s="10">
        <v>0</v>
      </c>
      <c r="X582" s="10">
        <v>0</v>
      </c>
      <c r="Y582" s="10">
        <v>0</v>
      </c>
      <c r="Z582" s="10">
        <v>0</v>
      </c>
      <c r="AA582" s="10">
        <v>214</v>
      </c>
      <c r="AB582" s="10">
        <v>1814</v>
      </c>
      <c r="AC582" s="10">
        <v>2738</v>
      </c>
      <c r="AD582" s="26">
        <f t="shared" si="25"/>
        <v>4766</v>
      </c>
      <c r="AE582" s="25">
        <v>0</v>
      </c>
      <c r="AF582" s="10">
        <v>0</v>
      </c>
      <c r="AG582" s="10">
        <v>0</v>
      </c>
      <c r="AH582" s="10">
        <v>0</v>
      </c>
      <c r="AI582" s="10">
        <v>0</v>
      </c>
      <c r="AJ582" s="10">
        <v>0</v>
      </c>
      <c r="AK582" s="10">
        <v>0</v>
      </c>
      <c r="AL582" s="10">
        <v>0</v>
      </c>
      <c r="AM582" s="10">
        <v>0</v>
      </c>
      <c r="AN582" s="10">
        <v>0</v>
      </c>
      <c r="AO582" s="10">
        <v>0</v>
      </c>
      <c r="AP582" s="10">
        <v>0</v>
      </c>
      <c r="AQ582" s="26">
        <f t="shared" si="26"/>
        <v>0</v>
      </c>
    </row>
    <row r="583" spans="1:43" ht="17.25" customHeight="1" x14ac:dyDescent="0.45">
      <c r="A583" s="2" t="s">
        <v>13</v>
      </c>
      <c r="B583" s="2" t="s">
        <v>66</v>
      </c>
      <c r="C583" s="2" t="s">
        <v>152</v>
      </c>
      <c r="D583" s="2" t="s">
        <v>153</v>
      </c>
      <c r="E583" s="23">
        <v>0</v>
      </c>
      <c r="F583" s="1">
        <v>0</v>
      </c>
      <c r="G583" s="1">
        <v>0</v>
      </c>
      <c r="H583" s="1">
        <v>0</v>
      </c>
      <c r="I583" s="1">
        <v>0</v>
      </c>
      <c r="J583" s="1">
        <v>0</v>
      </c>
      <c r="K583" s="1">
        <v>0</v>
      </c>
      <c r="L583" s="1">
        <v>0</v>
      </c>
      <c r="M583" s="1">
        <v>1</v>
      </c>
      <c r="N583" s="1">
        <v>1</v>
      </c>
      <c r="O583" s="1">
        <v>0</v>
      </c>
      <c r="P583" s="1">
        <v>0</v>
      </c>
      <c r="Q583" s="24">
        <f t="shared" si="24"/>
        <v>2</v>
      </c>
      <c r="R583" s="23">
        <v>0</v>
      </c>
      <c r="S583" s="1">
        <v>0</v>
      </c>
      <c r="T583" s="1">
        <v>0</v>
      </c>
      <c r="U583" s="1">
        <v>0</v>
      </c>
      <c r="V583" s="1">
        <v>0</v>
      </c>
      <c r="W583" s="1">
        <v>0</v>
      </c>
      <c r="X583" s="1">
        <v>0</v>
      </c>
      <c r="Y583" s="1">
        <v>0</v>
      </c>
      <c r="Z583" s="1">
        <v>0</v>
      </c>
      <c r="AA583" s="1">
        <v>0</v>
      </c>
      <c r="AB583" s="1">
        <v>0</v>
      </c>
      <c r="AC583" s="1">
        <v>0</v>
      </c>
      <c r="AD583" s="24">
        <f t="shared" si="25"/>
        <v>0</v>
      </c>
      <c r="AE583" s="23">
        <v>0</v>
      </c>
      <c r="AF583" s="1">
        <v>0</v>
      </c>
      <c r="AG583" s="1">
        <v>0</v>
      </c>
      <c r="AH583" s="1">
        <v>0</v>
      </c>
      <c r="AI583" s="1">
        <v>0</v>
      </c>
      <c r="AJ583" s="1">
        <v>0</v>
      </c>
      <c r="AK583" s="1">
        <v>0</v>
      </c>
      <c r="AL583" s="1">
        <v>0</v>
      </c>
      <c r="AM583" s="1">
        <v>400</v>
      </c>
      <c r="AN583" s="1">
        <v>400</v>
      </c>
      <c r="AO583" s="1">
        <v>0</v>
      </c>
      <c r="AP583" s="1">
        <v>0</v>
      </c>
      <c r="AQ583" s="24">
        <f t="shared" si="26"/>
        <v>800</v>
      </c>
    </row>
    <row r="584" spans="1:43" ht="17.25" customHeight="1" x14ac:dyDescent="0.45">
      <c r="A584" s="12" t="s">
        <v>13</v>
      </c>
      <c r="B584" s="12" t="s">
        <v>66</v>
      </c>
      <c r="C584" s="12" t="s">
        <v>191</v>
      </c>
      <c r="D584" s="12" t="s">
        <v>192</v>
      </c>
      <c r="E584" s="25">
        <v>0</v>
      </c>
      <c r="F584" s="10">
        <v>0</v>
      </c>
      <c r="G584" s="10">
        <v>0</v>
      </c>
      <c r="H584" s="10">
        <v>0</v>
      </c>
      <c r="I584" s="10">
        <v>0</v>
      </c>
      <c r="J584" s="10">
        <v>0</v>
      </c>
      <c r="K584" s="10">
        <v>0</v>
      </c>
      <c r="L584" s="10">
        <v>31</v>
      </c>
      <c r="M584" s="10">
        <v>30</v>
      </c>
      <c r="N584" s="10">
        <v>31</v>
      </c>
      <c r="O584" s="10">
        <v>29</v>
      </c>
      <c r="P584" s="10">
        <v>30</v>
      </c>
      <c r="Q584" s="26">
        <f t="shared" ref="Q584:Q647" si="27">SUM(E584:P584)</f>
        <v>151</v>
      </c>
      <c r="R584" s="25">
        <v>0</v>
      </c>
      <c r="S584" s="10">
        <v>0</v>
      </c>
      <c r="T584" s="10">
        <v>0</v>
      </c>
      <c r="U584" s="10">
        <v>0</v>
      </c>
      <c r="V584" s="10">
        <v>0</v>
      </c>
      <c r="W584" s="10">
        <v>0</v>
      </c>
      <c r="X584" s="10">
        <v>0</v>
      </c>
      <c r="Y584" s="10">
        <v>2342</v>
      </c>
      <c r="Z584" s="10">
        <v>2292</v>
      </c>
      <c r="AA584" s="10">
        <v>2821</v>
      </c>
      <c r="AB584" s="10">
        <v>1925</v>
      </c>
      <c r="AC584" s="10">
        <v>2328</v>
      </c>
      <c r="AD584" s="26">
        <f t="shared" ref="AD584:AD647" si="28">SUM(R584:AC584)</f>
        <v>11708</v>
      </c>
      <c r="AE584" s="25">
        <v>0</v>
      </c>
      <c r="AF584" s="10">
        <v>0</v>
      </c>
      <c r="AG584" s="10">
        <v>0</v>
      </c>
      <c r="AH584" s="10">
        <v>0</v>
      </c>
      <c r="AI584" s="10">
        <v>0</v>
      </c>
      <c r="AJ584" s="10">
        <v>0</v>
      </c>
      <c r="AK584" s="10">
        <v>0</v>
      </c>
      <c r="AL584" s="10">
        <v>22889</v>
      </c>
      <c r="AM584" s="10">
        <v>29911</v>
      </c>
      <c r="AN584" s="10">
        <v>21215</v>
      </c>
      <c r="AO584" s="10">
        <v>12267</v>
      </c>
      <c r="AP584" s="10">
        <v>18186</v>
      </c>
      <c r="AQ584" s="26">
        <f t="shared" ref="AQ584:AQ647" si="29">SUM(AE584:AP584)</f>
        <v>104468</v>
      </c>
    </row>
    <row r="585" spans="1:43" ht="17.25" customHeight="1" x14ac:dyDescent="0.45">
      <c r="A585" s="2" t="s">
        <v>13</v>
      </c>
      <c r="B585" s="2" t="s">
        <v>66</v>
      </c>
      <c r="C585" s="2" t="s">
        <v>202</v>
      </c>
      <c r="D585" s="2" t="s">
        <v>203</v>
      </c>
      <c r="E585" s="23">
        <v>0</v>
      </c>
      <c r="F585" s="1">
        <v>0</v>
      </c>
      <c r="G585" s="1">
        <v>0</v>
      </c>
      <c r="H585" s="1">
        <v>0</v>
      </c>
      <c r="I585" s="1">
        <v>0</v>
      </c>
      <c r="J585" s="1">
        <v>0</v>
      </c>
      <c r="K585" s="1">
        <v>15</v>
      </c>
      <c r="L585" s="1">
        <v>23</v>
      </c>
      <c r="M585" s="1">
        <v>21</v>
      </c>
      <c r="N585" s="1">
        <v>22</v>
      </c>
      <c r="O585" s="1">
        <v>22</v>
      </c>
      <c r="P585" s="1">
        <v>20</v>
      </c>
      <c r="Q585" s="24">
        <f t="shared" si="27"/>
        <v>123</v>
      </c>
      <c r="R585" s="23">
        <v>0</v>
      </c>
      <c r="S585" s="1">
        <v>0</v>
      </c>
      <c r="T585" s="1">
        <v>0</v>
      </c>
      <c r="U585" s="1">
        <v>0</v>
      </c>
      <c r="V585" s="1">
        <v>0</v>
      </c>
      <c r="W585" s="1">
        <v>0</v>
      </c>
      <c r="X585" s="1">
        <v>450</v>
      </c>
      <c r="Y585" s="1">
        <v>4828</v>
      </c>
      <c r="Z585" s="1">
        <v>4460</v>
      </c>
      <c r="AA585" s="1">
        <v>5130</v>
      </c>
      <c r="AB585" s="1">
        <v>4928</v>
      </c>
      <c r="AC585" s="1">
        <v>3720</v>
      </c>
      <c r="AD585" s="24">
        <f t="shared" si="28"/>
        <v>23516</v>
      </c>
      <c r="AE585" s="23">
        <v>0</v>
      </c>
      <c r="AF585" s="1">
        <v>0</v>
      </c>
      <c r="AG585" s="1">
        <v>0</v>
      </c>
      <c r="AH585" s="1">
        <v>0</v>
      </c>
      <c r="AI585" s="1">
        <v>0</v>
      </c>
      <c r="AJ585" s="1">
        <v>0</v>
      </c>
      <c r="AK585" s="1">
        <v>0</v>
      </c>
      <c r="AL585" s="1">
        <v>111440</v>
      </c>
      <c r="AM585" s="1">
        <v>77500</v>
      </c>
      <c r="AN585" s="1">
        <v>68839</v>
      </c>
      <c r="AO585" s="1">
        <v>74244</v>
      </c>
      <c r="AP585" s="1">
        <v>95570</v>
      </c>
      <c r="AQ585" s="24">
        <f t="shared" si="29"/>
        <v>427593</v>
      </c>
    </row>
    <row r="586" spans="1:43" ht="17.25" customHeight="1" x14ac:dyDescent="0.45">
      <c r="A586" s="12" t="s">
        <v>13</v>
      </c>
      <c r="B586" s="12" t="s">
        <v>66</v>
      </c>
      <c r="C586" s="12" t="s">
        <v>71</v>
      </c>
      <c r="D586" s="12" t="s">
        <v>65</v>
      </c>
      <c r="E586" s="25">
        <v>0</v>
      </c>
      <c r="F586" s="10">
        <v>0</v>
      </c>
      <c r="G586" s="10">
        <v>0</v>
      </c>
      <c r="H586" s="10">
        <v>0</v>
      </c>
      <c r="I586" s="10">
        <v>13</v>
      </c>
      <c r="J586" s="10">
        <v>17</v>
      </c>
      <c r="K586" s="10">
        <v>15</v>
      </c>
      <c r="L586" s="10">
        <v>19</v>
      </c>
      <c r="M586" s="10">
        <v>0</v>
      </c>
      <c r="N586" s="10">
        <v>0</v>
      </c>
      <c r="O586" s="10">
        <v>0</v>
      </c>
      <c r="P586" s="10">
        <v>0</v>
      </c>
      <c r="Q586" s="26">
        <f t="shared" si="27"/>
        <v>64</v>
      </c>
      <c r="R586" s="25">
        <v>0</v>
      </c>
      <c r="S586" s="10">
        <v>0</v>
      </c>
      <c r="T586" s="10">
        <v>0</v>
      </c>
      <c r="U586" s="10">
        <v>0</v>
      </c>
      <c r="V586" s="10">
        <v>1623</v>
      </c>
      <c r="W586" s="10">
        <v>2033</v>
      </c>
      <c r="X586" s="10">
        <v>1841</v>
      </c>
      <c r="Y586" s="10">
        <v>1915</v>
      </c>
      <c r="Z586" s="10">
        <v>0</v>
      </c>
      <c r="AA586" s="10">
        <v>0</v>
      </c>
      <c r="AB586" s="10">
        <v>0</v>
      </c>
      <c r="AC586" s="10">
        <v>0</v>
      </c>
      <c r="AD586" s="26">
        <f t="shared" si="28"/>
        <v>7412</v>
      </c>
      <c r="AE586" s="25">
        <v>0</v>
      </c>
      <c r="AF586" s="10">
        <v>0</v>
      </c>
      <c r="AG586" s="10">
        <v>0</v>
      </c>
      <c r="AH586" s="10">
        <v>0</v>
      </c>
      <c r="AI586" s="10">
        <v>0</v>
      </c>
      <c r="AJ586" s="10">
        <v>0</v>
      </c>
      <c r="AK586" s="10">
        <v>106</v>
      </c>
      <c r="AL586" s="10">
        <v>0</v>
      </c>
      <c r="AM586" s="10">
        <v>0</v>
      </c>
      <c r="AN586" s="10">
        <v>0</v>
      </c>
      <c r="AO586" s="10">
        <v>0</v>
      </c>
      <c r="AP586" s="10">
        <v>0</v>
      </c>
      <c r="AQ586" s="26">
        <f t="shared" si="29"/>
        <v>106</v>
      </c>
    </row>
    <row r="587" spans="1:43" ht="17.25" customHeight="1" x14ac:dyDescent="0.45">
      <c r="A587" s="2" t="s">
        <v>70</v>
      </c>
      <c r="B587" s="2" t="s">
        <v>65</v>
      </c>
      <c r="C587" s="2" t="s">
        <v>9</v>
      </c>
      <c r="D587" s="2" t="s">
        <v>66</v>
      </c>
      <c r="E587" s="23">
        <v>0</v>
      </c>
      <c r="F587" s="1">
        <v>0</v>
      </c>
      <c r="G587" s="1">
        <v>0</v>
      </c>
      <c r="H587" s="1">
        <v>0</v>
      </c>
      <c r="I587" s="1">
        <v>0</v>
      </c>
      <c r="J587" s="1">
        <v>0</v>
      </c>
      <c r="K587" s="1">
        <v>0</v>
      </c>
      <c r="L587" s="1">
        <v>0</v>
      </c>
      <c r="M587" s="1">
        <v>0</v>
      </c>
      <c r="N587" s="1">
        <v>0</v>
      </c>
      <c r="O587" s="1">
        <v>0</v>
      </c>
      <c r="P587" s="1">
        <v>5</v>
      </c>
      <c r="Q587" s="24">
        <f t="shared" si="27"/>
        <v>5</v>
      </c>
      <c r="R587" s="23">
        <v>0</v>
      </c>
      <c r="S587" s="1">
        <v>0</v>
      </c>
      <c r="T587" s="1">
        <v>0</v>
      </c>
      <c r="U587" s="1">
        <v>0</v>
      </c>
      <c r="V587" s="1">
        <v>0</v>
      </c>
      <c r="W587" s="1">
        <v>0</v>
      </c>
      <c r="X587" s="1">
        <v>0</v>
      </c>
      <c r="Y587" s="1">
        <v>0</v>
      </c>
      <c r="Z587" s="1">
        <v>0</v>
      </c>
      <c r="AA587" s="1">
        <v>0</v>
      </c>
      <c r="AB587" s="1">
        <v>0</v>
      </c>
      <c r="AC587" s="1">
        <v>815</v>
      </c>
      <c r="AD587" s="24">
        <f t="shared" si="28"/>
        <v>815</v>
      </c>
      <c r="AE587" s="23">
        <v>0</v>
      </c>
      <c r="AF587" s="1">
        <v>0</v>
      </c>
      <c r="AG587" s="1">
        <v>0</v>
      </c>
      <c r="AH587" s="1">
        <v>0</v>
      </c>
      <c r="AI587" s="1">
        <v>0</v>
      </c>
      <c r="AJ587" s="1">
        <v>0</v>
      </c>
      <c r="AK587" s="1">
        <v>0</v>
      </c>
      <c r="AL587" s="1">
        <v>0</v>
      </c>
      <c r="AM587" s="1">
        <v>0</v>
      </c>
      <c r="AN587" s="1">
        <v>0</v>
      </c>
      <c r="AO587" s="1">
        <v>0</v>
      </c>
      <c r="AP587" s="1">
        <v>0</v>
      </c>
      <c r="AQ587" s="24">
        <f t="shared" si="29"/>
        <v>0</v>
      </c>
    </row>
    <row r="588" spans="1:43" ht="17.25" customHeight="1" x14ac:dyDescent="0.45">
      <c r="A588" s="12" t="s">
        <v>70</v>
      </c>
      <c r="B588" s="12" t="s">
        <v>65</v>
      </c>
      <c r="C588" s="12" t="s">
        <v>10</v>
      </c>
      <c r="D588" s="12" t="s">
        <v>66</v>
      </c>
      <c r="E588" s="25">
        <v>150</v>
      </c>
      <c r="F588" s="10">
        <v>142</v>
      </c>
      <c r="G588" s="10">
        <v>138</v>
      </c>
      <c r="H588" s="10">
        <v>115</v>
      </c>
      <c r="I588" s="10">
        <v>105</v>
      </c>
      <c r="J588" s="10">
        <v>88</v>
      </c>
      <c r="K588" s="10">
        <v>100</v>
      </c>
      <c r="L588" s="10">
        <v>97</v>
      </c>
      <c r="M588" s="10">
        <v>74</v>
      </c>
      <c r="N588" s="10">
        <v>95</v>
      </c>
      <c r="O588" s="10">
        <v>184</v>
      </c>
      <c r="P588" s="10">
        <v>209</v>
      </c>
      <c r="Q588" s="26">
        <f t="shared" si="27"/>
        <v>1497</v>
      </c>
      <c r="R588" s="25">
        <v>31828</v>
      </c>
      <c r="S588" s="10">
        <v>30028</v>
      </c>
      <c r="T588" s="10">
        <v>29646</v>
      </c>
      <c r="U588" s="10">
        <v>22414</v>
      </c>
      <c r="V588" s="10">
        <v>19001</v>
      </c>
      <c r="W588" s="10">
        <v>14906</v>
      </c>
      <c r="X588" s="10">
        <v>18331</v>
      </c>
      <c r="Y588" s="10">
        <v>17872</v>
      </c>
      <c r="Z588" s="10">
        <v>12068</v>
      </c>
      <c r="AA588" s="10">
        <v>18296</v>
      </c>
      <c r="AB588" s="10">
        <v>37994</v>
      </c>
      <c r="AC588" s="10">
        <v>47345</v>
      </c>
      <c r="AD588" s="26">
        <f t="shared" si="28"/>
        <v>299729</v>
      </c>
      <c r="AE588" s="25">
        <v>0</v>
      </c>
      <c r="AF588" s="10">
        <v>0</v>
      </c>
      <c r="AG588" s="10">
        <v>0</v>
      </c>
      <c r="AH588" s="10">
        <v>0</v>
      </c>
      <c r="AI588" s="10">
        <v>0</v>
      </c>
      <c r="AJ588" s="10">
        <v>240</v>
      </c>
      <c r="AK588" s="10">
        <v>821</v>
      </c>
      <c r="AL588" s="10">
        <v>0</v>
      </c>
      <c r="AM588" s="10">
        <v>0</v>
      </c>
      <c r="AN588" s="10">
        <v>116</v>
      </c>
      <c r="AO588" s="10">
        <v>4772</v>
      </c>
      <c r="AP588" s="10">
        <v>938</v>
      </c>
      <c r="AQ588" s="26">
        <f t="shared" si="29"/>
        <v>6887</v>
      </c>
    </row>
    <row r="589" spans="1:43" ht="17.25" customHeight="1" x14ac:dyDescent="0.45">
      <c r="A589" s="2" t="s">
        <v>70</v>
      </c>
      <c r="B589" s="2" t="s">
        <v>65</v>
      </c>
      <c r="C589" s="2" t="s">
        <v>46</v>
      </c>
      <c r="D589" s="2" t="s">
        <v>66</v>
      </c>
      <c r="E589" s="23">
        <v>4</v>
      </c>
      <c r="F589" s="1">
        <v>4</v>
      </c>
      <c r="G589" s="1">
        <v>5</v>
      </c>
      <c r="H589" s="1">
        <v>3</v>
      </c>
      <c r="I589" s="1">
        <v>0</v>
      </c>
      <c r="J589" s="1">
        <v>0</v>
      </c>
      <c r="K589" s="1">
        <v>0</v>
      </c>
      <c r="L589" s="1">
        <v>0</v>
      </c>
      <c r="M589" s="1">
        <v>0</v>
      </c>
      <c r="N589" s="1">
        <v>0</v>
      </c>
      <c r="O589" s="1">
        <v>0</v>
      </c>
      <c r="P589" s="1">
        <v>6</v>
      </c>
      <c r="Q589" s="24">
        <f t="shared" si="27"/>
        <v>22</v>
      </c>
      <c r="R589" s="23">
        <v>634</v>
      </c>
      <c r="S589" s="1">
        <v>666</v>
      </c>
      <c r="T589" s="1">
        <v>821</v>
      </c>
      <c r="U589" s="1">
        <v>492</v>
      </c>
      <c r="V589" s="1">
        <v>0</v>
      </c>
      <c r="W589" s="1">
        <v>0</v>
      </c>
      <c r="X589" s="1">
        <v>0</v>
      </c>
      <c r="Y589" s="1">
        <v>0</v>
      </c>
      <c r="Z589" s="1">
        <v>0</v>
      </c>
      <c r="AA589" s="1">
        <v>0</v>
      </c>
      <c r="AB589" s="1">
        <v>0</v>
      </c>
      <c r="AC589" s="1">
        <v>844</v>
      </c>
      <c r="AD589" s="24">
        <f t="shared" si="28"/>
        <v>3457</v>
      </c>
      <c r="AE589" s="23">
        <v>0</v>
      </c>
      <c r="AF589" s="1">
        <v>0</v>
      </c>
      <c r="AG589" s="1">
        <v>0</v>
      </c>
      <c r="AH589" s="1">
        <v>0</v>
      </c>
      <c r="AI589" s="1">
        <v>0</v>
      </c>
      <c r="AJ589" s="1">
        <v>0</v>
      </c>
      <c r="AK589" s="1">
        <v>0</v>
      </c>
      <c r="AL589" s="1">
        <v>0</v>
      </c>
      <c r="AM589" s="1">
        <v>0</v>
      </c>
      <c r="AN589" s="1">
        <v>0</v>
      </c>
      <c r="AO589" s="1">
        <v>0</v>
      </c>
      <c r="AP589" s="1">
        <v>0</v>
      </c>
      <c r="AQ589" s="24">
        <f t="shared" si="29"/>
        <v>0</v>
      </c>
    </row>
    <row r="590" spans="1:43" ht="17.25" customHeight="1" x14ac:dyDescent="0.45">
      <c r="A590" s="12" t="s">
        <v>70</v>
      </c>
      <c r="B590" s="12" t="s">
        <v>65</v>
      </c>
      <c r="C590" s="12" t="s">
        <v>52</v>
      </c>
      <c r="D590" s="12" t="s">
        <v>66</v>
      </c>
      <c r="E590" s="25">
        <v>0</v>
      </c>
      <c r="F590" s="10">
        <v>0</v>
      </c>
      <c r="G590" s="10">
        <v>0</v>
      </c>
      <c r="H590" s="10">
        <v>0</v>
      </c>
      <c r="I590" s="10">
        <v>0</v>
      </c>
      <c r="J590" s="10">
        <v>0</v>
      </c>
      <c r="K590" s="10">
        <v>0</v>
      </c>
      <c r="L590" s="10">
        <v>0</v>
      </c>
      <c r="M590" s="10">
        <v>0</v>
      </c>
      <c r="N590" s="10">
        <v>0</v>
      </c>
      <c r="O590" s="10">
        <v>0</v>
      </c>
      <c r="P590" s="10">
        <v>2</v>
      </c>
      <c r="Q590" s="26">
        <f t="shared" si="27"/>
        <v>2</v>
      </c>
      <c r="R590" s="25">
        <v>0</v>
      </c>
      <c r="S590" s="10">
        <v>0</v>
      </c>
      <c r="T590" s="10">
        <v>0</v>
      </c>
      <c r="U590" s="10">
        <v>0</v>
      </c>
      <c r="V590" s="10">
        <v>0</v>
      </c>
      <c r="W590" s="10">
        <v>0</v>
      </c>
      <c r="X590" s="10">
        <v>0</v>
      </c>
      <c r="Y590" s="10">
        <v>0</v>
      </c>
      <c r="Z590" s="10">
        <v>0</v>
      </c>
      <c r="AA590" s="10">
        <v>0</v>
      </c>
      <c r="AB590" s="10">
        <v>0</v>
      </c>
      <c r="AC590" s="10">
        <v>321</v>
      </c>
      <c r="AD590" s="26">
        <f t="shared" si="28"/>
        <v>321</v>
      </c>
      <c r="AE590" s="25">
        <v>0</v>
      </c>
      <c r="AF590" s="10">
        <v>0</v>
      </c>
      <c r="AG590" s="10">
        <v>0</v>
      </c>
      <c r="AH590" s="10">
        <v>0</v>
      </c>
      <c r="AI590" s="10">
        <v>0</v>
      </c>
      <c r="AJ590" s="10">
        <v>0</v>
      </c>
      <c r="AK590" s="10">
        <v>0</v>
      </c>
      <c r="AL590" s="10">
        <v>0</v>
      </c>
      <c r="AM590" s="10">
        <v>0</v>
      </c>
      <c r="AN590" s="10">
        <v>0</v>
      </c>
      <c r="AO590" s="10">
        <v>0</v>
      </c>
      <c r="AP590" s="10">
        <v>0</v>
      </c>
      <c r="AQ590" s="26">
        <f t="shared" si="29"/>
        <v>0</v>
      </c>
    </row>
    <row r="591" spans="1:43" ht="17.25" customHeight="1" x14ac:dyDescent="0.45">
      <c r="A591" s="2" t="s">
        <v>70</v>
      </c>
      <c r="B591" s="2" t="s">
        <v>65</v>
      </c>
      <c r="C591" s="2" t="s">
        <v>40</v>
      </c>
      <c r="D591" s="2" t="s">
        <v>66</v>
      </c>
      <c r="E591" s="23">
        <v>5</v>
      </c>
      <c r="F591" s="1">
        <v>4</v>
      </c>
      <c r="G591" s="1">
        <v>4</v>
      </c>
      <c r="H591" s="1">
        <v>1</v>
      </c>
      <c r="I591" s="1">
        <v>0</v>
      </c>
      <c r="J591" s="1">
        <v>0</v>
      </c>
      <c r="K591" s="1">
        <v>0</v>
      </c>
      <c r="L591" s="1">
        <v>0</v>
      </c>
      <c r="M591" s="1">
        <v>0</v>
      </c>
      <c r="N591" s="1">
        <v>0</v>
      </c>
      <c r="O591" s="1">
        <v>0</v>
      </c>
      <c r="P591" s="1">
        <v>4</v>
      </c>
      <c r="Q591" s="24">
        <f t="shared" si="27"/>
        <v>18</v>
      </c>
      <c r="R591" s="23">
        <v>832</v>
      </c>
      <c r="S591" s="1">
        <v>676</v>
      </c>
      <c r="T591" s="1">
        <v>547</v>
      </c>
      <c r="U591" s="1">
        <v>161</v>
      </c>
      <c r="V591" s="1">
        <v>0</v>
      </c>
      <c r="W591" s="1">
        <v>0</v>
      </c>
      <c r="X591" s="1">
        <v>0</v>
      </c>
      <c r="Y591" s="1">
        <v>0</v>
      </c>
      <c r="Z591" s="1">
        <v>0</v>
      </c>
      <c r="AA591" s="1">
        <v>0</v>
      </c>
      <c r="AB591" s="1">
        <v>0</v>
      </c>
      <c r="AC591" s="1">
        <v>691</v>
      </c>
      <c r="AD591" s="24">
        <f t="shared" si="28"/>
        <v>2907</v>
      </c>
      <c r="AE591" s="23">
        <v>0</v>
      </c>
      <c r="AF591" s="1">
        <v>0</v>
      </c>
      <c r="AG591" s="1">
        <v>0</v>
      </c>
      <c r="AH591" s="1">
        <v>0</v>
      </c>
      <c r="AI591" s="1">
        <v>0</v>
      </c>
      <c r="AJ591" s="1">
        <v>0</v>
      </c>
      <c r="AK591" s="1">
        <v>0</v>
      </c>
      <c r="AL591" s="1">
        <v>0</v>
      </c>
      <c r="AM591" s="1">
        <v>0</v>
      </c>
      <c r="AN591" s="1">
        <v>0</v>
      </c>
      <c r="AO591" s="1">
        <v>0</v>
      </c>
      <c r="AP591" s="1">
        <v>0</v>
      </c>
      <c r="AQ591" s="24">
        <f t="shared" si="29"/>
        <v>0</v>
      </c>
    </row>
    <row r="592" spans="1:43" ht="17.25" customHeight="1" x14ac:dyDescent="0.45">
      <c r="A592" s="12" t="s">
        <v>70</v>
      </c>
      <c r="B592" s="12" t="s">
        <v>65</v>
      </c>
      <c r="C592" s="12" t="s">
        <v>12</v>
      </c>
      <c r="D592" s="12" t="s">
        <v>66</v>
      </c>
      <c r="E592" s="25">
        <v>103</v>
      </c>
      <c r="F592" s="10">
        <v>87</v>
      </c>
      <c r="G592" s="10">
        <v>92</v>
      </c>
      <c r="H592" s="10">
        <v>80</v>
      </c>
      <c r="I592" s="10">
        <v>60</v>
      </c>
      <c r="J592" s="10">
        <v>58</v>
      </c>
      <c r="K592" s="10">
        <v>60</v>
      </c>
      <c r="L592" s="10">
        <v>62</v>
      </c>
      <c r="M592" s="10">
        <v>59</v>
      </c>
      <c r="N592" s="10">
        <v>61</v>
      </c>
      <c r="O592" s="10">
        <v>60</v>
      </c>
      <c r="P592" s="10">
        <v>62</v>
      </c>
      <c r="Q592" s="26">
        <f t="shared" si="27"/>
        <v>844</v>
      </c>
      <c r="R592" s="25">
        <v>14218</v>
      </c>
      <c r="S592" s="10">
        <v>12978</v>
      </c>
      <c r="T592" s="10">
        <v>9601</v>
      </c>
      <c r="U592" s="10">
        <v>6773</v>
      </c>
      <c r="V592" s="10">
        <v>7153</v>
      </c>
      <c r="W592" s="10">
        <v>8294</v>
      </c>
      <c r="X592" s="10">
        <v>9408</v>
      </c>
      <c r="Y592" s="10">
        <v>9104</v>
      </c>
      <c r="Z592" s="10">
        <v>7930</v>
      </c>
      <c r="AA592" s="10">
        <v>10004</v>
      </c>
      <c r="AB592" s="10">
        <v>9709</v>
      </c>
      <c r="AC592" s="10">
        <v>10149</v>
      </c>
      <c r="AD592" s="26">
        <f t="shared" si="28"/>
        <v>115321</v>
      </c>
      <c r="AE592" s="25">
        <v>3984</v>
      </c>
      <c r="AF592" s="10">
        <v>3257</v>
      </c>
      <c r="AG592" s="10">
        <v>6163</v>
      </c>
      <c r="AH592" s="10">
        <v>5723</v>
      </c>
      <c r="AI592" s="10">
        <v>6042</v>
      </c>
      <c r="AJ592" s="10">
        <v>6532</v>
      </c>
      <c r="AK592" s="10">
        <v>11739</v>
      </c>
      <c r="AL592" s="10">
        <v>13803</v>
      </c>
      <c r="AM592" s="10">
        <v>8833</v>
      </c>
      <c r="AN592" s="10">
        <v>10083</v>
      </c>
      <c r="AO592" s="10">
        <v>9414</v>
      </c>
      <c r="AP592" s="10">
        <v>5898</v>
      </c>
      <c r="AQ592" s="26">
        <f t="shared" si="29"/>
        <v>91471</v>
      </c>
    </row>
    <row r="593" spans="1:43" ht="17.25" customHeight="1" x14ac:dyDescent="0.45">
      <c r="A593" s="2" t="s">
        <v>70</v>
      </c>
      <c r="B593" s="2" t="s">
        <v>65</v>
      </c>
      <c r="C593" s="2" t="s">
        <v>17</v>
      </c>
      <c r="D593" s="2" t="s">
        <v>66</v>
      </c>
      <c r="E593" s="23">
        <v>23</v>
      </c>
      <c r="F593" s="1">
        <v>26</v>
      </c>
      <c r="G593" s="1">
        <v>28</v>
      </c>
      <c r="H593" s="1">
        <v>20</v>
      </c>
      <c r="I593" s="1">
        <v>5</v>
      </c>
      <c r="J593" s="1">
        <v>4</v>
      </c>
      <c r="K593" s="1">
        <v>4</v>
      </c>
      <c r="L593" s="1">
        <v>5</v>
      </c>
      <c r="M593" s="1">
        <v>4</v>
      </c>
      <c r="N593" s="1">
        <v>8</v>
      </c>
      <c r="O593" s="1">
        <v>26</v>
      </c>
      <c r="P593" s="1">
        <v>34</v>
      </c>
      <c r="Q593" s="24">
        <f t="shared" si="27"/>
        <v>187</v>
      </c>
      <c r="R593" s="23">
        <v>5035</v>
      </c>
      <c r="S593" s="1">
        <v>4884</v>
      </c>
      <c r="T593" s="1">
        <v>3871</v>
      </c>
      <c r="U593" s="1">
        <v>2213</v>
      </c>
      <c r="V593" s="1">
        <v>583</v>
      </c>
      <c r="W593" s="1">
        <v>439</v>
      </c>
      <c r="X593" s="1">
        <v>707</v>
      </c>
      <c r="Y593" s="1">
        <v>828</v>
      </c>
      <c r="Z593" s="1">
        <v>522</v>
      </c>
      <c r="AA593" s="1">
        <v>1459</v>
      </c>
      <c r="AB593" s="1">
        <v>4488</v>
      </c>
      <c r="AC593" s="1">
        <v>5938</v>
      </c>
      <c r="AD593" s="24">
        <f t="shared" si="28"/>
        <v>30967</v>
      </c>
      <c r="AE593" s="23">
        <v>0</v>
      </c>
      <c r="AF593" s="1">
        <v>0</v>
      </c>
      <c r="AG593" s="1">
        <v>0</v>
      </c>
      <c r="AH593" s="1">
        <v>0</v>
      </c>
      <c r="AI593" s="1">
        <v>0</v>
      </c>
      <c r="AJ593" s="1">
        <v>0</v>
      </c>
      <c r="AK593" s="1">
        <v>0</v>
      </c>
      <c r="AL593" s="1">
        <v>0</v>
      </c>
      <c r="AM593" s="1">
        <v>0</v>
      </c>
      <c r="AN593" s="1">
        <v>0</v>
      </c>
      <c r="AO593" s="1">
        <v>0</v>
      </c>
      <c r="AP593" s="1">
        <v>0</v>
      </c>
      <c r="AQ593" s="24">
        <f t="shared" si="29"/>
        <v>0</v>
      </c>
    </row>
    <row r="594" spans="1:43" ht="17.25" customHeight="1" x14ac:dyDescent="0.45">
      <c r="A594" s="12" t="s">
        <v>70</v>
      </c>
      <c r="B594" s="12" t="s">
        <v>65</v>
      </c>
      <c r="C594" s="12" t="s">
        <v>48</v>
      </c>
      <c r="D594" s="12" t="s">
        <v>66</v>
      </c>
      <c r="E594" s="25">
        <v>4</v>
      </c>
      <c r="F594" s="10">
        <v>5</v>
      </c>
      <c r="G594" s="10">
        <v>4</v>
      </c>
      <c r="H594" s="10">
        <v>1</v>
      </c>
      <c r="I594" s="10">
        <v>0</v>
      </c>
      <c r="J594" s="10">
        <v>0</v>
      </c>
      <c r="K594" s="10">
        <v>0</v>
      </c>
      <c r="L594" s="10">
        <v>0</v>
      </c>
      <c r="M594" s="10">
        <v>0</v>
      </c>
      <c r="N594" s="10">
        <v>0</v>
      </c>
      <c r="O594" s="10">
        <v>4</v>
      </c>
      <c r="P594" s="10">
        <v>6</v>
      </c>
      <c r="Q594" s="26">
        <f t="shared" si="27"/>
        <v>24</v>
      </c>
      <c r="R594" s="25">
        <v>674</v>
      </c>
      <c r="S594" s="10">
        <v>800</v>
      </c>
      <c r="T594" s="10">
        <v>663</v>
      </c>
      <c r="U594" s="10">
        <v>162</v>
      </c>
      <c r="V594" s="10">
        <v>0</v>
      </c>
      <c r="W594" s="10">
        <v>0</v>
      </c>
      <c r="X594" s="10">
        <v>0</v>
      </c>
      <c r="Y594" s="10">
        <v>0</v>
      </c>
      <c r="Z594" s="10">
        <v>0</v>
      </c>
      <c r="AA594" s="10">
        <v>0</v>
      </c>
      <c r="AB594" s="10">
        <v>670</v>
      </c>
      <c r="AC594" s="10">
        <v>909</v>
      </c>
      <c r="AD594" s="26">
        <f t="shared" si="28"/>
        <v>3878</v>
      </c>
      <c r="AE594" s="25">
        <v>0</v>
      </c>
      <c r="AF594" s="10">
        <v>0</v>
      </c>
      <c r="AG594" s="10">
        <v>0</v>
      </c>
      <c r="AH594" s="10">
        <v>0</v>
      </c>
      <c r="AI594" s="10">
        <v>0</v>
      </c>
      <c r="AJ594" s="10">
        <v>0</v>
      </c>
      <c r="AK594" s="10">
        <v>0</v>
      </c>
      <c r="AL594" s="10">
        <v>0</v>
      </c>
      <c r="AM594" s="10">
        <v>0</v>
      </c>
      <c r="AN594" s="10">
        <v>0</v>
      </c>
      <c r="AO594" s="10">
        <v>0</v>
      </c>
      <c r="AP594" s="10">
        <v>0</v>
      </c>
      <c r="AQ594" s="26">
        <f t="shared" si="29"/>
        <v>0</v>
      </c>
    </row>
    <row r="595" spans="1:43" ht="17.25" customHeight="1" x14ac:dyDescent="0.45">
      <c r="A595" s="2" t="s">
        <v>70</v>
      </c>
      <c r="B595" s="2" t="s">
        <v>65</v>
      </c>
      <c r="C595" s="2" t="s">
        <v>247</v>
      </c>
      <c r="D595" s="2" t="s">
        <v>66</v>
      </c>
      <c r="E595" s="23">
        <v>0</v>
      </c>
      <c r="F595" s="1">
        <v>0</v>
      </c>
      <c r="G595" s="1">
        <v>0</v>
      </c>
      <c r="H595" s="1">
        <v>0</v>
      </c>
      <c r="I595" s="1">
        <v>4</v>
      </c>
      <c r="J595" s="1">
        <v>4</v>
      </c>
      <c r="K595" s="1">
        <v>3</v>
      </c>
      <c r="L595" s="1">
        <v>5</v>
      </c>
      <c r="M595" s="1">
        <v>4</v>
      </c>
      <c r="N595" s="1">
        <v>6</v>
      </c>
      <c r="O595" s="1">
        <v>14</v>
      </c>
      <c r="P595" s="1">
        <v>27</v>
      </c>
      <c r="Q595" s="24">
        <f t="shared" si="27"/>
        <v>67</v>
      </c>
      <c r="R595" s="23">
        <v>0</v>
      </c>
      <c r="S595" s="1">
        <v>0</v>
      </c>
      <c r="T595" s="1">
        <v>0</v>
      </c>
      <c r="U595" s="1">
        <v>0</v>
      </c>
      <c r="V595" s="1">
        <v>491</v>
      </c>
      <c r="W595" s="1">
        <v>474</v>
      </c>
      <c r="X595" s="1">
        <v>384</v>
      </c>
      <c r="Y595" s="1">
        <v>625</v>
      </c>
      <c r="Z595" s="1">
        <v>430</v>
      </c>
      <c r="AA595" s="1">
        <v>773</v>
      </c>
      <c r="AB595" s="1">
        <v>1608</v>
      </c>
      <c r="AC595" s="1">
        <v>3565</v>
      </c>
      <c r="AD595" s="24">
        <f t="shared" si="28"/>
        <v>8350</v>
      </c>
      <c r="AE595" s="23">
        <v>0</v>
      </c>
      <c r="AF595" s="1">
        <v>0</v>
      </c>
      <c r="AG595" s="1">
        <v>0</v>
      </c>
      <c r="AH595" s="1">
        <v>0</v>
      </c>
      <c r="AI595" s="1">
        <v>0</v>
      </c>
      <c r="AJ595" s="1">
        <v>0</v>
      </c>
      <c r="AK595" s="1">
        <v>0</v>
      </c>
      <c r="AL595" s="1">
        <v>0</v>
      </c>
      <c r="AM595" s="1">
        <v>0</v>
      </c>
      <c r="AN595" s="1">
        <v>0</v>
      </c>
      <c r="AO595" s="1">
        <v>0</v>
      </c>
      <c r="AP595" s="1">
        <v>0</v>
      </c>
      <c r="AQ595" s="24">
        <f t="shared" si="29"/>
        <v>0</v>
      </c>
    </row>
    <row r="596" spans="1:43" ht="17.25" customHeight="1" x14ac:dyDescent="0.45">
      <c r="A596" s="12" t="s">
        <v>25</v>
      </c>
      <c r="B596" s="12" t="s">
        <v>66</v>
      </c>
      <c r="C596" s="12" t="s">
        <v>72</v>
      </c>
      <c r="D596" s="12" t="s">
        <v>68</v>
      </c>
      <c r="E596" s="25">
        <v>60</v>
      </c>
      <c r="F596" s="10">
        <v>59</v>
      </c>
      <c r="G596" s="10">
        <v>63</v>
      </c>
      <c r="H596" s="10">
        <v>76</v>
      </c>
      <c r="I596" s="10">
        <v>79</v>
      </c>
      <c r="J596" s="10">
        <v>77</v>
      </c>
      <c r="K596" s="10">
        <v>82</v>
      </c>
      <c r="L596" s="10">
        <v>80</v>
      </c>
      <c r="M596" s="10">
        <v>79</v>
      </c>
      <c r="N596" s="10">
        <v>77</v>
      </c>
      <c r="O596" s="10">
        <v>82</v>
      </c>
      <c r="P596" s="10">
        <v>89</v>
      </c>
      <c r="Q596" s="26">
        <f t="shared" si="27"/>
        <v>903</v>
      </c>
      <c r="R596" s="25">
        <v>10636</v>
      </c>
      <c r="S596" s="10">
        <v>9873</v>
      </c>
      <c r="T596" s="10">
        <v>10469</v>
      </c>
      <c r="U596" s="10">
        <v>10638</v>
      </c>
      <c r="V596" s="10">
        <v>9979</v>
      </c>
      <c r="W596" s="10">
        <v>9487</v>
      </c>
      <c r="X596" s="10">
        <v>13136</v>
      </c>
      <c r="Y596" s="10">
        <v>12487</v>
      </c>
      <c r="Z596" s="10">
        <v>8882</v>
      </c>
      <c r="AA596" s="10">
        <v>8730</v>
      </c>
      <c r="AB596" s="10">
        <v>9077</v>
      </c>
      <c r="AC596" s="10">
        <v>9305</v>
      </c>
      <c r="AD596" s="26">
        <f t="shared" si="28"/>
        <v>122699</v>
      </c>
      <c r="AE596" s="25">
        <v>0</v>
      </c>
      <c r="AF596" s="10">
        <v>0</v>
      </c>
      <c r="AG596" s="10">
        <v>0</v>
      </c>
      <c r="AH596" s="10">
        <v>0</v>
      </c>
      <c r="AI596" s="10">
        <v>0</v>
      </c>
      <c r="AJ596" s="10">
        <v>0</v>
      </c>
      <c r="AK596" s="10">
        <v>0</v>
      </c>
      <c r="AL596" s="10">
        <v>0</v>
      </c>
      <c r="AM596" s="10">
        <v>0</v>
      </c>
      <c r="AN596" s="10">
        <v>0</v>
      </c>
      <c r="AO596" s="10">
        <v>0</v>
      </c>
      <c r="AP596" s="10">
        <v>0</v>
      </c>
      <c r="AQ596" s="26">
        <f t="shared" si="29"/>
        <v>0</v>
      </c>
    </row>
    <row r="597" spans="1:43" ht="17.25" customHeight="1" x14ac:dyDescent="0.45">
      <c r="A597" s="2" t="s">
        <v>25</v>
      </c>
      <c r="B597" s="2" t="s">
        <v>66</v>
      </c>
      <c r="C597" s="2" t="s">
        <v>67</v>
      </c>
      <c r="D597" s="2" t="s">
        <v>68</v>
      </c>
      <c r="E597" s="23">
        <v>31</v>
      </c>
      <c r="F597" s="1">
        <v>29</v>
      </c>
      <c r="G597" s="1">
        <v>31</v>
      </c>
      <c r="H597" s="1">
        <v>30</v>
      </c>
      <c r="I597" s="1">
        <v>31</v>
      </c>
      <c r="J597" s="1">
        <v>30</v>
      </c>
      <c r="K597" s="1">
        <v>30</v>
      </c>
      <c r="L597" s="1">
        <v>31</v>
      </c>
      <c r="M597" s="1">
        <v>30</v>
      </c>
      <c r="N597" s="1">
        <v>31</v>
      </c>
      <c r="O597" s="1">
        <v>29</v>
      </c>
      <c r="P597" s="1">
        <v>42</v>
      </c>
      <c r="Q597" s="24">
        <f t="shared" si="27"/>
        <v>375</v>
      </c>
      <c r="R597" s="23">
        <v>3890</v>
      </c>
      <c r="S597" s="1">
        <v>3702</v>
      </c>
      <c r="T597" s="1">
        <v>3839</v>
      </c>
      <c r="U597" s="1">
        <v>3633</v>
      </c>
      <c r="V597" s="1">
        <v>3396</v>
      </c>
      <c r="W597" s="1">
        <v>3289</v>
      </c>
      <c r="X597" s="1">
        <v>3687</v>
      </c>
      <c r="Y597" s="1">
        <v>3745</v>
      </c>
      <c r="Z597" s="1">
        <v>2982</v>
      </c>
      <c r="AA597" s="1">
        <v>3193</v>
      </c>
      <c r="AB597" s="1">
        <v>2818</v>
      </c>
      <c r="AC597" s="1">
        <v>3507</v>
      </c>
      <c r="AD597" s="24">
        <f t="shared" si="28"/>
        <v>41681</v>
      </c>
      <c r="AE597" s="23">
        <v>11.33980925</v>
      </c>
      <c r="AF597" s="1">
        <v>48.080791220000009</v>
      </c>
      <c r="AG597" s="1">
        <v>330.21524535999998</v>
      </c>
      <c r="AH597" s="1">
        <v>35.380204859999999</v>
      </c>
      <c r="AI597" s="1">
        <v>14.06136347</v>
      </c>
      <c r="AJ597" s="1">
        <v>20.86524902</v>
      </c>
      <c r="AK597" s="1">
        <v>11.33980925</v>
      </c>
      <c r="AL597" s="1">
        <v>40.823313300000002</v>
      </c>
      <c r="AM597" s="1">
        <v>6.3502931800000004</v>
      </c>
      <c r="AN597" s="1">
        <v>108.86216880000001</v>
      </c>
      <c r="AO597" s="1">
        <v>0</v>
      </c>
      <c r="AP597" s="1">
        <v>0</v>
      </c>
      <c r="AQ597" s="24">
        <f t="shared" si="29"/>
        <v>627.31824770999992</v>
      </c>
    </row>
    <row r="598" spans="1:43" ht="17.25" customHeight="1" x14ac:dyDescent="0.45">
      <c r="A598" s="12" t="s">
        <v>25</v>
      </c>
      <c r="B598" s="12" t="s">
        <v>66</v>
      </c>
      <c r="C598" s="12" t="s">
        <v>174</v>
      </c>
      <c r="D598" s="12" t="s">
        <v>68</v>
      </c>
      <c r="E598" s="25">
        <v>13</v>
      </c>
      <c r="F598" s="10">
        <v>13</v>
      </c>
      <c r="G598" s="10">
        <v>13</v>
      </c>
      <c r="H598" s="10">
        <v>16</v>
      </c>
      <c r="I598" s="10">
        <v>17</v>
      </c>
      <c r="J598" s="10">
        <v>18</v>
      </c>
      <c r="K598" s="10">
        <v>17</v>
      </c>
      <c r="L598" s="10">
        <v>18</v>
      </c>
      <c r="M598" s="10">
        <v>17</v>
      </c>
      <c r="N598" s="10">
        <v>18</v>
      </c>
      <c r="O598" s="10">
        <v>17</v>
      </c>
      <c r="P598" s="10">
        <v>19</v>
      </c>
      <c r="Q598" s="26">
        <f t="shared" si="27"/>
        <v>196</v>
      </c>
      <c r="R598" s="25">
        <v>2328</v>
      </c>
      <c r="S598" s="10">
        <v>2330</v>
      </c>
      <c r="T598" s="10">
        <v>2230</v>
      </c>
      <c r="U598" s="10">
        <v>2538</v>
      </c>
      <c r="V598" s="10">
        <v>2493</v>
      </c>
      <c r="W598" s="10">
        <v>2303</v>
      </c>
      <c r="X598" s="10">
        <v>2778</v>
      </c>
      <c r="Y598" s="10">
        <v>2676</v>
      </c>
      <c r="Z598" s="10">
        <v>1992</v>
      </c>
      <c r="AA598" s="10">
        <v>2221</v>
      </c>
      <c r="AB598" s="10">
        <v>2139</v>
      </c>
      <c r="AC598" s="10">
        <v>2234</v>
      </c>
      <c r="AD598" s="26">
        <f t="shared" si="28"/>
        <v>28262</v>
      </c>
      <c r="AE598" s="25">
        <v>0</v>
      </c>
      <c r="AF598" s="10">
        <v>0</v>
      </c>
      <c r="AG598" s="10">
        <v>0</v>
      </c>
      <c r="AH598" s="10">
        <v>0</v>
      </c>
      <c r="AI598" s="10">
        <v>0</v>
      </c>
      <c r="AJ598" s="10">
        <v>0</v>
      </c>
      <c r="AK598" s="10">
        <v>0</v>
      </c>
      <c r="AL598" s="10">
        <v>0</v>
      </c>
      <c r="AM598" s="10">
        <v>0</v>
      </c>
      <c r="AN598" s="10">
        <v>0</v>
      </c>
      <c r="AO598" s="10">
        <v>0</v>
      </c>
      <c r="AP598" s="10">
        <v>0</v>
      </c>
      <c r="AQ598" s="26">
        <f t="shared" si="29"/>
        <v>0</v>
      </c>
    </row>
    <row r="599" spans="1:43" ht="17.25" customHeight="1" x14ac:dyDescent="0.45">
      <c r="A599" s="2" t="s">
        <v>25</v>
      </c>
      <c r="B599" s="2" t="s">
        <v>66</v>
      </c>
      <c r="C599" s="2" t="s">
        <v>69</v>
      </c>
      <c r="D599" s="2" t="s">
        <v>68</v>
      </c>
      <c r="E599" s="23">
        <v>30</v>
      </c>
      <c r="F599" s="1">
        <v>29</v>
      </c>
      <c r="G599" s="1">
        <v>31</v>
      </c>
      <c r="H599" s="1">
        <v>30</v>
      </c>
      <c r="I599" s="1">
        <v>27</v>
      </c>
      <c r="J599" s="1">
        <v>30</v>
      </c>
      <c r="K599" s="1">
        <v>28</v>
      </c>
      <c r="L599" s="1">
        <v>31</v>
      </c>
      <c r="M599" s="1">
        <v>30</v>
      </c>
      <c r="N599" s="1">
        <v>35</v>
      </c>
      <c r="O599" s="1">
        <v>60</v>
      </c>
      <c r="P599" s="1">
        <v>60</v>
      </c>
      <c r="Q599" s="24">
        <f t="shared" si="27"/>
        <v>421</v>
      </c>
      <c r="R599" s="23">
        <v>1887</v>
      </c>
      <c r="S599" s="1">
        <v>1418</v>
      </c>
      <c r="T599" s="1">
        <v>1426</v>
      </c>
      <c r="U599" s="1">
        <v>1383</v>
      </c>
      <c r="V599" s="1">
        <v>1206</v>
      </c>
      <c r="W599" s="1">
        <v>1329</v>
      </c>
      <c r="X599" s="1">
        <v>1301</v>
      </c>
      <c r="Y599" s="1">
        <v>1393</v>
      </c>
      <c r="Z599" s="1">
        <v>1215</v>
      </c>
      <c r="AA599" s="1">
        <v>1281</v>
      </c>
      <c r="AB599" s="1">
        <v>1970</v>
      </c>
      <c r="AC599" s="1">
        <v>2208</v>
      </c>
      <c r="AD599" s="24">
        <f t="shared" si="28"/>
        <v>18017</v>
      </c>
      <c r="AE599" s="23">
        <v>0</v>
      </c>
      <c r="AF599" s="1">
        <v>0</v>
      </c>
      <c r="AG599" s="1">
        <v>0</v>
      </c>
      <c r="AH599" s="1">
        <v>0</v>
      </c>
      <c r="AI599" s="1">
        <v>0</v>
      </c>
      <c r="AJ599" s="1">
        <v>0</v>
      </c>
      <c r="AK599" s="1">
        <v>0</v>
      </c>
      <c r="AL599" s="1">
        <v>0</v>
      </c>
      <c r="AM599" s="1">
        <v>0</v>
      </c>
      <c r="AN599" s="1">
        <v>0</v>
      </c>
      <c r="AO599" s="1">
        <v>0</v>
      </c>
      <c r="AP599" s="1">
        <v>0</v>
      </c>
      <c r="AQ599" s="24">
        <f t="shared" si="29"/>
        <v>0</v>
      </c>
    </row>
    <row r="600" spans="1:43" ht="17.25" customHeight="1" x14ac:dyDescent="0.45">
      <c r="A600" s="12" t="s">
        <v>25</v>
      </c>
      <c r="B600" s="12" t="s">
        <v>66</v>
      </c>
      <c r="C600" s="12" t="s">
        <v>73</v>
      </c>
      <c r="D600" s="12" t="s">
        <v>68</v>
      </c>
      <c r="E600" s="25">
        <v>23</v>
      </c>
      <c r="F600" s="10">
        <v>20</v>
      </c>
      <c r="G600" s="10">
        <v>22</v>
      </c>
      <c r="H600" s="10">
        <v>21</v>
      </c>
      <c r="I600" s="10">
        <v>23</v>
      </c>
      <c r="J600" s="10">
        <v>21</v>
      </c>
      <c r="K600" s="10">
        <v>22</v>
      </c>
      <c r="L600" s="10">
        <v>22</v>
      </c>
      <c r="M600" s="10">
        <v>22</v>
      </c>
      <c r="N600" s="10">
        <v>22</v>
      </c>
      <c r="O600" s="10">
        <v>21</v>
      </c>
      <c r="P600" s="10">
        <v>24</v>
      </c>
      <c r="Q600" s="26">
        <f t="shared" si="27"/>
        <v>263</v>
      </c>
      <c r="R600" s="25">
        <v>4096</v>
      </c>
      <c r="S600" s="10">
        <v>3534</v>
      </c>
      <c r="T600" s="10">
        <v>3496</v>
      </c>
      <c r="U600" s="10">
        <v>3140</v>
      </c>
      <c r="V600" s="10">
        <v>3242</v>
      </c>
      <c r="W600" s="10">
        <v>2673</v>
      </c>
      <c r="X600" s="10">
        <v>3627</v>
      </c>
      <c r="Y600" s="10">
        <v>3358</v>
      </c>
      <c r="Z600" s="10">
        <v>2909</v>
      </c>
      <c r="AA600" s="10">
        <v>3068</v>
      </c>
      <c r="AB600" s="10">
        <v>3096</v>
      </c>
      <c r="AC600" s="10">
        <v>3444</v>
      </c>
      <c r="AD600" s="26">
        <f t="shared" si="28"/>
        <v>39683</v>
      </c>
      <c r="AE600" s="25">
        <v>0</v>
      </c>
      <c r="AF600" s="10">
        <v>0</v>
      </c>
      <c r="AG600" s="10">
        <v>0</v>
      </c>
      <c r="AH600" s="10">
        <v>0</v>
      </c>
      <c r="AI600" s="10">
        <v>0</v>
      </c>
      <c r="AJ600" s="10">
        <v>0</v>
      </c>
      <c r="AK600" s="10">
        <v>0</v>
      </c>
      <c r="AL600" s="10">
        <v>0</v>
      </c>
      <c r="AM600" s="10">
        <v>0</v>
      </c>
      <c r="AN600" s="10">
        <v>0</v>
      </c>
      <c r="AO600" s="10">
        <v>0</v>
      </c>
      <c r="AP600" s="10">
        <v>0</v>
      </c>
      <c r="AQ600" s="26">
        <f t="shared" si="29"/>
        <v>0</v>
      </c>
    </row>
    <row r="601" spans="1:43" ht="17.25" customHeight="1" x14ac:dyDescent="0.45">
      <c r="A601" s="2" t="s">
        <v>25</v>
      </c>
      <c r="B601" s="2" t="s">
        <v>66</v>
      </c>
      <c r="C601" s="2" t="s">
        <v>175</v>
      </c>
      <c r="D601" s="2" t="s">
        <v>68</v>
      </c>
      <c r="E601" s="23">
        <v>18</v>
      </c>
      <c r="F601" s="1">
        <v>16</v>
      </c>
      <c r="G601" s="1">
        <v>18</v>
      </c>
      <c r="H601" s="1">
        <v>26</v>
      </c>
      <c r="I601" s="1">
        <v>26</v>
      </c>
      <c r="J601" s="1">
        <v>26</v>
      </c>
      <c r="K601" s="1">
        <v>27</v>
      </c>
      <c r="L601" s="1">
        <v>26</v>
      </c>
      <c r="M601" s="1">
        <v>26</v>
      </c>
      <c r="N601" s="1">
        <v>26</v>
      </c>
      <c r="O601" s="1">
        <v>26</v>
      </c>
      <c r="P601" s="1">
        <v>27</v>
      </c>
      <c r="Q601" s="24">
        <f t="shared" si="27"/>
        <v>288</v>
      </c>
      <c r="R601" s="23">
        <v>3210</v>
      </c>
      <c r="S601" s="1">
        <v>2847</v>
      </c>
      <c r="T601" s="1">
        <v>3220</v>
      </c>
      <c r="U601" s="1">
        <v>4081</v>
      </c>
      <c r="V601" s="1">
        <v>3984</v>
      </c>
      <c r="W601" s="1">
        <v>3241</v>
      </c>
      <c r="X601" s="1">
        <v>4430</v>
      </c>
      <c r="Y601" s="1">
        <v>4080</v>
      </c>
      <c r="Z601" s="1">
        <v>3289</v>
      </c>
      <c r="AA601" s="1">
        <v>3050</v>
      </c>
      <c r="AB601" s="1">
        <v>3585</v>
      </c>
      <c r="AC601" s="1">
        <v>3836</v>
      </c>
      <c r="AD601" s="24">
        <f t="shared" si="28"/>
        <v>42853</v>
      </c>
      <c r="AE601" s="23">
        <v>0</v>
      </c>
      <c r="AF601" s="1">
        <v>0</v>
      </c>
      <c r="AG601" s="1">
        <v>0</v>
      </c>
      <c r="AH601" s="1">
        <v>0</v>
      </c>
      <c r="AI601" s="1">
        <v>0</v>
      </c>
      <c r="AJ601" s="1">
        <v>0</v>
      </c>
      <c r="AK601" s="1">
        <v>0</v>
      </c>
      <c r="AL601" s="1">
        <v>0</v>
      </c>
      <c r="AM601" s="1">
        <v>0</v>
      </c>
      <c r="AN601" s="1">
        <v>0</v>
      </c>
      <c r="AO601" s="1">
        <v>0</v>
      </c>
      <c r="AP601" s="1">
        <v>0</v>
      </c>
      <c r="AQ601" s="24">
        <f t="shared" si="29"/>
        <v>0</v>
      </c>
    </row>
    <row r="602" spans="1:43" ht="17.25" customHeight="1" x14ac:dyDescent="0.45">
      <c r="A602" s="12" t="s">
        <v>25</v>
      </c>
      <c r="B602" s="12" t="s">
        <v>66</v>
      </c>
      <c r="C602" s="12" t="s">
        <v>177</v>
      </c>
      <c r="D602" s="12" t="s">
        <v>68</v>
      </c>
      <c r="E602" s="25">
        <v>13</v>
      </c>
      <c r="F602" s="10">
        <v>13</v>
      </c>
      <c r="G602" s="10">
        <v>13</v>
      </c>
      <c r="H602" s="10">
        <v>17</v>
      </c>
      <c r="I602" s="10">
        <v>18</v>
      </c>
      <c r="J602" s="10">
        <v>17</v>
      </c>
      <c r="K602" s="10">
        <v>16</v>
      </c>
      <c r="L602" s="10">
        <v>19</v>
      </c>
      <c r="M602" s="10">
        <v>16</v>
      </c>
      <c r="N602" s="10">
        <v>18</v>
      </c>
      <c r="O602" s="10">
        <v>18</v>
      </c>
      <c r="P602" s="10">
        <v>17</v>
      </c>
      <c r="Q602" s="26">
        <f t="shared" si="27"/>
        <v>195</v>
      </c>
      <c r="R602" s="25">
        <v>2322</v>
      </c>
      <c r="S602" s="10">
        <v>2308</v>
      </c>
      <c r="T602" s="10">
        <v>2303</v>
      </c>
      <c r="U602" s="10">
        <v>2721</v>
      </c>
      <c r="V602" s="10">
        <v>2628</v>
      </c>
      <c r="W602" s="10">
        <v>2130</v>
      </c>
      <c r="X602" s="10">
        <v>2664</v>
      </c>
      <c r="Y602" s="10">
        <v>2932</v>
      </c>
      <c r="Z602" s="10">
        <v>1837</v>
      </c>
      <c r="AA602" s="10">
        <v>2009</v>
      </c>
      <c r="AB602" s="10">
        <v>2248</v>
      </c>
      <c r="AC602" s="10">
        <v>2170</v>
      </c>
      <c r="AD602" s="26">
        <f t="shared" si="28"/>
        <v>28272</v>
      </c>
      <c r="AE602" s="25">
        <v>0</v>
      </c>
      <c r="AF602" s="10">
        <v>0</v>
      </c>
      <c r="AG602" s="10">
        <v>0</v>
      </c>
      <c r="AH602" s="10">
        <v>0</v>
      </c>
      <c r="AI602" s="10">
        <v>0</v>
      </c>
      <c r="AJ602" s="10">
        <v>0</v>
      </c>
      <c r="AK602" s="10">
        <v>0</v>
      </c>
      <c r="AL602" s="10">
        <v>0</v>
      </c>
      <c r="AM602" s="10">
        <v>0</v>
      </c>
      <c r="AN602" s="10">
        <v>0</v>
      </c>
      <c r="AO602" s="10">
        <v>0</v>
      </c>
      <c r="AP602" s="10">
        <v>0</v>
      </c>
      <c r="AQ602" s="26">
        <f t="shared" si="29"/>
        <v>0</v>
      </c>
    </row>
    <row r="603" spans="1:43" ht="17.25" customHeight="1" x14ac:dyDescent="0.45">
      <c r="A603" s="2" t="s">
        <v>233</v>
      </c>
      <c r="B603" s="2" t="s">
        <v>107</v>
      </c>
      <c r="C603" s="2" t="s">
        <v>12</v>
      </c>
      <c r="D603" s="2" t="s">
        <v>66</v>
      </c>
      <c r="E603" s="23">
        <v>13</v>
      </c>
      <c r="F603" s="1">
        <v>10</v>
      </c>
      <c r="G603" s="1">
        <v>10</v>
      </c>
      <c r="H603" s="1">
        <v>12</v>
      </c>
      <c r="I603" s="1">
        <v>11</v>
      </c>
      <c r="J603" s="1">
        <v>13</v>
      </c>
      <c r="K603" s="1">
        <v>14</v>
      </c>
      <c r="L603" s="1">
        <v>13</v>
      </c>
      <c r="M603" s="1">
        <v>13</v>
      </c>
      <c r="N603" s="1">
        <v>13</v>
      </c>
      <c r="O603" s="1">
        <v>13</v>
      </c>
      <c r="P603" s="1">
        <v>13</v>
      </c>
      <c r="Q603" s="24">
        <f t="shared" si="27"/>
        <v>148</v>
      </c>
      <c r="R603" s="23">
        <v>3306</v>
      </c>
      <c r="S603" s="1">
        <v>2366</v>
      </c>
      <c r="T603" s="1">
        <v>2379</v>
      </c>
      <c r="U603" s="1">
        <v>2509</v>
      </c>
      <c r="V603" s="1">
        <v>1490</v>
      </c>
      <c r="W603" s="1">
        <v>2716</v>
      </c>
      <c r="X603" s="1">
        <v>4047</v>
      </c>
      <c r="Y603" s="1">
        <v>3388</v>
      </c>
      <c r="Z603" s="1">
        <v>3010</v>
      </c>
      <c r="AA603" s="1">
        <v>3718</v>
      </c>
      <c r="AB603" s="1">
        <v>3681</v>
      </c>
      <c r="AC603" s="1">
        <v>3857</v>
      </c>
      <c r="AD603" s="24">
        <f t="shared" si="28"/>
        <v>36467</v>
      </c>
      <c r="AE603" s="23">
        <v>91656</v>
      </c>
      <c r="AF603" s="1">
        <v>119962</v>
      </c>
      <c r="AG603" s="1">
        <v>110177</v>
      </c>
      <c r="AH603" s="1">
        <v>153759</v>
      </c>
      <c r="AI603" s="1">
        <v>180776</v>
      </c>
      <c r="AJ603" s="1">
        <v>224268</v>
      </c>
      <c r="AK603" s="1">
        <v>165960</v>
      </c>
      <c r="AL603" s="1">
        <v>135121</v>
      </c>
      <c r="AM603" s="1">
        <v>130380</v>
      </c>
      <c r="AN603" s="1">
        <v>149652</v>
      </c>
      <c r="AO603" s="1">
        <v>128307</v>
      </c>
      <c r="AP603" s="1">
        <v>99584</v>
      </c>
      <c r="AQ603" s="24">
        <f t="shared" si="29"/>
        <v>1689602</v>
      </c>
    </row>
    <row r="604" spans="1:43" ht="17.25" customHeight="1" x14ac:dyDescent="0.45">
      <c r="A604" s="12" t="s">
        <v>131</v>
      </c>
      <c r="B604" s="12" t="s">
        <v>68</v>
      </c>
      <c r="C604" s="12" t="s">
        <v>10</v>
      </c>
      <c r="D604" s="12" t="s">
        <v>66</v>
      </c>
      <c r="E604" s="25">
        <v>8</v>
      </c>
      <c r="F604" s="10">
        <v>8</v>
      </c>
      <c r="G604" s="10">
        <v>27</v>
      </c>
      <c r="H604" s="10">
        <v>14</v>
      </c>
      <c r="I604" s="10">
        <v>10</v>
      </c>
      <c r="J604" s="10">
        <v>34</v>
      </c>
      <c r="K604" s="10">
        <v>30</v>
      </c>
      <c r="L604" s="10">
        <v>4</v>
      </c>
      <c r="M604" s="10">
        <v>0</v>
      </c>
      <c r="N604" s="10">
        <v>8</v>
      </c>
      <c r="O604" s="10">
        <v>7</v>
      </c>
      <c r="P604" s="10">
        <v>13</v>
      </c>
      <c r="Q604" s="26">
        <f t="shared" si="27"/>
        <v>163</v>
      </c>
      <c r="R604" s="25">
        <v>1142</v>
      </c>
      <c r="S604" s="10">
        <v>1210</v>
      </c>
      <c r="T604" s="10">
        <v>4554</v>
      </c>
      <c r="U604" s="10">
        <v>1931</v>
      </c>
      <c r="V604" s="10">
        <v>1408</v>
      </c>
      <c r="W604" s="10">
        <v>5130</v>
      </c>
      <c r="X604" s="10">
        <v>4250</v>
      </c>
      <c r="Y604" s="10">
        <v>304</v>
      </c>
      <c r="Z604" s="10">
        <v>0</v>
      </c>
      <c r="AA604" s="10">
        <v>1193</v>
      </c>
      <c r="AB604" s="10">
        <v>1050</v>
      </c>
      <c r="AC604" s="10">
        <v>2007</v>
      </c>
      <c r="AD604" s="26">
        <f t="shared" si="28"/>
        <v>24179</v>
      </c>
      <c r="AE604" s="25">
        <v>0</v>
      </c>
      <c r="AF604" s="10">
        <v>0</v>
      </c>
      <c r="AG604" s="10">
        <v>0</v>
      </c>
      <c r="AH604" s="10">
        <v>0</v>
      </c>
      <c r="AI604" s="10">
        <v>0</v>
      </c>
      <c r="AJ604" s="10">
        <v>0</v>
      </c>
      <c r="AK604" s="10">
        <v>0</v>
      </c>
      <c r="AL604" s="10">
        <v>0</v>
      </c>
      <c r="AM604" s="10">
        <v>0</v>
      </c>
      <c r="AN604" s="10">
        <v>0</v>
      </c>
      <c r="AO604" s="10">
        <v>0</v>
      </c>
      <c r="AP604" s="10">
        <v>0</v>
      </c>
      <c r="AQ604" s="26">
        <f t="shared" si="29"/>
        <v>0</v>
      </c>
    </row>
    <row r="605" spans="1:43" ht="17.25" customHeight="1" x14ac:dyDescent="0.45">
      <c r="A605" s="2" t="s">
        <v>132</v>
      </c>
      <c r="B605" s="2" t="s">
        <v>68</v>
      </c>
      <c r="C605" s="2" t="s">
        <v>10</v>
      </c>
      <c r="D605" s="2" t="s">
        <v>66</v>
      </c>
      <c r="E605" s="23">
        <v>137</v>
      </c>
      <c r="F605" s="1">
        <v>118</v>
      </c>
      <c r="G605" s="1">
        <v>129</v>
      </c>
      <c r="H605" s="1">
        <v>124</v>
      </c>
      <c r="I605" s="1">
        <v>133</v>
      </c>
      <c r="J605" s="1">
        <v>149</v>
      </c>
      <c r="K605" s="1">
        <v>152</v>
      </c>
      <c r="L605" s="1">
        <v>142</v>
      </c>
      <c r="M605" s="1">
        <v>91</v>
      </c>
      <c r="N605" s="1">
        <v>98</v>
      </c>
      <c r="O605" s="1">
        <v>120</v>
      </c>
      <c r="P605" s="1">
        <v>149</v>
      </c>
      <c r="Q605" s="24">
        <f t="shared" si="27"/>
        <v>1542</v>
      </c>
      <c r="R605" s="23">
        <v>19970</v>
      </c>
      <c r="S605" s="1">
        <v>18626</v>
      </c>
      <c r="T605" s="1">
        <v>21137</v>
      </c>
      <c r="U605" s="1">
        <v>19753</v>
      </c>
      <c r="V605" s="1">
        <v>20326</v>
      </c>
      <c r="W605" s="1">
        <v>22638</v>
      </c>
      <c r="X605" s="1">
        <v>26038</v>
      </c>
      <c r="Y605" s="1">
        <v>25195</v>
      </c>
      <c r="Z605" s="1">
        <v>12953</v>
      </c>
      <c r="AA605" s="1">
        <v>14871</v>
      </c>
      <c r="AB605" s="1">
        <v>18460</v>
      </c>
      <c r="AC605" s="1">
        <v>24172</v>
      </c>
      <c r="AD605" s="24">
        <f t="shared" si="28"/>
        <v>244139</v>
      </c>
      <c r="AE605" s="23">
        <v>28</v>
      </c>
      <c r="AF605" s="1">
        <v>138</v>
      </c>
      <c r="AG605" s="1">
        <v>230</v>
      </c>
      <c r="AH605" s="1">
        <v>1677</v>
      </c>
      <c r="AI605" s="1">
        <v>1058</v>
      </c>
      <c r="AJ605" s="1">
        <v>2859</v>
      </c>
      <c r="AK605" s="1">
        <v>4223</v>
      </c>
      <c r="AL605" s="1">
        <v>502</v>
      </c>
      <c r="AM605" s="1">
        <v>39</v>
      </c>
      <c r="AN605" s="1">
        <v>1988</v>
      </c>
      <c r="AO605" s="1">
        <v>5</v>
      </c>
      <c r="AP605" s="1">
        <v>352</v>
      </c>
      <c r="AQ605" s="24">
        <f t="shared" si="29"/>
        <v>13099</v>
      </c>
    </row>
    <row r="606" spans="1:43" ht="17.25" customHeight="1" x14ac:dyDescent="0.45">
      <c r="A606" s="12" t="s">
        <v>132</v>
      </c>
      <c r="B606" s="12" t="s">
        <v>68</v>
      </c>
      <c r="C606" s="12" t="s">
        <v>12</v>
      </c>
      <c r="D606" s="12" t="s">
        <v>66</v>
      </c>
      <c r="E606" s="25">
        <v>62</v>
      </c>
      <c r="F606" s="10">
        <v>58</v>
      </c>
      <c r="G606" s="10">
        <v>62</v>
      </c>
      <c r="H606" s="10">
        <v>60</v>
      </c>
      <c r="I606" s="10">
        <v>62</v>
      </c>
      <c r="J606" s="10">
        <v>60</v>
      </c>
      <c r="K606" s="10">
        <v>62</v>
      </c>
      <c r="L606" s="10">
        <v>61</v>
      </c>
      <c r="M606" s="10">
        <v>59</v>
      </c>
      <c r="N606" s="10">
        <v>66</v>
      </c>
      <c r="O606" s="10">
        <v>90</v>
      </c>
      <c r="P606" s="10">
        <v>93</v>
      </c>
      <c r="Q606" s="26">
        <f t="shared" si="27"/>
        <v>795</v>
      </c>
      <c r="R606" s="25">
        <v>7173</v>
      </c>
      <c r="S606" s="10">
        <v>6775</v>
      </c>
      <c r="T606" s="10">
        <v>7271</v>
      </c>
      <c r="U606" s="10">
        <v>6850</v>
      </c>
      <c r="V606" s="10">
        <v>7176</v>
      </c>
      <c r="W606" s="10">
        <v>6963</v>
      </c>
      <c r="X606" s="10">
        <v>7509</v>
      </c>
      <c r="Y606" s="10">
        <v>7178</v>
      </c>
      <c r="Z606" s="10">
        <v>6298</v>
      </c>
      <c r="AA606" s="10">
        <v>8423</v>
      </c>
      <c r="AB606" s="10">
        <v>12191</v>
      </c>
      <c r="AC606" s="10">
        <v>14573</v>
      </c>
      <c r="AD606" s="26">
        <f t="shared" si="28"/>
        <v>98380</v>
      </c>
      <c r="AE606" s="25">
        <v>832</v>
      </c>
      <c r="AF606" s="10">
        <v>1406</v>
      </c>
      <c r="AG606" s="10">
        <v>2166</v>
      </c>
      <c r="AH606" s="10">
        <v>3512</v>
      </c>
      <c r="AI606" s="10">
        <v>2357</v>
      </c>
      <c r="AJ606" s="10">
        <v>1418</v>
      </c>
      <c r="AK606" s="10">
        <v>1430</v>
      </c>
      <c r="AL606" s="10">
        <v>1092</v>
      </c>
      <c r="AM606" s="10">
        <v>2846</v>
      </c>
      <c r="AN606" s="10">
        <v>690</v>
      </c>
      <c r="AO606" s="10">
        <v>3132</v>
      </c>
      <c r="AP606" s="10">
        <v>1294</v>
      </c>
      <c r="AQ606" s="26">
        <f t="shared" si="29"/>
        <v>22175</v>
      </c>
    </row>
    <row r="607" spans="1:43" ht="17.25" customHeight="1" x14ac:dyDescent="0.45">
      <c r="A607" s="2" t="s">
        <v>132</v>
      </c>
      <c r="B607" s="2" t="s">
        <v>68</v>
      </c>
      <c r="C607" s="2" t="s">
        <v>17</v>
      </c>
      <c r="D607" s="2" t="s">
        <v>66</v>
      </c>
      <c r="E607" s="23">
        <v>9</v>
      </c>
      <c r="F607" s="1">
        <v>10</v>
      </c>
      <c r="G607" s="1">
        <v>14</v>
      </c>
      <c r="H607" s="1">
        <v>4</v>
      </c>
      <c r="I607" s="1">
        <v>4</v>
      </c>
      <c r="J607" s="1">
        <v>5</v>
      </c>
      <c r="K607" s="1">
        <v>4</v>
      </c>
      <c r="L607" s="1">
        <v>5</v>
      </c>
      <c r="M607" s="1">
        <v>4</v>
      </c>
      <c r="N607" s="1">
        <v>4</v>
      </c>
      <c r="O607" s="1">
        <v>5</v>
      </c>
      <c r="P607" s="1">
        <v>15</v>
      </c>
      <c r="Q607" s="24">
        <f t="shared" si="27"/>
        <v>83</v>
      </c>
      <c r="R607" s="23">
        <v>994</v>
      </c>
      <c r="S607" s="1">
        <v>1300</v>
      </c>
      <c r="T607" s="1">
        <v>1884</v>
      </c>
      <c r="U607" s="1">
        <v>601</v>
      </c>
      <c r="V607" s="1">
        <v>666</v>
      </c>
      <c r="W607" s="1">
        <v>829</v>
      </c>
      <c r="X607" s="1">
        <v>659</v>
      </c>
      <c r="Y607" s="1">
        <v>757</v>
      </c>
      <c r="Z607" s="1">
        <v>328</v>
      </c>
      <c r="AA607" s="1">
        <v>639</v>
      </c>
      <c r="AB607" s="1">
        <v>751</v>
      </c>
      <c r="AC607" s="1">
        <v>2301</v>
      </c>
      <c r="AD607" s="24">
        <f t="shared" si="28"/>
        <v>11709</v>
      </c>
      <c r="AE607" s="23">
        <v>0</v>
      </c>
      <c r="AF607" s="1">
        <v>0</v>
      </c>
      <c r="AG607" s="1">
        <v>432</v>
      </c>
      <c r="AH607" s="1">
        <v>0</v>
      </c>
      <c r="AI607" s="1">
        <v>0</v>
      </c>
      <c r="AJ607" s="1">
        <v>0</v>
      </c>
      <c r="AK607" s="1">
        <v>0</v>
      </c>
      <c r="AL607" s="1">
        <v>0</v>
      </c>
      <c r="AM607" s="1">
        <v>0</v>
      </c>
      <c r="AN607" s="1">
        <v>0</v>
      </c>
      <c r="AO607" s="1">
        <v>0</v>
      </c>
      <c r="AP607" s="1">
        <v>0</v>
      </c>
      <c r="AQ607" s="24">
        <f t="shared" si="29"/>
        <v>432</v>
      </c>
    </row>
    <row r="608" spans="1:43" ht="17.25" customHeight="1" x14ac:dyDescent="0.45">
      <c r="A608" s="12" t="s">
        <v>132</v>
      </c>
      <c r="B608" s="12" t="s">
        <v>68</v>
      </c>
      <c r="C608" s="12" t="s">
        <v>48</v>
      </c>
      <c r="D608" s="12" t="s">
        <v>66</v>
      </c>
      <c r="E608" s="25">
        <v>11</v>
      </c>
      <c r="F608" s="10">
        <v>6</v>
      </c>
      <c r="G608" s="10">
        <v>10</v>
      </c>
      <c r="H608" s="10">
        <v>8</v>
      </c>
      <c r="I608" s="10">
        <v>8</v>
      </c>
      <c r="J608" s="10">
        <v>10</v>
      </c>
      <c r="K608" s="10">
        <v>8</v>
      </c>
      <c r="L608" s="10">
        <v>8</v>
      </c>
      <c r="M608" s="10">
        <v>4</v>
      </c>
      <c r="N608" s="10">
        <v>5</v>
      </c>
      <c r="O608" s="10">
        <v>9</v>
      </c>
      <c r="P608" s="10">
        <v>16</v>
      </c>
      <c r="Q608" s="26">
        <f t="shared" si="27"/>
        <v>103</v>
      </c>
      <c r="R608" s="25">
        <v>1372</v>
      </c>
      <c r="S608" s="10">
        <v>1013</v>
      </c>
      <c r="T608" s="10">
        <v>1553</v>
      </c>
      <c r="U608" s="10">
        <v>1037</v>
      </c>
      <c r="V608" s="10">
        <v>1174</v>
      </c>
      <c r="W608" s="10">
        <v>1565</v>
      </c>
      <c r="X608" s="10">
        <v>1396</v>
      </c>
      <c r="Y608" s="10">
        <v>1378</v>
      </c>
      <c r="Z608" s="10">
        <v>687</v>
      </c>
      <c r="AA608" s="10">
        <v>784</v>
      </c>
      <c r="AB608" s="10">
        <v>1257</v>
      </c>
      <c r="AC608" s="10">
        <v>2524</v>
      </c>
      <c r="AD608" s="26">
        <f t="shared" si="28"/>
        <v>15740</v>
      </c>
      <c r="AE608" s="25">
        <v>0</v>
      </c>
      <c r="AF608" s="10">
        <v>0</v>
      </c>
      <c r="AG608" s="10">
        <v>0</v>
      </c>
      <c r="AH608" s="10">
        <v>0</v>
      </c>
      <c r="AI608" s="10">
        <v>0</v>
      </c>
      <c r="AJ608" s="10">
        <v>0</v>
      </c>
      <c r="AK608" s="10">
        <v>0</v>
      </c>
      <c r="AL608" s="10">
        <v>0</v>
      </c>
      <c r="AM608" s="10">
        <v>0</v>
      </c>
      <c r="AN608" s="10">
        <v>0</v>
      </c>
      <c r="AO608" s="10">
        <v>0</v>
      </c>
      <c r="AP608" s="10">
        <v>0</v>
      </c>
      <c r="AQ608" s="26">
        <f t="shared" si="29"/>
        <v>0</v>
      </c>
    </row>
    <row r="609" spans="1:43" ht="17.25" customHeight="1" x14ac:dyDescent="0.45">
      <c r="A609" s="2" t="s">
        <v>132</v>
      </c>
      <c r="B609" s="2" t="s">
        <v>68</v>
      </c>
      <c r="C609" s="2" t="s">
        <v>247</v>
      </c>
      <c r="D609" s="2" t="s">
        <v>66</v>
      </c>
      <c r="E609" s="23">
        <v>0</v>
      </c>
      <c r="F609" s="1">
        <v>0</v>
      </c>
      <c r="G609" s="1">
        <v>1</v>
      </c>
      <c r="H609" s="1">
        <v>30</v>
      </c>
      <c r="I609" s="1">
        <v>31</v>
      </c>
      <c r="J609" s="1">
        <v>30</v>
      </c>
      <c r="K609" s="1">
        <v>29</v>
      </c>
      <c r="L609" s="1">
        <v>31</v>
      </c>
      <c r="M609" s="1">
        <v>6</v>
      </c>
      <c r="N609" s="1">
        <v>7</v>
      </c>
      <c r="O609" s="1">
        <v>22</v>
      </c>
      <c r="P609" s="1">
        <v>25</v>
      </c>
      <c r="Q609" s="24">
        <f t="shared" si="27"/>
        <v>212</v>
      </c>
      <c r="R609" s="23">
        <v>0</v>
      </c>
      <c r="S609" s="1">
        <v>0</v>
      </c>
      <c r="T609" s="1">
        <v>161</v>
      </c>
      <c r="U609" s="1">
        <v>4212</v>
      </c>
      <c r="V609" s="1">
        <v>4132</v>
      </c>
      <c r="W609" s="1">
        <v>3908</v>
      </c>
      <c r="X609" s="1">
        <v>4420</v>
      </c>
      <c r="Y609" s="1">
        <v>4955</v>
      </c>
      <c r="Z609" s="1">
        <v>241</v>
      </c>
      <c r="AA609" s="1">
        <v>677</v>
      </c>
      <c r="AB609" s="1">
        <v>2854</v>
      </c>
      <c r="AC609" s="1">
        <v>3750</v>
      </c>
      <c r="AD609" s="24">
        <f t="shared" si="28"/>
        <v>29310</v>
      </c>
      <c r="AE609" s="23">
        <v>0</v>
      </c>
      <c r="AF609" s="1">
        <v>0</v>
      </c>
      <c r="AG609" s="1">
        <v>0</v>
      </c>
      <c r="AH609" s="1">
        <v>0</v>
      </c>
      <c r="AI609" s="1">
        <v>0</v>
      </c>
      <c r="AJ609" s="1">
        <v>0</v>
      </c>
      <c r="AK609" s="1">
        <v>0</v>
      </c>
      <c r="AL609" s="1">
        <v>0</v>
      </c>
      <c r="AM609" s="1">
        <v>0</v>
      </c>
      <c r="AN609" s="1">
        <v>0</v>
      </c>
      <c r="AO609" s="1">
        <v>0</v>
      </c>
      <c r="AP609" s="1">
        <v>0</v>
      </c>
      <c r="AQ609" s="24">
        <f t="shared" si="29"/>
        <v>0</v>
      </c>
    </row>
    <row r="610" spans="1:43" ht="17.25" customHeight="1" x14ac:dyDescent="0.45">
      <c r="A610" s="12" t="s">
        <v>289</v>
      </c>
      <c r="B610" s="12" t="s">
        <v>85</v>
      </c>
      <c r="C610" s="12" t="s">
        <v>10</v>
      </c>
      <c r="D610" s="12" t="s">
        <v>66</v>
      </c>
      <c r="E610" s="25">
        <v>0</v>
      </c>
      <c r="F610" s="10">
        <v>0</v>
      </c>
      <c r="G610" s="10">
        <v>0</v>
      </c>
      <c r="H610" s="10">
        <v>0</v>
      </c>
      <c r="I610" s="10">
        <v>9</v>
      </c>
      <c r="J610" s="10">
        <v>8</v>
      </c>
      <c r="K610" s="10">
        <v>9</v>
      </c>
      <c r="L610" s="10">
        <v>9</v>
      </c>
      <c r="M610" s="10">
        <v>9</v>
      </c>
      <c r="N610" s="10">
        <v>6</v>
      </c>
      <c r="O610" s="10">
        <v>0</v>
      </c>
      <c r="P610" s="10">
        <v>0</v>
      </c>
      <c r="Q610" s="26">
        <f t="shared" si="27"/>
        <v>50</v>
      </c>
      <c r="R610" s="25">
        <v>0</v>
      </c>
      <c r="S610" s="10">
        <v>0</v>
      </c>
      <c r="T610" s="10">
        <v>0</v>
      </c>
      <c r="U610" s="10">
        <v>0</v>
      </c>
      <c r="V610" s="10">
        <v>2246</v>
      </c>
      <c r="W610" s="10">
        <v>2253</v>
      </c>
      <c r="X610" s="10">
        <v>2602</v>
      </c>
      <c r="Y610" s="10">
        <v>2610</v>
      </c>
      <c r="Z610" s="10">
        <v>2523</v>
      </c>
      <c r="AA610" s="10">
        <v>1335</v>
      </c>
      <c r="AB610" s="10">
        <v>0</v>
      </c>
      <c r="AC610" s="10">
        <v>0</v>
      </c>
      <c r="AD610" s="26">
        <f t="shared" si="28"/>
        <v>13569</v>
      </c>
      <c r="AE610" s="25">
        <v>0</v>
      </c>
      <c r="AF610" s="10">
        <v>0</v>
      </c>
      <c r="AG610" s="10">
        <v>0</v>
      </c>
      <c r="AH610" s="10">
        <v>0</v>
      </c>
      <c r="AI610" s="10">
        <v>0</v>
      </c>
      <c r="AJ610" s="10">
        <v>0</v>
      </c>
      <c r="AK610" s="10">
        <v>0</v>
      </c>
      <c r="AL610" s="10">
        <v>0</v>
      </c>
      <c r="AM610" s="10">
        <v>0</v>
      </c>
      <c r="AN610" s="10">
        <v>0</v>
      </c>
      <c r="AO610" s="10">
        <v>0</v>
      </c>
      <c r="AP610" s="10">
        <v>0</v>
      </c>
      <c r="AQ610" s="26">
        <f t="shared" si="29"/>
        <v>0</v>
      </c>
    </row>
    <row r="611" spans="1:43" ht="17.25" customHeight="1" x14ac:dyDescent="0.45">
      <c r="A611" s="2" t="s">
        <v>133</v>
      </c>
      <c r="B611" s="2" t="s">
        <v>68</v>
      </c>
      <c r="C611" s="2" t="s">
        <v>10</v>
      </c>
      <c r="D611" s="2" t="s">
        <v>66</v>
      </c>
      <c r="E611" s="23">
        <v>11</v>
      </c>
      <c r="F611" s="1">
        <v>13</v>
      </c>
      <c r="G611" s="1">
        <v>21</v>
      </c>
      <c r="H611" s="1">
        <v>18</v>
      </c>
      <c r="I611" s="1">
        <v>17</v>
      </c>
      <c r="J611" s="1">
        <v>22</v>
      </c>
      <c r="K611" s="1">
        <v>21</v>
      </c>
      <c r="L611" s="1">
        <v>15</v>
      </c>
      <c r="M611" s="1">
        <v>8</v>
      </c>
      <c r="N611" s="1">
        <v>12</v>
      </c>
      <c r="O611" s="1">
        <v>12</v>
      </c>
      <c r="P611" s="1">
        <v>14</v>
      </c>
      <c r="Q611" s="24">
        <f t="shared" si="27"/>
        <v>184</v>
      </c>
      <c r="R611" s="23">
        <v>926</v>
      </c>
      <c r="S611" s="1">
        <v>1329</v>
      </c>
      <c r="T611" s="1">
        <v>2836</v>
      </c>
      <c r="U611" s="1">
        <v>1385</v>
      </c>
      <c r="V611" s="1">
        <v>2124</v>
      </c>
      <c r="W611" s="1">
        <v>2954</v>
      </c>
      <c r="X611" s="1">
        <v>2780</v>
      </c>
      <c r="Y611" s="1">
        <v>1232</v>
      </c>
      <c r="Z611" s="1">
        <v>760</v>
      </c>
      <c r="AA611" s="1">
        <v>1497</v>
      </c>
      <c r="AB611" s="1">
        <v>1614</v>
      </c>
      <c r="AC611" s="1">
        <v>1600</v>
      </c>
      <c r="AD611" s="24">
        <f t="shared" si="28"/>
        <v>21037</v>
      </c>
      <c r="AE611" s="23">
        <v>0</v>
      </c>
      <c r="AF611" s="1">
        <v>0</v>
      </c>
      <c r="AG611" s="1">
        <v>0</v>
      </c>
      <c r="AH611" s="1">
        <v>0</v>
      </c>
      <c r="AI611" s="1">
        <v>0</v>
      </c>
      <c r="AJ611" s="1">
        <v>0</v>
      </c>
      <c r="AK611" s="1">
        <v>0</v>
      </c>
      <c r="AL611" s="1">
        <v>0</v>
      </c>
      <c r="AM611" s="1">
        <v>0</v>
      </c>
      <c r="AN611" s="1">
        <v>0</v>
      </c>
      <c r="AO611" s="1">
        <v>0</v>
      </c>
      <c r="AP611" s="1">
        <v>0</v>
      </c>
      <c r="AQ611" s="24">
        <f t="shared" si="29"/>
        <v>0</v>
      </c>
    </row>
    <row r="612" spans="1:43" ht="17.25" customHeight="1" x14ac:dyDescent="0.45">
      <c r="A612" s="12" t="s">
        <v>134</v>
      </c>
      <c r="B612" s="12" t="s">
        <v>68</v>
      </c>
      <c r="C612" s="12" t="s">
        <v>10</v>
      </c>
      <c r="D612" s="12" t="s">
        <v>66</v>
      </c>
      <c r="E612" s="25">
        <v>230</v>
      </c>
      <c r="F612" s="10">
        <v>212</v>
      </c>
      <c r="G612" s="10">
        <v>253</v>
      </c>
      <c r="H612" s="10">
        <v>212</v>
      </c>
      <c r="I612" s="10">
        <v>163</v>
      </c>
      <c r="J612" s="10">
        <v>173</v>
      </c>
      <c r="K612" s="10">
        <v>187</v>
      </c>
      <c r="L612" s="10">
        <v>188</v>
      </c>
      <c r="M612" s="10">
        <v>117</v>
      </c>
      <c r="N612" s="10">
        <v>117</v>
      </c>
      <c r="O612" s="10">
        <v>182</v>
      </c>
      <c r="P612" s="10">
        <v>227</v>
      </c>
      <c r="Q612" s="26">
        <f t="shared" si="27"/>
        <v>2261</v>
      </c>
      <c r="R612" s="25">
        <v>35824</v>
      </c>
      <c r="S612" s="10">
        <v>34137</v>
      </c>
      <c r="T612" s="10">
        <v>41362</v>
      </c>
      <c r="U612" s="10">
        <v>32588</v>
      </c>
      <c r="V612" s="10">
        <v>27981</v>
      </c>
      <c r="W612" s="10">
        <v>29633</v>
      </c>
      <c r="X612" s="10">
        <v>32015</v>
      </c>
      <c r="Y612" s="10">
        <v>33861</v>
      </c>
      <c r="Z612" s="10">
        <v>18330</v>
      </c>
      <c r="AA612" s="10">
        <v>20176</v>
      </c>
      <c r="AB612" s="10">
        <v>26630</v>
      </c>
      <c r="AC612" s="10">
        <v>35946</v>
      </c>
      <c r="AD612" s="26">
        <f t="shared" si="28"/>
        <v>368483</v>
      </c>
      <c r="AE612" s="25">
        <v>153.07771099999999</v>
      </c>
      <c r="AF612" s="10">
        <v>0</v>
      </c>
      <c r="AG612" s="10">
        <v>0</v>
      </c>
      <c r="AH612" s="10">
        <v>100</v>
      </c>
      <c r="AI612" s="10">
        <v>31</v>
      </c>
      <c r="AJ612" s="10">
        <v>585.44127148999996</v>
      </c>
      <c r="AK612" s="10">
        <v>27.215542200000002</v>
      </c>
      <c r="AL612" s="10">
        <v>55</v>
      </c>
      <c r="AM612" s="10">
        <v>196</v>
      </c>
      <c r="AN612" s="10">
        <v>0</v>
      </c>
      <c r="AO612" s="10">
        <v>21</v>
      </c>
      <c r="AP612" s="10">
        <v>4214</v>
      </c>
      <c r="AQ612" s="26">
        <f t="shared" si="29"/>
        <v>5382.7345246900004</v>
      </c>
    </row>
    <row r="613" spans="1:43" ht="17.25" customHeight="1" x14ac:dyDescent="0.45">
      <c r="A613" s="2" t="s">
        <v>134</v>
      </c>
      <c r="B613" s="2" t="s">
        <v>68</v>
      </c>
      <c r="C613" s="2" t="s">
        <v>11</v>
      </c>
      <c r="D613" s="2" t="s">
        <v>66</v>
      </c>
      <c r="E613" s="23">
        <v>27</v>
      </c>
      <c r="F613" s="1">
        <v>25</v>
      </c>
      <c r="G613" s="1">
        <v>26</v>
      </c>
      <c r="H613" s="1">
        <v>26</v>
      </c>
      <c r="I613" s="1">
        <v>27</v>
      </c>
      <c r="J613" s="1">
        <v>29</v>
      </c>
      <c r="K613" s="1">
        <v>27</v>
      </c>
      <c r="L613" s="1">
        <v>27</v>
      </c>
      <c r="M613" s="1">
        <v>25</v>
      </c>
      <c r="N613" s="1">
        <v>27</v>
      </c>
      <c r="O613" s="1">
        <v>22</v>
      </c>
      <c r="P613" s="1">
        <v>25</v>
      </c>
      <c r="Q613" s="24">
        <f t="shared" si="27"/>
        <v>313</v>
      </c>
      <c r="R613" s="23">
        <v>3828</v>
      </c>
      <c r="S613" s="1">
        <v>3013</v>
      </c>
      <c r="T613" s="1">
        <v>3070</v>
      </c>
      <c r="U613" s="1">
        <v>3107</v>
      </c>
      <c r="V613" s="1">
        <v>3308</v>
      </c>
      <c r="W613" s="1">
        <v>3730</v>
      </c>
      <c r="X613" s="1">
        <v>4308</v>
      </c>
      <c r="Y613" s="1">
        <v>4384</v>
      </c>
      <c r="Z613" s="1">
        <v>3407</v>
      </c>
      <c r="AA613" s="1">
        <v>4099</v>
      </c>
      <c r="AB613" s="1">
        <v>3543</v>
      </c>
      <c r="AC613" s="1">
        <v>3931</v>
      </c>
      <c r="AD613" s="24">
        <f t="shared" si="28"/>
        <v>43728</v>
      </c>
      <c r="AE613" s="23">
        <v>0</v>
      </c>
      <c r="AF613" s="1">
        <v>0</v>
      </c>
      <c r="AG613" s="1">
        <v>0</v>
      </c>
      <c r="AH613" s="1">
        <v>491</v>
      </c>
      <c r="AI613" s="1">
        <v>1494</v>
      </c>
      <c r="AJ613" s="1">
        <v>1221</v>
      </c>
      <c r="AK613" s="1">
        <v>876.18000000000006</v>
      </c>
      <c r="AL613" s="1">
        <v>406</v>
      </c>
      <c r="AM613" s="1">
        <v>135</v>
      </c>
      <c r="AN613" s="1">
        <v>391</v>
      </c>
      <c r="AO613" s="1">
        <v>0</v>
      </c>
      <c r="AP613" s="1">
        <v>287186</v>
      </c>
      <c r="AQ613" s="24">
        <f t="shared" si="29"/>
        <v>292200.18</v>
      </c>
    </row>
    <row r="614" spans="1:43" ht="17.25" customHeight="1" x14ac:dyDescent="0.45">
      <c r="A614" s="12" t="s">
        <v>134</v>
      </c>
      <c r="B614" s="12" t="s">
        <v>68</v>
      </c>
      <c r="C614" s="12" t="s">
        <v>12</v>
      </c>
      <c r="D614" s="12" t="s">
        <v>66</v>
      </c>
      <c r="E614" s="25">
        <v>199</v>
      </c>
      <c r="F614" s="10">
        <v>174</v>
      </c>
      <c r="G614" s="10">
        <v>196</v>
      </c>
      <c r="H614" s="10">
        <v>194</v>
      </c>
      <c r="I614" s="10">
        <v>216</v>
      </c>
      <c r="J614" s="10">
        <v>210</v>
      </c>
      <c r="K614" s="10">
        <v>215</v>
      </c>
      <c r="L614" s="10">
        <v>216</v>
      </c>
      <c r="M614" s="10">
        <v>188</v>
      </c>
      <c r="N614" s="10">
        <v>186</v>
      </c>
      <c r="O614" s="10">
        <v>180</v>
      </c>
      <c r="P614" s="10">
        <v>198</v>
      </c>
      <c r="Q614" s="26">
        <f t="shared" si="27"/>
        <v>2372</v>
      </c>
      <c r="R614" s="25">
        <v>32293</v>
      </c>
      <c r="S614" s="10">
        <v>28784</v>
      </c>
      <c r="T614" s="10">
        <v>31552</v>
      </c>
      <c r="U614" s="10">
        <v>30752</v>
      </c>
      <c r="V614" s="10">
        <v>34475</v>
      </c>
      <c r="W614" s="10">
        <v>34998</v>
      </c>
      <c r="X614" s="10">
        <v>37685</v>
      </c>
      <c r="Y614" s="10">
        <v>37507</v>
      </c>
      <c r="Z614" s="10">
        <v>31242</v>
      </c>
      <c r="AA614" s="10">
        <v>33317</v>
      </c>
      <c r="AB614" s="10">
        <v>30591</v>
      </c>
      <c r="AC614" s="10">
        <v>35175</v>
      </c>
      <c r="AD614" s="26">
        <f t="shared" si="28"/>
        <v>398371</v>
      </c>
      <c r="AE614" s="25">
        <v>247141.52779720002</v>
      </c>
      <c r="AF614" s="10">
        <v>188585.16696418001</v>
      </c>
      <c r="AG614" s="10">
        <v>230323.80191948998</v>
      </c>
      <c r="AH614" s="10">
        <v>260772</v>
      </c>
      <c r="AI614" s="10">
        <v>197935.73469242002</v>
      </c>
      <c r="AJ614" s="10">
        <v>241367.15677709001</v>
      </c>
      <c r="AK614" s="10">
        <v>243476.40898508998</v>
      </c>
      <c r="AL614" s="10">
        <v>352713.1200553801</v>
      </c>
      <c r="AM614" s="10">
        <v>292291.06485234987</v>
      </c>
      <c r="AN614" s="10">
        <v>375261.02137652016</v>
      </c>
      <c r="AO614" s="10">
        <v>305538.89739899011</v>
      </c>
      <c r="AP614" s="10">
        <v>187416.15891088004</v>
      </c>
      <c r="AQ614" s="26">
        <f t="shared" si="29"/>
        <v>3122822.0597295896</v>
      </c>
    </row>
    <row r="615" spans="1:43" ht="17.25" customHeight="1" x14ac:dyDescent="0.45">
      <c r="A615" s="2" t="s">
        <v>134</v>
      </c>
      <c r="B615" s="2" t="s">
        <v>68</v>
      </c>
      <c r="C615" s="2" t="s">
        <v>13</v>
      </c>
      <c r="D615" s="2" t="s">
        <v>66</v>
      </c>
      <c r="E615" s="23">
        <v>0</v>
      </c>
      <c r="F615" s="1">
        <v>0</v>
      </c>
      <c r="G615" s="1">
        <v>0</v>
      </c>
      <c r="H615" s="1">
        <v>0</v>
      </c>
      <c r="I615" s="1">
        <v>0</v>
      </c>
      <c r="J615" s="1">
        <v>0</v>
      </c>
      <c r="K615" s="1">
        <v>0</v>
      </c>
      <c r="L615" s="1">
        <v>0</v>
      </c>
      <c r="M615" s="1">
        <v>0</v>
      </c>
      <c r="N615" s="1">
        <v>0</v>
      </c>
      <c r="O615" s="1">
        <v>0</v>
      </c>
      <c r="P615" s="1">
        <v>12</v>
      </c>
      <c r="Q615" s="24">
        <f t="shared" si="27"/>
        <v>12</v>
      </c>
      <c r="R615" s="23">
        <v>0</v>
      </c>
      <c r="S615" s="1">
        <v>0</v>
      </c>
      <c r="T615" s="1">
        <v>0</v>
      </c>
      <c r="U615" s="1">
        <v>0</v>
      </c>
      <c r="V615" s="1">
        <v>0</v>
      </c>
      <c r="W615" s="1">
        <v>0</v>
      </c>
      <c r="X615" s="1">
        <v>0</v>
      </c>
      <c r="Y615" s="1">
        <v>0</v>
      </c>
      <c r="Z615" s="1">
        <v>0</v>
      </c>
      <c r="AA615" s="1">
        <v>0</v>
      </c>
      <c r="AB615" s="1">
        <v>0</v>
      </c>
      <c r="AC615" s="1">
        <v>1379</v>
      </c>
      <c r="AD615" s="24">
        <f t="shared" si="28"/>
        <v>1379</v>
      </c>
      <c r="AE615" s="23">
        <v>0</v>
      </c>
      <c r="AF615" s="1">
        <v>0</v>
      </c>
      <c r="AG615" s="1">
        <v>0</v>
      </c>
      <c r="AH615" s="1">
        <v>0</v>
      </c>
      <c r="AI615" s="1">
        <v>0</v>
      </c>
      <c r="AJ615" s="1">
        <v>0</v>
      </c>
      <c r="AK615" s="1">
        <v>0</v>
      </c>
      <c r="AL615" s="1">
        <v>0</v>
      </c>
      <c r="AM615" s="1">
        <v>0</v>
      </c>
      <c r="AN615" s="1">
        <v>0</v>
      </c>
      <c r="AO615" s="1">
        <v>0</v>
      </c>
      <c r="AP615" s="1">
        <v>0</v>
      </c>
      <c r="AQ615" s="24">
        <f t="shared" si="29"/>
        <v>0</v>
      </c>
    </row>
    <row r="616" spans="1:43" ht="17.25" customHeight="1" x14ac:dyDescent="0.45">
      <c r="A616" s="12" t="s">
        <v>134</v>
      </c>
      <c r="B616" s="12" t="s">
        <v>68</v>
      </c>
      <c r="C616" s="12" t="s">
        <v>17</v>
      </c>
      <c r="D616" s="12" t="s">
        <v>66</v>
      </c>
      <c r="E616" s="25">
        <v>23</v>
      </c>
      <c r="F616" s="10">
        <v>25</v>
      </c>
      <c r="G616" s="10">
        <v>31</v>
      </c>
      <c r="H616" s="10">
        <v>30</v>
      </c>
      <c r="I616" s="10">
        <v>0</v>
      </c>
      <c r="J616" s="10">
        <v>0</v>
      </c>
      <c r="K616" s="10">
        <v>0</v>
      </c>
      <c r="L616" s="10">
        <v>0</v>
      </c>
      <c r="M616" s="10">
        <v>0</v>
      </c>
      <c r="N616" s="10">
        <v>0</v>
      </c>
      <c r="O616" s="10">
        <v>0</v>
      </c>
      <c r="P616" s="10">
        <v>0</v>
      </c>
      <c r="Q616" s="26">
        <f t="shared" si="27"/>
        <v>109</v>
      </c>
      <c r="R616" s="25">
        <v>3251</v>
      </c>
      <c r="S616" s="10">
        <v>3793</v>
      </c>
      <c r="T616" s="10">
        <v>4741</v>
      </c>
      <c r="U616" s="10">
        <v>4146</v>
      </c>
      <c r="V616" s="10">
        <v>0</v>
      </c>
      <c r="W616" s="10">
        <v>0</v>
      </c>
      <c r="X616" s="10">
        <v>0</v>
      </c>
      <c r="Y616" s="10">
        <v>0</v>
      </c>
      <c r="Z616" s="10">
        <v>0</v>
      </c>
      <c r="AA616" s="10">
        <v>0</v>
      </c>
      <c r="AB616" s="10">
        <v>0</v>
      </c>
      <c r="AC616" s="10">
        <v>0</v>
      </c>
      <c r="AD616" s="26">
        <f t="shared" si="28"/>
        <v>15931</v>
      </c>
      <c r="AE616" s="25">
        <v>0</v>
      </c>
      <c r="AF616" s="10">
        <v>0</v>
      </c>
      <c r="AG616" s="10">
        <v>0</v>
      </c>
      <c r="AH616" s="10">
        <v>0</v>
      </c>
      <c r="AI616" s="10">
        <v>0</v>
      </c>
      <c r="AJ616" s="10">
        <v>0</v>
      </c>
      <c r="AK616" s="10">
        <v>0</v>
      </c>
      <c r="AL616" s="10">
        <v>0</v>
      </c>
      <c r="AM616" s="10">
        <v>0</v>
      </c>
      <c r="AN616" s="10">
        <v>0</v>
      </c>
      <c r="AO616" s="10">
        <v>0</v>
      </c>
      <c r="AP616" s="10">
        <v>0</v>
      </c>
      <c r="AQ616" s="26">
        <f t="shared" si="29"/>
        <v>0</v>
      </c>
    </row>
    <row r="617" spans="1:43" ht="17.25" customHeight="1" x14ac:dyDescent="0.45">
      <c r="A617" s="2" t="s">
        <v>134</v>
      </c>
      <c r="B617" s="2" t="s">
        <v>68</v>
      </c>
      <c r="C617" s="2" t="s">
        <v>48</v>
      </c>
      <c r="D617" s="2" t="s">
        <v>66</v>
      </c>
      <c r="E617" s="23">
        <v>33</v>
      </c>
      <c r="F617" s="1">
        <v>33</v>
      </c>
      <c r="G617" s="1">
        <v>44</v>
      </c>
      <c r="H617" s="1">
        <v>33</v>
      </c>
      <c r="I617" s="1">
        <v>31</v>
      </c>
      <c r="J617" s="1">
        <v>30</v>
      </c>
      <c r="K617" s="1">
        <v>31</v>
      </c>
      <c r="L617" s="1">
        <v>31</v>
      </c>
      <c r="M617" s="1">
        <v>3</v>
      </c>
      <c r="N617" s="1">
        <v>31</v>
      </c>
      <c r="O617" s="1">
        <v>29</v>
      </c>
      <c r="P617" s="1">
        <v>33</v>
      </c>
      <c r="Q617" s="24">
        <f t="shared" si="27"/>
        <v>362</v>
      </c>
      <c r="R617" s="23">
        <v>4397</v>
      </c>
      <c r="S617" s="1">
        <v>4903</v>
      </c>
      <c r="T617" s="1">
        <v>7291</v>
      </c>
      <c r="U617" s="1">
        <v>5299</v>
      </c>
      <c r="V617" s="1">
        <v>5442</v>
      </c>
      <c r="W617" s="1">
        <v>4724</v>
      </c>
      <c r="X617" s="1">
        <v>4819</v>
      </c>
      <c r="Y617" s="1">
        <v>4728</v>
      </c>
      <c r="Z617" s="1">
        <v>238</v>
      </c>
      <c r="AA617" s="1">
        <v>4383</v>
      </c>
      <c r="AB617" s="1">
        <v>5021</v>
      </c>
      <c r="AC617" s="1">
        <v>5011</v>
      </c>
      <c r="AD617" s="24">
        <f t="shared" si="28"/>
        <v>56256</v>
      </c>
      <c r="AE617" s="23">
        <v>0</v>
      </c>
      <c r="AF617" s="1">
        <v>0</v>
      </c>
      <c r="AG617" s="1">
        <v>0</v>
      </c>
      <c r="AH617" s="1">
        <v>0</v>
      </c>
      <c r="AI617" s="1">
        <v>0</v>
      </c>
      <c r="AJ617" s="1">
        <v>0</v>
      </c>
      <c r="AK617" s="1">
        <v>0</v>
      </c>
      <c r="AL617" s="1">
        <v>0</v>
      </c>
      <c r="AM617" s="1">
        <v>0</v>
      </c>
      <c r="AN617" s="1">
        <v>0</v>
      </c>
      <c r="AO617" s="1">
        <v>0</v>
      </c>
      <c r="AP617" s="1">
        <v>0</v>
      </c>
      <c r="AQ617" s="24">
        <f t="shared" si="29"/>
        <v>0</v>
      </c>
    </row>
    <row r="618" spans="1:43" ht="17.25" customHeight="1" x14ac:dyDescent="0.45">
      <c r="A618" s="12" t="s">
        <v>134</v>
      </c>
      <c r="B618" s="12" t="s">
        <v>68</v>
      </c>
      <c r="C618" s="12" t="s">
        <v>247</v>
      </c>
      <c r="D618" s="12" t="s">
        <v>66</v>
      </c>
      <c r="E618" s="25">
        <v>0</v>
      </c>
      <c r="F618" s="10">
        <v>0</v>
      </c>
      <c r="G618" s="10">
        <v>0</v>
      </c>
      <c r="H618" s="10">
        <v>0</v>
      </c>
      <c r="I618" s="10">
        <v>0</v>
      </c>
      <c r="J618" s="10">
        <v>18</v>
      </c>
      <c r="K618" s="10">
        <v>29</v>
      </c>
      <c r="L618" s="10">
        <v>31</v>
      </c>
      <c r="M618" s="10">
        <v>23</v>
      </c>
      <c r="N618" s="10">
        <v>31</v>
      </c>
      <c r="O618" s="10">
        <v>30</v>
      </c>
      <c r="P618" s="10">
        <v>31</v>
      </c>
      <c r="Q618" s="26">
        <f t="shared" si="27"/>
        <v>193</v>
      </c>
      <c r="R618" s="25">
        <v>0</v>
      </c>
      <c r="S618" s="10">
        <v>0</v>
      </c>
      <c r="T618" s="10">
        <v>0</v>
      </c>
      <c r="U618" s="10">
        <v>0</v>
      </c>
      <c r="V618" s="10">
        <v>0</v>
      </c>
      <c r="W618" s="10">
        <v>2197</v>
      </c>
      <c r="X618" s="10">
        <v>3646</v>
      </c>
      <c r="Y618" s="10">
        <v>4394</v>
      </c>
      <c r="Z618" s="10">
        <v>1876</v>
      </c>
      <c r="AA618" s="10">
        <v>3152</v>
      </c>
      <c r="AB618" s="10">
        <v>3501</v>
      </c>
      <c r="AC618" s="10">
        <v>3835</v>
      </c>
      <c r="AD618" s="26">
        <f t="shared" si="28"/>
        <v>22601</v>
      </c>
      <c r="AE618" s="25">
        <v>0</v>
      </c>
      <c r="AF618" s="10">
        <v>0</v>
      </c>
      <c r="AG618" s="10">
        <v>0</v>
      </c>
      <c r="AH618" s="10">
        <v>0</v>
      </c>
      <c r="AI618" s="10">
        <v>0</v>
      </c>
      <c r="AJ618" s="10">
        <v>0</v>
      </c>
      <c r="AK618" s="10">
        <v>0</v>
      </c>
      <c r="AL618" s="10">
        <v>0</v>
      </c>
      <c r="AM618" s="10">
        <v>0</v>
      </c>
      <c r="AN618" s="10">
        <v>0</v>
      </c>
      <c r="AO618" s="10">
        <v>0</v>
      </c>
      <c r="AP618" s="10">
        <v>0</v>
      </c>
      <c r="AQ618" s="26">
        <f t="shared" si="29"/>
        <v>0</v>
      </c>
    </row>
    <row r="619" spans="1:43" ht="17.25" customHeight="1" x14ac:dyDescent="0.45">
      <c r="A619" s="2" t="s">
        <v>175</v>
      </c>
      <c r="B619" s="2" t="s">
        <v>68</v>
      </c>
      <c r="C619" s="2" t="s">
        <v>22</v>
      </c>
      <c r="D619" s="2" t="s">
        <v>66</v>
      </c>
      <c r="E619" s="23">
        <v>22</v>
      </c>
      <c r="F619" s="1">
        <v>21</v>
      </c>
      <c r="G619" s="1">
        <v>22</v>
      </c>
      <c r="H619" s="1">
        <v>21</v>
      </c>
      <c r="I619" s="1">
        <v>22</v>
      </c>
      <c r="J619" s="1">
        <v>26</v>
      </c>
      <c r="K619" s="1">
        <v>26</v>
      </c>
      <c r="L619" s="1">
        <v>27</v>
      </c>
      <c r="M619" s="1">
        <v>26</v>
      </c>
      <c r="N619" s="1">
        <v>26</v>
      </c>
      <c r="O619" s="1">
        <v>26</v>
      </c>
      <c r="P619" s="1">
        <v>27</v>
      </c>
      <c r="Q619" s="24">
        <f t="shared" si="27"/>
        <v>292</v>
      </c>
      <c r="R619" s="23">
        <v>3117</v>
      </c>
      <c r="S619" s="1">
        <v>2399</v>
      </c>
      <c r="T619" s="1">
        <v>2673</v>
      </c>
      <c r="U619" s="1">
        <v>2479</v>
      </c>
      <c r="V619" s="1">
        <v>2617</v>
      </c>
      <c r="W619" s="1">
        <v>3666</v>
      </c>
      <c r="X619" s="1">
        <v>3684</v>
      </c>
      <c r="Y619" s="1">
        <v>2596</v>
      </c>
      <c r="Z619" s="1">
        <v>2898</v>
      </c>
      <c r="AA619" s="1">
        <v>3058</v>
      </c>
      <c r="AB619" s="1">
        <v>3280</v>
      </c>
      <c r="AC619" s="1">
        <v>4579</v>
      </c>
      <c r="AD619" s="24">
        <f t="shared" si="28"/>
        <v>37046</v>
      </c>
      <c r="AE619" s="23">
        <v>0</v>
      </c>
      <c r="AF619" s="1">
        <v>0</v>
      </c>
      <c r="AG619" s="1">
        <v>0</v>
      </c>
      <c r="AH619" s="1">
        <v>0</v>
      </c>
      <c r="AI619" s="1">
        <v>0</v>
      </c>
      <c r="AJ619" s="1">
        <v>0</v>
      </c>
      <c r="AK619" s="1">
        <v>0</v>
      </c>
      <c r="AL619" s="1">
        <v>0</v>
      </c>
      <c r="AM619" s="1">
        <v>0</v>
      </c>
      <c r="AN619" s="1">
        <v>0</v>
      </c>
      <c r="AO619" s="1">
        <v>0</v>
      </c>
      <c r="AP619" s="1">
        <v>0</v>
      </c>
      <c r="AQ619" s="24">
        <f t="shared" si="29"/>
        <v>0</v>
      </c>
    </row>
    <row r="620" spans="1:43" ht="17.25" customHeight="1" x14ac:dyDescent="0.45">
      <c r="A620" s="12" t="s">
        <v>175</v>
      </c>
      <c r="B620" s="12" t="s">
        <v>68</v>
      </c>
      <c r="C620" s="12" t="s">
        <v>11</v>
      </c>
      <c r="D620" s="12" t="s">
        <v>66</v>
      </c>
      <c r="E620" s="25">
        <v>62</v>
      </c>
      <c r="F620" s="10">
        <v>58</v>
      </c>
      <c r="G620" s="10">
        <v>61</v>
      </c>
      <c r="H620" s="10">
        <v>60</v>
      </c>
      <c r="I620" s="10">
        <v>62</v>
      </c>
      <c r="J620" s="10">
        <v>60</v>
      </c>
      <c r="K620" s="10">
        <v>62</v>
      </c>
      <c r="L620" s="10">
        <v>62</v>
      </c>
      <c r="M620" s="10">
        <v>59</v>
      </c>
      <c r="N620" s="10">
        <v>62</v>
      </c>
      <c r="O620" s="10">
        <v>60</v>
      </c>
      <c r="P620" s="10">
        <v>101</v>
      </c>
      <c r="Q620" s="26">
        <f t="shared" si="27"/>
        <v>769</v>
      </c>
      <c r="R620" s="25">
        <v>11266</v>
      </c>
      <c r="S620" s="10">
        <v>9286</v>
      </c>
      <c r="T620" s="10">
        <v>10043</v>
      </c>
      <c r="U620" s="10">
        <v>9524</v>
      </c>
      <c r="V620" s="10">
        <v>11125</v>
      </c>
      <c r="W620" s="10">
        <v>11624</v>
      </c>
      <c r="X620" s="10">
        <v>11536</v>
      </c>
      <c r="Y620" s="10">
        <v>8716</v>
      </c>
      <c r="Z620" s="10">
        <v>10623</v>
      </c>
      <c r="AA620" s="10">
        <v>12264</v>
      </c>
      <c r="AB620" s="10">
        <v>10973</v>
      </c>
      <c r="AC620" s="10">
        <v>19870</v>
      </c>
      <c r="AD620" s="26">
        <f t="shared" si="28"/>
        <v>136850</v>
      </c>
      <c r="AE620" s="25">
        <v>0</v>
      </c>
      <c r="AF620" s="10">
        <v>0</v>
      </c>
      <c r="AG620" s="10">
        <v>0</v>
      </c>
      <c r="AH620" s="10">
        <v>0</v>
      </c>
      <c r="AI620" s="10">
        <v>0</v>
      </c>
      <c r="AJ620" s="10">
        <v>0</v>
      </c>
      <c r="AK620" s="10">
        <v>0</v>
      </c>
      <c r="AL620" s="10">
        <v>0</v>
      </c>
      <c r="AM620" s="10">
        <v>0</v>
      </c>
      <c r="AN620" s="10">
        <v>0</v>
      </c>
      <c r="AO620" s="10">
        <v>0</v>
      </c>
      <c r="AP620" s="10">
        <v>0</v>
      </c>
      <c r="AQ620" s="26">
        <f t="shared" si="29"/>
        <v>0</v>
      </c>
    </row>
    <row r="621" spans="1:43" ht="17.25" customHeight="1" x14ac:dyDescent="0.45">
      <c r="A621" s="2" t="s">
        <v>175</v>
      </c>
      <c r="B621" s="2" t="s">
        <v>68</v>
      </c>
      <c r="C621" s="2" t="s">
        <v>12</v>
      </c>
      <c r="D621" s="2" t="s">
        <v>66</v>
      </c>
      <c r="E621" s="23">
        <v>18</v>
      </c>
      <c r="F621" s="1">
        <v>16</v>
      </c>
      <c r="G621" s="1">
        <v>18</v>
      </c>
      <c r="H621" s="1">
        <v>22</v>
      </c>
      <c r="I621" s="1">
        <v>22</v>
      </c>
      <c r="J621" s="1">
        <v>21</v>
      </c>
      <c r="K621" s="1">
        <v>23</v>
      </c>
      <c r="L621" s="1">
        <v>21</v>
      </c>
      <c r="M621" s="1">
        <v>22</v>
      </c>
      <c r="N621" s="1">
        <v>22</v>
      </c>
      <c r="O621" s="1">
        <v>30</v>
      </c>
      <c r="P621" s="1">
        <v>31</v>
      </c>
      <c r="Q621" s="24">
        <f t="shared" si="27"/>
        <v>266</v>
      </c>
      <c r="R621" s="23">
        <v>2904</v>
      </c>
      <c r="S621" s="1">
        <v>2649</v>
      </c>
      <c r="T621" s="1">
        <v>3015</v>
      </c>
      <c r="U621" s="1">
        <v>3323</v>
      </c>
      <c r="V621" s="1">
        <v>3497</v>
      </c>
      <c r="W621" s="1">
        <v>3881</v>
      </c>
      <c r="X621" s="1">
        <v>4329</v>
      </c>
      <c r="Y621" s="1">
        <v>3363</v>
      </c>
      <c r="Z621" s="1">
        <v>3892</v>
      </c>
      <c r="AA621" s="1">
        <v>4530</v>
      </c>
      <c r="AB621" s="1">
        <v>5292</v>
      </c>
      <c r="AC621" s="1">
        <v>6536</v>
      </c>
      <c r="AD621" s="24">
        <f t="shared" si="28"/>
        <v>47211</v>
      </c>
      <c r="AE621" s="23">
        <v>0</v>
      </c>
      <c r="AF621" s="1">
        <v>0</v>
      </c>
      <c r="AG621" s="1">
        <v>0</v>
      </c>
      <c r="AH621" s="1">
        <v>0</v>
      </c>
      <c r="AI621" s="1">
        <v>0</v>
      </c>
      <c r="AJ621" s="1">
        <v>0</v>
      </c>
      <c r="AK621" s="1">
        <v>0</v>
      </c>
      <c r="AL621" s="1">
        <v>0</v>
      </c>
      <c r="AM621" s="1">
        <v>0</v>
      </c>
      <c r="AN621" s="1">
        <v>0</v>
      </c>
      <c r="AO621" s="1">
        <v>0</v>
      </c>
      <c r="AP621" s="1">
        <v>0</v>
      </c>
      <c r="AQ621" s="24">
        <f t="shared" si="29"/>
        <v>0</v>
      </c>
    </row>
    <row r="622" spans="1:43" ht="17.25" customHeight="1" x14ac:dyDescent="0.45">
      <c r="A622" s="12" t="s">
        <v>175</v>
      </c>
      <c r="B622" s="12" t="s">
        <v>68</v>
      </c>
      <c r="C622" s="12" t="s">
        <v>13</v>
      </c>
      <c r="D622" s="12" t="s">
        <v>66</v>
      </c>
      <c r="E622" s="25">
        <v>0</v>
      </c>
      <c r="F622" s="10">
        <v>0</v>
      </c>
      <c r="G622" s="10">
        <v>0</v>
      </c>
      <c r="H622" s="10">
        <v>0</v>
      </c>
      <c r="I622" s="10">
        <v>0</v>
      </c>
      <c r="J622" s="10">
        <v>0</v>
      </c>
      <c r="K622" s="10">
        <v>8</v>
      </c>
      <c r="L622" s="10">
        <v>9</v>
      </c>
      <c r="M622" s="10">
        <v>9</v>
      </c>
      <c r="N622" s="10">
        <v>8</v>
      </c>
      <c r="O622" s="10">
        <v>25</v>
      </c>
      <c r="P622" s="10">
        <v>26</v>
      </c>
      <c r="Q622" s="26">
        <f t="shared" si="27"/>
        <v>85</v>
      </c>
      <c r="R622" s="25">
        <v>0</v>
      </c>
      <c r="S622" s="10">
        <v>0</v>
      </c>
      <c r="T622" s="10">
        <v>0</v>
      </c>
      <c r="U622" s="10">
        <v>0</v>
      </c>
      <c r="V622" s="10">
        <v>0</v>
      </c>
      <c r="W622" s="10">
        <v>0</v>
      </c>
      <c r="X622" s="10">
        <v>1096</v>
      </c>
      <c r="Y622" s="10">
        <v>1125</v>
      </c>
      <c r="Z622" s="10">
        <v>1051</v>
      </c>
      <c r="AA622" s="10">
        <v>1099</v>
      </c>
      <c r="AB622" s="10">
        <v>2085</v>
      </c>
      <c r="AC622" s="10">
        <v>3391</v>
      </c>
      <c r="AD622" s="26">
        <f t="shared" si="28"/>
        <v>9847</v>
      </c>
      <c r="AE622" s="25">
        <v>0</v>
      </c>
      <c r="AF622" s="10">
        <v>0</v>
      </c>
      <c r="AG622" s="10">
        <v>0</v>
      </c>
      <c r="AH622" s="10">
        <v>0</v>
      </c>
      <c r="AI622" s="10">
        <v>0</v>
      </c>
      <c r="AJ622" s="10">
        <v>0</v>
      </c>
      <c r="AK622" s="10">
        <v>0</v>
      </c>
      <c r="AL622" s="10">
        <v>0</v>
      </c>
      <c r="AM622" s="10">
        <v>0</v>
      </c>
      <c r="AN622" s="10">
        <v>0</v>
      </c>
      <c r="AO622" s="10">
        <v>0</v>
      </c>
      <c r="AP622" s="10">
        <v>0</v>
      </c>
      <c r="AQ622" s="26">
        <f t="shared" si="29"/>
        <v>0</v>
      </c>
    </row>
    <row r="623" spans="1:43" ht="17.25" customHeight="1" x14ac:dyDescent="0.45">
      <c r="A623" s="2" t="s">
        <v>175</v>
      </c>
      <c r="B623" s="2" t="s">
        <v>68</v>
      </c>
      <c r="C623" s="2" t="s">
        <v>25</v>
      </c>
      <c r="D623" s="2" t="s">
        <v>66</v>
      </c>
      <c r="E623" s="23">
        <v>18</v>
      </c>
      <c r="F623" s="1">
        <v>16</v>
      </c>
      <c r="G623" s="1">
        <v>18</v>
      </c>
      <c r="H623" s="1">
        <v>26</v>
      </c>
      <c r="I623" s="1">
        <v>26</v>
      </c>
      <c r="J623" s="1">
        <v>26</v>
      </c>
      <c r="K623" s="1">
        <v>27</v>
      </c>
      <c r="L623" s="1">
        <v>26</v>
      </c>
      <c r="M623" s="1">
        <v>26</v>
      </c>
      <c r="N623" s="1">
        <v>26</v>
      </c>
      <c r="O623" s="1">
        <v>26</v>
      </c>
      <c r="P623" s="1">
        <v>27</v>
      </c>
      <c r="Q623" s="24">
        <f t="shared" si="27"/>
        <v>288</v>
      </c>
      <c r="R623" s="23">
        <v>3093</v>
      </c>
      <c r="S623" s="1">
        <v>2605</v>
      </c>
      <c r="T623" s="1">
        <v>2926</v>
      </c>
      <c r="U623" s="1">
        <v>3308</v>
      </c>
      <c r="V623" s="1">
        <v>3440</v>
      </c>
      <c r="W623" s="1">
        <v>4018</v>
      </c>
      <c r="X623" s="1">
        <v>4139</v>
      </c>
      <c r="Y623" s="1">
        <v>3310</v>
      </c>
      <c r="Z623" s="1">
        <v>3331</v>
      </c>
      <c r="AA623" s="1">
        <v>3952</v>
      </c>
      <c r="AB623" s="1">
        <v>4140</v>
      </c>
      <c r="AC623" s="1">
        <v>4788</v>
      </c>
      <c r="AD623" s="24">
        <f t="shared" si="28"/>
        <v>43050</v>
      </c>
      <c r="AE623" s="23">
        <v>0</v>
      </c>
      <c r="AF623" s="1">
        <v>0</v>
      </c>
      <c r="AG623" s="1">
        <v>0</v>
      </c>
      <c r="AH623" s="1">
        <v>0</v>
      </c>
      <c r="AI623" s="1">
        <v>0</v>
      </c>
      <c r="AJ623" s="1">
        <v>0</v>
      </c>
      <c r="AK623" s="1">
        <v>0</v>
      </c>
      <c r="AL623" s="1">
        <v>0</v>
      </c>
      <c r="AM623" s="1">
        <v>0</v>
      </c>
      <c r="AN623" s="1">
        <v>0</v>
      </c>
      <c r="AO623" s="1">
        <v>0</v>
      </c>
      <c r="AP623" s="1">
        <v>0</v>
      </c>
      <c r="AQ623" s="24">
        <f t="shared" si="29"/>
        <v>0</v>
      </c>
    </row>
    <row r="624" spans="1:43" ht="17.25" customHeight="1" x14ac:dyDescent="0.45">
      <c r="A624" s="12" t="s">
        <v>175</v>
      </c>
      <c r="B624" s="12" t="s">
        <v>68</v>
      </c>
      <c r="C624" s="12" t="s">
        <v>48</v>
      </c>
      <c r="D624" s="12" t="s">
        <v>66</v>
      </c>
      <c r="E624" s="25">
        <v>4</v>
      </c>
      <c r="F624" s="10">
        <v>4</v>
      </c>
      <c r="G624" s="10">
        <v>5</v>
      </c>
      <c r="H624" s="10">
        <v>4</v>
      </c>
      <c r="I624" s="10">
        <v>4</v>
      </c>
      <c r="J624" s="10">
        <v>8</v>
      </c>
      <c r="K624" s="10">
        <v>8</v>
      </c>
      <c r="L624" s="10">
        <v>2</v>
      </c>
      <c r="M624" s="10">
        <v>0</v>
      </c>
      <c r="N624" s="10">
        <v>0</v>
      </c>
      <c r="O624" s="10">
        <v>4</v>
      </c>
      <c r="P624" s="10">
        <v>4</v>
      </c>
      <c r="Q624" s="26">
        <f t="shared" si="27"/>
        <v>47</v>
      </c>
      <c r="R624" s="25">
        <v>505</v>
      </c>
      <c r="S624" s="10">
        <v>553</v>
      </c>
      <c r="T624" s="10">
        <v>675</v>
      </c>
      <c r="U624" s="10">
        <v>531</v>
      </c>
      <c r="V624" s="10">
        <v>491</v>
      </c>
      <c r="W624" s="10">
        <v>1109</v>
      </c>
      <c r="X624" s="10">
        <v>1072</v>
      </c>
      <c r="Y624" s="10">
        <v>221</v>
      </c>
      <c r="Z624" s="10">
        <v>0</v>
      </c>
      <c r="AA624" s="10">
        <v>0</v>
      </c>
      <c r="AB624" s="10">
        <v>537</v>
      </c>
      <c r="AC624" s="10">
        <v>511</v>
      </c>
      <c r="AD624" s="26">
        <f t="shared" si="28"/>
        <v>6205</v>
      </c>
      <c r="AE624" s="25">
        <v>0</v>
      </c>
      <c r="AF624" s="10">
        <v>0</v>
      </c>
      <c r="AG624" s="10">
        <v>0</v>
      </c>
      <c r="AH624" s="10">
        <v>0</v>
      </c>
      <c r="AI624" s="10">
        <v>0</v>
      </c>
      <c r="AJ624" s="10">
        <v>0</v>
      </c>
      <c r="AK624" s="10">
        <v>0</v>
      </c>
      <c r="AL624" s="10">
        <v>0</v>
      </c>
      <c r="AM624" s="10">
        <v>0</v>
      </c>
      <c r="AN624" s="10">
        <v>0</v>
      </c>
      <c r="AO624" s="10">
        <v>0</v>
      </c>
      <c r="AP624" s="10">
        <v>0</v>
      </c>
      <c r="AQ624" s="26">
        <f t="shared" si="29"/>
        <v>0</v>
      </c>
    </row>
    <row r="625" spans="1:43" ht="17.25" customHeight="1" x14ac:dyDescent="0.45">
      <c r="A625" s="2" t="s">
        <v>26</v>
      </c>
      <c r="B625" s="2" t="s">
        <v>66</v>
      </c>
      <c r="C625" s="2" t="s">
        <v>67</v>
      </c>
      <c r="D625" s="2" t="s">
        <v>68</v>
      </c>
      <c r="E625" s="23">
        <v>31</v>
      </c>
      <c r="F625" s="1">
        <v>29</v>
      </c>
      <c r="G625" s="1">
        <v>31</v>
      </c>
      <c r="H625" s="1">
        <v>30</v>
      </c>
      <c r="I625" s="1">
        <v>31</v>
      </c>
      <c r="J625" s="1">
        <v>55</v>
      </c>
      <c r="K625" s="1">
        <v>61</v>
      </c>
      <c r="L625" s="1">
        <v>37</v>
      </c>
      <c r="M625" s="1">
        <v>30</v>
      </c>
      <c r="N625" s="1">
        <v>31</v>
      </c>
      <c r="O625" s="1">
        <v>55</v>
      </c>
      <c r="P625" s="1">
        <v>59</v>
      </c>
      <c r="Q625" s="24">
        <f t="shared" si="27"/>
        <v>480</v>
      </c>
      <c r="R625" s="23">
        <v>4361</v>
      </c>
      <c r="S625" s="1">
        <v>4026</v>
      </c>
      <c r="T625" s="1">
        <v>4310</v>
      </c>
      <c r="U625" s="1">
        <v>4051</v>
      </c>
      <c r="V625" s="1">
        <v>3754</v>
      </c>
      <c r="W625" s="1">
        <v>5674</v>
      </c>
      <c r="X625" s="1">
        <v>8157</v>
      </c>
      <c r="Y625" s="1">
        <v>5319</v>
      </c>
      <c r="Z625" s="1">
        <v>3893</v>
      </c>
      <c r="AA625" s="1">
        <v>3724</v>
      </c>
      <c r="AB625" s="1">
        <v>6196</v>
      </c>
      <c r="AC625" s="1">
        <v>6001</v>
      </c>
      <c r="AD625" s="24">
        <f t="shared" si="28"/>
        <v>59466</v>
      </c>
      <c r="AE625" s="23">
        <v>0</v>
      </c>
      <c r="AF625" s="1">
        <v>0</v>
      </c>
      <c r="AG625" s="1">
        <v>0</v>
      </c>
      <c r="AH625" s="1">
        <v>0</v>
      </c>
      <c r="AI625" s="1">
        <v>0</v>
      </c>
      <c r="AJ625" s="1">
        <v>0</v>
      </c>
      <c r="AK625" s="1">
        <v>0</v>
      </c>
      <c r="AL625" s="1">
        <v>0</v>
      </c>
      <c r="AM625" s="1">
        <v>0</v>
      </c>
      <c r="AN625" s="1">
        <v>159.66451424000002</v>
      </c>
      <c r="AO625" s="1">
        <v>159.66451424000002</v>
      </c>
      <c r="AP625" s="1">
        <v>0</v>
      </c>
      <c r="AQ625" s="24">
        <f t="shared" si="29"/>
        <v>319.32902848000003</v>
      </c>
    </row>
    <row r="626" spans="1:43" ht="17.25" customHeight="1" x14ac:dyDescent="0.45">
      <c r="A626" s="12" t="s">
        <v>26</v>
      </c>
      <c r="B626" s="12" t="s">
        <v>66</v>
      </c>
      <c r="C626" s="12" t="s">
        <v>69</v>
      </c>
      <c r="D626" s="12" t="s">
        <v>68</v>
      </c>
      <c r="E626" s="25">
        <v>29</v>
      </c>
      <c r="F626" s="10">
        <v>23</v>
      </c>
      <c r="G626" s="10">
        <v>22</v>
      </c>
      <c r="H626" s="10">
        <v>30</v>
      </c>
      <c r="I626" s="10">
        <v>24</v>
      </c>
      <c r="J626" s="10">
        <v>29</v>
      </c>
      <c r="K626" s="10">
        <v>28</v>
      </c>
      <c r="L626" s="10">
        <v>31</v>
      </c>
      <c r="M626" s="10">
        <v>30</v>
      </c>
      <c r="N626" s="10">
        <v>30</v>
      </c>
      <c r="O626" s="10">
        <v>30</v>
      </c>
      <c r="P626" s="10">
        <v>31</v>
      </c>
      <c r="Q626" s="26">
        <f t="shared" si="27"/>
        <v>337</v>
      </c>
      <c r="R626" s="25">
        <v>1734</v>
      </c>
      <c r="S626" s="10">
        <v>1368</v>
      </c>
      <c r="T626" s="10">
        <v>1142</v>
      </c>
      <c r="U626" s="10">
        <v>1328</v>
      </c>
      <c r="V626" s="10">
        <v>941</v>
      </c>
      <c r="W626" s="10">
        <v>1072</v>
      </c>
      <c r="X626" s="10">
        <v>1284</v>
      </c>
      <c r="Y626" s="10">
        <v>1407</v>
      </c>
      <c r="Z626" s="10">
        <v>1276</v>
      </c>
      <c r="AA626" s="10">
        <v>1195</v>
      </c>
      <c r="AB626" s="10">
        <v>1657</v>
      </c>
      <c r="AC626" s="10">
        <v>1499</v>
      </c>
      <c r="AD626" s="26">
        <f t="shared" si="28"/>
        <v>15903</v>
      </c>
      <c r="AE626" s="25">
        <v>0</v>
      </c>
      <c r="AF626" s="10">
        <v>0</v>
      </c>
      <c r="AG626" s="10">
        <v>0</v>
      </c>
      <c r="AH626" s="10">
        <v>0</v>
      </c>
      <c r="AI626" s="10">
        <v>0</v>
      </c>
      <c r="AJ626" s="10">
        <v>0</v>
      </c>
      <c r="AK626" s="10">
        <v>0</v>
      </c>
      <c r="AL626" s="10">
        <v>0</v>
      </c>
      <c r="AM626" s="10">
        <v>0</v>
      </c>
      <c r="AN626" s="10">
        <v>0</v>
      </c>
      <c r="AO626" s="10">
        <v>0</v>
      </c>
      <c r="AP626" s="10">
        <v>0</v>
      </c>
      <c r="AQ626" s="26">
        <f t="shared" si="29"/>
        <v>0</v>
      </c>
    </row>
    <row r="627" spans="1:43" ht="17.25" customHeight="1" x14ac:dyDescent="0.45">
      <c r="A627" s="2" t="s">
        <v>26</v>
      </c>
      <c r="B627" s="2" t="s">
        <v>66</v>
      </c>
      <c r="C627" s="2" t="s">
        <v>73</v>
      </c>
      <c r="D627" s="2" t="s">
        <v>68</v>
      </c>
      <c r="E627" s="23">
        <v>14</v>
      </c>
      <c r="F627" s="1">
        <v>12</v>
      </c>
      <c r="G627" s="1">
        <v>13</v>
      </c>
      <c r="H627" s="1">
        <v>17</v>
      </c>
      <c r="I627" s="1">
        <v>18</v>
      </c>
      <c r="J627" s="1">
        <v>17</v>
      </c>
      <c r="K627" s="1">
        <v>18</v>
      </c>
      <c r="L627" s="1">
        <v>17</v>
      </c>
      <c r="M627" s="1">
        <v>16</v>
      </c>
      <c r="N627" s="1">
        <v>17</v>
      </c>
      <c r="O627" s="1">
        <v>17</v>
      </c>
      <c r="P627" s="1">
        <v>18</v>
      </c>
      <c r="Q627" s="24">
        <f t="shared" si="27"/>
        <v>194</v>
      </c>
      <c r="R627" s="23">
        <v>2338</v>
      </c>
      <c r="S627" s="1">
        <v>1989</v>
      </c>
      <c r="T627" s="1">
        <v>1960</v>
      </c>
      <c r="U627" s="1">
        <v>2465</v>
      </c>
      <c r="V627" s="1">
        <v>2384</v>
      </c>
      <c r="W627" s="1">
        <v>2153</v>
      </c>
      <c r="X627" s="1">
        <v>3054</v>
      </c>
      <c r="Y627" s="1">
        <v>2865</v>
      </c>
      <c r="Z627" s="1">
        <v>2054</v>
      </c>
      <c r="AA627" s="1">
        <v>2181</v>
      </c>
      <c r="AB627" s="1">
        <v>2730</v>
      </c>
      <c r="AC627" s="1">
        <v>2806</v>
      </c>
      <c r="AD627" s="24">
        <f t="shared" si="28"/>
        <v>28979</v>
      </c>
      <c r="AE627" s="23">
        <v>0</v>
      </c>
      <c r="AF627" s="1">
        <v>0</v>
      </c>
      <c r="AG627" s="1">
        <v>0</v>
      </c>
      <c r="AH627" s="1">
        <v>0</v>
      </c>
      <c r="AI627" s="1">
        <v>0</v>
      </c>
      <c r="AJ627" s="1">
        <v>0</v>
      </c>
      <c r="AK627" s="1">
        <v>0</v>
      </c>
      <c r="AL627" s="1">
        <v>0</v>
      </c>
      <c r="AM627" s="1">
        <v>0</v>
      </c>
      <c r="AN627" s="1">
        <v>0</v>
      </c>
      <c r="AO627" s="1">
        <v>0</v>
      </c>
      <c r="AP627" s="1">
        <v>0</v>
      </c>
      <c r="AQ627" s="24">
        <f t="shared" si="29"/>
        <v>0</v>
      </c>
    </row>
    <row r="628" spans="1:43" ht="17.25" customHeight="1" x14ac:dyDescent="0.45">
      <c r="A628" s="12" t="s">
        <v>189</v>
      </c>
      <c r="B628" s="12" t="s">
        <v>68</v>
      </c>
      <c r="C628" s="12" t="s">
        <v>11</v>
      </c>
      <c r="D628" s="12" t="s">
        <v>66</v>
      </c>
      <c r="E628" s="25">
        <v>49</v>
      </c>
      <c r="F628" s="10">
        <v>45</v>
      </c>
      <c r="G628" s="10">
        <v>49</v>
      </c>
      <c r="H628" s="10">
        <v>30</v>
      </c>
      <c r="I628" s="10">
        <v>31</v>
      </c>
      <c r="J628" s="10">
        <v>34</v>
      </c>
      <c r="K628" s="10">
        <v>31</v>
      </c>
      <c r="L628" s="10">
        <v>31</v>
      </c>
      <c r="M628" s="10">
        <v>30</v>
      </c>
      <c r="N628" s="10">
        <v>31</v>
      </c>
      <c r="O628" s="10">
        <v>30</v>
      </c>
      <c r="P628" s="10">
        <v>48</v>
      </c>
      <c r="Q628" s="26">
        <f t="shared" si="27"/>
        <v>439</v>
      </c>
      <c r="R628" s="25">
        <v>8396</v>
      </c>
      <c r="S628" s="10">
        <v>7070</v>
      </c>
      <c r="T628" s="10">
        <v>7577</v>
      </c>
      <c r="U628" s="10">
        <v>5881</v>
      </c>
      <c r="V628" s="10">
        <v>6592</v>
      </c>
      <c r="W628" s="10">
        <v>6449</v>
      </c>
      <c r="X628" s="10">
        <v>6525</v>
      </c>
      <c r="Y628" s="10">
        <v>6120</v>
      </c>
      <c r="Z628" s="10">
        <v>6183</v>
      </c>
      <c r="AA628" s="10">
        <v>6458</v>
      </c>
      <c r="AB628" s="10">
        <v>5299</v>
      </c>
      <c r="AC628" s="10">
        <v>8261</v>
      </c>
      <c r="AD628" s="26">
        <f t="shared" si="28"/>
        <v>80811</v>
      </c>
      <c r="AE628" s="25">
        <v>0</v>
      </c>
      <c r="AF628" s="10">
        <v>0</v>
      </c>
      <c r="AG628" s="10">
        <v>0</v>
      </c>
      <c r="AH628" s="10">
        <v>0</v>
      </c>
      <c r="AI628" s="10">
        <v>0</v>
      </c>
      <c r="AJ628" s="10">
        <v>0</v>
      </c>
      <c r="AK628" s="10">
        <v>0</v>
      </c>
      <c r="AL628" s="10">
        <v>0</v>
      </c>
      <c r="AM628" s="10">
        <v>0</v>
      </c>
      <c r="AN628" s="10">
        <v>0</v>
      </c>
      <c r="AO628" s="10">
        <v>0</v>
      </c>
      <c r="AP628" s="10">
        <v>0</v>
      </c>
      <c r="AQ628" s="26">
        <f t="shared" si="29"/>
        <v>0</v>
      </c>
    </row>
    <row r="629" spans="1:43" ht="17.25" customHeight="1" x14ac:dyDescent="0.45">
      <c r="A629" s="2" t="s">
        <v>135</v>
      </c>
      <c r="B629" s="2" t="s">
        <v>68</v>
      </c>
      <c r="C629" s="2" t="s">
        <v>10</v>
      </c>
      <c r="D629" s="2" t="s">
        <v>66</v>
      </c>
      <c r="E629" s="23">
        <v>165</v>
      </c>
      <c r="F629" s="1">
        <v>137</v>
      </c>
      <c r="G629" s="1">
        <v>133</v>
      </c>
      <c r="H629" s="1">
        <v>78</v>
      </c>
      <c r="I629" s="1">
        <v>89</v>
      </c>
      <c r="J629" s="1">
        <v>119</v>
      </c>
      <c r="K629" s="1">
        <v>123</v>
      </c>
      <c r="L629" s="1">
        <v>113</v>
      </c>
      <c r="M629" s="1">
        <v>82</v>
      </c>
      <c r="N629" s="1">
        <v>87</v>
      </c>
      <c r="O629" s="1">
        <v>123</v>
      </c>
      <c r="P629" s="1">
        <v>143</v>
      </c>
      <c r="Q629" s="24">
        <f t="shared" si="27"/>
        <v>1392</v>
      </c>
      <c r="R629" s="23">
        <v>14380</v>
      </c>
      <c r="S629" s="1">
        <v>14444</v>
      </c>
      <c r="T629" s="1">
        <v>17001</v>
      </c>
      <c r="U629" s="1">
        <v>9992</v>
      </c>
      <c r="V629" s="1">
        <v>11655</v>
      </c>
      <c r="W629" s="1">
        <v>15978</v>
      </c>
      <c r="X629" s="1">
        <v>15503</v>
      </c>
      <c r="Y629" s="1">
        <v>12491</v>
      </c>
      <c r="Z629" s="1">
        <v>9783</v>
      </c>
      <c r="AA629" s="1">
        <v>10832</v>
      </c>
      <c r="AB629" s="1">
        <v>13748</v>
      </c>
      <c r="AC629" s="1">
        <v>17786</v>
      </c>
      <c r="AD629" s="24">
        <f t="shared" si="28"/>
        <v>163593</v>
      </c>
      <c r="AE629" s="23">
        <v>0</v>
      </c>
      <c r="AF629" s="1">
        <v>0</v>
      </c>
      <c r="AG629" s="1">
        <v>0</v>
      </c>
      <c r="AH629" s="1">
        <v>0</v>
      </c>
      <c r="AI629" s="1">
        <v>0</v>
      </c>
      <c r="AJ629" s="1">
        <v>0</v>
      </c>
      <c r="AK629" s="1">
        <v>0</v>
      </c>
      <c r="AL629" s="1">
        <v>0</v>
      </c>
      <c r="AM629" s="1">
        <v>0</v>
      </c>
      <c r="AN629" s="1">
        <v>0</v>
      </c>
      <c r="AO629" s="1">
        <v>0</v>
      </c>
      <c r="AP629" s="1">
        <v>0</v>
      </c>
      <c r="AQ629" s="24">
        <f t="shared" si="29"/>
        <v>0</v>
      </c>
    </row>
    <row r="630" spans="1:43" ht="17.25" customHeight="1" x14ac:dyDescent="0.45">
      <c r="A630" s="12" t="s">
        <v>135</v>
      </c>
      <c r="B630" s="12" t="s">
        <v>68</v>
      </c>
      <c r="C630" s="12" t="s">
        <v>11</v>
      </c>
      <c r="D630" s="12" t="s">
        <v>66</v>
      </c>
      <c r="E630" s="25">
        <v>26</v>
      </c>
      <c r="F630" s="10">
        <v>25</v>
      </c>
      <c r="G630" s="10">
        <v>27</v>
      </c>
      <c r="H630" s="10">
        <v>17</v>
      </c>
      <c r="I630" s="10">
        <v>18</v>
      </c>
      <c r="J630" s="10">
        <v>25</v>
      </c>
      <c r="K630" s="10">
        <v>26</v>
      </c>
      <c r="L630" s="10">
        <v>27</v>
      </c>
      <c r="M630" s="10">
        <v>25</v>
      </c>
      <c r="N630" s="10">
        <v>23</v>
      </c>
      <c r="O630" s="10">
        <v>26</v>
      </c>
      <c r="P630" s="10">
        <v>52</v>
      </c>
      <c r="Q630" s="26">
        <f t="shared" si="27"/>
        <v>317</v>
      </c>
      <c r="R630" s="25">
        <v>3431</v>
      </c>
      <c r="S630" s="10">
        <v>2735</v>
      </c>
      <c r="T630" s="10">
        <v>3534</v>
      </c>
      <c r="U630" s="10">
        <v>2875</v>
      </c>
      <c r="V630" s="10">
        <v>3317</v>
      </c>
      <c r="W630" s="10">
        <v>3930</v>
      </c>
      <c r="X630" s="10">
        <v>4396</v>
      </c>
      <c r="Y630" s="10">
        <v>4268</v>
      </c>
      <c r="Z630" s="10">
        <v>3693</v>
      </c>
      <c r="AA630" s="10">
        <v>3243</v>
      </c>
      <c r="AB630" s="10">
        <v>3844</v>
      </c>
      <c r="AC630" s="10">
        <v>7785</v>
      </c>
      <c r="AD630" s="26">
        <f t="shared" si="28"/>
        <v>47051</v>
      </c>
      <c r="AE630" s="25">
        <v>0</v>
      </c>
      <c r="AF630" s="10">
        <v>0</v>
      </c>
      <c r="AG630" s="10">
        <v>0</v>
      </c>
      <c r="AH630" s="10">
        <v>0</v>
      </c>
      <c r="AI630" s="10">
        <v>0</v>
      </c>
      <c r="AJ630" s="10">
        <v>0</v>
      </c>
      <c r="AK630" s="10">
        <v>0</v>
      </c>
      <c r="AL630" s="10">
        <v>0</v>
      </c>
      <c r="AM630" s="10">
        <v>0</v>
      </c>
      <c r="AN630" s="10">
        <v>0</v>
      </c>
      <c r="AO630" s="10">
        <v>0</v>
      </c>
      <c r="AP630" s="10">
        <v>0</v>
      </c>
      <c r="AQ630" s="26">
        <f t="shared" si="29"/>
        <v>0</v>
      </c>
    </row>
    <row r="631" spans="1:43" ht="17.25" customHeight="1" x14ac:dyDescent="0.45">
      <c r="A631" s="2" t="s">
        <v>135</v>
      </c>
      <c r="B631" s="2" t="s">
        <v>68</v>
      </c>
      <c r="C631" s="2" t="s">
        <v>23</v>
      </c>
      <c r="D631" s="2" t="s">
        <v>66</v>
      </c>
      <c r="E631" s="23">
        <v>0</v>
      </c>
      <c r="F631" s="1">
        <v>0</v>
      </c>
      <c r="G631" s="1">
        <v>0</v>
      </c>
      <c r="H631" s="1">
        <v>0</v>
      </c>
      <c r="I631" s="1">
        <v>0</v>
      </c>
      <c r="J631" s="1">
        <v>0</v>
      </c>
      <c r="K631" s="1">
        <v>7</v>
      </c>
      <c r="L631" s="1">
        <v>9</v>
      </c>
      <c r="M631" s="1">
        <v>9</v>
      </c>
      <c r="N631" s="1">
        <v>8</v>
      </c>
      <c r="O631" s="1">
        <v>9</v>
      </c>
      <c r="P631" s="1">
        <v>9</v>
      </c>
      <c r="Q631" s="24">
        <f t="shared" si="27"/>
        <v>51</v>
      </c>
      <c r="R631" s="23">
        <v>0</v>
      </c>
      <c r="S631" s="1">
        <v>0</v>
      </c>
      <c r="T631" s="1">
        <v>0</v>
      </c>
      <c r="U631" s="1">
        <v>0</v>
      </c>
      <c r="V631" s="1">
        <v>0</v>
      </c>
      <c r="W631" s="1">
        <v>0</v>
      </c>
      <c r="X631" s="1">
        <v>693</v>
      </c>
      <c r="Y631" s="1">
        <v>1146</v>
      </c>
      <c r="Z631" s="1">
        <v>1201</v>
      </c>
      <c r="AA631" s="1">
        <v>1009</v>
      </c>
      <c r="AB631" s="1">
        <v>1026</v>
      </c>
      <c r="AC631" s="1">
        <v>1218</v>
      </c>
      <c r="AD631" s="24">
        <f t="shared" si="28"/>
        <v>6293</v>
      </c>
      <c r="AE631" s="23">
        <v>0</v>
      </c>
      <c r="AF631" s="1">
        <v>0</v>
      </c>
      <c r="AG631" s="1">
        <v>0</v>
      </c>
      <c r="AH631" s="1">
        <v>0</v>
      </c>
      <c r="AI631" s="1">
        <v>0</v>
      </c>
      <c r="AJ631" s="1">
        <v>0</v>
      </c>
      <c r="AK631" s="1">
        <v>0</v>
      </c>
      <c r="AL631" s="1">
        <v>0</v>
      </c>
      <c r="AM631" s="1">
        <v>0</v>
      </c>
      <c r="AN631" s="1">
        <v>0</v>
      </c>
      <c r="AO631" s="1">
        <v>0</v>
      </c>
      <c r="AP631" s="1">
        <v>0</v>
      </c>
      <c r="AQ631" s="24">
        <f t="shared" si="29"/>
        <v>0</v>
      </c>
    </row>
    <row r="632" spans="1:43" ht="17.25" customHeight="1" x14ac:dyDescent="0.45">
      <c r="A632" s="12" t="s">
        <v>135</v>
      </c>
      <c r="B632" s="12" t="s">
        <v>68</v>
      </c>
      <c r="C632" s="12" t="s">
        <v>12</v>
      </c>
      <c r="D632" s="12" t="s">
        <v>66</v>
      </c>
      <c r="E632" s="25">
        <v>118</v>
      </c>
      <c r="F632" s="10">
        <v>100</v>
      </c>
      <c r="G632" s="10">
        <v>116</v>
      </c>
      <c r="H632" s="10">
        <v>104</v>
      </c>
      <c r="I632" s="10">
        <v>106</v>
      </c>
      <c r="J632" s="10">
        <v>103</v>
      </c>
      <c r="K632" s="10">
        <v>106</v>
      </c>
      <c r="L632" s="10">
        <v>106</v>
      </c>
      <c r="M632" s="10">
        <v>101</v>
      </c>
      <c r="N632" s="10">
        <v>101</v>
      </c>
      <c r="O632" s="10">
        <v>115</v>
      </c>
      <c r="P632" s="10">
        <v>131</v>
      </c>
      <c r="Q632" s="26">
        <f t="shared" si="27"/>
        <v>1307</v>
      </c>
      <c r="R632" s="25">
        <v>17697</v>
      </c>
      <c r="S632" s="10">
        <v>13755</v>
      </c>
      <c r="T632" s="10">
        <v>15444</v>
      </c>
      <c r="U632" s="10">
        <v>15964</v>
      </c>
      <c r="V632" s="10">
        <v>17996</v>
      </c>
      <c r="W632" s="10">
        <v>16914</v>
      </c>
      <c r="X632" s="10">
        <v>17737</v>
      </c>
      <c r="Y632" s="10">
        <v>17382</v>
      </c>
      <c r="Z632" s="10">
        <v>15422</v>
      </c>
      <c r="AA632" s="10">
        <v>15912</v>
      </c>
      <c r="AB632" s="10">
        <v>16913</v>
      </c>
      <c r="AC632" s="10">
        <v>22419</v>
      </c>
      <c r="AD632" s="26">
        <f t="shared" si="28"/>
        <v>203555</v>
      </c>
      <c r="AE632" s="25">
        <v>0</v>
      </c>
      <c r="AF632" s="10">
        <v>0</v>
      </c>
      <c r="AG632" s="10">
        <v>0</v>
      </c>
      <c r="AH632" s="10">
        <v>0</v>
      </c>
      <c r="AI632" s="10">
        <v>42</v>
      </c>
      <c r="AJ632" s="10">
        <v>0</v>
      </c>
      <c r="AK632" s="10">
        <v>0</v>
      </c>
      <c r="AL632" s="10">
        <v>0</v>
      </c>
      <c r="AM632" s="10">
        <v>0</v>
      </c>
      <c r="AN632" s="10">
        <v>45</v>
      </c>
      <c r="AO632" s="10">
        <v>500</v>
      </c>
      <c r="AP632" s="10">
        <v>180</v>
      </c>
      <c r="AQ632" s="26">
        <f t="shared" si="29"/>
        <v>767</v>
      </c>
    </row>
    <row r="633" spans="1:43" ht="17.25" customHeight="1" x14ac:dyDescent="0.45">
      <c r="A633" s="2" t="s">
        <v>135</v>
      </c>
      <c r="B633" s="2" t="s">
        <v>68</v>
      </c>
      <c r="C633" s="2" t="s">
        <v>13</v>
      </c>
      <c r="D633" s="2" t="s">
        <v>66</v>
      </c>
      <c r="E633" s="23">
        <v>0</v>
      </c>
      <c r="F633" s="1">
        <v>0</v>
      </c>
      <c r="G633" s="1">
        <v>0</v>
      </c>
      <c r="H633" s="1">
        <v>0</v>
      </c>
      <c r="I633" s="1">
        <v>13</v>
      </c>
      <c r="J633" s="1">
        <v>14</v>
      </c>
      <c r="K633" s="1">
        <v>12</v>
      </c>
      <c r="L633" s="1">
        <v>13</v>
      </c>
      <c r="M633" s="1">
        <v>12</v>
      </c>
      <c r="N633" s="1">
        <v>12</v>
      </c>
      <c r="O633" s="1">
        <v>13</v>
      </c>
      <c r="P633" s="1">
        <v>26</v>
      </c>
      <c r="Q633" s="24">
        <f t="shared" si="27"/>
        <v>115</v>
      </c>
      <c r="R633" s="23">
        <v>0</v>
      </c>
      <c r="S633" s="1">
        <v>0</v>
      </c>
      <c r="T633" s="1">
        <v>0</v>
      </c>
      <c r="U633" s="1">
        <v>0</v>
      </c>
      <c r="V633" s="1">
        <v>1798</v>
      </c>
      <c r="W633" s="1">
        <v>1833</v>
      </c>
      <c r="X633" s="1">
        <v>2270</v>
      </c>
      <c r="Y633" s="1">
        <v>2441</v>
      </c>
      <c r="Z633" s="1">
        <v>1826</v>
      </c>
      <c r="AA633" s="1">
        <v>1743</v>
      </c>
      <c r="AB633" s="1">
        <v>1868</v>
      </c>
      <c r="AC633" s="1">
        <v>3648</v>
      </c>
      <c r="AD633" s="24">
        <f t="shared" si="28"/>
        <v>17427</v>
      </c>
      <c r="AE633" s="23">
        <v>0</v>
      </c>
      <c r="AF633" s="1">
        <v>0</v>
      </c>
      <c r="AG633" s="1">
        <v>0</v>
      </c>
      <c r="AH633" s="1">
        <v>0</v>
      </c>
      <c r="AI633" s="1">
        <v>0</v>
      </c>
      <c r="AJ633" s="1">
        <v>0</v>
      </c>
      <c r="AK633" s="1">
        <v>0</v>
      </c>
      <c r="AL633" s="1">
        <v>0</v>
      </c>
      <c r="AM633" s="1">
        <v>0</v>
      </c>
      <c r="AN633" s="1">
        <v>0</v>
      </c>
      <c r="AO633" s="1">
        <v>0</v>
      </c>
      <c r="AP633" s="1">
        <v>0</v>
      </c>
      <c r="AQ633" s="24">
        <f t="shared" si="29"/>
        <v>0</v>
      </c>
    </row>
    <row r="634" spans="1:43" ht="17.25" customHeight="1" x14ac:dyDescent="0.45">
      <c r="A634" s="12" t="s">
        <v>136</v>
      </c>
      <c r="B634" s="12" t="s">
        <v>65</v>
      </c>
      <c r="C634" s="12" t="s">
        <v>10</v>
      </c>
      <c r="D634" s="12" t="s">
        <v>66</v>
      </c>
      <c r="E634" s="25">
        <v>52</v>
      </c>
      <c r="F634" s="10">
        <v>47</v>
      </c>
      <c r="G634" s="10">
        <v>56</v>
      </c>
      <c r="H634" s="10">
        <v>37</v>
      </c>
      <c r="I634" s="10">
        <v>6</v>
      </c>
      <c r="J634" s="10">
        <v>1</v>
      </c>
      <c r="K634" s="10">
        <v>0</v>
      </c>
      <c r="L634" s="10">
        <v>0</v>
      </c>
      <c r="M634" s="10">
        <v>0</v>
      </c>
      <c r="N634" s="10">
        <v>3</v>
      </c>
      <c r="O634" s="10">
        <v>28</v>
      </c>
      <c r="P634" s="10">
        <v>45</v>
      </c>
      <c r="Q634" s="26">
        <f t="shared" si="27"/>
        <v>275</v>
      </c>
      <c r="R634" s="25">
        <v>8580</v>
      </c>
      <c r="S634" s="10">
        <v>7752</v>
      </c>
      <c r="T634" s="10">
        <v>8220</v>
      </c>
      <c r="U634" s="10">
        <v>4480</v>
      </c>
      <c r="V634" s="10">
        <v>694</v>
      </c>
      <c r="W634" s="10">
        <v>52</v>
      </c>
      <c r="X634" s="10">
        <v>0</v>
      </c>
      <c r="Y634" s="10">
        <v>0</v>
      </c>
      <c r="Z634" s="10">
        <v>0</v>
      </c>
      <c r="AA634" s="10">
        <v>426</v>
      </c>
      <c r="AB634" s="10">
        <v>4334</v>
      </c>
      <c r="AC634" s="10">
        <v>7263</v>
      </c>
      <c r="AD634" s="26">
        <f t="shared" si="28"/>
        <v>41801</v>
      </c>
      <c r="AE634" s="25">
        <v>0</v>
      </c>
      <c r="AF634" s="10">
        <v>0</v>
      </c>
      <c r="AG634" s="10">
        <v>0</v>
      </c>
      <c r="AH634" s="10">
        <v>0</v>
      </c>
      <c r="AI634" s="10">
        <v>0</v>
      </c>
      <c r="AJ634" s="10">
        <v>0</v>
      </c>
      <c r="AK634" s="10">
        <v>0</v>
      </c>
      <c r="AL634" s="10">
        <v>0</v>
      </c>
      <c r="AM634" s="10">
        <v>0</v>
      </c>
      <c r="AN634" s="10">
        <v>0</v>
      </c>
      <c r="AO634" s="10">
        <v>0</v>
      </c>
      <c r="AP634" s="10">
        <v>0</v>
      </c>
      <c r="AQ634" s="26">
        <f t="shared" si="29"/>
        <v>0</v>
      </c>
    </row>
    <row r="635" spans="1:43" ht="17.25" customHeight="1" x14ac:dyDescent="0.45">
      <c r="A635" s="2" t="s">
        <v>136</v>
      </c>
      <c r="B635" s="2" t="s">
        <v>65</v>
      </c>
      <c r="C635" s="2" t="s">
        <v>17</v>
      </c>
      <c r="D635" s="2" t="s">
        <v>66</v>
      </c>
      <c r="E635" s="23">
        <v>4</v>
      </c>
      <c r="F635" s="1">
        <v>4</v>
      </c>
      <c r="G635" s="1">
        <v>4</v>
      </c>
      <c r="H635" s="1">
        <v>0</v>
      </c>
      <c r="I635" s="1">
        <v>0</v>
      </c>
      <c r="J635" s="1">
        <v>0</v>
      </c>
      <c r="K635" s="1">
        <v>0</v>
      </c>
      <c r="L635" s="1">
        <v>0</v>
      </c>
      <c r="M635" s="1">
        <v>0</v>
      </c>
      <c r="N635" s="1">
        <v>0</v>
      </c>
      <c r="O635" s="1">
        <v>0</v>
      </c>
      <c r="P635" s="1">
        <v>2</v>
      </c>
      <c r="Q635" s="24">
        <f t="shared" si="27"/>
        <v>14</v>
      </c>
      <c r="R635" s="23">
        <v>649</v>
      </c>
      <c r="S635" s="1">
        <v>613</v>
      </c>
      <c r="T635" s="1">
        <v>626</v>
      </c>
      <c r="U635" s="1">
        <v>0</v>
      </c>
      <c r="V635" s="1">
        <v>0</v>
      </c>
      <c r="W635" s="1">
        <v>0</v>
      </c>
      <c r="X635" s="1">
        <v>0</v>
      </c>
      <c r="Y635" s="1">
        <v>0</v>
      </c>
      <c r="Z635" s="1">
        <v>0</v>
      </c>
      <c r="AA635" s="1">
        <v>0</v>
      </c>
      <c r="AB635" s="1">
        <v>0</v>
      </c>
      <c r="AC635" s="1">
        <v>339</v>
      </c>
      <c r="AD635" s="24">
        <f t="shared" si="28"/>
        <v>2227</v>
      </c>
      <c r="AE635" s="23">
        <v>0</v>
      </c>
      <c r="AF635" s="1">
        <v>0</v>
      </c>
      <c r="AG635" s="1">
        <v>0</v>
      </c>
      <c r="AH635" s="1">
        <v>0</v>
      </c>
      <c r="AI635" s="1">
        <v>0</v>
      </c>
      <c r="AJ635" s="1">
        <v>0</v>
      </c>
      <c r="AK635" s="1">
        <v>0</v>
      </c>
      <c r="AL635" s="1">
        <v>0</v>
      </c>
      <c r="AM635" s="1">
        <v>0</v>
      </c>
      <c r="AN635" s="1">
        <v>0</v>
      </c>
      <c r="AO635" s="1">
        <v>0</v>
      </c>
      <c r="AP635" s="1">
        <v>0</v>
      </c>
      <c r="AQ635" s="24">
        <f t="shared" si="29"/>
        <v>0</v>
      </c>
    </row>
    <row r="636" spans="1:43" ht="17.25" customHeight="1" x14ac:dyDescent="0.45">
      <c r="A636" s="12" t="s">
        <v>136</v>
      </c>
      <c r="B636" s="12" t="s">
        <v>65</v>
      </c>
      <c r="C636" s="12" t="s">
        <v>247</v>
      </c>
      <c r="D636" s="12" t="s">
        <v>66</v>
      </c>
      <c r="E636" s="25">
        <v>0</v>
      </c>
      <c r="F636" s="10">
        <v>0</v>
      </c>
      <c r="G636" s="10">
        <v>0</v>
      </c>
      <c r="H636" s="10">
        <v>0</v>
      </c>
      <c r="I636" s="10">
        <v>0</v>
      </c>
      <c r="J636" s="10">
        <v>0</v>
      </c>
      <c r="K636" s="10">
        <v>0</v>
      </c>
      <c r="L636" s="10">
        <v>0</v>
      </c>
      <c r="M636" s="10">
        <v>0</v>
      </c>
      <c r="N636" s="10">
        <v>0</v>
      </c>
      <c r="O636" s="10">
        <v>0</v>
      </c>
      <c r="P636" s="10">
        <v>3</v>
      </c>
      <c r="Q636" s="26">
        <f t="shared" si="27"/>
        <v>3</v>
      </c>
      <c r="R636" s="25">
        <v>0</v>
      </c>
      <c r="S636" s="10">
        <v>0</v>
      </c>
      <c r="T636" s="10">
        <v>0</v>
      </c>
      <c r="U636" s="10">
        <v>0</v>
      </c>
      <c r="V636" s="10">
        <v>0</v>
      </c>
      <c r="W636" s="10">
        <v>0</v>
      </c>
      <c r="X636" s="10">
        <v>0</v>
      </c>
      <c r="Y636" s="10">
        <v>0</v>
      </c>
      <c r="Z636" s="10">
        <v>0</v>
      </c>
      <c r="AA636" s="10">
        <v>0</v>
      </c>
      <c r="AB636" s="10">
        <v>0</v>
      </c>
      <c r="AC636" s="10">
        <v>358</v>
      </c>
      <c r="AD636" s="26">
        <f t="shared" si="28"/>
        <v>358</v>
      </c>
      <c r="AE636" s="25">
        <v>0</v>
      </c>
      <c r="AF636" s="10">
        <v>0</v>
      </c>
      <c r="AG636" s="10">
        <v>0</v>
      </c>
      <c r="AH636" s="10">
        <v>0</v>
      </c>
      <c r="AI636" s="10">
        <v>0</v>
      </c>
      <c r="AJ636" s="10">
        <v>0</v>
      </c>
      <c r="AK636" s="10">
        <v>0</v>
      </c>
      <c r="AL636" s="10">
        <v>0</v>
      </c>
      <c r="AM636" s="10">
        <v>0</v>
      </c>
      <c r="AN636" s="10">
        <v>0</v>
      </c>
      <c r="AO636" s="10">
        <v>0</v>
      </c>
      <c r="AP636" s="10">
        <v>0</v>
      </c>
      <c r="AQ636" s="26">
        <f t="shared" si="29"/>
        <v>0</v>
      </c>
    </row>
    <row r="637" spans="1:43" ht="17.25" customHeight="1" x14ac:dyDescent="0.45">
      <c r="A637" s="2" t="s">
        <v>137</v>
      </c>
      <c r="B637" s="2" t="s">
        <v>138</v>
      </c>
      <c r="C637" s="2" t="s">
        <v>10</v>
      </c>
      <c r="D637" s="2" t="s">
        <v>66</v>
      </c>
      <c r="E637" s="23">
        <v>195</v>
      </c>
      <c r="F637" s="1">
        <v>199</v>
      </c>
      <c r="G637" s="1">
        <v>214</v>
      </c>
      <c r="H637" s="1">
        <v>195</v>
      </c>
      <c r="I637" s="1">
        <v>208</v>
      </c>
      <c r="J637" s="1">
        <v>200</v>
      </c>
      <c r="K637" s="1">
        <v>189</v>
      </c>
      <c r="L637" s="1">
        <v>189</v>
      </c>
      <c r="M637" s="1">
        <v>193</v>
      </c>
      <c r="N637" s="1">
        <v>179</v>
      </c>
      <c r="O637" s="1">
        <v>170</v>
      </c>
      <c r="P637" s="1">
        <v>177</v>
      </c>
      <c r="Q637" s="24">
        <f t="shared" si="27"/>
        <v>2308</v>
      </c>
      <c r="R637" s="23">
        <v>28608</v>
      </c>
      <c r="S637" s="1">
        <v>27659</v>
      </c>
      <c r="T637" s="1">
        <v>26707</v>
      </c>
      <c r="U637" s="1">
        <v>25649</v>
      </c>
      <c r="V637" s="1">
        <v>25993</v>
      </c>
      <c r="W637" s="1">
        <v>27448</v>
      </c>
      <c r="X637" s="1">
        <v>23318</v>
      </c>
      <c r="Y637" s="1">
        <v>23367</v>
      </c>
      <c r="Z637" s="1">
        <v>24994</v>
      </c>
      <c r="AA637" s="1">
        <v>26030</v>
      </c>
      <c r="AB637" s="1">
        <v>24128</v>
      </c>
      <c r="AC637" s="1">
        <v>25205</v>
      </c>
      <c r="AD637" s="24">
        <f t="shared" si="28"/>
        <v>309106</v>
      </c>
      <c r="AE637" s="23">
        <v>0</v>
      </c>
      <c r="AF637" s="1">
        <v>0</v>
      </c>
      <c r="AG637" s="1">
        <v>16603</v>
      </c>
      <c r="AH637" s="1">
        <v>14492</v>
      </c>
      <c r="AI637" s="1">
        <v>29946</v>
      </c>
      <c r="AJ637" s="1">
        <v>0</v>
      </c>
      <c r="AK637" s="1">
        <v>6964</v>
      </c>
      <c r="AL637" s="1">
        <v>13309</v>
      </c>
      <c r="AM637" s="1">
        <v>16534</v>
      </c>
      <c r="AN637" s="1">
        <v>23872</v>
      </c>
      <c r="AO637" s="1">
        <v>13828</v>
      </c>
      <c r="AP637" s="1">
        <v>13822</v>
      </c>
      <c r="AQ637" s="24">
        <f t="shared" si="29"/>
        <v>149370</v>
      </c>
    </row>
    <row r="638" spans="1:43" ht="17.25" customHeight="1" x14ac:dyDescent="0.45">
      <c r="A638" s="12" t="s">
        <v>137</v>
      </c>
      <c r="B638" s="12" t="s">
        <v>138</v>
      </c>
      <c r="C638" s="12" t="s">
        <v>11</v>
      </c>
      <c r="D638" s="12" t="s">
        <v>66</v>
      </c>
      <c r="E638" s="25">
        <v>14</v>
      </c>
      <c r="F638" s="10">
        <v>16</v>
      </c>
      <c r="G638" s="10">
        <v>18</v>
      </c>
      <c r="H638" s="10">
        <v>18</v>
      </c>
      <c r="I638" s="10">
        <v>17</v>
      </c>
      <c r="J638" s="10">
        <v>17</v>
      </c>
      <c r="K638" s="10">
        <v>18</v>
      </c>
      <c r="L638" s="10">
        <v>20</v>
      </c>
      <c r="M638" s="10">
        <v>19</v>
      </c>
      <c r="N638" s="10">
        <v>22</v>
      </c>
      <c r="O638" s="10">
        <v>22</v>
      </c>
      <c r="P638" s="10">
        <v>22</v>
      </c>
      <c r="Q638" s="26">
        <f t="shared" si="27"/>
        <v>223</v>
      </c>
      <c r="R638" s="25">
        <v>1945</v>
      </c>
      <c r="S638" s="10">
        <v>2166</v>
      </c>
      <c r="T638" s="10">
        <v>2644</v>
      </c>
      <c r="U638" s="10">
        <v>2796</v>
      </c>
      <c r="V638" s="10">
        <v>2338</v>
      </c>
      <c r="W638" s="10">
        <v>2344</v>
      </c>
      <c r="X638" s="10">
        <v>2495</v>
      </c>
      <c r="Y638" s="10">
        <v>3006</v>
      </c>
      <c r="Z638" s="10">
        <v>2608</v>
      </c>
      <c r="AA638" s="10">
        <v>3177</v>
      </c>
      <c r="AB638" s="10">
        <v>3160</v>
      </c>
      <c r="AC638" s="10">
        <v>2841</v>
      </c>
      <c r="AD638" s="26">
        <f t="shared" si="28"/>
        <v>31520</v>
      </c>
      <c r="AE638" s="25">
        <v>9458</v>
      </c>
      <c r="AF638" s="10">
        <v>10637</v>
      </c>
      <c r="AG638" s="10">
        <v>18062</v>
      </c>
      <c r="AH638" s="10">
        <v>12151</v>
      </c>
      <c r="AI638" s="10">
        <v>14238</v>
      </c>
      <c r="AJ638" s="10">
        <v>16668</v>
      </c>
      <c r="AK638" s="10">
        <v>16470</v>
      </c>
      <c r="AL638" s="10">
        <v>22258</v>
      </c>
      <c r="AM638" s="10">
        <v>20102</v>
      </c>
      <c r="AN638" s="10">
        <v>15687</v>
      </c>
      <c r="AO638" s="10">
        <v>18714</v>
      </c>
      <c r="AP638" s="10">
        <v>15794</v>
      </c>
      <c r="AQ638" s="26">
        <f t="shared" si="29"/>
        <v>190239</v>
      </c>
    </row>
    <row r="639" spans="1:43" ht="17.25" customHeight="1" x14ac:dyDescent="0.45">
      <c r="A639" s="2" t="s">
        <v>137</v>
      </c>
      <c r="B639" s="2" t="s">
        <v>138</v>
      </c>
      <c r="C639" s="2" t="s">
        <v>12</v>
      </c>
      <c r="D639" s="2" t="s">
        <v>66</v>
      </c>
      <c r="E639" s="23">
        <v>133</v>
      </c>
      <c r="F639" s="1">
        <v>145</v>
      </c>
      <c r="G639" s="1">
        <v>155</v>
      </c>
      <c r="H639" s="1">
        <v>150</v>
      </c>
      <c r="I639" s="1">
        <v>155</v>
      </c>
      <c r="J639" s="1">
        <v>145</v>
      </c>
      <c r="K639" s="1">
        <v>155</v>
      </c>
      <c r="L639" s="1">
        <v>155</v>
      </c>
      <c r="M639" s="1">
        <v>148</v>
      </c>
      <c r="N639" s="1">
        <v>168</v>
      </c>
      <c r="O639" s="1">
        <v>179</v>
      </c>
      <c r="P639" s="1">
        <v>174</v>
      </c>
      <c r="Q639" s="24">
        <f t="shared" si="27"/>
        <v>1862</v>
      </c>
      <c r="R639" s="23">
        <v>19250</v>
      </c>
      <c r="S639" s="1">
        <v>20733</v>
      </c>
      <c r="T639" s="1">
        <v>22871</v>
      </c>
      <c r="U639" s="1">
        <v>22565</v>
      </c>
      <c r="V639" s="1">
        <v>21328</v>
      </c>
      <c r="W639" s="1">
        <v>20437</v>
      </c>
      <c r="X639" s="1">
        <v>21857</v>
      </c>
      <c r="Y639" s="1">
        <v>24213</v>
      </c>
      <c r="Z639" s="1">
        <v>21926</v>
      </c>
      <c r="AA639" s="1">
        <v>24982</v>
      </c>
      <c r="AB639" s="1">
        <v>23265</v>
      </c>
      <c r="AC639" s="1">
        <v>23264</v>
      </c>
      <c r="AD639" s="24">
        <f t="shared" si="28"/>
        <v>266691</v>
      </c>
      <c r="AE639" s="23">
        <v>133642</v>
      </c>
      <c r="AF639" s="1">
        <v>142651</v>
      </c>
      <c r="AG639" s="1">
        <v>189958</v>
      </c>
      <c r="AH639" s="1">
        <v>168057</v>
      </c>
      <c r="AI639" s="1">
        <v>138425</v>
      </c>
      <c r="AJ639" s="1">
        <v>165693</v>
      </c>
      <c r="AK639" s="1">
        <v>156376</v>
      </c>
      <c r="AL639" s="1">
        <v>209814</v>
      </c>
      <c r="AM639" s="1">
        <v>209432</v>
      </c>
      <c r="AN639" s="1">
        <v>185296</v>
      </c>
      <c r="AO639" s="1">
        <v>190078</v>
      </c>
      <c r="AP639" s="1">
        <v>184236</v>
      </c>
      <c r="AQ639" s="24">
        <f t="shared" si="29"/>
        <v>2073658</v>
      </c>
    </row>
    <row r="640" spans="1:43" ht="17.25" customHeight="1" x14ac:dyDescent="0.45">
      <c r="A640" s="12" t="s">
        <v>137</v>
      </c>
      <c r="B640" s="12" t="s">
        <v>138</v>
      </c>
      <c r="C640" s="12" t="s">
        <v>13</v>
      </c>
      <c r="D640" s="12" t="s">
        <v>66</v>
      </c>
      <c r="E640" s="25">
        <v>13</v>
      </c>
      <c r="F640" s="10">
        <v>16</v>
      </c>
      <c r="G640" s="10">
        <v>18</v>
      </c>
      <c r="H640" s="10">
        <v>16</v>
      </c>
      <c r="I640" s="10">
        <v>18</v>
      </c>
      <c r="J640" s="10">
        <v>17</v>
      </c>
      <c r="K640" s="10">
        <v>17</v>
      </c>
      <c r="L640" s="10">
        <v>18</v>
      </c>
      <c r="M640" s="10">
        <v>13</v>
      </c>
      <c r="N640" s="10">
        <v>17</v>
      </c>
      <c r="O640" s="10">
        <v>17</v>
      </c>
      <c r="P640" s="10">
        <v>17</v>
      </c>
      <c r="Q640" s="26">
        <f t="shared" si="27"/>
        <v>197</v>
      </c>
      <c r="R640" s="25">
        <v>1778</v>
      </c>
      <c r="S640" s="10">
        <v>1807</v>
      </c>
      <c r="T640" s="10">
        <v>2456</v>
      </c>
      <c r="U640" s="10">
        <v>2267</v>
      </c>
      <c r="V640" s="10">
        <v>2337</v>
      </c>
      <c r="W640" s="10">
        <v>2337</v>
      </c>
      <c r="X640" s="10">
        <v>2384</v>
      </c>
      <c r="Y640" s="10">
        <v>2773</v>
      </c>
      <c r="Z640" s="10">
        <v>1727</v>
      </c>
      <c r="AA640" s="10">
        <v>2296</v>
      </c>
      <c r="AB640" s="10">
        <v>2377</v>
      </c>
      <c r="AC640" s="10">
        <v>2103</v>
      </c>
      <c r="AD640" s="26">
        <f t="shared" si="28"/>
        <v>26642</v>
      </c>
      <c r="AE640" s="25">
        <v>3886</v>
      </c>
      <c r="AF640" s="10">
        <v>2783</v>
      </c>
      <c r="AG640" s="10">
        <v>2804</v>
      </c>
      <c r="AH640" s="10">
        <v>3290</v>
      </c>
      <c r="AI640" s="10">
        <v>5842</v>
      </c>
      <c r="AJ640" s="10">
        <v>5141</v>
      </c>
      <c r="AK640" s="10">
        <v>2605</v>
      </c>
      <c r="AL640" s="10">
        <v>2173</v>
      </c>
      <c r="AM640" s="10">
        <v>4256</v>
      </c>
      <c r="AN640" s="10">
        <v>3197</v>
      </c>
      <c r="AO640" s="10">
        <v>4042</v>
      </c>
      <c r="AP640" s="10">
        <v>6871</v>
      </c>
      <c r="AQ640" s="26">
        <f t="shared" si="29"/>
        <v>46890</v>
      </c>
    </row>
    <row r="641" spans="1:43" ht="17.25" customHeight="1" x14ac:dyDescent="0.45">
      <c r="A641" s="2" t="s">
        <v>137</v>
      </c>
      <c r="B641" s="2" t="s">
        <v>138</v>
      </c>
      <c r="C641" s="2" t="s">
        <v>14</v>
      </c>
      <c r="D641" s="2" t="s">
        <v>66</v>
      </c>
      <c r="E641" s="23">
        <v>12</v>
      </c>
      <c r="F641" s="1">
        <v>13</v>
      </c>
      <c r="G641" s="1">
        <v>13</v>
      </c>
      <c r="H641" s="1">
        <v>13</v>
      </c>
      <c r="I641" s="1">
        <v>13</v>
      </c>
      <c r="J641" s="1">
        <v>13</v>
      </c>
      <c r="K641" s="1">
        <v>13</v>
      </c>
      <c r="L641" s="1">
        <v>14</v>
      </c>
      <c r="M641" s="1">
        <v>13</v>
      </c>
      <c r="N641" s="1">
        <v>13</v>
      </c>
      <c r="O641" s="1">
        <v>13</v>
      </c>
      <c r="P641" s="1">
        <v>13</v>
      </c>
      <c r="Q641" s="24">
        <f t="shared" si="27"/>
        <v>156</v>
      </c>
      <c r="R641" s="23">
        <v>1291</v>
      </c>
      <c r="S641" s="1">
        <v>1394</v>
      </c>
      <c r="T641" s="1">
        <v>1418</v>
      </c>
      <c r="U641" s="1">
        <v>1496</v>
      </c>
      <c r="V641" s="1">
        <v>1288</v>
      </c>
      <c r="W641" s="1">
        <v>1203</v>
      </c>
      <c r="X641" s="1">
        <v>1403</v>
      </c>
      <c r="Y641" s="1">
        <v>1673</v>
      </c>
      <c r="Z641" s="1">
        <v>1425</v>
      </c>
      <c r="AA641" s="1">
        <v>1512</v>
      </c>
      <c r="AB641" s="1">
        <v>1491</v>
      </c>
      <c r="AC641" s="1">
        <v>1637</v>
      </c>
      <c r="AD641" s="24">
        <f t="shared" si="28"/>
        <v>17231</v>
      </c>
      <c r="AE641" s="23">
        <v>2373</v>
      </c>
      <c r="AF641" s="1">
        <v>2760</v>
      </c>
      <c r="AG641" s="1">
        <v>1530</v>
      </c>
      <c r="AH641" s="1">
        <v>1213</v>
      </c>
      <c r="AI641" s="1">
        <v>6679</v>
      </c>
      <c r="AJ641" s="1">
        <v>3777</v>
      </c>
      <c r="AK641" s="1">
        <v>6128</v>
      </c>
      <c r="AL641" s="1">
        <v>4209</v>
      </c>
      <c r="AM641" s="1">
        <v>3378</v>
      </c>
      <c r="AN641" s="1">
        <v>2598</v>
      </c>
      <c r="AO641" s="1">
        <v>4602</v>
      </c>
      <c r="AP641" s="1">
        <v>9282</v>
      </c>
      <c r="AQ641" s="24">
        <f t="shared" si="29"/>
        <v>48529</v>
      </c>
    </row>
    <row r="642" spans="1:43" ht="17.25" customHeight="1" x14ac:dyDescent="0.45">
      <c r="A642" s="12" t="s">
        <v>137</v>
      </c>
      <c r="B642" s="12" t="s">
        <v>138</v>
      </c>
      <c r="C642" s="12" t="s">
        <v>247</v>
      </c>
      <c r="D642" s="12" t="s">
        <v>66</v>
      </c>
      <c r="E642" s="25">
        <v>0</v>
      </c>
      <c r="F642" s="10">
        <v>0</v>
      </c>
      <c r="G642" s="10">
        <v>0</v>
      </c>
      <c r="H642" s="10">
        <v>0</v>
      </c>
      <c r="I642" s="10">
        <v>0</v>
      </c>
      <c r="J642" s="10">
        <v>3</v>
      </c>
      <c r="K642" s="10">
        <v>17</v>
      </c>
      <c r="L642" s="10">
        <v>16</v>
      </c>
      <c r="M642" s="10">
        <v>17</v>
      </c>
      <c r="N642" s="10">
        <v>17</v>
      </c>
      <c r="O642" s="10">
        <v>16</v>
      </c>
      <c r="P642" s="10">
        <v>17</v>
      </c>
      <c r="Q642" s="26">
        <f t="shared" si="27"/>
        <v>103</v>
      </c>
      <c r="R642" s="25">
        <v>0</v>
      </c>
      <c r="S642" s="10">
        <v>0</v>
      </c>
      <c r="T642" s="10">
        <v>0</v>
      </c>
      <c r="U642" s="10">
        <v>0</v>
      </c>
      <c r="V642" s="10">
        <v>0</v>
      </c>
      <c r="W642" s="10">
        <v>377</v>
      </c>
      <c r="X642" s="10">
        <v>2003</v>
      </c>
      <c r="Y642" s="10">
        <v>1389</v>
      </c>
      <c r="Z642" s="10">
        <v>1601</v>
      </c>
      <c r="AA642" s="10">
        <v>1860</v>
      </c>
      <c r="AB642" s="10">
        <v>1965</v>
      </c>
      <c r="AC642" s="10">
        <v>2233</v>
      </c>
      <c r="AD642" s="26">
        <f t="shared" si="28"/>
        <v>11428</v>
      </c>
      <c r="AE642" s="25">
        <v>0</v>
      </c>
      <c r="AF642" s="10">
        <v>0</v>
      </c>
      <c r="AG642" s="10">
        <v>0</v>
      </c>
      <c r="AH642" s="10">
        <v>0</v>
      </c>
      <c r="AI642" s="10">
        <v>0</v>
      </c>
      <c r="AJ642" s="10">
        <v>0</v>
      </c>
      <c r="AK642" s="10">
        <v>0</v>
      </c>
      <c r="AL642" s="10">
        <v>0</v>
      </c>
      <c r="AM642" s="10">
        <v>0</v>
      </c>
      <c r="AN642" s="10">
        <v>0</v>
      </c>
      <c r="AO642" s="10">
        <v>0</v>
      </c>
      <c r="AP642" s="10">
        <v>0</v>
      </c>
      <c r="AQ642" s="26">
        <f t="shared" si="29"/>
        <v>0</v>
      </c>
    </row>
    <row r="643" spans="1:43" ht="17.25" customHeight="1" x14ac:dyDescent="0.45">
      <c r="A643" s="2" t="s">
        <v>139</v>
      </c>
      <c r="B643" s="2" t="s">
        <v>140</v>
      </c>
      <c r="C643" s="2" t="s">
        <v>10</v>
      </c>
      <c r="D643" s="2" t="s">
        <v>66</v>
      </c>
      <c r="E643" s="23">
        <v>45</v>
      </c>
      <c r="F643" s="1">
        <v>42</v>
      </c>
      <c r="G643" s="1">
        <v>40</v>
      </c>
      <c r="H643" s="1">
        <v>29</v>
      </c>
      <c r="I643" s="1">
        <v>24</v>
      </c>
      <c r="J643" s="1">
        <v>13</v>
      </c>
      <c r="K643" s="1">
        <v>26</v>
      </c>
      <c r="L643" s="1">
        <v>26</v>
      </c>
      <c r="M643" s="1">
        <v>4</v>
      </c>
      <c r="N643" s="1">
        <v>16</v>
      </c>
      <c r="O643" s="1">
        <v>25</v>
      </c>
      <c r="P643" s="1">
        <v>30</v>
      </c>
      <c r="Q643" s="24">
        <f t="shared" si="27"/>
        <v>320</v>
      </c>
      <c r="R643" s="23">
        <v>17206</v>
      </c>
      <c r="S643" s="1">
        <v>17165</v>
      </c>
      <c r="T643" s="1">
        <v>14104</v>
      </c>
      <c r="U643" s="1">
        <v>11751</v>
      </c>
      <c r="V643" s="1">
        <v>6860</v>
      </c>
      <c r="W643" s="1">
        <v>4021</v>
      </c>
      <c r="X643" s="1">
        <v>9811</v>
      </c>
      <c r="Y643" s="1">
        <v>8071</v>
      </c>
      <c r="Z643" s="1">
        <v>900</v>
      </c>
      <c r="AA643" s="1">
        <v>6302</v>
      </c>
      <c r="AB643" s="1">
        <v>8683</v>
      </c>
      <c r="AC643" s="1">
        <v>12257</v>
      </c>
      <c r="AD643" s="24">
        <f t="shared" si="28"/>
        <v>117131</v>
      </c>
      <c r="AE643" s="23">
        <v>178113</v>
      </c>
      <c r="AF643" s="1">
        <v>203813</v>
      </c>
      <c r="AG643" s="1">
        <v>117902</v>
      </c>
      <c r="AH643" s="1">
        <v>138707</v>
      </c>
      <c r="AI643" s="1">
        <v>166543</v>
      </c>
      <c r="AJ643" s="1">
        <v>161183</v>
      </c>
      <c r="AK643" s="1">
        <v>178786</v>
      </c>
      <c r="AL643" s="1">
        <v>141400</v>
      </c>
      <c r="AM643" s="1">
        <v>17403</v>
      </c>
      <c r="AN643" s="1">
        <v>75033</v>
      </c>
      <c r="AO643" s="1">
        <v>158787</v>
      </c>
      <c r="AP643" s="1">
        <v>208068</v>
      </c>
      <c r="AQ643" s="24">
        <f t="shared" si="29"/>
        <v>1745738</v>
      </c>
    </row>
    <row r="644" spans="1:43" ht="17.25" customHeight="1" x14ac:dyDescent="0.45">
      <c r="A644" s="12" t="s">
        <v>139</v>
      </c>
      <c r="B644" s="12" t="s">
        <v>140</v>
      </c>
      <c r="C644" s="12" t="s">
        <v>11</v>
      </c>
      <c r="D644" s="12" t="s">
        <v>66</v>
      </c>
      <c r="E644" s="25">
        <v>0</v>
      </c>
      <c r="F644" s="10">
        <v>0</v>
      </c>
      <c r="G644" s="10">
        <v>0</v>
      </c>
      <c r="H644" s="10">
        <v>0</v>
      </c>
      <c r="I644" s="10">
        <v>0</v>
      </c>
      <c r="J644" s="10">
        <v>4</v>
      </c>
      <c r="K644" s="10">
        <v>9</v>
      </c>
      <c r="L644" s="10">
        <v>4</v>
      </c>
      <c r="M644" s="10">
        <v>3</v>
      </c>
      <c r="N644" s="10">
        <v>4</v>
      </c>
      <c r="O644" s="10">
        <v>8</v>
      </c>
      <c r="P644" s="10">
        <v>4</v>
      </c>
      <c r="Q644" s="26">
        <f t="shared" si="27"/>
        <v>36</v>
      </c>
      <c r="R644" s="25">
        <v>0</v>
      </c>
      <c r="S644" s="10">
        <v>0</v>
      </c>
      <c r="T644" s="10">
        <v>0</v>
      </c>
      <c r="U644" s="10">
        <v>0</v>
      </c>
      <c r="V644" s="10">
        <v>0</v>
      </c>
      <c r="W644" s="10">
        <v>0</v>
      </c>
      <c r="X644" s="10">
        <v>0</v>
      </c>
      <c r="Y644" s="10">
        <v>0</v>
      </c>
      <c r="Z644" s="10">
        <v>0</v>
      </c>
      <c r="AA644" s="10">
        <v>0</v>
      </c>
      <c r="AB644" s="10">
        <v>0</v>
      </c>
      <c r="AC644" s="10">
        <v>0</v>
      </c>
      <c r="AD644" s="26">
        <f t="shared" si="28"/>
        <v>0</v>
      </c>
      <c r="AE644" s="25">
        <v>0</v>
      </c>
      <c r="AF644" s="10">
        <v>0</v>
      </c>
      <c r="AG644" s="10">
        <v>0</v>
      </c>
      <c r="AH644" s="10">
        <v>0</v>
      </c>
      <c r="AI644" s="10">
        <v>0</v>
      </c>
      <c r="AJ644" s="10">
        <v>35356</v>
      </c>
      <c r="AK644" s="10">
        <v>62303</v>
      </c>
      <c r="AL644" s="10">
        <v>14153</v>
      </c>
      <c r="AM644" s="10">
        <v>18533</v>
      </c>
      <c r="AN644" s="10">
        <v>59861</v>
      </c>
      <c r="AO644" s="10">
        <v>30805</v>
      </c>
      <c r="AP644" s="10">
        <v>28354</v>
      </c>
      <c r="AQ644" s="26">
        <f t="shared" si="29"/>
        <v>249365</v>
      </c>
    </row>
    <row r="645" spans="1:43" ht="17.25" customHeight="1" x14ac:dyDescent="0.45">
      <c r="A645" s="2" t="s">
        <v>139</v>
      </c>
      <c r="B645" s="2" t="s">
        <v>140</v>
      </c>
      <c r="C645" s="2" t="s">
        <v>12</v>
      </c>
      <c r="D645" s="2" t="s">
        <v>66</v>
      </c>
      <c r="E645" s="23">
        <v>73</v>
      </c>
      <c r="F645" s="1">
        <v>67</v>
      </c>
      <c r="G645" s="1">
        <v>84</v>
      </c>
      <c r="H645" s="1">
        <v>92</v>
      </c>
      <c r="I645" s="1">
        <v>97</v>
      </c>
      <c r="J645" s="1">
        <v>101</v>
      </c>
      <c r="K645" s="1">
        <v>106</v>
      </c>
      <c r="L645" s="1">
        <v>107</v>
      </c>
      <c r="M645" s="1">
        <v>103</v>
      </c>
      <c r="N645" s="1">
        <v>105</v>
      </c>
      <c r="O645" s="1">
        <v>91</v>
      </c>
      <c r="P645" s="1">
        <v>104</v>
      </c>
      <c r="Q645" s="24">
        <f t="shared" si="27"/>
        <v>1130</v>
      </c>
      <c r="R645" s="23">
        <v>19019</v>
      </c>
      <c r="S645" s="1">
        <v>17029</v>
      </c>
      <c r="T645" s="1">
        <v>20783</v>
      </c>
      <c r="U645" s="1">
        <v>23772</v>
      </c>
      <c r="V645" s="1">
        <v>23819</v>
      </c>
      <c r="W645" s="1">
        <v>24828</v>
      </c>
      <c r="X645" s="1">
        <v>29514</v>
      </c>
      <c r="Y645" s="1">
        <v>28685</v>
      </c>
      <c r="Z645" s="1">
        <v>24746</v>
      </c>
      <c r="AA645" s="1">
        <v>29222</v>
      </c>
      <c r="AB645" s="1">
        <v>24796</v>
      </c>
      <c r="AC645" s="1">
        <v>27616</v>
      </c>
      <c r="AD645" s="24">
        <f t="shared" si="28"/>
        <v>293829</v>
      </c>
      <c r="AE645" s="23">
        <v>807895</v>
      </c>
      <c r="AF645" s="1">
        <v>862699</v>
      </c>
      <c r="AG645" s="1">
        <v>735727</v>
      </c>
      <c r="AH645" s="1">
        <v>1024148</v>
      </c>
      <c r="AI645" s="1">
        <v>1086040</v>
      </c>
      <c r="AJ645" s="1">
        <v>1114142</v>
      </c>
      <c r="AK645" s="1">
        <v>1205959</v>
      </c>
      <c r="AL645" s="1">
        <v>1155987</v>
      </c>
      <c r="AM645" s="1">
        <v>1163771</v>
      </c>
      <c r="AN645" s="1">
        <v>1254202</v>
      </c>
      <c r="AO645" s="1">
        <v>1082677</v>
      </c>
      <c r="AP645" s="1">
        <v>1146380</v>
      </c>
      <c r="AQ645" s="24">
        <f t="shared" si="29"/>
        <v>12639627</v>
      </c>
    </row>
    <row r="646" spans="1:43" ht="17.25" customHeight="1" x14ac:dyDescent="0.45">
      <c r="A646" s="12" t="s">
        <v>139</v>
      </c>
      <c r="B646" s="12" t="s">
        <v>140</v>
      </c>
      <c r="C646" s="12" t="s">
        <v>14</v>
      </c>
      <c r="D646" s="12" t="s">
        <v>66</v>
      </c>
      <c r="E646" s="25">
        <v>6</v>
      </c>
      <c r="F646" s="10">
        <v>8</v>
      </c>
      <c r="G646" s="10">
        <v>8</v>
      </c>
      <c r="H646" s="10">
        <v>8</v>
      </c>
      <c r="I646" s="10">
        <v>10</v>
      </c>
      <c r="J646" s="10">
        <v>8</v>
      </c>
      <c r="K646" s="10">
        <v>9</v>
      </c>
      <c r="L646" s="10">
        <v>4</v>
      </c>
      <c r="M646" s="10">
        <v>7</v>
      </c>
      <c r="N646" s="10">
        <v>8</v>
      </c>
      <c r="O646" s="10">
        <v>9</v>
      </c>
      <c r="P646" s="10">
        <v>7</v>
      </c>
      <c r="Q646" s="26">
        <f t="shared" si="27"/>
        <v>92</v>
      </c>
      <c r="R646" s="25">
        <v>0</v>
      </c>
      <c r="S646" s="10">
        <v>0</v>
      </c>
      <c r="T646" s="10">
        <v>0</v>
      </c>
      <c r="U646" s="10">
        <v>0</v>
      </c>
      <c r="V646" s="10">
        <v>0</v>
      </c>
      <c r="W646" s="10">
        <v>0</v>
      </c>
      <c r="X646" s="10">
        <v>0</v>
      </c>
      <c r="Y646" s="10">
        <v>0</v>
      </c>
      <c r="Z646" s="10">
        <v>0</v>
      </c>
      <c r="AA646" s="10">
        <v>0</v>
      </c>
      <c r="AB646" s="10">
        <v>0</v>
      </c>
      <c r="AC646" s="10">
        <v>0</v>
      </c>
      <c r="AD646" s="26">
        <f t="shared" si="28"/>
        <v>0</v>
      </c>
      <c r="AE646" s="25">
        <v>373429</v>
      </c>
      <c r="AF646" s="10">
        <v>599649</v>
      </c>
      <c r="AG646" s="10">
        <v>448480</v>
      </c>
      <c r="AH646" s="10">
        <v>481471</v>
      </c>
      <c r="AI646" s="10">
        <v>572203</v>
      </c>
      <c r="AJ646" s="10">
        <v>456297</v>
      </c>
      <c r="AK646" s="10">
        <v>562159</v>
      </c>
      <c r="AL646" s="10">
        <v>264902</v>
      </c>
      <c r="AM646" s="10">
        <v>436995</v>
      </c>
      <c r="AN646" s="10">
        <v>499929</v>
      </c>
      <c r="AO646" s="10">
        <v>567876</v>
      </c>
      <c r="AP646" s="10">
        <v>490245</v>
      </c>
      <c r="AQ646" s="26">
        <f t="shared" si="29"/>
        <v>5753635</v>
      </c>
    </row>
    <row r="647" spans="1:43" ht="17.25" customHeight="1" x14ac:dyDescent="0.45">
      <c r="A647" s="2" t="s">
        <v>141</v>
      </c>
      <c r="B647" s="2" t="s">
        <v>68</v>
      </c>
      <c r="C647" s="2" t="s">
        <v>10</v>
      </c>
      <c r="D647" s="2" t="s">
        <v>66</v>
      </c>
      <c r="E647" s="23">
        <v>155</v>
      </c>
      <c r="F647" s="1">
        <v>143</v>
      </c>
      <c r="G647" s="1">
        <v>154</v>
      </c>
      <c r="H647" s="1">
        <v>117</v>
      </c>
      <c r="I647" s="1">
        <v>114</v>
      </c>
      <c r="J647" s="1">
        <v>108</v>
      </c>
      <c r="K647" s="1">
        <v>109</v>
      </c>
      <c r="L647" s="1">
        <v>87</v>
      </c>
      <c r="M647" s="1">
        <v>48</v>
      </c>
      <c r="N647" s="1">
        <v>61</v>
      </c>
      <c r="O647" s="1">
        <v>83</v>
      </c>
      <c r="P647" s="1">
        <v>115</v>
      </c>
      <c r="Q647" s="24">
        <f t="shared" si="27"/>
        <v>1294</v>
      </c>
      <c r="R647" s="23">
        <v>18804</v>
      </c>
      <c r="S647" s="1">
        <v>22177</v>
      </c>
      <c r="T647" s="1">
        <v>26324</v>
      </c>
      <c r="U647" s="1">
        <v>18065</v>
      </c>
      <c r="V647" s="1">
        <v>18428</v>
      </c>
      <c r="W647" s="1">
        <v>19655</v>
      </c>
      <c r="X647" s="1">
        <v>19716</v>
      </c>
      <c r="Y647" s="1">
        <v>15550</v>
      </c>
      <c r="Z647" s="1">
        <v>7196</v>
      </c>
      <c r="AA647" s="1">
        <v>10402</v>
      </c>
      <c r="AB647" s="1">
        <v>13519</v>
      </c>
      <c r="AC647" s="1">
        <v>19966</v>
      </c>
      <c r="AD647" s="24">
        <f t="shared" si="28"/>
        <v>209802</v>
      </c>
      <c r="AE647" s="23">
        <v>154.22140580000001</v>
      </c>
      <c r="AF647" s="1">
        <v>0</v>
      </c>
      <c r="AG647" s="1">
        <v>0</v>
      </c>
      <c r="AH647" s="1">
        <v>0</v>
      </c>
      <c r="AI647" s="1">
        <v>0</v>
      </c>
      <c r="AJ647" s="1">
        <v>7.7110702900000003</v>
      </c>
      <c r="AK647" s="1">
        <v>102.51187562000001</v>
      </c>
      <c r="AL647" s="1">
        <v>5.8967008100000005</v>
      </c>
      <c r="AM647" s="1">
        <v>0</v>
      </c>
      <c r="AN647" s="1">
        <v>0</v>
      </c>
      <c r="AO647" s="1">
        <v>0</v>
      </c>
      <c r="AP647" s="1">
        <v>3.1751465900000002</v>
      </c>
      <c r="AQ647" s="24">
        <f t="shared" si="29"/>
        <v>273.51619911000006</v>
      </c>
    </row>
    <row r="648" spans="1:43" ht="17.25" customHeight="1" x14ac:dyDescent="0.45">
      <c r="A648" s="12" t="s">
        <v>142</v>
      </c>
      <c r="B648" s="12" t="s">
        <v>68</v>
      </c>
      <c r="C648" s="12" t="s">
        <v>10</v>
      </c>
      <c r="D648" s="12" t="s">
        <v>66</v>
      </c>
      <c r="E648" s="25">
        <v>62</v>
      </c>
      <c r="F648" s="10">
        <v>58</v>
      </c>
      <c r="G648" s="10">
        <v>62</v>
      </c>
      <c r="H648" s="10">
        <v>60</v>
      </c>
      <c r="I648" s="10">
        <v>62</v>
      </c>
      <c r="J648" s="10">
        <v>64</v>
      </c>
      <c r="K648" s="10">
        <v>64</v>
      </c>
      <c r="L648" s="10">
        <v>36</v>
      </c>
      <c r="M648" s="10">
        <v>30</v>
      </c>
      <c r="N648" s="10">
        <v>39</v>
      </c>
      <c r="O648" s="10">
        <v>78</v>
      </c>
      <c r="P648" s="10">
        <v>88</v>
      </c>
      <c r="Q648" s="26">
        <f t="shared" ref="Q648:Q711" si="30">SUM(E648:P648)</f>
        <v>703</v>
      </c>
      <c r="R648" s="25">
        <v>9288</v>
      </c>
      <c r="S648" s="10">
        <v>9110</v>
      </c>
      <c r="T648" s="10">
        <v>10323</v>
      </c>
      <c r="U648" s="10">
        <v>10188</v>
      </c>
      <c r="V648" s="10">
        <v>10777</v>
      </c>
      <c r="W648" s="10">
        <v>11000</v>
      </c>
      <c r="X648" s="10">
        <v>10532</v>
      </c>
      <c r="Y648" s="10">
        <v>5891</v>
      </c>
      <c r="Z648" s="10">
        <v>5357</v>
      </c>
      <c r="AA648" s="10">
        <v>6833</v>
      </c>
      <c r="AB648" s="10">
        <v>10730</v>
      </c>
      <c r="AC648" s="10">
        <v>13455</v>
      </c>
      <c r="AD648" s="26">
        <f t="shared" ref="AD648:AD711" si="31">SUM(R648:AC648)</f>
        <v>113484</v>
      </c>
      <c r="AE648" s="25">
        <v>0</v>
      </c>
      <c r="AF648" s="10">
        <v>0</v>
      </c>
      <c r="AG648" s="10">
        <v>0</v>
      </c>
      <c r="AH648" s="10">
        <v>0</v>
      </c>
      <c r="AI648" s="10">
        <v>0</v>
      </c>
      <c r="AJ648" s="10">
        <v>2.7215542200000002</v>
      </c>
      <c r="AK648" s="10">
        <v>0</v>
      </c>
      <c r="AL648" s="10">
        <v>0</v>
      </c>
      <c r="AM648" s="10">
        <v>0</v>
      </c>
      <c r="AN648" s="10">
        <v>54.431084400000003</v>
      </c>
      <c r="AO648" s="10">
        <v>0</v>
      </c>
      <c r="AP648" s="10">
        <v>0</v>
      </c>
      <c r="AQ648" s="26">
        <f t="shared" ref="AQ648:AQ711" si="32">SUM(AE648:AP648)</f>
        <v>57.152638620000005</v>
      </c>
    </row>
    <row r="649" spans="1:43" ht="17.25" customHeight="1" x14ac:dyDescent="0.45">
      <c r="A649" s="2" t="s">
        <v>142</v>
      </c>
      <c r="B649" s="2" t="s">
        <v>68</v>
      </c>
      <c r="C649" s="2" t="s">
        <v>21</v>
      </c>
      <c r="D649" s="2" t="s">
        <v>66</v>
      </c>
      <c r="E649" s="23">
        <v>4</v>
      </c>
      <c r="F649" s="1">
        <v>4</v>
      </c>
      <c r="G649" s="1">
        <v>5</v>
      </c>
      <c r="H649" s="1">
        <v>8</v>
      </c>
      <c r="I649" s="1">
        <v>9</v>
      </c>
      <c r="J649" s="1">
        <v>9</v>
      </c>
      <c r="K649" s="1">
        <v>9</v>
      </c>
      <c r="L649" s="1">
        <v>8</v>
      </c>
      <c r="M649" s="1">
        <v>9</v>
      </c>
      <c r="N649" s="1">
        <v>9</v>
      </c>
      <c r="O649" s="1">
        <v>8</v>
      </c>
      <c r="P649" s="1">
        <v>9</v>
      </c>
      <c r="Q649" s="24">
        <f t="shared" si="30"/>
        <v>91</v>
      </c>
      <c r="R649" s="23">
        <v>547</v>
      </c>
      <c r="S649" s="1">
        <v>479</v>
      </c>
      <c r="T649" s="1">
        <v>835</v>
      </c>
      <c r="U649" s="1">
        <v>827</v>
      </c>
      <c r="V649" s="1">
        <v>918</v>
      </c>
      <c r="W649" s="1">
        <v>950</v>
      </c>
      <c r="X649" s="1">
        <v>953</v>
      </c>
      <c r="Y649" s="1">
        <v>884</v>
      </c>
      <c r="Z649" s="1">
        <v>625</v>
      </c>
      <c r="AA649" s="1">
        <v>816</v>
      </c>
      <c r="AB649" s="1">
        <v>791</v>
      </c>
      <c r="AC649" s="1">
        <v>1202</v>
      </c>
      <c r="AD649" s="24">
        <f t="shared" si="31"/>
        <v>9827</v>
      </c>
      <c r="AE649" s="23">
        <v>0</v>
      </c>
      <c r="AF649" s="1">
        <v>0</v>
      </c>
      <c r="AG649" s="1">
        <v>0</v>
      </c>
      <c r="AH649" s="1">
        <v>0</v>
      </c>
      <c r="AI649" s="1">
        <v>0</v>
      </c>
      <c r="AJ649" s="1">
        <v>0</v>
      </c>
      <c r="AK649" s="1">
        <v>0</v>
      </c>
      <c r="AL649" s="1">
        <v>0</v>
      </c>
      <c r="AM649" s="1">
        <v>0</v>
      </c>
      <c r="AN649" s="1">
        <v>0</v>
      </c>
      <c r="AO649" s="1">
        <v>0</v>
      </c>
      <c r="AP649" s="1">
        <v>0</v>
      </c>
      <c r="AQ649" s="24">
        <f t="shared" si="32"/>
        <v>0</v>
      </c>
    </row>
    <row r="650" spans="1:43" ht="17.25" customHeight="1" x14ac:dyDescent="0.45">
      <c r="A650" s="12" t="s">
        <v>142</v>
      </c>
      <c r="B650" s="12" t="s">
        <v>68</v>
      </c>
      <c r="C650" s="12" t="s">
        <v>11</v>
      </c>
      <c r="D650" s="12" t="s">
        <v>66</v>
      </c>
      <c r="E650" s="25">
        <v>62</v>
      </c>
      <c r="F650" s="10">
        <v>73</v>
      </c>
      <c r="G650" s="10">
        <v>93</v>
      </c>
      <c r="H650" s="10">
        <v>90</v>
      </c>
      <c r="I650" s="10">
        <v>93</v>
      </c>
      <c r="J650" s="10">
        <v>94</v>
      </c>
      <c r="K650" s="10">
        <v>97</v>
      </c>
      <c r="L650" s="10">
        <v>97</v>
      </c>
      <c r="M650" s="10">
        <v>65</v>
      </c>
      <c r="N650" s="10">
        <v>67</v>
      </c>
      <c r="O650" s="10">
        <v>89</v>
      </c>
      <c r="P650" s="10">
        <v>106</v>
      </c>
      <c r="Q650" s="26">
        <f t="shared" si="30"/>
        <v>1026</v>
      </c>
      <c r="R650" s="25">
        <v>7768</v>
      </c>
      <c r="S650" s="10">
        <v>6896</v>
      </c>
      <c r="T650" s="10">
        <v>7722</v>
      </c>
      <c r="U650" s="10">
        <v>7632</v>
      </c>
      <c r="V650" s="10">
        <v>8694</v>
      </c>
      <c r="W650" s="10">
        <v>9101</v>
      </c>
      <c r="X650" s="10">
        <v>8730</v>
      </c>
      <c r="Y650" s="10">
        <v>7379</v>
      </c>
      <c r="Z650" s="10">
        <v>6237</v>
      </c>
      <c r="AA650" s="10">
        <v>7366</v>
      </c>
      <c r="AB650" s="10">
        <v>8549</v>
      </c>
      <c r="AC650" s="10">
        <v>11871</v>
      </c>
      <c r="AD650" s="26">
        <f t="shared" si="31"/>
        <v>97945</v>
      </c>
      <c r="AE650" s="25">
        <v>908.54551710999999</v>
      </c>
      <c r="AF650" s="10">
        <v>472.64324954000006</v>
      </c>
      <c r="AG650" s="10">
        <v>0</v>
      </c>
      <c r="AH650" s="10">
        <v>0</v>
      </c>
      <c r="AI650" s="10">
        <v>0</v>
      </c>
      <c r="AJ650" s="10">
        <v>0</v>
      </c>
      <c r="AK650" s="10">
        <v>0</v>
      </c>
      <c r="AL650" s="10">
        <v>0</v>
      </c>
      <c r="AM650" s="10">
        <v>0</v>
      </c>
      <c r="AN650" s="10">
        <v>0</v>
      </c>
      <c r="AO650" s="10">
        <v>0</v>
      </c>
      <c r="AP650" s="10">
        <v>0</v>
      </c>
      <c r="AQ650" s="26">
        <f t="shared" si="32"/>
        <v>1381.1887666500002</v>
      </c>
    </row>
    <row r="651" spans="1:43" ht="17.25" customHeight="1" x14ac:dyDescent="0.45">
      <c r="A651" s="2" t="s">
        <v>142</v>
      </c>
      <c r="B651" s="2" t="s">
        <v>68</v>
      </c>
      <c r="C651" s="2" t="s">
        <v>38</v>
      </c>
      <c r="D651" s="2" t="s">
        <v>66</v>
      </c>
      <c r="E651" s="23">
        <v>31</v>
      </c>
      <c r="F651" s="1">
        <v>29</v>
      </c>
      <c r="G651" s="1">
        <v>31</v>
      </c>
      <c r="H651" s="1">
        <v>30</v>
      </c>
      <c r="I651" s="1">
        <v>31</v>
      </c>
      <c r="J651" s="1">
        <v>30</v>
      </c>
      <c r="K651" s="1">
        <v>31</v>
      </c>
      <c r="L651" s="1">
        <v>31</v>
      </c>
      <c r="M651" s="1">
        <v>30</v>
      </c>
      <c r="N651" s="1">
        <v>31</v>
      </c>
      <c r="O651" s="1">
        <v>30</v>
      </c>
      <c r="P651" s="1">
        <v>32</v>
      </c>
      <c r="Q651" s="24">
        <f t="shared" si="30"/>
        <v>367</v>
      </c>
      <c r="R651" s="23">
        <v>2798</v>
      </c>
      <c r="S651" s="1">
        <v>2522</v>
      </c>
      <c r="T651" s="1">
        <v>2022</v>
      </c>
      <c r="U651" s="1">
        <v>1990</v>
      </c>
      <c r="V651" s="1">
        <v>1989</v>
      </c>
      <c r="W651" s="1">
        <v>1817</v>
      </c>
      <c r="X651" s="1">
        <v>1932</v>
      </c>
      <c r="Y651" s="1">
        <v>1877</v>
      </c>
      <c r="Z651" s="1">
        <v>1726</v>
      </c>
      <c r="AA651" s="1">
        <v>2162</v>
      </c>
      <c r="AB651" s="1">
        <v>1961</v>
      </c>
      <c r="AC651" s="1">
        <v>2151</v>
      </c>
      <c r="AD651" s="24">
        <f t="shared" si="31"/>
        <v>24947</v>
      </c>
      <c r="AE651" s="23">
        <v>452.23159289</v>
      </c>
      <c r="AF651" s="1">
        <v>0</v>
      </c>
      <c r="AG651" s="1">
        <v>0</v>
      </c>
      <c r="AH651" s="1">
        <v>0</v>
      </c>
      <c r="AI651" s="1">
        <v>0</v>
      </c>
      <c r="AJ651" s="1">
        <v>0</v>
      </c>
      <c r="AK651" s="1">
        <v>0</v>
      </c>
      <c r="AL651" s="1">
        <v>0</v>
      </c>
      <c r="AM651" s="1">
        <v>0</v>
      </c>
      <c r="AN651" s="1">
        <v>0</v>
      </c>
      <c r="AO651" s="1">
        <v>0</v>
      </c>
      <c r="AP651" s="1">
        <v>0</v>
      </c>
      <c r="AQ651" s="24">
        <f t="shared" si="32"/>
        <v>452.23159289</v>
      </c>
    </row>
    <row r="652" spans="1:43" ht="17.25" customHeight="1" x14ac:dyDescent="0.45">
      <c r="A652" s="12" t="s">
        <v>142</v>
      </c>
      <c r="B652" s="12" t="s">
        <v>68</v>
      </c>
      <c r="C652" s="12" t="s">
        <v>52</v>
      </c>
      <c r="D652" s="12" t="s">
        <v>66</v>
      </c>
      <c r="E652" s="25">
        <v>14</v>
      </c>
      <c r="F652" s="10">
        <v>8</v>
      </c>
      <c r="G652" s="10">
        <v>9</v>
      </c>
      <c r="H652" s="10">
        <v>8</v>
      </c>
      <c r="I652" s="10">
        <v>9</v>
      </c>
      <c r="J652" s="10">
        <v>9</v>
      </c>
      <c r="K652" s="10">
        <v>9</v>
      </c>
      <c r="L652" s="10">
        <v>1</v>
      </c>
      <c r="M652" s="10">
        <v>0</v>
      </c>
      <c r="N652" s="10">
        <v>3</v>
      </c>
      <c r="O652" s="10">
        <v>6</v>
      </c>
      <c r="P652" s="10">
        <v>18</v>
      </c>
      <c r="Q652" s="26">
        <f t="shared" si="30"/>
        <v>94</v>
      </c>
      <c r="R652" s="25">
        <v>1272</v>
      </c>
      <c r="S652" s="10">
        <v>858</v>
      </c>
      <c r="T652" s="10">
        <v>948</v>
      </c>
      <c r="U652" s="10">
        <v>749</v>
      </c>
      <c r="V652" s="10">
        <v>921</v>
      </c>
      <c r="W652" s="10">
        <v>697</v>
      </c>
      <c r="X652" s="10">
        <v>589</v>
      </c>
      <c r="Y652" s="10">
        <v>31</v>
      </c>
      <c r="Z652" s="10">
        <v>0</v>
      </c>
      <c r="AA652" s="10">
        <v>211</v>
      </c>
      <c r="AB652" s="10">
        <v>692</v>
      </c>
      <c r="AC652" s="10">
        <v>1567</v>
      </c>
      <c r="AD652" s="26">
        <f t="shared" si="31"/>
        <v>8535</v>
      </c>
      <c r="AE652" s="25">
        <v>2.7215542200000002</v>
      </c>
      <c r="AF652" s="10">
        <v>0</v>
      </c>
      <c r="AG652" s="10">
        <v>0</v>
      </c>
      <c r="AH652" s="10">
        <v>0</v>
      </c>
      <c r="AI652" s="10">
        <v>0</v>
      </c>
      <c r="AJ652" s="10">
        <v>0</v>
      </c>
      <c r="AK652" s="10">
        <v>0</v>
      </c>
      <c r="AL652" s="10">
        <v>0</v>
      </c>
      <c r="AM652" s="10">
        <v>0</v>
      </c>
      <c r="AN652" s="10">
        <v>0</v>
      </c>
      <c r="AO652" s="10">
        <v>23.586803240000002</v>
      </c>
      <c r="AP652" s="10">
        <v>0</v>
      </c>
      <c r="AQ652" s="26">
        <f t="shared" si="32"/>
        <v>26.308357460000003</v>
      </c>
    </row>
    <row r="653" spans="1:43" ht="17.25" customHeight="1" x14ac:dyDescent="0.45">
      <c r="A653" s="2" t="s">
        <v>142</v>
      </c>
      <c r="B653" s="2" t="s">
        <v>68</v>
      </c>
      <c r="C653" s="2" t="s">
        <v>54</v>
      </c>
      <c r="D653" s="2" t="s">
        <v>66</v>
      </c>
      <c r="E653" s="23">
        <v>31</v>
      </c>
      <c r="F653" s="1">
        <v>30</v>
      </c>
      <c r="G653" s="1">
        <v>31</v>
      </c>
      <c r="H653" s="1">
        <v>15</v>
      </c>
      <c r="I653" s="1">
        <v>13</v>
      </c>
      <c r="J653" s="1">
        <v>13</v>
      </c>
      <c r="K653" s="1">
        <v>13</v>
      </c>
      <c r="L653" s="1">
        <v>3</v>
      </c>
      <c r="M653" s="1">
        <v>0</v>
      </c>
      <c r="N653" s="1">
        <v>11</v>
      </c>
      <c r="O653" s="1">
        <v>29</v>
      </c>
      <c r="P653" s="1">
        <v>31</v>
      </c>
      <c r="Q653" s="24">
        <f t="shared" si="30"/>
        <v>220</v>
      </c>
      <c r="R653" s="23">
        <v>1503</v>
      </c>
      <c r="S653" s="1">
        <v>1833</v>
      </c>
      <c r="T653" s="1">
        <v>1701</v>
      </c>
      <c r="U653" s="1">
        <v>865</v>
      </c>
      <c r="V653" s="1">
        <v>763</v>
      </c>
      <c r="W653" s="1">
        <v>756</v>
      </c>
      <c r="X653" s="1">
        <v>662</v>
      </c>
      <c r="Y653" s="1">
        <v>94</v>
      </c>
      <c r="Z653" s="1">
        <v>0</v>
      </c>
      <c r="AA653" s="1">
        <v>786</v>
      </c>
      <c r="AB653" s="1">
        <v>1655</v>
      </c>
      <c r="AC653" s="1">
        <v>1756</v>
      </c>
      <c r="AD653" s="24">
        <f t="shared" si="31"/>
        <v>12374</v>
      </c>
      <c r="AE653" s="23">
        <v>0</v>
      </c>
      <c r="AF653" s="1">
        <v>0</v>
      </c>
      <c r="AG653" s="1">
        <v>0</v>
      </c>
      <c r="AH653" s="1">
        <v>0</v>
      </c>
      <c r="AI653" s="1">
        <v>0</v>
      </c>
      <c r="AJ653" s="1">
        <v>0</v>
      </c>
      <c r="AK653" s="1">
        <v>0</v>
      </c>
      <c r="AL653" s="1">
        <v>0</v>
      </c>
      <c r="AM653" s="1">
        <v>0</v>
      </c>
      <c r="AN653" s="1">
        <v>0</v>
      </c>
      <c r="AO653" s="1">
        <v>0</v>
      </c>
      <c r="AP653" s="1">
        <v>0</v>
      </c>
      <c r="AQ653" s="24">
        <f t="shared" si="32"/>
        <v>0</v>
      </c>
    </row>
    <row r="654" spans="1:43" ht="17.25" customHeight="1" x14ac:dyDescent="0.45">
      <c r="A654" s="12" t="s">
        <v>142</v>
      </c>
      <c r="B654" s="12" t="s">
        <v>68</v>
      </c>
      <c r="C654" s="12" t="s">
        <v>56</v>
      </c>
      <c r="D654" s="12" t="s">
        <v>66</v>
      </c>
      <c r="E654" s="25">
        <v>9</v>
      </c>
      <c r="F654" s="10">
        <v>8</v>
      </c>
      <c r="G654" s="10">
        <v>9</v>
      </c>
      <c r="H654" s="10">
        <v>1</v>
      </c>
      <c r="I654" s="10">
        <v>0</v>
      </c>
      <c r="J654" s="10">
        <v>0</v>
      </c>
      <c r="K654" s="10">
        <v>0</v>
      </c>
      <c r="L654" s="10">
        <v>0</v>
      </c>
      <c r="M654" s="10">
        <v>0</v>
      </c>
      <c r="N654" s="10">
        <v>0</v>
      </c>
      <c r="O654" s="10">
        <v>3</v>
      </c>
      <c r="P654" s="10">
        <v>7</v>
      </c>
      <c r="Q654" s="26">
        <f t="shared" si="30"/>
        <v>37</v>
      </c>
      <c r="R654" s="25">
        <v>611</v>
      </c>
      <c r="S654" s="10">
        <v>477</v>
      </c>
      <c r="T654" s="10">
        <v>397</v>
      </c>
      <c r="U654" s="10">
        <v>33</v>
      </c>
      <c r="V654" s="10">
        <v>0</v>
      </c>
      <c r="W654" s="10">
        <v>0</v>
      </c>
      <c r="X654" s="10">
        <v>0</v>
      </c>
      <c r="Y654" s="10">
        <v>0</v>
      </c>
      <c r="Z654" s="10">
        <v>0</v>
      </c>
      <c r="AA654" s="10">
        <v>0</v>
      </c>
      <c r="AB654" s="10">
        <v>192</v>
      </c>
      <c r="AC654" s="10">
        <v>466</v>
      </c>
      <c r="AD654" s="26">
        <f t="shared" si="31"/>
        <v>2176</v>
      </c>
      <c r="AE654" s="25">
        <v>0</v>
      </c>
      <c r="AF654" s="10">
        <v>0</v>
      </c>
      <c r="AG654" s="10">
        <v>0</v>
      </c>
      <c r="AH654" s="10">
        <v>0</v>
      </c>
      <c r="AI654" s="10">
        <v>0</v>
      </c>
      <c r="AJ654" s="10">
        <v>0</v>
      </c>
      <c r="AK654" s="10">
        <v>0</v>
      </c>
      <c r="AL654" s="10">
        <v>0</v>
      </c>
      <c r="AM654" s="10">
        <v>0</v>
      </c>
      <c r="AN654" s="10">
        <v>0</v>
      </c>
      <c r="AO654" s="10">
        <v>0</v>
      </c>
      <c r="AP654" s="10">
        <v>0</v>
      </c>
      <c r="AQ654" s="26">
        <f t="shared" si="32"/>
        <v>0</v>
      </c>
    </row>
    <row r="655" spans="1:43" ht="17.25" customHeight="1" x14ac:dyDescent="0.45">
      <c r="A655" s="2" t="s">
        <v>142</v>
      </c>
      <c r="B655" s="2" t="s">
        <v>68</v>
      </c>
      <c r="C655" s="2" t="s">
        <v>40</v>
      </c>
      <c r="D655" s="2" t="s">
        <v>66</v>
      </c>
      <c r="E655" s="23">
        <v>32</v>
      </c>
      <c r="F655" s="1">
        <v>31</v>
      </c>
      <c r="G655" s="1">
        <v>36</v>
      </c>
      <c r="H655" s="1">
        <v>32</v>
      </c>
      <c r="I655" s="1">
        <v>31</v>
      </c>
      <c r="J655" s="1">
        <v>30</v>
      </c>
      <c r="K655" s="1">
        <v>31</v>
      </c>
      <c r="L655" s="1">
        <v>31</v>
      </c>
      <c r="M655" s="1">
        <v>30</v>
      </c>
      <c r="N655" s="1">
        <v>31</v>
      </c>
      <c r="O655" s="1">
        <v>34</v>
      </c>
      <c r="P655" s="1">
        <v>35</v>
      </c>
      <c r="Q655" s="24">
        <f t="shared" si="30"/>
        <v>384</v>
      </c>
      <c r="R655" s="23">
        <v>4252</v>
      </c>
      <c r="S655" s="1">
        <v>4266</v>
      </c>
      <c r="T655" s="1">
        <v>4949</v>
      </c>
      <c r="U655" s="1">
        <v>4527</v>
      </c>
      <c r="V655" s="1">
        <v>4367</v>
      </c>
      <c r="W655" s="1">
        <v>2450</v>
      </c>
      <c r="X655" s="1">
        <v>2146</v>
      </c>
      <c r="Y655" s="1">
        <v>2161</v>
      </c>
      <c r="Z655" s="1">
        <v>2116</v>
      </c>
      <c r="AA655" s="1">
        <v>2127</v>
      </c>
      <c r="AB655" s="1">
        <v>3468</v>
      </c>
      <c r="AC655" s="1">
        <v>3938</v>
      </c>
      <c r="AD655" s="24">
        <f t="shared" si="31"/>
        <v>40767</v>
      </c>
      <c r="AE655" s="23">
        <v>0</v>
      </c>
      <c r="AF655" s="1">
        <v>0.90718474000000004</v>
      </c>
      <c r="AG655" s="1">
        <v>234.50725528999999</v>
      </c>
      <c r="AH655" s="1">
        <v>0</v>
      </c>
      <c r="AI655" s="1">
        <v>0</v>
      </c>
      <c r="AJ655" s="1">
        <v>0</v>
      </c>
      <c r="AK655" s="1">
        <v>0</v>
      </c>
      <c r="AL655" s="1">
        <v>0</v>
      </c>
      <c r="AM655" s="1">
        <v>0</v>
      </c>
      <c r="AN655" s="1">
        <v>0</v>
      </c>
      <c r="AO655" s="1">
        <v>0</v>
      </c>
      <c r="AP655" s="1">
        <v>0</v>
      </c>
      <c r="AQ655" s="24">
        <f t="shared" si="32"/>
        <v>235.41444002999998</v>
      </c>
    </row>
    <row r="656" spans="1:43" ht="17.25" customHeight="1" x14ac:dyDescent="0.45">
      <c r="A656" s="12" t="s">
        <v>142</v>
      </c>
      <c r="B656" s="12" t="s">
        <v>68</v>
      </c>
      <c r="C656" s="12" t="s">
        <v>12</v>
      </c>
      <c r="D656" s="12" t="s">
        <v>66</v>
      </c>
      <c r="E656" s="25">
        <v>31</v>
      </c>
      <c r="F656" s="10">
        <v>29</v>
      </c>
      <c r="G656" s="10">
        <v>31</v>
      </c>
      <c r="H656" s="10">
        <v>30</v>
      </c>
      <c r="I656" s="10">
        <v>30</v>
      </c>
      <c r="J656" s="10">
        <v>30</v>
      </c>
      <c r="K656" s="10">
        <v>31</v>
      </c>
      <c r="L656" s="10">
        <v>31</v>
      </c>
      <c r="M656" s="10">
        <v>30</v>
      </c>
      <c r="N656" s="10">
        <v>31</v>
      </c>
      <c r="O656" s="10">
        <v>56</v>
      </c>
      <c r="P656" s="10">
        <v>62</v>
      </c>
      <c r="Q656" s="26">
        <f t="shared" si="30"/>
        <v>422</v>
      </c>
      <c r="R656" s="25">
        <v>4635</v>
      </c>
      <c r="S656" s="10">
        <v>4639</v>
      </c>
      <c r="T656" s="10">
        <v>4814</v>
      </c>
      <c r="U656" s="10">
        <v>4588</v>
      </c>
      <c r="V656" s="10">
        <v>4709</v>
      </c>
      <c r="W656" s="10">
        <v>4453</v>
      </c>
      <c r="X656" s="10">
        <v>4348</v>
      </c>
      <c r="Y656" s="10">
        <v>4044</v>
      </c>
      <c r="Z656" s="10">
        <v>3921</v>
      </c>
      <c r="AA656" s="10">
        <v>4499</v>
      </c>
      <c r="AB656" s="10">
        <v>6731</v>
      </c>
      <c r="AC656" s="10">
        <v>8848</v>
      </c>
      <c r="AD656" s="26">
        <f t="shared" si="31"/>
        <v>60229</v>
      </c>
      <c r="AE656" s="25">
        <v>1172.9898688200003</v>
      </c>
      <c r="AF656" s="10">
        <v>1299.9957324200002</v>
      </c>
      <c r="AG656" s="10">
        <v>393.26458479000007</v>
      </c>
      <c r="AH656" s="10">
        <v>1317</v>
      </c>
      <c r="AI656" s="10">
        <v>676.75981603999992</v>
      </c>
      <c r="AJ656" s="10">
        <v>1303.6244713800002</v>
      </c>
      <c r="AK656" s="10">
        <v>2533.7669788200001</v>
      </c>
      <c r="AL656" s="10">
        <v>2160.4604583099999</v>
      </c>
      <c r="AM656" s="10">
        <v>2081.5353859300003</v>
      </c>
      <c r="AN656" s="10">
        <v>1303.6244713800002</v>
      </c>
      <c r="AO656" s="10">
        <v>949.36883041000033</v>
      </c>
      <c r="AP656" s="10">
        <v>1256.90445727</v>
      </c>
      <c r="AQ656" s="26">
        <f t="shared" si="32"/>
        <v>16449.295055570004</v>
      </c>
    </row>
    <row r="657" spans="1:43" ht="17.25" customHeight="1" x14ac:dyDescent="0.45">
      <c r="A657" s="2" t="s">
        <v>142</v>
      </c>
      <c r="B657" s="2" t="s">
        <v>68</v>
      </c>
      <c r="C657" s="2" t="s">
        <v>13</v>
      </c>
      <c r="D657" s="2" t="s">
        <v>66</v>
      </c>
      <c r="E657" s="23">
        <v>31</v>
      </c>
      <c r="F657" s="1">
        <v>29</v>
      </c>
      <c r="G657" s="1">
        <v>31</v>
      </c>
      <c r="H657" s="1">
        <v>30</v>
      </c>
      <c r="I657" s="1">
        <v>31</v>
      </c>
      <c r="J657" s="1">
        <v>29</v>
      </c>
      <c r="K657" s="1">
        <v>31</v>
      </c>
      <c r="L657" s="1">
        <v>31</v>
      </c>
      <c r="M657" s="1">
        <v>30</v>
      </c>
      <c r="N657" s="1">
        <v>31</v>
      </c>
      <c r="O657" s="1">
        <v>30</v>
      </c>
      <c r="P657" s="1">
        <v>31</v>
      </c>
      <c r="Q657" s="24">
        <f t="shared" si="30"/>
        <v>365</v>
      </c>
      <c r="R657" s="23">
        <v>1532</v>
      </c>
      <c r="S657" s="1">
        <v>1452</v>
      </c>
      <c r="T657" s="1">
        <v>1521</v>
      </c>
      <c r="U657" s="1">
        <v>1628</v>
      </c>
      <c r="V657" s="1">
        <v>1600</v>
      </c>
      <c r="W657" s="1">
        <v>1207</v>
      </c>
      <c r="X657" s="1">
        <v>1527</v>
      </c>
      <c r="Y657" s="1">
        <v>1396</v>
      </c>
      <c r="Z657" s="1">
        <v>1404</v>
      </c>
      <c r="AA657" s="1">
        <v>1543</v>
      </c>
      <c r="AB657" s="1">
        <v>1385</v>
      </c>
      <c r="AC657" s="1">
        <v>1680</v>
      </c>
      <c r="AD657" s="24">
        <f t="shared" si="31"/>
        <v>17875</v>
      </c>
      <c r="AE657" s="23">
        <v>0</v>
      </c>
      <c r="AF657" s="1">
        <v>0</v>
      </c>
      <c r="AG657" s="1">
        <v>0</v>
      </c>
      <c r="AH657" s="1">
        <v>0</v>
      </c>
      <c r="AI657" s="1">
        <v>0</v>
      </c>
      <c r="AJ657" s="1">
        <v>0</v>
      </c>
      <c r="AK657" s="1">
        <v>0</v>
      </c>
      <c r="AL657" s="1">
        <v>0</v>
      </c>
      <c r="AM657" s="1">
        <v>0</v>
      </c>
      <c r="AN657" s="1">
        <v>0</v>
      </c>
      <c r="AO657" s="1">
        <v>0</v>
      </c>
      <c r="AP657" s="1">
        <v>0</v>
      </c>
      <c r="AQ657" s="24">
        <f t="shared" si="32"/>
        <v>0</v>
      </c>
    </row>
    <row r="658" spans="1:43" ht="17.25" customHeight="1" x14ac:dyDescent="0.45">
      <c r="A658" s="12" t="s">
        <v>142</v>
      </c>
      <c r="B658" s="12" t="s">
        <v>68</v>
      </c>
      <c r="C658" s="12" t="s">
        <v>17</v>
      </c>
      <c r="D658" s="12" t="s">
        <v>66</v>
      </c>
      <c r="E658" s="25">
        <v>97</v>
      </c>
      <c r="F658" s="10">
        <v>91</v>
      </c>
      <c r="G658" s="10">
        <v>98</v>
      </c>
      <c r="H658" s="10">
        <v>90</v>
      </c>
      <c r="I658" s="10">
        <v>94</v>
      </c>
      <c r="J658" s="10">
        <v>90</v>
      </c>
      <c r="K658" s="10">
        <v>93</v>
      </c>
      <c r="L658" s="10">
        <v>67</v>
      </c>
      <c r="M658" s="10">
        <v>60</v>
      </c>
      <c r="N658" s="10">
        <v>87</v>
      </c>
      <c r="O658" s="10">
        <v>107</v>
      </c>
      <c r="P658" s="10">
        <v>114</v>
      </c>
      <c r="Q658" s="26">
        <f t="shared" si="30"/>
        <v>1088</v>
      </c>
      <c r="R658" s="25">
        <v>12686</v>
      </c>
      <c r="S658" s="10">
        <v>12716</v>
      </c>
      <c r="T658" s="10">
        <v>15053</v>
      </c>
      <c r="U658" s="10">
        <v>12677</v>
      </c>
      <c r="V658" s="10">
        <v>14208</v>
      </c>
      <c r="W658" s="10">
        <v>14277</v>
      </c>
      <c r="X658" s="10">
        <v>13553</v>
      </c>
      <c r="Y658" s="10">
        <v>8658</v>
      </c>
      <c r="Z658" s="10">
        <v>8515</v>
      </c>
      <c r="AA658" s="10">
        <v>13656</v>
      </c>
      <c r="AB658" s="10">
        <v>15410</v>
      </c>
      <c r="AC658" s="10">
        <v>17064</v>
      </c>
      <c r="AD658" s="26">
        <f t="shared" si="31"/>
        <v>158473</v>
      </c>
      <c r="AE658" s="25">
        <v>0</v>
      </c>
      <c r="AF658" s="10">
        <v>0</v>
      </c>
      <c r="AG658" s="10">
        <v>0</v>
      </c>
      <c r="AH658" s="10">
        <v>127</v>
      </c>
      <c r="AI658" s="10">
        <v>0</v>
      </c>
      <c r="AJ658" s="10">
        <v>0</v>
      </c>
      <c r="AK658" s="10">
        <v>0</v>
      </c>
      <c r="AL658" s="10">
        <v>0</v>
      </c>
      <c r="AM658" s="10">
        <v>0</v>
      </c>
      <c r="AN658" s="10">
        <v>0</v>
      </c>
      <c r="AO658" s="10">
        <v>0</v>
      </c>
      <c r="AP658" s="10">
        <v>22.679618500000004</v>
      </c>
      <c r="AQ658" s="26">
        <f t="shared" si="32"/>
        <v>149.6796185</v>
      </c>
    </row>
    <row r="659" spans="1:43" ht="17.25" customHeight="1" x14ac:dyDescent="0.45">
      <c r="A659" s="2" t="s">
        <v>142</v>
      </c>
      <c r="B659" s="2" t="s">
        <v>68</v>
      </c>
      <c r="C659" s="2" t="s">
        <v>48</v>
      </c>
      <c r="D659" s="2" t="s">
        <v>66</v>
      </c>
      <c r="E659" s="23">
        <v>155</v>
      </c>
      <c r="F659" s="1">
        <v>145</v>
      </c>
      <c r="G659" s="1">
        <v>155</v>
      </c>
      <c r="H659" s="1">
        <v>150</v>
      </c>
      <c r="I659" s="1">
        <v>134</v>
      </c>
      <c r="J659" s="1">
        <v>133</v>
      </c>
      <c r="K659" s="1">
        <v>137</v>
      </c>
      <c r="L659" s="1">
        <v>101</v>
      </c>
      <c r="M659" s="1">
        <v>84</v>
      </c>
      <c r="N659" s="1">
        <v>144</v>
      </c>
      <c r="O659" s="1">
        <v>142</v>
      </c>
      <c r="P659" s="1">
        <v>146</v>
      </c>
      <c r="Q659" s="24">
        <f t="shared" si="30"/>
        <v>1626</v>
      </c>
      <c r="R659" s="23">
        <v>18512</v>
      </c>
      <c r="S659" s="1">
        <v>20424</v>
      </c>
      <c r="T659" s="1">
        <v>24396</v>
      </c>
      <c r="U659" s="1">
        <v>20676</v>
      </c>
      <c r="V659" s="1">
        <v>20327</v>
      </c>
      <c r="W659" s="1">
        <v>20511</v>
      </c>
      <c r="X659" s="1">
        <v>19714</v>
      </c>
      <c r="Y659" s="1">
        <v>13268</v>
      </c>
      <c r="Z659" s="1">
        <v>11958</v>
      </c>
      <c r="AA659" s="1">
        <v>21664</v>
      </c>
      <c r="AB659" s="1">
        <v>19821</v>
      </c>
      <c r="AC659" s="1">
        <v>20511</v>
      </c>
      <c r="AD659" s="24">
        <f t="shared" si="31"/>
        <v>231782</v>
      </c>
      <c r="AE659" s="23">
        <v>14.06136347</v>
      </c>
      <c r="AF659" s="1">
        <v>0</v>
      </c>
      <c r="AG659" s="1">
        <v>4.5359237000000006</v>
      </c>
      <c r="AH659" s="1">
        <v>0</v>
      </c>
      <c r="AI659" s="1">
        <v>94.800805330000003</v>
      </c>
      <c r="AJ659" s="1">
        <v>5.4431084400000005</v>
      </c>
      <c r="AK659" s="1">
        <v>2.7215542200000002</v>
      </c>
      <c r="AL659" s="1">
        <v>0</v>
      </c>
      <c r="AM659" s="1">
        <v>0</v>
      </c>
      <c r="AN659" s="1">
        <v>0</v>
      </c>
      <c r="AO659" s="1">
        <v>0</v>
      </c>
      <c r="AP659" s="1">
        <v>0</v>
      </c>
      <c r="AQ659" s="24">
        <f t="shared" si="32"/>
        <v>121.56275516000001</v>
      </c>
    </row>
    <row r="660" spans="1:43" ht="17.25" customHeight="1" x14ac:dyDescent="0.45">
      <c r="A660" s="12" t="s">
        <v>142</v>
      </c>
      <c r="B660" s="12" t="s">
        <v>68</v>
      </c>
      <c r="C660" s="12" t="s">
        <v>15</v>
      </c>
      <c r="D660" s="12" t="s">
        <v>66</v>
      </c>
      <c r="E660" s="25">
        <v>0</v>
      </c>
      <c r="F660" s="10">
        <v>15</v>
      </c>
      <c r="G660" s="10">
        <v>31</v>
      </c>
      <c r="H660" s="10">
        <v>29</v>
      </c>
      <c r="I660" s="10">
        <v>31</v>
      </c>
      <c r="J660" s="10">
        <v>30</v>
      </c>
      <c r="K660" s="10">
        <v>31</v>
      </c>
      <c r="L660" s="10">
        <v>31</v>
      </c>
      <c r="M660" s="10">
        <v>23</v>
      </c>
      <c r="N660" s="10">
        <v>21</v>
      </c>
      <c r="O660" s="10">
        <v>23</v>
      </c>
      <c r="P660" s="10">
        <v>27</v>
      </c>
      <c r="Q660" s="26">
        <f t="shared" si="30"/>
        <v>292</v>
      </c>
      <c r="R660" s="25">
        <v>0</v>
      </c>
      <c r="S660" s="10">
        <v>441</v>
      </c>
      <c r="T660" s="10">
        <v>1166</v>
      </c>
      <c r="U660" s="10">
        <v>1250</v>
      </c>
      <c r="V660" s="10">
        <v>1392</v>
      </c>
      <c r="W660" s="10">
        <v>1483</v>
      </c>
      <c r="X660" s="10">
        <v>1623</v>
      </c>
      <c r="Y660" s="10">
        <v>1661</v>
      </c>
      <c r="Z660" s="10">
        <v>1074</v>
      </c>
      <c r="AA660" s="10">
        <v>967</v>
      </c>
      <c r="AB660" s="10">
        <v>1002</v>
      </c>
      <c r="AC660" s="10">
        <v>1216</v>
      </c>
      <c r="AD660" s="26">
        <f t="shared" si="31"/>
        <v>13275</v>
      </c>
      <c r="AE660" s="25">
        <v>0</v>
      </c>
      <c r="AF660" s="10">
        <v>0</v>
      </c>
      <c r="AG660" s="10">
        <v>0</v>
      </c>
      <c r="AH660" s="10">
        <v>0</v>
      </c>
      <c r="AI660" s="10">
        <v>0</v>
      </c>
      <c r="AJ660" s="10">
        <v>0</v>
      </c>
      <c r="AK660" s="10">
        <v>0</v>
      </c>
      <c r="AL660" s="10">
        <v>0</v>
      </c>
      <c r="AM660" s="10">
        <v>0</v>
      </c>
      <c r="AN660" s="10">
        <v>0</v>
      </c>
      <c r="AO660" s="10">
        <v>0</v>
      </c>
      <c r="AP660" s="10">
        <v>0</v>
      </c>
      <c r="AQ660" s="26">
        <f t="shared" si="32"/>
        <v>0</v>
      </c>
    </row>
    <row r="661" spans="1:43" ht="17.25" customHeight="1" x14ac:dyDescent="0.45">
      <c r="A661" s="2" t="s">
        <v>216</v>
      </c>
      <c r="B661" s="2" t="s">
        <v>68</v>
      </c>
      <c r="C661" s="2" t="s">
        <v>10</v>
      </c>
      <c r="D661" s="2" t="s">
        <v>66</v>
      </c>
      <c r="E661" s="23">
        <v>0</v>
      </c>
      <c r="F661" s="1">
        <v>0</v>
      </c>
      <c r="G661" s="1">
        <v>4</v>
      </c>
      <c r="H661" s="1">
        <v>1</v>
      </c>
      <c r="I661" s="1">
        <v>0</v>
      </c>
      <c r="J661" s="1">
        <v>4</v>
      </c>
      <c r="K661" s="1">
        <v>4</v>
      </c>
      <c r="L661" s="1">
        <v>1</v>
      </c>
      <c r="M661" s="1">
        <v>0</v>
      </c>
      <c r="N661" s="1">
        <v>0</v>
      </c>
      <c r="O661" s="1">
        <v>0</v>
      </c>
      <c r="P661" s="1">
        <v>0</v>
      </c>
      <c r="Q661" s="24">
        <f t="shared" si="30"/>
        <v>14</v>
      </c>
      <c r="R661" s="23">
        <v>0</v>
      </c>
      <c r="S661" s="1">
        <v>0</v>
      </c>
      <c r="T661" s="1">
        <v>610</v>
      </c>
      <c r="U661" s="1">
        <v>105</v>
      </c>
      <c r="V661" s="1">
        <v>0</v>
      </c>
      <c r="W661" s="1">
        <v>656</v>
      </c>
      <c r="X661" s="1">
        <v>644</v>
      </c>
      <c r="Y661" s="1">
        <v>126</v>
      </c>
      <c r="Z661" s="1">
        <v>0</v>
      </c>
      <c r="AA661" s="1">
        <v>0</v>
      </c>
      <c r="AB661" s="1">
        <v>0</v>
      </c>
      <c r="AC661" s="1">
        <v>0</v>
      </c>
      <c r="AD661" s="24">
        <f t="shared" si="31"/>
        <v>2141</v>
      </c>
      <c r="AE661" s="23">
        <v>0</v>
      </c>
      <c r="AF661" s="1">
        <v>0</v>
      </c>
      <c r="AG661" s="1">
        <v>0</v>
      </c>
      <c r="AH661" s="1">
        <v>0</v>
      </c>
      <c r="AI661" s="1">
        <v>0</v>
      </c>
      <c r="AJ661" s="1">
        <v>0</v>
      </c>
      <c r="AK661" s="1">
        <v>0</v>
      </c>
      <c r="AL661" s="1">
        <v>0</v>
      </c>
      <c r="AM661" s="1">
        <v>0</v>
      </c>
      <c r="AN661" s="1">
        <v>0</v>
      </c>
      <c r="AO661" s="1">
        <v>0</v>
      </c>
      <c r="AP661" s="1">
        <v>0</v>
      </c>
      <c r="AQ661" s="24">
        <f t="shared" si="32"/>
        <v>0</v>
      </c>
    </row>
    <row r="662" spans="1:43" ht="17.25" customHeight="1" x14ac:dyDescent="0.45">
      <c r="A662" s="12" t="s">
        <v>143</v>
      </c>
      <c r="B662" s="12" t="s">
        <v>68</v>
      </c>
      <c r="C662" s="12" t="s">
        <v>10</v>
      </c>
      <c r="D662" s="12" t="s">
        <v>66</v>
      </c>
      <c r="E662" s="25">
        <v>4</v>
      </c>
      <c r="F662" s="10">
        <v>4</v>
      </c>
      <c r="G662" s="10">
        <v>5</v>
      </c>
      <c r="H662" s="10">
        <v>2</v>
      </c>
      <c r="I662" s="10">
        <v>0</v>
      </c>
      <c r="J662" s="10">
        <v>0</v>
      </c>
      <c r="K662" s="10">
        <v>0</v>
      </c>
      <c r="L662" s="10">
        <v>0</v>
      </c>
      <c r="M662" s="10">
        <v>0</v>
      </c>
      <c r="N662" s="10">
        <v>0</v>
      </c>
      <c r="O662" s="10">
        <v>2</v>
      </c>
      <c r="P662" s="10">
        <v>4</v>
      </c>
      <c r="Q662" s="26">
        <f t="shared" si="30"/>
        <v>21</v>
      </c>
      <c r="R662" s="25">
        <v>656</v>
      </c>
      <c r="S662" s="10">
        <v>549</v>
      </c>
      <c r="T662" s="10">
        <v>741</v>
      </c>
      <c r="U662" s="10">
        <v>303</v>
      </c>
      <c r="V662" s="10">
        <v>0</v>
      </c>
      <c r="W662" s="10">
        <v>0</v>
      </c>
      <c r="X662" s="10">
        <v>0</v>
      </c>
      <c r="Y662" s="10">
        <v>0</v>
      </c>
      <c r="Z662" s="10">
        <v>0</v>
      </c>
      <c r="AA662" s="10">
        <v>0</v>
      </c>
      <c r="AB662" s="10">
        <v>329</v>
      </c>
      <c r="AC662" s="10">
        <v>647</v>
      </c>
      <c r="AD662" s="26">
        <f t="shared" si="31"/>
        <v>3225</v>
      </c>
      <c r="AE662" s="25">
        <v>0</v>
      </c>
      <c r="AF662" s="10">
        <v>0</v>
      </c>
      <c r="AG662" s="10">
        <v>0</v>
      </c>
      <c r="AH662" s="10">
        <v>0</v>
      </c>
      <c r="AI662" s="10">
        <v>0</v>
      </c>
      <c r="AJ662" s="10">
        <v>0</v>
      </c>
      <c r="AK662" s="10">
        <v>0</v>
      </c>
      <c r="AL662" s="10">
        <v>0</v>
      </c>
      <c r="AM662" s="10">
        <v>0</v>
      </c>
      <c r="AN662" s="10">
        <v>0</v>
      </c>
      <c r="AO662" s="10">
        <v>14</v>
      </c>
      <c r="AP662" s="10">
        <v>27</v>
      </c>
      <c r="AQ662" s="26">
        <f t="shared" si="32"/>
        <v>41</v>
      </c>
    </row>
    <row r="663" spans="1:43" ht="17.25" customHeight="1" x14ac:dyDescent="0.45">
      <c r="A663" s="2" t="s">
        <v>143</v>
      </c>
      <c r="B663" s="2" t="s">
        <v>68</v>
      </c>
      <c r="C663" s="2" t="s">
        <v>11</v>
      </c>
      <c r="D663" s="2" t="s">
        <v>66</v>
      </c>
      <c r="E663" s="23">
        <v>48</v>
      </c>
      <c r="F663" s="1">
        <v>46</v>
      </c>
      <c r="G663" s="1">
        <v>49</v>
      </c>
      <c r="H663" s="1">
        <v>32</v>
      </c>
      <c r="I663" s="1">
        <v>35</v>
      </c>
      <c r="J663" s="1">
        <v>34</v>
      </c>
      <c r="K663" s="1">
        <v>36</v>
      </c>
      <c r="L663" s="1">
        <v>35</v>
      </c>
      <c r="M663" s="1">
        <v>34</v>
      </c>
      <c r="N663" s="1">
        <v>36</v>
      </c>
      <c r="O663" s="1">
        <v>34</v>
      </c>
      <c r="P663" s="1">
        <v>40</v>
      </c>
      <c r="Q663" s="24">
        <f t="shared" si="30"/>
        <v>459</v>
      </c>
      <c r="R663" s="23">
        <v>5811</v>
      </c>
      <c r="S663" s="1">
        <v>4798</v>
      </c>
      <c r="T663" s="1">
        <v>5977</v>
      </c>
      <c r="U663" s="1">
        <v>4243</v>
      </c>
      <c r="V663" s="1">
        <v>4957</v>
      </c>
      <c r="W663" s="1">
        <v>5020</v>
      </c>
      <c r="X663" s="1">
        <v>5718</v>
      </c>
      <c r="Y663" s="1">
        <v>5268</v>
      </c>
      <c r="Z663" s="1">
        <v>5018</v>
      </c>
      <c r="AA663" s="1">
        <v>5904</v>
      </c>
      <c r="AB663" s="1">
        <v>5799</v>
      </c>
      <c r="AC663" s="1">
        <v>6846</v>
      </c>
      <c r="AD663" s="24">
        <f t="shared" si="31"/>
        <v>65359</v>
      </c>
      <c r="AE663" s="23">
        <v>0</v>
      </c>
      <c r="AF663" s="1">
        <v>0</v>
      </c>
      <c r="AG663" s="1">
        <v>0</v>
      </c>
      <c r="AH663" s="1">
        <v>0</v>
      </c>
      <c r="AI663" s="1">
        <v>0</v>
      </c>
      <c r="AJ663" s="1">
        <v>0</v>
      </c>
      <c r="AK663" s="1">
        <v>0</v>
      </c>
      <c r="AL663" s="1">
        <v>0</v>
      </c>
      <c r="AM663" s="1">
        <v>0</v>
      </c>
      <c r="AN663" s="1">
        <v>0</v>
      </c>
      <c r="AO663" s="1">
        <v>0</v>
      </c>
      <c r="AP663" s="1">
        <v>0</v>
      </c>
      <c r="AQ663" s="24">
        <f t="shared" si="32"/>
        <v>0</v>
      </c>
    </row>
    <row r="664" spans="1:43" ht="17.25" customHeight="1" x14ac:dyDescent="0.45">
      <c r="A664" s="12" t="s">
        <v>143</v>
      </c>
      <c r="B664" s="12" t="s">
        <v>68</v>
      </c>
      <c r="C664" s="12" t="s">
        <v>17</v>
      </c>
      <c r="D664" s="12" t="s">
        <v>66</v>
      </c>
      <c r="E664" s="25">
        <v>23</v>
      </c>
      <c r="F664" s="10">
        <v>29</v>
      </c>
      <c r="G664" s="10">
        <v>29</v>
      </c>
      <c r="H664" s="10">
        <v>13</v>
      </c>
      <c r="I664" s="10">
        <v>6</v>
      </c>
      <c r="J664" s="10">
        <v>5</v>
      </c>
      <c r="K664" s="10">
        <v>4</v>
      </c>
      <c r="L664" s="10">
        <v>3</v>
      </c>
      <c r="M664" s="10">
        <v>0</v>
      </c>
      <c r="N664" s="10">
        <v>11</v>
      </c>
      <c r="O664" s="10">
        <v>21</v>
      </c>
      <c r="P664" s="10">
        <v>31</v>
      </c>
      <c r="Q664" s="26">
        <f t="shared" si="30"/>
        <v>175</v>
      </c>
      <c r="R664" s="25">
        <v>3695</v>
      </c>
      <c r="S664" s="10">
        <v>4685</v>
      </c>
      <c r="T664" s="10">
        <v>4406</v>
      </c>
      <c r="U664" s="10">
        <v>1999</v>
      </c>
      <c r="V664" s="10">
        <v>890</v>
      </c>
      <c r="W664" s="10">
        <v>805</v>
      </c>
      <c r="X664" s="10">
        <v>618</v>
      </c>
      <c r="Y664" s="10">
        <v>482</v>
      </c>
      <c r="Z664" s="10">
        <v>0</v>
      </c>
      <c r="AA664" s="10">
        <v>1789</v>
      </c>
      <c r="AB664" s="10">
        <v>3406</v>
      </c>
      <c r="AC664" s="10">
        <v>5103</v>
      </c>
      <c r="AD664" s="26">
        <f t="shared" si="31"/>
        <v>27878</v>
      </c>
      <c r="AE664" s="25">
        <v>110</v>
      </c>
      <c r="AF664" s="10">
        <v>206</v>
      </c>
      <c r="AG664" s="10">
        <v>31</v>
      </c>
      <c r="AH664" s="10">
        <v>0</v>
      </c>
      <c r="AI664" s="10">
        <v>0</v>
      </c>
      <c r="AJ664" s="10">
        <v>52</v>
      </c>
      <c r="AK664" s="10">
        <v>144</v>
      </c>
      <c r="AL664" s="10">
        <v>28</v>
      </c>
      <c r="AM664" s="10">
        <v>0</v>
      </c>
      <c r="AN664" s="10">
        <v>180</v>
      </c>
      <c r="AO664" s="10">
        <v>364</v>
      </c>
      <c r="AP664" s="10">
        <v>302</v>
      </c>
      <c r="AQ664" s="26">
        <f t="shared" si="32"/>
        <v>1417</v>
      </c>
    </row>
    <row r="665" spans="1:43" ht="17.25" customHeight="1" x14ac:dyDescent="0.45">
      <c r="A665" s="2" t="s">
        <v>143</v>
      </c>
      <c r="B665" s="2" t="s">
        <v>68</v>
      </c>
      <c r="C665" s="2" t="s">
        <v>48</v>
      </c>
      <c r="D665" s="2" t="s">
        <v>66</v>
      </c>
      <c r="E665" s="23">
        <v>24</v>
      </c>
      <c r="F665" s="1">
        <v>29</v>
      </c>
      <c r="G665" s="1">
        <v>31</v>
      </c>
      <c r="H665" s="1">
        <v>12</v>
      </c>
      <c r="I665" s="1">
        <v>6</v>
      </c>
      <c r="J665" s="1">
        <v>5</v>
      </c>
      <c r="K665" s="1">
        <v>4</v>
      </c>
      <c r="L665" s="1">
        <v>3</v>
      </c>
      <c r="M665" s="1">
        <v>0</v>
      </c>
      <c r="N665" s="1">
        <v>10</v>
      </c>
      <c r="O665" s="1">
        <v>21</v>
      </c>
      <c r="P665" s="1">
        <v>30</v>
      </c>
      <c r="Q665" s="24">
        <f t="shared" si="30"/>
        <v>175</v>
      </c>
      <c r="R665" s="23">
        <v>3670</v>
      </c>
      <c r="S665" s="1">
        <v>4533</v>
      </c>
      <c r="T665" s="1">
        <v>4579</v>
      </c>
      <c r="U665" s="1">
        <v>1713</v>
      </c>
      <c r="V665" s="1">
        <v>891</v>
      </c>
      <c r="W665" s="1">
        <v>842</v>
      </c>
      <c r="X665" s="1">
        <v>622</v>
      </c>
      <c r="Y665" s="1">
        <v>439</v>
      </c>
      <c r="Z665" s="1">
        <v>0</v>
      </c>
      <c r="AA665" s="1">
        <v>1656</v>
      </c>
      <c r="AB665" s="1">
        <v>3382</v>
      </c>
      <c r="AC665" s="1">
        <v>4775</v>
      </c>
      <c r="AD665" s="24">
        <f t="shared" si="31"/>
        <v>27102</v>
      </c>
      <c r="AE665" s="23">
        <v>414</v>
      </c>
      <c r="AF665" s="1">
        <v>160</v>
      </c>
      <c r="AG665" s="1">
        <v>129</v>
      </c>
      <c r="AH665" s="1">
        <v>203</v>
      </c>
      <c r="AI665" s="1">
        <v>85</v>
      </c>
      <c r="AJ665" s="1">
        <v>23</v>
      </c>
      <c r="AK665" s="1">
        <v>70</v>
      </c>
      <c r="AL665" s="1">
        <v>4</v>
      </c>
      <c r="AM665" s="1">
        <v>0</v>
      </c>
      <c r="AN665" s="1">
        <v>401</v>
      </c>
      <c r="AO665" s="1">
        <v>315</v>
      </c>
      <c r="AP665" s="1">
        <v>583</v>
      </c>
      <c r="AQ665" s="24">
        <f t="shared" si="32"/>
        <v>2387</v>
      </c>
    </row>
    <row r="666" spans="1:43" ht="17.25" customHeight="1" x14ac:dyDescent="0.45">
      <c r="A666" s="12" t="s">
        <v>244</v>
      </c>
      <c r="B666" s="12" t="s">
        <v>65</v>
      </c>
      <c r="C666" s="12" t="s">
        <v>17</v>
      </c>
      <c r="D666" s="12" t="s">
        <v>66</v>
      </c>
      <c r="E666" s="25">
        <v>3</v>
      </c>
      <c r="F666" s="10">
        <v>4</v>
      </c>
      <c r="G666" s="10">
        <v>5</v>
      </c>
      <c r="H666" s="10">
        <v>3</v>
      </c>
      <c r="I666" s="10">
        <v>0</v>
      </c>
      <c r="J666" s="10">
        <v>0</v>
      </c>
      <c r="K666" s="10">
        <v>0</v>
      </c>
      <c r="L666" s="10">
        <v>0</v>
      </c>
      <c r="M666" s="10">
        <v>0</v>
      </c>
      <c r="N666" s="10">
        <v>0</v>
      </c>
      <c r="O666" s="10">
        <v>0</v>
      </c>
      <c r="P666" s="10">
        <v>2</v>
      </c>
      <c r="Q666" s="26">
        <f t="shared" si="30"/>
        <v>17</v>
      </c>
      <c r="R666" s="25">
        <v>431</v>
      </c>
      <c r="S666" s="10">
        <v>607</v>
      </c>
      <c r="T666" s="10">
        <v>758</v>
      </c>
      <c r="U666" s="10">
        <v>419</v>
      </c>
      <c r="V666" s="10">
        <v>0</v>
      </c>
      <c r="W666" s="10">
        <v>0</v>
      </c>
      <c r="X666" s="10">
        <v>0</v>
      </c>
      <c r="Y666" s="10">
        <v>0</v>
      </c>
      <c r="Z666" s="10">
        <v>0</v>
      </c>
      <c r="AA666" s="10">
        <v>0</v>
      </c>
      <c r="AB666" s="10">
        <v>0</v>
      </c>
      <c r="AC666" s="10">
        <v>294</v>
      </c>
      <c r="AD666" s="26">
        <f t="shared" si="31"/>
        <v>2509</v>
      </c>
      <c r="AE666" s="25">
        <v>0</v>
      </c>
      <c r="AF666" s="10">
        <v>0</v>
      </c>
      <c r="AG666" s="10">
        <v>0</v>
      </c>
      <c r="AH666" s="10">
        <v>0</v>
      </c>
      <c r="AI666" s="10">
        <v>0</v>
      </c>
      <c r="AJ666" s="10">
        <v>0</v>
      </c>
      <c r="AK666" s="10">
        <v>0</v>
      </c>
      <c r="AL666" s="10">
        <v>0</v>
      </c>
      <c r="AM666" s="10">
        <v>0</v>
      </c>
      <c r="AN666" s="10">
        <v>0</v>
      </c>
      <c r="AO666" s="10">
        <v>0</v>
      </c>
      <c r="AP666" s="10">
        <v>0</v>
      </c>
      <c r="AQ666" s="26">
        <f t="shared" si="32"/>
        <v>0</v>
      </c>
    </row>
    <row r="667" spans="1:43" ht="17.25" customHeight="1" x14ac:dyDescent="0.45">
      <c r="A667" s="2" t="s">
        <v>27</v>
      </c>
      <c r="B667" s="2" t="s">
        <v>66</v>
      </c>
      <c r="C667" s="2" t="s">
        <v>69</v>
      </c>
      <c r="D667" s="2" t="s">
        <v>68</v>
      </c>
      <c r="E667" s="23">
        <v>3</v>
      </c>
      <c r="F667" s="1">
        <v>7</v>
      </c>
      <c r="G667" s="1">
        <v>6</v>
      </c>
      <c r="H667" s="1">
        <v>24</v>
      </c>
      <c r="I667" s="1">
        <v>28</v>
      </c>
      <c r="J667" s="1">
        <v>30</v>
      </c>
      <c r="K667" s="1">
        <v>29</v>
      </c>
      <c r="L667" s="1">
        <v>31</v>
      </c>
      <c r="M667" s="1">
        <v>30</v>
      </c>
      <c r="N667" s="1">
        <v>21</v>
      </c>
      <c r="O667" s="1">
        <v>21</v>
      </c>
      <c r="P667" s="1">
        <v>18</v>
      </c>
      <c r="Q667" s="24">
        <f t="shared" si="30"/>
        <v>248</v>
      </c>
      <c r="R667" s="23">
        <v>132</v>
      </c>
      <c r="S667" s="1">
        <v>228</v>
      </c>
      <c r="T667" s="1">
        <v>191</v>
      </c>
      <c r="U667" s="1">
        <v>631</v>
      </c>
      <c r="V667" s="1">
        <v>921</v>
      </c>
      <c r="W667" s="1">
        <v>1089</v>
      </c>
      <c r="X667" s="1">
        <v>1311</v>
      </c>
      <c r="Y667" s="1">
        <v>1427</v>
      </c>
      <c r="Z667" s="1">
        <v>1107</v>
      </c>
      <c r="AA667" s="1">
        <v>750</v>
      </c>
      <c r="AB667" s="1">
        <v>737</v>
      </c>
      <c r="AC667" s="1">
        <v>679</v>
      </c>
      <c r="AD667" s="24">
        <f t="shared" si="31"/>
        <v>9203</v>
      </c>
      <c r="AE667" s="23">
        <v>0</v>
      </c>
      <c r="AF667" s="1">
        <v>0</v>
      </c>
      <c r="AG667" s="1">
        <v>0</v>
      </c>
      <c r="AH667" s="1">
        <v>0</v>
      </c>
      <c r="AI667" s="1">
        <v>0</v>
      </c>
      <c r="AJ667" s="1">
        <v>0</v>
      </c>
      <c r="AK667" s="1">
        <v>0</v>
      </c>
      <c r="AL667" s="1">
        <v>0</v>
      </c>
      <c r="AM667" s="1">
        <v>0</v>
      </c>
      <c r="AN667" s="1">
        <v>0</v>
      </c>
      <c r="AO667" s="1">
        <v>0</v>
      </c>
      <c r="AP667" s="1">
        <v>0</v>
      </c>
      <c r="AQ667" s="24">
        <f t="shared" si="32"/>
        <v>0</v>
      </c>
    </row>
    <row r="668" spans="1:43" ht="17.25" customHeight="1" x14ac:dyDescent="0.45">
      <c r="A668" s="12" t="s">
        <v>17</v>
      </c>
      <c r="B668" s="12" t="s">
        <v>66</v>
      </c>
      <c r="C668" s="12" t="s">
        <v>64</v>
      </c>
      <c r="D668" s="12" t="s">
        <v>65</v>
      </c>
      <c r="E668" s="25">
        <v>8</v>
      </c>
      <c r="F668" s="10">
        <v>8</v>
      </c>
      <c r="G668" s="10">
        <v>10</v>
      </c>
      <c r="H668" s="10">
        <v>7</v>
      </c>
      <c r="I668" s="10">
        <v>0</v>
      </c>
      <c r="J668" s="10">
        <v>0</v>
      </c>
      <c r="K668" s="10">
        <v>0</v>
      </c>
      <c r="L668" s="10">
        <v>0</v>
      </c>
      <c r="M668" s="10">
        <v>0</v>
      </c>
      <c r="N668" s="10">
        <v>0</v>
      </c>
      <c r="O668" s="10">
        <v>0</v>
      </c>
      <c r="P668" s="10">
        <v>3</v>
      </c>
      <c r="Q668" s="26">
        <f t="shared" si="30"/>
        <v>36</v>
      </c>
      <c r="R668" s="25">
        <v>970</v>
      </c>
      <c r="S668" s="10">
        <v>1152</v>
      </c>
      <c r="T668" s="10">
        <v>1478</v>
      </c>
      <c r="U668" s="10">
        <v>1032</v>
      </c>
      <c r="V668" s="10">
        <v>0</v>
      </c>
      <c r="W668" s="10">
        <v>0</v>
      </c>
      <c r="X668" s="10">
        <v>0</v>
      </c>
      <c r="Y668" s="10">
        <v>0</v>
      </c>
      <c r="Z668" s="10">
        <v>0</v>
      </c>
      <c r="AA668" s="10">
        <v>0</v>
      </c>
      <c r="AB668" s="10">
        <v>0</v>
      </c>
      <c r="AC668" s="10">
        <v>267</v>
      </c>
      <c r="AD668" s="26">
        <f t="shared" si="31"/>
        <v>4899</v>
      </c>
      <c r="AE668" s="25">
        <v>0</v>
      </c>
      <c r="AF668" s="10">
        <v>0</v>
      </c>
      <c r="AG668" s="10">
        <v>0</v>
      </c>
      <c r="AH668" s="10">
        <v>0</v>
      </c>
      <c r="AI668" s="10">
        <v>0</v>
      </c>
      <c r="AJ668" s="10">
        <v>0</v>
      </c>
      <c r="AK668" s="10">
        <v>0</v>
      </c>
      <c r="AL668" s="10">
        <v>0</v>
      </c>
      <c r="AM668" s="10">
        <v>0</v>
      </c>
      <c r="AN668" s="10">
        <v>0</v>
      </c>
      <c r="AO668" s="10">
        <v>0</v>
      </c>
      <c r="AP668" s="10">
        <v>0</v>
      </c>
      <c r="AQ668" s="26">
        <f t="shared" si="32"/>
        <v>0</v>
      </c>
    </row>
    <row r="669" spans="1:43" ht="17.25" customHeight="1" x14ac:dyDescent="0.45">
      <c r="A669" s="2" t="s">
        <v>17</v>
      </c>
      <c r="B669" s="2" t="s">
        <v>66</v>
      </c>
      <c r="C669" s="2" t="s">
        <v>77</v>
      </c>
      <c r="D669" s="2" t="s">
        <v>68</v>
      </c>
      <c r="E669" s="23">
        <v>54</v>
      </c>
      <c r="F669" s="1">
        <v>44</v>
      </c>
      <c r="G669" s="1">
        <v>54</v>
      </c>
      <c r="H669" s="1">
        <v>41</v>
      </c>
      <c r="I669" s="1">
        <v>32</v>
      </c>
      <c r="J669" s="1">
        <v>30</v>
      </c>
      <c r="K669" s="1">
        <v>31</v>
      </c>
      <c r="L669" s="1">
        <v>24</v>
      </c>
      <c r="M669" s="1">
        <v>21</v>
      </c>
      <c r="N669" s="1">
        <v>22</v>
      </c>
      <c r="O669" s="1">
        <v>28</v>
      </c>
      <c r="P669" s="1">
        <v>33</v>
      </c>
      <c r="Q669" s="24">
        <f t="shared" si="30"/>
        <v>414</v>
      </c>
      <c r="R669" s="23">
        <v>7965</v>
      </c>
      <c r="S669" s="1">
        <v>6814</v>
      </c>
      <c r="T669" s="1">
        <v>8676</v>
      </c>
      <c r="U669" s="1">
        <v>6734</v>
      </c>
      <c r="V669" s="1">
        <v>4999</v>
      </c>
      <c r="W669" s="1">
        <v>5074</v>
      </c>
      <c r="X669" s="1">
        <v>5228</v>
      </c>
      <c r="Y669" s="1">
        <v>3824</v>
      </c>
      <c r="Z669" s="1">
        <v>3133</v>
      </c>
      <c r="AA669" s="1">
        <v>3365</v>
      </c>
      <c r="AB669" s="1">
        <v>4447</v>
      </c>
      <c r="AC669" s="1">
        <v>4902</v>
      </c>
      <c r="AD669" s="24">
        <f t="shared" si="31"/>
        <v>65161</v>
      </c>
      <c r="AE669" s="23">
        <v>0</v>
      </c>
      <c r="AF669" s="1">
        <v>0</v>
      </c>
      <c r="AG669" s="1">
        <v>0</v>
      </c>
      <c r="AH669" s="1">
        <v>0</v>
      </c>
      <c r="AI669" s="1">
        <v>0</v>
      </c>
      <c r="AJ669" s="1">
        <v>0</v>
      </c>
      <c r="AK669" s="1">
        <v>0</v>
      </c>
      <c r="AL669" s="1">
        <v>0</v>
      </c>
      <c r="AM669" s="1">
        <v>0</v>
      </c>
      <c r="AN669" s="1">
        <v>0</v>
      </c>
      <c r="AO669" s="1">
        <v>0</v>
      </c>
      <c r="AP669" s="1">
        <v>0</v>
      </c>
      <c r="AQ669" s="24">
        <f t="shared" si="32"/>
        <v>0</v>
      </c>
    </row>
    <row r="670" spans="1:43" ht="17.25" customHeight="1" x14ac:dyDescent="0.45">
      <c r="A670" s="12" t="s">
        <v>17</v>
      </c>
      <c r="B670" s="12" t="s">
        <v>66</v>
      </c>
      <c r="C670" s="12" t="s">
        <v>78</v>
      </c>
      <c r="D670" s="12" t="s">
        <v>68</v>
      </c>
      <c r="E670" s="25">
        <v>0</v>
      </c>
      <c r="F670" s="10">
        <v>0</v>
      </c>
      <c r="G670" s="10">
        <v>8</v>
      </c>
      <c r="H670" s="10">
        <v>2</v>
      </c>
      <c r="I670" s="10">
        <v>0</v>
      </c>
      <c r="J670" s="10">
        <v>8</v>
      </c>
      <c r="K670" s="10">
        <v>8</v>
      </c>
      <c r="L670" s="10">
        <v>2</v>
      </c>
      <c r="M670" s="10">
        <v>0</v>
      </c>
      <c r="N670" s="10">
        <v>0</v>
      </c>
      <c r="O670" s="10">
        <v>2</v>
      </c>
      <c r="P670" s="10">
        <v>2</v>
      </c>
      <c r="Q670" s="26">
        <f t="shared" si="30"/>
        <v>32</v>
      </c>
      <c r="R670" s="25">
        <v>0</v>
      </c>
      <c r="S670" s="10">
        <v>0</v>
      </c>
      <c r="T670" s="10">
        <v>1209</v>
      </c>
      <c r="U670" s="10">
        <v>347</v>
      </c>
      <c r="V670" s="10">
        <v>0</v>
      </c>
      <c r="W670" s="10">
        <v>1137</v>
      </c>
      <c r="X670" s="10">
        <v>1132</v>
      </c>
      <c r="Y670" s="10">
        <v>271</v>
      </c>
      <c r="Z670" s="10">
        <v>0</v>
      </c>
      <c r="AA670" s="10">
        <v>0</v>
      </c>
      <c r="AB670" s="10">
        <v>203</v>
      </c>
      <c r="AC670" s="10">
        <v>228</v>
      </c>
      <c r="AD670" s="26">
        <f t="shared" si="31"/>
        <v>4527</v>
      </c>
      <c r="AE670" s="25">
        <v>0</v>
      </c>
      <c r="AF670" s="10">
        <v>0</v>
      </c>
      <c r="AG670" s="10">
        <v>0</v>
      </c>
      <c r="AH670" s="10">
        <v>0</v>
      </c>
      <c r="AI670" s="10">
        <v>0</v>
      </c>
      <c r="AJ670" s="10">
        <v>0</v>
      </c>
      <c r="AK670" s="10">
        <v>0</v>
      </c>
      <c r="AL670" s="10">
        <v>0</v>
      </c>
      <c r="AM670" s="10">
        <v>0</v>
      </c>
      <c r="AN670" s="10">
        <v>0</v>
      </c>
      <c r="AO670" s="10">
        <v>0</v>
      </c>
      <c r="AP670" s="10">
        <v>0</v>
      </c>
      <c r="AQ670" s="26">
        <f t="shared" si="32"/>
        <v>0</v>
      </c>
    </row>
    <row r="671" spans="1:43" ht="17.25" customHeight="1" x14ac:dyDescent="0.45">
      <c r="A671" s="2" t="s">
        <v>17</v>
      </c>
      <c r="B671" s="2" t="s">
        <v>66</v>
      </c>
      <c r="C671" s="2" t="s">
        <v>94</v>
      </c>
      <c r="D671" s="2" t="s">
        <v>65</v>
      </c>
      <c r="E671" s="23">
        <v>96</v>
      </c>
      <c r="F671" s="1">
        <v>84</v>
      </c>
      <c r="G671" s="1">
        <v>99</v>
      </c>
      <c r="H671" s="1">
        <v>78</v>
      </c>
      <c r="I671" s="1">
        <v>36</v>
      </c>
      <c r="J671" s="1">
        <v>24</v>
      </c>
      <c r="K671" s="1">
        <v>30</v>
      </c>
      <c r="L671" s="1">
        <v>31</v>
      </c>
      <c r="M671" s="1">
        <v>23</v>
      </c>
      <c r="N671" s="1">
        <v>36</v>
      </c>
      <c r="O671" s="1">
        <v>68</v>
      </c>
      <c r="P671" s="1">
        <v>69</v>
      </c>
      <c r="Q671" s="24">
        <f t="shared" si="30"/>
        <v>674</v>
      </c>
      <c r="R671" s="23">
        <v>15313</v>
      </c>
      <c r="S671" s="1">
        <v>16772</v>
      </c>
      <c r="T671" s="1">
        <v>18125</v>
      </c>
      <c r="U671" s="1">
        <v>13882</v>
      </c>
      <c r="V671" s="1">
        <v>5739</v>
      </c>
      <c r="W671" s="1">
        <v>3235</v>
      </c>
      <c r="X671" s="1">
        <v>4315</v>
      </c>
      <c r="Y671" s="1">
        <v>4607</v>
      </c>
      <c r="Z671" s="1">
        <v>3361</v>
      </c>
      <c r="AA671" s="1">
        <v>4471</v>
      </c>
      <c r="AB671" s="1">
        <v>10502</v>
      </c>
      <c r="AC671" s="1">
        <v>13221</v>
      </c>
      <c r="AD671" s="24">
        <f t="shared" si="31"/>
        <v>113543</v>
      </c>
      <c r="AE671" s="23">
        <v>0</v>
      </c>
      <c r="AF671" s="1">
        <v>0</v>
      </c>
      <c r="AG671" s="1">
        <v>0</v>
      </c>
      <c r="AH671" s="1">
        <v>0</v>
      </c>
      <c r="AI671" s="1">
        <v>0</v>
      </c>
      <c r="AJ671" s="1">
        <v>0</v>
      </c>
      <c r="AK671" s="1">
        <v>0</v>
      </c>
      <c r="AL671" s="1">
        <v>0</v>
      </c>
      <c r="AM671" s="1">
        <v>0</v>
      </c>
      <c r="AN671" s="1">
        <v>0</v>
      </c>
      <c r="AO671" s="1">
        <v>0</v>
      </c>
      <c r="AP671" s="1">
        <v>0</v>
      </c>
      <c r="AQ671" s="24">
        <f t="shared" si="32"/>
        <v>0</v>
      </c>
    </row>
    <row r="672" spans="1:43" ht="17.25" customHeight="1" x14ac:dyDescent="0.45">
      <c r="A672" s="12" t="s">
        <v>17</v>
      </c>
      <c r="B672" s="12" t="s">
        <v>66</v>
      </c>
      <c r="C672" s="12" t="s">
        <v>72</v>
      </c>
      <c r="D672" s="12" t="s">
        <v>68</v>
      </c>
      <c r="E672" s="25">
        <v>74</v>
      </c>
      <c r="F672" s="10">
        <v>62</v>
      </c>
      <c r="G672" s="10">
        <v>71</v>
      </c>
      <c r="H672" s="10">
        <v>60</v>
      </c>
      <c r="I672" s="10">
        <v>13</v>
      </c>
      <c r="J672" s="10">
        <v>5</v>
      </c>
      <c r="K672" s="10">
        <v>4</v>
      </c>
      <c r="L672" s="10">
        <v>3</v>
      </c>
      <c r="M672" s="10">
        <v>1</v>
      </c>
      <c r="N672" s="10">
        <v>12</v>
      </c>
      <c r="O672" s="10">
        <v>50</v>
      </c>
      <c r="P672" s="10">
        <v>68</v>
      </c>
      <c r="Q672" s="26">
        <f t="shared" si="30"/>
        <v>423</v>
      </c>
      <c r="R672" s="25">
        <v>10650</v>
      </c>
      <c r="S672" s="10">
        <v>9339</v>
      </c>
      <c r="T672" s="10">
        <v>10711</v>
      </c>
      <c r="U672" s="10">
        <v>8189</v>
      </c>
      <c r="V672" s="10">
        <v>1761</v>
      </c>
      <c r="W672" s="10">
        <v>721</v>
      </c>
      <c r="X672" s="10">
        <v>566</v>
      </c>
      <c r="Y672" s="10">
        <v>414</v>
      </c>
      <c r="Z672" s="10">
        <v>96</v>
      </c>
      <c r="AA672" s="10">
        <v>1467</v>
      </c>
      <c r="AB672" s="10">
        <v>6670</v>
      </c>
      <c r="AC672" s="10">
        <v>7552</v>
      </c>
      <c r="AD672" s="26">
        <f t="shared" si="31"/>
        <v>58136</v>
      </c>
      <c r="AE672" s="25">
        <v>0</v>
      </c>
      <c r="AF672" s="10">
        <v>0</v>
      </c>
      <c r="AG672" s="10">
        <v>0</v>
      </c>
      <c r="AH672" s="10">
        <v>0</v>
      </c>
      <c r="AI672" s="10">
        <v>0</v>
      </c>
      <c r="AJ672" s="10">
        <v>0</v>
      </c>
      <c r="AK672" s="10">
        <v>0</v>
      </c>
      <c r="AL672" s="10">
        <v>0</v>
      </c>
      <c r="AM672" s="10">
        <v>0</v>
      </c>
      <c r="AN672" s="10">
        <v>0</v>
      </c>
      <c r="AO672" s="10">
        <v>0</v>
      </c>
      <c r="AP672" s="10">
        <v>0</v>
      </c>
      <c r="AQ672" s="26">
        <f t="shared" si="32"/>
        <v>0</v>
      </c>
    </row>
    <row r="673" spans="1:43" ht="17.25" customHeight="1" x14ac:dyDescent="0.45">
      <c r="A673" s="2" t="s">
        <v>17</v>
      </c>
      <c r="B673" s="2" t="s">
        <v>66</v>
      </c>
      <c r="C673" s="2" t="s">
        <v>173</v>
      </c>
      <c r="D673" s="2" t="s">
        <v>65</v>
      </c>
      <c r="E673" s="23">
        <v>9</v>
      </c>
      <c r="F673" s="1">
        <v>8</v>
      </c>
      <c r="G673" s="1">
        <v>9</v>
      </c>
      <c r="H673" s="1">
        <v>8</v>
      </c>
      <c r="I673" s="1">
        <v>0</v>
      </c>
      <c r="J673" s="1">
        <v>0</v>
      </c>
      <c r="K673" s="1">
        <v>0</v>
      </c>
      <c r="L673" s="1">
        <v>0</v>
      </c>
      <c r="M673" s="1">
        <v>0</v>
      </c>
      <c r="N673" s="1">
        <v>0</v>
      </c>
      <c r="O673" s="1">
        <v>4</v>
      </c>
      <c r="P673" s="1">
        <v>8</v>
      </c>
      <c r="Q673" s="24">
        <f t="shared" si="30"/>
        <v>46</v>
      </c>
      <c r="R673" s="23">
        <v>1062</v>
      </c>
      <c r="S673" s="1">
        <v>1263</v>
      </c>
      <c r="T673" s="1">
        <v>1450</v>
      </c>
      <c r="U673" s="1">
        <v>1117</v>
      </c>
      <c r="V673" s="1">
        <v>0</v>
      </c>
      <c r="W673" s="1">
        <v>0</v>
      </c>
      <c r="X673" s="1">
        <v>0</v>
      </c>
      <c r="Y673" s="1">
        <v>0</v>
      </c>
      <c r="Z673" s="1">
        <v>0</v>
      </c>
      <c r="AA673" s="1">
        <v>0</v>
      </c>
      <c r="AB673" s="1">
        <v>343</v>
      </c>
      <c r="AC673" s="1">
        <v>824</v>
      </c>
      <c r="AD673" s="24">
        <f t="shared" si="31"/>
        <v>6059</v>
      </c>
      <c r="AE673" s="23">
        <v>0</v>
      </c>
      <c r="AF673" s="1">
        <v>0</v>
      </c>
      <c r="AG673" s="1">
        <v>0</v>
      </c>
      <c r="AH673" s="1">
        <v>0</v>
      </c>
      <c r="AI673" s="1">
        <v>0</v>
      </c>
      <c r="AJ673" s="1">
        <v>0</v>
      </c>
      <c r="AK673" s="1">
        <v>0</v>
      </c>
      <c r="AL673" s="1">
        <v>0</v>
      </c>
      <c r="AM673" s="1">
        <v>0</v>
      </c>
      <c r="AN673" s="1">
        <v>0</v>
      </c>
      <c r="AO673" s="1">
        <v>0</v>
      </c>
      <c r="AP673" s="1">
        <v>0</v>
      </c>
      <c r="AQ673" s="24">
        <f t="shared" si="32"/>
        <v>0</v>
      </c>
    </row>
    <row r="674" spans="1:43" ht="17.25" customHeight="1" x14ac:dyDescent="0.45">
      <c r="A674" s="12" t="s">
        <v>17</v>
      </c>
      <c r="B674" s="12" t="s">
        <v>66</v>
      </c>
      <c r="C674" s="12" t="s">
        <v>67</v>
      </c>
      <c r="D674" s="12" t="s">
        <v>68</v>
      </c>
      <c r="E674" s="25">
        <v>114</v>
      </c>
      <c r="F674" s="10">
        <v>112</v>
      </c>
      <c r="G674" s="10">
        <v>126</v>
      </c>
      <c r="H674" s="10">
        <v>92</v>
      </c>
      <c r="I674" s="10">
        <v>96</v>
      </c>
      <c r="J674" s="10">
        <v>126</v>
      </c>
      <c r="K674" s="10">
        <v>132</v>
      </c>
      <c r="L674" s="10">
        <v>103</v>
      </c>
      <c r="M674" s="10">
        <v>56</v>
      </c>
      <c r="N674" s="10">
        <v>84</v>
      </c>
      <c r="O674" s="10">
        <v>91</v>
      </c>
      <c r="P674" s="10">
        <v>99</v>
      </c>
      <c r="Q674" s="26">
        <f t="shared" si="30"/>
        <v>1231</v>
      </c>
      <c r="R674" s="25">
        <v>17037</v>
      </c>
      <c r="S674" s="10">
        <v>16830</v>
      </c>
      <c r="T674" s="10">
        <v>19331</v>
      </c>
      <c r="U674" s="10">
        <v>14352</v>
      </c>
      <c r="V674" s="10">
        <v>14045</v>
      </c>
      <c r="W674" s="10">
        <v>20536</v>
      </c>
      <c r="X674" s="10">
        <v>21791</v>
      </c>
      <c r="Y674" s="10">
        <v>15717</v>
      </c>
      <c r="Z674" s="10">
        <v>9055</v>
      </c>
      <c r="AA674" s="10">
        <v>12283</v>
      </c>
      <c r="AB674" s="10">
        <v>14562</v>
      </c>
      <c r="AC674" s="10">
        <v>13886</v>
      </c>
      <c r="AD674" s="26">
        <f t="shared" si="31"/>
        <v>189425</v>
      </c>
      <c r="AE674" s="25">
        <v>1948.6328215200001</v>
      </c>
      <c r="AF674" s="10">
        <v>2322.3929344000003</v>
      </c>
      <c r="AG674" s="10">
        <v>1569.4296001999999</v>
      </c>
      <c r="AH674" s="10">
        <v>175.08665486999999</v>
      </c>
      <c r="AI674" s="10">
        <v>210.01326731</v>
      </c>
      <c r="AJ674" s="10">
        <v>0</v>
      </c>
      <c r="AK674" s="10">
        <v>318.87543611000007</v>
      </c>
      <c r="AL674" s="10">
        <v>229.97133159000003</v>
      </c>
      <c r="AM674" s="10">
        <v>311.16436582</v>
      </c>
      <c r="AN674" s="10">
        <v>219.99229945000002</v>
      </c>
      <c r="AO674" s="10">
        <v>40.823313300000002</v>
      </c>
      <c r="AP674" s="10">
        <v>4.9895160700000005</v>
      </c>
      <c r="AQ674" s="26">
        <f t="shared" si="32"/>
        <v>7351.3715406399997</v>
      </c>
    </row>
    <row r="675" spans="1:43" ht="17.25" customHeight="1" x14ac:dyDescent="0.45">
      <c r="A675" s="2" t="s">
        <v>17</v>
      </c>
      <c r="B675" s="2" t="s">
        <v>66</v>
      </c>
      <c r="C675" s="2" t="s">
        <v>100</v>
      </c>
      <c r="D675" s="2" t="s">
        <v>68</v>
      </c>
      <c r="E675" s="23">
        <v>99</v>
      </c>
      <c r="F675" s="1">
        <v>89</v>
      </c>
      <c r="G675" s="1">
        <v>103</v>
      </c>
      <c r="H675" s="1">
        <v>67</v>
      </c>
      <c r="I675" s="1">
        <v>58</v>
      </c>
      <c r="J675" s="1">
        <v>65</v>
      </c>
      <c r="K675" s="1">
        <v>64</v>
      </c>
      <c r="L675" s="1">
        <v>29</v>
      </c>
      <c r="M675" s="1">
        <v>13</v>
      </c>
      <c r="N675" s="1">
        <v>51</v>
      </c>
      <c r="O675" s="1">
        <v>94</v>
      </c>
      <c r="P675" s="1">
        <v>87</v>
      </c>
      <c r="Q675" s="24">
        <f t="shared" si="30"/>
        <v>819</v>
      </c>
      <c r="R675" s="23">
        <v>13994</v>
      </c>
      <c r="S675" s="1">
        <v>12338</v>
      </c>
      <c r="T675" s="1">
        <v>15730</v>
      </c>
      <c r="U675" s="1">
        <v>11083</v>
      </c>
      <c r="V675" s="1">
        <v>9191</v>
      </c>
      <c r="W675" s="1">
        <v>10410</v>
      </c>
      <c r="X675" s="1">
        <v>9644</v>
      </c>
      <c r="Y675" s="1">
        <v>4559</v>
      </c>
      <c r="Z675" s="1">
        <v>1571</v>
      </c>
      <c r="AA675" s="1">
        <v>6935</v>
      </c>
      <c r="AB675" s="1">
        <v>12058</v>
      </c>
      <c r="AC675" s="1">
        <v>11209</v>
      </c>
      <c r="AD675" s="24">
        <f t="shared" si="31"/>
        <v>118722</v>
      </c>
      <c r="AE675" s="23">
        <v>0</v>
      </c>
      <c r="AF675" s="1">
        <v>0</v>
      </c>
      <c r="AG675" s="1">
        <v>0</v>
      </c>
      <c r="AH675" s="1">
        <v>0</v>
      </c>
      <c r="AI675" s="1">
        <v>0</v>
      </c>
      <c r="AJ675" s="1">
        <v>0</v>
      </c>
      <c r="AK675" s="1">
        <v>0</v>
      </c>
      <c r="AL675" s="1">
        <v>0</v>
      </c>
      <c r="AM675" s="1">
        <v>0</v>
      </c>
      <c r="AN675" s="1">
        <v>0</v>
      </c>
      <c r="AO675" s="1">
        <v>0</v>
      </c>
      <c r="AP675" s="1">
        <v>0</v>
      </c>
      <c r="AQ675" s="24">
        <f t="shared" si="32"/>
        <v>0</v>
      </c>
    </row>
    <row r="676" spans="1:43" ht="17.25" customHeight="1" x14ac:dyDescent="0.45">
      <c r="A676" s="12" t="s">
        <v>17</v>
      </c>
      <c r="B676" s="12" t="s">
        <v>66</v>
      </c>
      <c r="C676" s="12" t="s">
        <v>101</v>
      </c>
      <c r="D676" s="12" t="s">
        <v>68</v>
      </c>
      <c r="E676" s="25">
        <v>28</v>
      </c>
      <c r="F676" s="10">
        <v>27</v>
      </c>
      <c r="G676" s="10">
        <v>31</v>
      </c>
      <c r="H676" s="10">
        <v>8</v>
      </c>
      <c r="I676" s="10">
        <v>0</v>
      </c>
      <c r="J676" s="10">
        <v>0</v>
      </c>
      <c r="K676" s="10">
        <v>0</v>
      </c>
      <c r="L676" s="10">
        <v>0</v>
      </c>
      <c r="M676" s="10">
        <v>0</v>
      </c>
      <c r="N676" s="10">
        <v>0</v>
      </c>
      <c r="O676" s="10">
        <v>0</v>
      </c>
      <c r="P676" s="10">
        <v>13</v>
      </c>
      <c r="Q676" s="26">
        <f t="shared" si="30"/>
        <v>107</v>
      </c>
      <c r="R676" s="25">
        <v>4432</v>
      </c>
      <c r="S676" s="10">
        <v>4560</v>
      </c>
      <c r="T676" s="10">
        <v>5343</v>
      </c>
      <c r="U676" s="10">
        <v>1341</v>
      </c>
      <c r="V676" s="10">
        <v>0</v>
      </c>
      <c r="W676" s="10">
        <v>0</v>
      </c>
      <c r="X676" s="10">
        <v>0</v>
      </c>
      <c r="Y676" s="10">
        <v>0</v>
      </c>
      <c r="Z676" s="10">
        <v>0</v>
      </c>
      <c r="AA676" s="10">
        <v>0</v>
      </c>
      <c r="AB676" s="10">
        <v>0</v>
      </c>
      <c r="AC676" s="10">
        <v>1276</v>
      </c>
      <c r="AD676" s="26">
        <f t="shared" si="31"/>
        <v>16952</v>
      </c>
      <c r="AE676" s="25">
        <v>0</v>
      </c>
      <c r="AF676" s="10">
        <v>0</v>
      </c>
      <c r="AG676" s="10">
        <v>0</v>
      </c>
      <c r="AH676" s="10">
        <v>0</v>
      </c>
      <c r="AI676" s="10">
        <v>0</v>
      </c>
      <c r="AJ676" s="10">
        <v>0</v>
      </c>
      <c r="AK676" s="10">
        <v>0</v>
      </c>
      <c r="AL676" s="10">
        <v>0</v>
      </c>
      <c r="AM676" s="10">
        <v>0</v>
      </c>
      <c r="AN676" s="10">
        <v>0</v>
      </c>
      <c r="AO676" s="10">
        <v>0</v>
      </c>
      <c r="AP676" s="10">
        <v>0</v>
      </c>
      <c r="AQ676" s="26">
        <f t="shared" si="32"/>
        <v>0</v>
      </c>
    </row>
    <row r="677" spans="1:43" ht="17.25" customHeight="1" x14ac:dyDescent="0.45">
      <c r="A677" s="2" t="s">
        <v>17</v>
      </c>
      <c r="B677" s="2" t="s">
        <v>66</v>
      </c>
      <c r="C677" s="2" t="s">
        <v>102</v>
      </c>
      <c r="D677" s="2" t="s">
        <v>65</v>
      </c>
      <c r="E677" s="23">
        <v>66</v>
      </c>
      <c r="F677" s="1">
        <v>62</v>
      </c>
      <c r="G677" s="1">
        <v>67</v>
      </c>
      <c r="H677" s="1">
        <v>51</v>
      </c>
      <c r="I677" s="1">
        <v>17</v>
      </c>
      <c r="J677" s="1">
        <v>4</v>
      </c>
      <c r="K677" s="1">
        <v>4</v>
      </c>
      <c r="L677" s="1">
        <v>5</v>
      </c>
      <c r="M677" s="1">
        <v>4</v>
      </c>
      <c r="N677" s="1">
        <v>13</v>
      </c>
      <c r="O677" s="1">
        <v>49</v>
      </c>
      <c r="P677" s="1">
        <v>58</v>
      </c>
      <c r="Q677" s="24">
        <f t="shared" si="30"/>
        <v>400</v>
      </c>
      <c r="R677" s="23">
        <v>9740</v>
      </c>
      <c r="S677" s="1">
        <v>10033</v>
      </c>
      <c r="T677" s="1">
        <v>10608</v>
      </c>
      <c r="U677" s="1">
        <v>8009</v>
      </c>
      <c r="V677" s="1">
        <v>2863</v>
      </c>
      <c r="W677" s="1">
        <v>548</v>
      </c>
      <c r="X677" s="1">
        <v>553</v>
      </c>
      <c r="Y677" s="1">
        <v>830</v>
      </c>
      <c r="Z677" s="1">
        <v>626</v>
      </c>
      <c r="AA677" s="1">
        <v>959</v>
      </c>
      <c r="AB677" s="1">
        <v>6174</v>
      </c>
      <c r="AC677" s="1">
        <v>7307</v>
      </c>
      <c r="AD677" s="24">
        <f t="shared" si="31"/>
        <v>58250</v>
      </c>
      <c r="AE677" s="23">
        <v>0</v>
      </c>
      <c r="AF677" s="1">
        <v>0</v>
      </c>
      <c r="AG677" s="1">
        <v>0</v>
      </c>
      <c r="AH677" s="1">
        <v>0</v>
      </c>
      <c r="AI677" s="1">
        <v>0</v>
      </c>
      <c r="AJ677" s="1">
        <v>0</v>
      </c>
      <c r="AK677" s="1">
        <v>0</v>
      </c>
      <c r="AL677" s="1">
        <v>0</v>
      </c>
      <c r="AM677" s="1">
        <v>0</v>
      </c>
      <c r="AN677" s="1">
        <v>0</v>
      </c>
      <c r="AO677" s="1">
        <v>0</v>
      </c>
      <c r="AP677" s="1">
        <v>0</v>
      </c>
      <c r="AQ677" s="24">
        <f t="shared" si="32"/>
        <v>0</v>
      </c>
    </row>
    <row r="678" spans="1:43" ht="17.25" customHeight="1" x14ac:dyDescent="0.45">
      <c r="A678" s="12" t="s">
        <v>17</v>
      </c>
      <c r="B678" s="12" t="s">
        <v>66</v>
      </c>
      <c r="C678" s="12" t="s">
        <v>69</v>
      </c>
      <c r="D678" s="12" t="s">
        <v>68</v>
      </c>
      <c r="E678" s="25">
        <v>93</v>
      </c>
      <c r="F678" s="10">
        <v>86</v>
      </c>
      <c r="G678" s="10">
        <v>97</v>
      </c>
      <c r="H678" s="10">
        <v>90</v>
      </c>
      <c r="I678" s="10">
        <v>92</v>
      </c>
      <c r="J678" s="10">
        <v>93</v>
      </c>
      <c r="K678" s="10">
        <v>94</v>
      </c>
      <c r="L678" s="10">
        <v>81</v>
      </c>
      <c r="M678" s="10">
        <v>64</v>
      </c>
      <c r="N678" s="10">
        <v>79</v>
      </c>
      <c r="O678" s="10">
        <v>78</v>
      </c>
      <c r="P678" s="10">
        <v>80</v>
      </c>
      <c r="Q678" s="26">
        <f t="shared" si="30"/>
        <v>1027</v>
      </c>
      <c r="R678" s="25">
        <v>9652</v>
      </c>
      <c r="S678" s="10">
        <v>8780</v>
      </c>
      <c r="T678" s="10">
        <v>11327</v>
      </c>
      <c r="U678" s="10">
        <v>11427</v>
      </c>
      <c r="V678" s="10">
        <v>11934</v>
      </c>
      <c r="W678" s="10">
        <v>12916</v>
      </c>
      <c r="X678" s="10">
        <v>13094</v>
      </c>
      <c r="Y678" s="10">
        <v>10588</v>
      </c>
      <c r="Z678" s="10">
        <v>7199</v>
      </c>
      <c r="AA678" s="10">
        <v>8958</v>
      </c>
      <c r="AB678" s="10">
        <v>8501</v>
      </c>
      <c r="AC678" s="10">
        <v>8474</v>
      </c>
      <c r="AD678" s="26">
        <f t="shared" si="31"/>
        <v>122850</v>
      </c>
      <c r="AE678" s="25">
        <v>12479</v>
      </c>
      <c r="AF678" s="10">
        <v>10307</v>
      </c>
      <c r="AG678" s="10">
        <v>10899</v>
      </c>
      <c r="AH678" s="10">
        <v>5982</v>
      </c>
      <c r="AI678" s="10">
        <v>7789</v>
      </c>
      <c r="AJ678" s="10">
        <v>11904</v>
      </c>
      <c r="AK678" s="10">
        <v>5204</v>
      </c>
      <c r="AL678" s="10">
        <v>2399</v>
      </c>
      <c r="AM678" s="10">
        <v>3756</v>
      </c>
      <c r="AN678" s="10">
        <v>1773</v>
      </c>
      <c r="AO678" s="10">
        <v>2308</v>
      </c>
      <c r="AP678" s="10">
        <v>2958</v>
      </c>
      <c r="AQ678" s="26">
        <f t="shared" si="32"/>
        <v>77758</v>
      </c>
    </row>
    <row r="679" spans="1:43" ht="17.25" customHeight="1" x14ac:dyDescent="0.45">
      <c r="A679" s="2" t="s">
        <v>17</v>
      </c>
      <c r="B679" s="2" t="s">
        <v>66</v>
      </c>
      <c r="C679" s="2" t="s">
        <v>114</v>
      </c>
      <c r="D679" s="2" t="s">
        <v>65</v>
      </c>
      <c r="E679" s="23">
        <v>9</v>
      </c>
      <c r="F679" s="1">
        <v>9</v>
      </c>
      <c r="G679" s="1">
        <v>8</v>
      </c>
      <c r="H679" s="1">
        <v>8</v>
      </c>
      <c r="I679" s="1">
        <v>2</v>
      </c>
      <c r="J679" s="1">
        <v>0</v>
      </c>
      <c r="K679" s="1">
        <v>0</v>
      </c>
      <c r="L679" s="1">
        <v>0</v>
      </c>
      <c r="M679" s="1">
        <v>0</v>
      </c>
      <c r="N679" s="1">
        <v>5</v>
      </c>
      <c r="O679" s="1">
        <v>11</v>
      </c>
      <c r="P679" s="1">
        <v>13</v>
      </c>
      <c r="Q679" s="24">
        <f t="shared" si="30"/>
        <v>65</v>
      </c>
      <c r="R679" s="23">
        <v>1466</v>
      </c>
      <c r="S679" s="1">
        <v>1486</v>
      </c>
      <c r="T679" s="1">
        <v>1333</v>
      </c>
      <c r="U679" s="1">
        <v>1290</v>
      </c>
      <c r="V679" s="1">
        <v>245</v>
      </c>
      <c r="W679" s="1">
        <v>0</v>
      </c>
      <c r="X679" s="1">
        <v>0</v>
      </c>
      <c r="Y679" s="1">
        <v>0</v>
      </c>
      <c r="Z679" s="1">
        <v>0</v>
      </c>
      <c r="AA679" s="1">
        <v>271</v>
      </c>
      <c r="AB679" s="1">
        <v>1197</v>
      </c>
      <c r="AC679" s="1">
        <v>1718</v>
      </c>
      <c r="AD679" s="24">
        <f t="shared" si="31"/>
        <v>9006</v>
      </c>
      <c r="AE679" s="23">
        <v>0</v>
      </c>
      <c r="AF679" s="1">
        <v>0</v>
      </c>
      <c r="AG679" s="1">
        <v>0</v>
      </c>
      <c r="AH679" s="1">
        <v>0</v>
      </c>
      <c r="AI679" s="1">
        <v>0</v>
      </c>
      <c r="AJ679" s="1">
        <v>0</v>
      </c>
      <c r="AK679" s="1">
        <v>0</v>
      </c>
      <c r="AL679" s="1">
        <v>0</v>
      </c>
      <c r="AM679" s="1">
        <v>0</v>
      </c>
      <c r="AN679" s="1">
        <v>0</v>
      </c>
      <c r="AO679" s="1">
        <v>0</v>
      </c>
      <c r="AP679" s="1">
        <v>0</v>
      </c>
      <c r="AQ679" s="24">
        <f t="shared" si="32"/>
        <v>0</v>
      </c>
    </row>
    <row r="680" spans="1:43" ht="17.25" customHeight="1" x14ac:dyDescent="0.45">
      <c r="A680" s="12" t="s">
        <v>17</v>
      </c>
      <c r="B680" s="12" t="s">
        <v>66</v>
      </c>
      <c r="C680" s="12" t="s">
        <v>115</v>
      </c>
      <c r="D680" s="12" t="s">
        <v>65</v>
      </c>
      <c r="E680" s="25">
        <v>9</v>
      </c>
      <c r="F680" s="10">
        <v>7</v>
      </c>
      <c r="G680" s="10">
        <v>9</v>
      </c>
      <c r="H680" s="10">
        <v>0</v>
      </c>
      <c r="I680" s="10">
        <v>0</v>
      </c>
      <c r="J680" s="10">
        <v>0</v>
      </c>
      <c r="K680" s="10">
        <v>0</v>
      </c>
      <c r="L680" s="10">
        <v>0</v>
      </c>
      <c r="M680" s="10">
        <v>0</v>
      </c>
      <c r="N680" s="10">
        <v>0</v>
      </c>
      <c r="O680" s="10">
        <v>0</v>
      </c>
      <c r="P680" s="10">
        <v>2</v>
      </c>
      <c r="Q680" s="26">
        <f t="shared" si="30"/>
        <v>27</v>
      </c>
      <c r="R680" s="25">
        <v>1055</v>
      </c>
      <c r="S680" s="10">
        <v>887</v>
      </c>
      <c r="T680" s="10">
        <v>1209</v>
      </c>
      <c r="U680" s="10">
        <v>0</v>
      </c>
      <c r="V680" s="10">
        <v>0</v>
      </c>
      <c r="W680" s="10">
        <v>0</v>
      </c>
      <c r="X680" s="10">
        <v>0</v>
      </c>
      <c r="Y680" s="10">
        <v>0</v>
      </c>
      <c r="Z680" s="10">
        <v>0</v>
      </c>
      <c r="AA680" s="10">
        <v>0</v>
      </c>
      <c r="AB680" s="10">
        <v>0</v>
      </c>
      <c r="AC680" s="10">
        <v>193</v>
      </c>
      <c r="AD680" s="26">
        <f t="shared" si="31"/>
        <v>3344</v>
      </c>
      <c r="AE680" s="25">
        <v>0</v>
      </c>
      <c r="AF680" s="10">
        <v>0</v>
      </c>
      <c r="AG680" s="10">
        <v>0</v>
      </c>
      <c r="AH680" s="10">
        <v>0</v>
      </c>
      <c r="AI680" s="10">
        <v>0</v>
      </c>
      <c r="AJ680" s="10">
        <v>0</v>
      </c>
      <c r="AK680" s="10">
        <v>0</v>
      </c>
      <c r="AL680" s="10">
        <v>0</v>
      </c>
      <c r="AM680" s="10">
        <v>0</v>
      </c>
      <c r="AN680" s="10">
        <v>0</v>
      </c>
      <c r="AO680" s="10">
        <v>0</v>
      </c>
      <c r="AP680" s="10">
        <v>0</v>
      </c>
      <c r="AQ680" s="26">
        <f t="shared" si="32"/>
        <v>0</v>
      </c>
    </row>
    <row r="681" spans="1:43" ht="17.25" customHeight="1" x14ac:dyDescent="0.45">
      <c r="A681" s="2" t="s">
        <v>17</v>
      </c>
      <c r="B681" s="2" t="s">
        <v>66</v>
      </c>
      <c r="C681" s="2" t="s">
        <v>184</v>
      </c>
      <c r="D681" s="2" t="s">
        <v>68</v>
      </c>
      <c r="E681" s="23">
        <v>17</v>
      </c>
      <c r="F681" s="1">
        <v>17</v>
      </c>
      <c r="G681" s="1">
        <v>18</v>
      </c>
      <c r="H681" s="1">
        <v>8</v>
      </c>
      <c r="I681" s="1">
        <v>0</v>
      </c>
      <c r="J681" s="1">
        <v>0</v>
      </c>
      <c r="K681" s="1">
        <v>0</v>
      </c>
      <c r="L681" s="1">
        <v>0</v>
      </c>
      <c r="M681" s="1">
        <v>0</v>
      </c>
      <c r="N681" s="1">
        <v>0</v>
      </c>
      <c r="O681" s="1">
        <v>2</v>
      </c>
      <c r="P681" s="1">
        <v>4</v>
      </c>
      <c r="Q681" s="24">
        <f t="shared" si="30"/>
        <v>66</v>
      </c>
      <c r="R681" s="23">
        <v>1231</v>
      </c>
      <c r="S681" s="1">
        <v>1162</v>
      </c>
      <c r="T681" s="1">
        <v>1254</v>
      </c>
      <c r="U681" s="1">
        <v>579</v>
      </c>
      <c r="V681" s="1">
        <v>0</v>
      </c>
      <c r="W681" s="1">
        <v>0</v>
      </c>
      <c r="X681" s="1">
        <v>0</v>
      </c>
      <c r="Y681" s="1">
        <v>0</v>
      </c>
      <c r="Z681" s="1">
        <v>0</v>
      </c>
      <c r="AA681" s="1">
        <v>0</v>
      </c>
      <c r="AB681" s="1">
        <v>121</v>
      </c>
      <c r="AC681" s="1">
        <v>253</v>
      </c>
      <c r="AD681" s="24">
        <f t="shared" si="31"/>
        <v>4600</v>
      </c>
      <c r="AE681" s="23">
        <v>0</v>
      </c>
      <c r="AF681" s="1">
        <v>0</v>
      </c>
      <c r="AG681" s="1">
        <v>0</v>
      </c>
      <c r="AH681" s="1">
        <v>0</v>
      </c>
      <c r="AI681" s="1">
        <v>0</v>
      </c>
      <c r="AJ681" s="1">
        <v>0</v>
      </c>
      <c r="AK681" s="1">
        <v>0</v>
      </c>
      <c r="AL681" s="1">
        <v>0</v>
      </c>
      <c r="AM681" s="1">
        <v>0</v>
      </c>
      <c r="AN681" s="1">
        <v>0</v>
      </c>
      <c r="AO681" s="1">
        <v>0</v>
      </c>
      <c r="AP681" s="1">
        <v>0</v>
      </c>
      <c r="AQ681" s="24">
        <f t="shared" si="32"/>
        <v>0</v>
      </c>
    </row>
    <row r="682" spans="1:43" ht="17.25" customHeight="1" x14ac:dyDescent="0.45">
      <c r="A682" s="12" t="s">
        <v>17</v>
      </c>
      <c r="B682" s="12" t="s">
        <v>66</v>
      </c>
      <c r="C682" s="12" t="s">
        <v>73</v>
      </c>
      <c r="D682" s="12" t="s">
        <v>68</v>
      </c>
      <c r="E682" s="25">
        <v>161</v>
      </c>
      <c r="F682" s="10">
        <v>162</v>
      </c>
      <c r="G682" s="10">
        <v>167</v>
      </c>
      <c r="H682" s="10">
        <v>141</v>
      </c>
      <c r="I682" s="10">
        <v>128</v>
      </c>
      <c r="J682" s="10">
        <v>104</v>
      </c>
      <c r="K682" s="10">
        <v>91</v>
      </c>
      <c r="L682" s="10">
        <v>65</v>
      </c>
      <c r="M682" s="10">
        <v>56</v>
      </c>
      <c r="N682" s="10">
        <v>58</v>
      </c>
      <c r="O682" s="10">
        <v>108</v>
      </c>
      <c r="P682" s="10">
        <v>131</v>
      </c>
      <c r="Q682" s="26">
        <f t="shared" si="30"/>
        <v>1372</v>
      </c>
      <c r="R682" s="25">
        <v>21688</v>
      </c>
      <c r="S682" s="10">
        <v>18404</v>
      </c>
      <c r="T682" s="10">
        <v>22452</v>
      </c>
      <c r="U682" s="10">
        <v>21574</v>
      </c>
      <c r="V682" s="10">
        <v>19308</v>
      </c>
      <c r="W682" s="10">
        <v>16759</v>
      </c>
      <c r="X682" s="10">
        <v>15199</v>
      </c>
      <c r="Y682" s="10">
        <v>10787</v>
      </c>
      <c r="Z682" s="10">
        <v>8906</v>
      </c>
      <c r="AA682" s="10">
        <v>9044</v>
      </c>
      <c r="AB682" s="10">
        <v>14946</v>
      </c>
      <c r="AC682" s="10">
        <v>17818</v>
      </c>
      <c r="AD682" s="26">
        <f t="shared" si="31"/>
        <v>196885</v>
      </c>
      <c r="AE682" s="25">
        <v>1477.99573242</v>
      </c>
      <c r="AF682" s="10">
        <v>1599.0808471300002</v>
      </c>
      <c r="AG682" s="10">
        <v>18</v>
      </c>
      <c r="AH682" s="10">
        <v>925.68488839999998</v>
      </c>
      <c r="AI682" s="10">
        <v>0</v>
      </c>
      <c r="AJ682" s="10">
        <v>76</v>
      </c>
      <c r="AK682" s="10">
        <v>135</v>
      </c>
      <c r="AL682" s="10">
        <v>95</v>
      </c>
      <c r="AM682" s="10">
        <v>59</v>
      </c>
      <c r="AN682" s="10">
        <v>29</v>
      </c>
      <c r="AO682" s="10">
        <v>99</v>
      </c>
      <c r="AP682" s="10">
        <v>171</v>
      </c>
      <c r="AQ682" s="26">
        <f t="shared" si="32"/>
        <v>4684.7614679500002</v>
      </c>
    </row>
    <row r="683" spans="1:43" ht="17.25" customHeight="1" x14ac:dyDescent="0.45">
      <c r="A683" s="2" t="s">
        <v>17</v>
      </c>
      <c r="B683" s="2" t="s">
        <v>66</v>
      </c>
      <c r="C683" s="2" t="s">
        <v>124</v>
      </c>
      <c r="D683" s="2" t="s">
        <v>85</v>
      </c>
      <c r="E683" s="23">
        <v>5</v>
      </c>
      <c r="F683" s="1">
        <v>4</v>
      </c>
      <c r="G683" s="1">
        <v>4</v>
      </c>
      <c r="H683" s="1">
        <v>5</v>
      </c>
      <c r="I683" s="1">
        <v>0</v>
      </c>
      <c r="J683" s="1">
        <v>0</v>
      </c>
      <c r="K683" s="1">
        <v>0</v>
      </c>
      <c r="L683" s="1">
        <v>0</v>
      </c>
      <c r="M683" s="1">
        <v>0</v>
      </c>
      <c r="N683" s="1">
        <v>0</v>
      </c>
      <c r="O683" s="1">
        <v>0</v>
      </c>
      <c r="P683" s="1">
        <v>0</v>
      </c>
      <c r="Q683" s="24">
        <f t="shared" si="30"/>
        <v>18</v>
      </c>
      <c r="R683" s="23">
        <v>1369</v>
      </c>
      <c r="S683" s="1">
        <v>919</v>
      </c>
      <c r="T683" s="1">
        <v>944</v>
      </c>
      <c r="U683" s="1">
        <v>1438</v>
      </c>
      <c r="V683" s="1">
        <v>0</v>
      </c>
      <c r="W683" s="1">
        <v>0</v>
      </c>
      <c r="X683" s="1">
        <v>0</v>
      </c>
      <c r="Y683" s="1">
        <v>0</v>
      </c>
      <c r="Z683" s="1">
        <v>0</v>
      </c>
      <c r="AA683" s="1">
        <v>0</v>
      </c>
      <c r="AB683" s="1">
        <v>0</v>
      </c>
      <c r="AC683" s="1">
        <v>0</v>
      </c>
      <c r="AD683" s="24">
        <f t="shared" si="31"/>
        <v>4670</v>
      </c>
      <c r="AE683" s="23">
        <v>0</v>
      </c>
      <c r="AF683" s="1">
        <v>0</v>
      </c>
      <c r="AG683" s="1">
        <v>0</v>
      </c>
      <c r="AH683" s="1">
        <v>0</v>
      </c>
      <c r="AI683" s="1">
        <v>0</v>
      </c>
      <c r="AJ683" s="1">
        <v>0</v>
      </c>
      <c r="AK683" s="1">
        <v>0</v>
      </c>
      <c r="AL683" s="1">
        <v>0</v>
      </c>
      <c r="AM683" s="1">
        <v>0</v>
      </c>
      <c r="AN683" s="1">
        <v>0</v>
      </c>
      <c r="AO683" s="1">
        <v>0</v>
      </c>
      <c r="AP683" s="1">
        <v>0</v>
      </c>
      <c r="AQ683" s="24">
        <f t="shared" si="32"/>
        <v>0</v>
      </c>
    </row>
    <row r="684" spans="1:43" ht="17.25" customHeight="1" x14ac:dyDescent="0.45">
      <c r="A684" s="12" t="s">
        <v>17</v>
      </c>
      <c r="B684" s="12" t="s">
        <v>66</v>
      </c>
      <c r="C684" s="12" t="s">
        <v>130</v>
      </c>
      <c r="D684" s="12" t="s">
        <v>68</v>
      </c>
      <c r="E684" s="25">
        <v>80</v>
      </c>
      <c r="F684" s="10">
        <v>83</v>
      </c>
      <c r="G684" s="10">
        <v>105</v>
      </c>
      <c r="H684" s="10">
        <v>42</v>
      </c>
      <c r="I684" s="10">
        <v>0</v>
      </c>
      <c r="J684" s="10">
        <v>0</v>
      </c>
      <c r="K684" s="10">
        <v>0</v>
      </c>
      <c r="L684" s="10">
        <v>0</v>
      </c>
      <c r="M684" s="10">
        <v>0</v>
      </c>
      <c r="N684" s="10">
        <v>0</v>
      </c>
      <c r="O684" s="10">
        <v>10</v>
      </c>
      <c r="P684" s="10">
        <v>46</v>
      </c>
      <c r="Q684" s="26">
        <f t="shared" si="30"/>
        <v>366</v>
      </c>
      <c r="R684" s="25">
        <v>11196</v>
      </c>
      <c r="S684" s="10">
        <v>12139</v>
      </c>
      <c r="T684" s="10">
        <v>16729</v>
      </c>
      <c r="U684" s="10">
        <v>6693</v>
      </c>
      <c r="V684" s="10">
        <v>0</v>
      </c>
      <c r="W684" s="10">
        <v>0</v>
      </c>
      <c r="X684" s="10">
        <v>0</v>
      </c>
      <c r="Y684" s="10">
        <v>0</v>
      </c>
      <c r="Z684" s="10">
        <v>0</v>
      </c>
      <c r="AA684" s="10">
        <v>0</v>
      </c>
      <c r="AB684" s="10">
        <v>1439</v>
      </c>
      <c r="AC684" s="10">
        <v>4529</v>
      </c>
      <c r="AD684" s="26">
        <f t="shared" si="31"/>
        <v>52725</v>
      </c>
      <c r="AE684" s="25">
        <v>0</v>
      </c>
      <c r="AF684" s="10">
        <v>0</v>
      </c>
      <c r="AG684" s="10">
        <v>0</v>
      </c>
      <c r="AH684" s="10">
        <v>0</v>
      </c>
      <c r="AI684" s="10">
        <v>0</v>
      </c>
      <c r="AJ684" s="10">
        <v>0</v>
      </c>
      <c r="AK684" s="10">
        <v>0</v>
      </c>
      <c r="AL684" s="10">
        <v>0</v>
      </c>
      <c r="AM684" s="10">
        <v>0</v>
      </c>
      <c r="AN684" s="10">
        <v>0</v>
      </c>
      <c r="AO684" s="10">
        <v>0</v>
      </c>
      <c r="AP684" s="10">
        <v>0</v>
      </c>
      <c r="AQ684" s="26">
        <f t="shared" si="32"/>
        <v>0</v>
      </c>
    </row>
    <row r="685" spans="1:43" ht="17.25" customHeight="1" x14ac:dyDescent="0.45">
      <c r="A685" s="2" t="s">
        <v>17</v>
      </c>
      <c r="B685" s="2" t="s">
        <v>66</v>
      </c>
      <c r="C685" s="2" t="s">
        <v>70</v>
      </c>
      <c r="D685" s="2" t="s">
        <v>65</v>
      </c>
      <c r="E685" s="23">
        <v>23</v>
      </c>
      <c r="F685" s="1">
        <v>26</v>
      </c>
      <c r="G685" s="1">
        <v>28</v>
      </c>
      <c r="H685" s="1">
        <v>21</v>
      </c>
      <c r="I685" s="1">
        <v>5</v>
      </c>
      <c r="J685" s="1">
        <v>5</v>
      </c>
      <c r="K685" s="1">
        <v>4</v>
      </c>
      <c r="L685" s="1">
        <v>5</v>
      </c>
      <c r="M685" s="1">
        <v>4</v>
      </c>
      <c r="N685" s="1">
        <v>7</v>
      </c>
      <c r="O685" s="1">
        <v>26</v>
      </c>
      <c r="P685" s="1">
        <v>33</v>
      </c>
      <c r="Q685" s="24">
        <f t="shared" si="30"/>
        <v>187</v>
      </c>
      <c r="R685" s="23">
        <v>4153</v>
      </c>
      <c r="S685" s="1">
        <v>4630</v>
      </c>
      <c r="T685" s="1">
        <v>5623</v>
      </c>
      <c r="U685" s="1">
        <v>4220</v>
      </c>
      <c r="V685" s="1">
        <v>883</v>
      </c>
      <c r="W685" s="1">
        <v>704</v>
      </c>
      <c r="X685" s="1">
        <v>714</v>
      </c>
      <c r="Y685" s="1">
        <v>829</v>
      </c>
      <c r="Z685" s="1">
        <v>447</v>
      </c>
      <c r="AA685" s="1">
        <v>595</v>
      </c>
      <c r="AB685" s="1">
        <v>3131</v>
      </c>
      <c r="AC685" s="1">
        <v>4088</v>
      </c>
      <c r="AD685" s="24">
        <f t="shared" si="31"/>
        <v>30017</v>
      </c>
      <c r="AE685" s="23">
        <v>0</v>
      </c>
      <c r="AF685" s="1">
        <v>0</v>
      </c>
      <c r="AG685" s="1">
        <v>0</v>
      </c>
      <c r="AH685" s="1">
        <v>0</v>
      </c>
      <c r="AI685" s="1">
        <v>0</v>
      </c>
      <c r="AJ685" s="1">
        <v>0</v>
      </c>
      <c r="AK685" s="1">
        <v>0</v>
      </c>
      <c r="AL685" s="1">
        <v>0</v>
      </c>
      <c r="AM685" s="1">
        <v>0</v>
      </c>
      <c r="AN685" s="1">
        <v>0</v>
      </c>
      <c r="AO685" s="1">
        <v>0</v>
      </c>
      <c r="AP685" s="1">
        <v>0</v>
      </c>
      <c r="AQ685" s="24">
        <f t="shared" si="32"/>
        <v>0</v>
      </c>
    </row>
    <row r="686" spans="1:43" ht="17.25" customHeight="1" x14ac:dyDescent="0.45">
      <c r="A686" s="12" t="s">
        <v>17</v>
      </c>
      <c r="B686" s="12" t="s">
        <v>66</v>
      </c>
      <c r="C686" s="12" t="s">
        <v>132</v>
      </c>
      <c r="D686" s="12" t="s">
        <v>68</v>
      </c>
      <c r="E686" s="25">
        <v>9</v>
      </c>
      <c r="F686" s="10">
        <v>10</v>
      </c>
      <c r="G686" s="10">
        <v>14</v>
      </c>
      <c r="H686" s="10">
        <v>4</v>
      </c>
      <c r="I686" s="10">
        <v>4</v>
      </c>
      <c r="J686" s="10">
        <v>5</v>
      </c>
      <c r="K686" s="10">
        <v>4</v>
      </c>
      <c r="L686" s="10">
        <v>5</v>
      </c>
      <c r="M686" s="10">
        <v>4</v>
      </c>
      <c r="N686" s="10">
        <v>4</v>
      </c>
      <c r="O686" s="10">
        <v>5</v>
      </c>
      <c r="P686" s="10">
        <v>15</v>
      </c>
      <c r="Q686" s="26">
        <f t="shared" si="30"/>
        <v>83</v>
      </c>
      <c r="R686" s="25">
        <v>1463</v>
      </c>
      <c r="S686" s="10">
        <v>1562</v>
      </c>
      <c r="T686" s="10">
        <v>2297</v>
      </c>
      <c r="U686" s="10">
        <v>607</v>
      </c>
      <c r="V686" s="10">
        <v>664</v>
      </c>
      <c r="W686" s="10">
        <v>803</v>
      </c>
      <c r="X686" s="10">
        <v>657</v>
      </c>
      <c r="Y686" s="10">
        <v>806</v>
      </c>
      <c r="Z686" s="10">
        <v>251</v>
      </c>
      <c r="AA686" s="10">
        <v>433</v>
      </c>
      <c r="AB686" s="10">
        <v>778</v>
      </c>
      <c r="AC686" s="10">
        <v>1652</v>
      </c>
      <c r="AD686" s="26">
        <f t="shared" si="31"/>
        <v>11973</v>
      </c>
      <c r="AE686" s="25">
        <v>0</v>
      </c>
      <c r="AF686" s="10">
        <v>0</v>
      </c>
      <c r="AG686" s="10">
        <v>0</v>
      </c>
      <c r="AH686" s="10">
        <v>0</v>
      </c>
      <c r="AI686" s="10">
        <v>0</v>
      </c>
      <c r="AJ686" s="10">
        <v>0</v>
      </c>
      <c r="AK686" s="10">
        <v>0</v>
      </c>
      <c r="AL686" s="10">
        <v>0</v>
      </c>
      <c r="AM686" s="10">
        <v>0</v>
      </c>
      <c r="AN686" s="10">
        <v>0</v>
      </c>
      <c r="AO686" s="10">
        <v>0</v>
      </c>
      <c r="AP686" s="10">
        <v>0</v>
      </c>
      <c r="AQ686" s="26">
        <f t="shared" si="32"/>
        <v>0</v>
      </c>
    </row>
    <row r="687" spans="1:43" ht="17.25" customHeight="1" x14ac:dyDescent="0.45">
      <c r="A687" s="2" t="s">
        <v>17</v>
      </c>
      <c r="B687" s="2" t="s">
        <v>66</v>
      </c>
      <c r="C687" s="2" t="s">
        <v>134</v>
      </c>
      <c r="D687" s="2" t="s">
        <v>68</v>
      </c>
      <c r="E687" s="23">
        <v>22</v>
      </c>
      <c r="F687" s="1">
        <v>25</v>
      </c>
      <c r="G687" s="1">
        <v>31</v>
      </c>
      <c r="H687" s="1">
        <v>30</v>
      </c>
      <c r="I687" s="1">
        <v>0</v>
      </c>
      <c r="J687" s="1">
        <v>0</v>
      </c>
      <c r="K687" s="1">
        <v>0</v>
      </c>
      <c r="L687" s="1">
        <v>0</v>
      </c>
      <c r="M687" s="1">
        <v>0</v>
      </c>
      <c r="N687" s="1">
        <v>0</v>
      </c>
      <c r="O687" s="1">
        <v>0</v>
      </c>
      <c r="P687" s="1">
        <v>0</v>
      </c>
      <c r="Q687" s="24">
        <f t="shared" si="30"/>
        <v>108</v>
      </c>
      <c r="R687" s="23">
        <v>3391</v>
      </c>
      <c r="S687" s="1">
        <v>3574</v>
      </c>
      <c r="T687" s="1">
        <v>5027</v>
      </c>
      <c r="U687" s="1">
        <v>4769</v>
      </c>
      <c r="V687" s="1">
        <v>0</v>
      </c>
      <c r="W687" s="1">
        <v>0</v>
      </c>
      <c r="X687" s="1">
        <v>0</v>
      </c>
      <c r="Y687" s="1">
        <v>0</v>
      </c>
      <c r="Z687" s="1">
        <v>0</v>
      </c>
      <c r="AA687" s="1">
        <v>0</v>
      </c>
      <c r="AB687" s="1">
        <v>0</v>
      </c>
      <c r="AC687" s="1">
        <v>0</v>
      </c>
      <c r="AD687" s="24">
        <f t="shared" si="31"/>
        <v>16761</v>
      </c>
      <c r="AE687" s="23">
        <v>0</v>
      </c>
      <c r="AF687" s="1">
        <v>0</v>
      </c>
      <c r="AG687" s="1">
        <v>0</v>
      </c>
      <c r="AH687" s="1">
        <v>0</v>
      </c>
      <c r="AI687" s="1">
        <v>0</v>
      </c>
      <c r="AJ687" s="1">
        <v>0</v>
      </c>
      <c r="AK687" s="1">
        <v>0</v>
      </c>
      <c r="AL687" s="1">
        <v>0</v>
      </c>
      <c r="AM687" s="1">
        <v>0</v>
      </c>
      <c r="AN687" s="1">
        <v>0</v>
      </c>
      <c r="AO687" s="1">
        <v>0</v>
      </c>
      <c r="AP687" s="1">
        <v>0</v>
      </c>
      <c r="AQ687" s="24">
        <f t="shared" si="32"/>
        <v>0</v>
      </c>
    </row>
    <row r="688" spans="1:43" ht="17.25" customHeight="1" x14ac:dyDescent="0.45">
      <c r="A688" s="12" t="s">
        <v>17</v>
      </c>
      <c r="B688" s="12" t="s">
        <v>66</v>
      </c>
      <c r="C688" s="12" t="s">
        <v>136</v>
      </c>
      <c r="D688" s="12" t="s">
        <v>65</v>
      </c>
      <c r="E688" s="25">
        <v>4</v>
      </c>
      <c r="F688" s="10">
        <v>4</v>
      </c>
      <c r="G688" s="10">
        <v>5</v>
      </c>
      <c r="H688" s="10">
        <v>0</v>
      </c>
      <c r="I688" s="10">
        <v>0</v>
      </c>
      <c r="J688" s="10">
        <v>0</v>
      </c>
      <c r="K688" s="10">
        <v>0</v>
      </c>
      <c r="L688" s="10">
        <v>0</v>
      </c>
      <c r="M688" s="10">
        <v>0</v>
      </c>
      <c r="N688" s="10">
        <v>0</v>
      </c>
      <c r="O688" s="10">
        <v>0</v>
      </c>
      <c r="P688" s="10">
        <v>2</v>
      </c>
      <c r="Q688" s="26">
        <f t="shared" si="30"/>
        <v>15</v>
      </c>
      <c r="R688" s="25">
        <v>562</v>
      </c>
      <c r="S688" s="10">
        <v>628</v>
      </c>
      <c r="T688" s="10">
        <v>866</v>
      </c>
      <c r="U688" s="10">
        <v>0</v>
      </c>
      <c r="V688" s="10">
        <v>0</v>
      </c>
      <c r="W688" s="10">
        <v>0</v>
      </c>
      <c r="X688" s="10">
        <v>0</v>
      </c>
      <c r="Y688" s="10">
        <v>0</v>
      </c>
      <c r="Z688" s="10">
        <v>0</v>
      </c>
      <c r="AA688" s="10">
        <v>0</v>
      </c>
      <c r="AB688" s="10">
        <v>0</v>
      </c>
      <c r="AC688" s="10">
        <v>226</v>
      </c>
      <c r="AD688" s="26">
        <f t="shared" si="31"/>
        <v>2282</v>
      </c>
      <c r="AE688" s="25">
        <v>0</v>
      </c>
      <c r="AF688" s="10">
        <v>0</v>
      </c>
      <c r="AG688" s="10">
        <v>0</v>
      </c>
      <c r="AH688" s="10">
        <v>0</v>
      </c>
      <c r="AI688" s="10">
        <v>0</v>
      </c>
      <c r="AJ688" s="10">
        <v>0</v>
      </c>
      <c r="AK688" s="10">
        <v>0</v>
      </c>
      <c r="AL688" s="10">
        <v>0</v>
      </c>
      <c r="AM688" s="10">
        <v>0</v>
      </c>
      <c r="AN688" s="10">
        <v>0</v>
      </c>
      <c r="AO688" s="10">
        <v>0</v>
      </c>
      <c r="AP688" s="10">
        <v>0</v>
      </c>
      <c r="AQ688" s="26">
        <f t="shared" si="32"/>
        <v>0</v>
      </c>
    </row>
    <row r="689" spans="1:43" ht="17.25" customHeight="1" x14ac:dyDescent="0.45">
      <c r="A689" s="2" t="s">
        <v>17</v>
      </c>
      <c r="B689" s="2" t="s">
        <v>66</v>
      </c>
      <c r="C689" s="2" t="s">
        <v>142</v>
      </c>
      <c r="D689" s="2" t="s">
        <v>68</v>
      </c>
      <c r="E689" s="23">
        <v>97</v>
      </c>
      <c r="F689" s="1">
        <v>91</v>
      </c>
      <c r="G689" s="1">
        <v>98</v>
      </c>
      <c r="H689" s="1">
        <v>90</v>
      </c>
      <c r="I689" s="1">
        <v>93</v>
      </c>
      <c r="J689" s="1">
        <v>90</v>
      </c>
      <c r="K689" s="1">
        <v>93</v>
      </c>
      <c r="L689" s="1">
        <v>67</v>
      </c>
      <c r="M689" s="1">
        <v>60</v>
      </c>
      <c r="N689" s="1">
        <v>87</v>
      </c>
      <c r="O689" s="1">
        <v>107</v>
      </c>
      <c r="P689" s="1">
        <v>114</v>
      </c>
      <c r="Q689" s="24">
        <f t="shared" si="30"/>
        <v>1087</v>
      </c>
      <c r="R689" s="23">
        <v>13977</v>
      </c>
      <c r="S689" s="1">
        <v>13360</v>
      </c>
      <c r="T689" s="1">
        <v>15683</v>
      </c>
      <c r="U689" s="1">
        <v>14042</v>
      </c>
      <c r="V689" s="1">
        <v>13850</v>
      </c>
      <c r="W689" s="1">
        <v>13746</v>
      </c>
      <c r="X689" s="1">
        <v>14365</v>
      </c>
      <c r="Y689" s="1">
        <v>10055</v>
      </c>
      <c r="Z689" s="1">
        <v>8692</v>
      </c>
      <c r="AA689" s="1">
        <v>11839</v>
      </c>
      <c r="AB689" s="1">
        <v>13167</v>
      </c>
      <c r="AC689" s="1">
        <v>14318</v>
      </c>
      <c r="AD689" s="24">
        <f t="shared" si="31"/>
        <v>157094</v>
      </c>
      <c r="AE689" s="23">
        <v>0</v>
      </c>
      <c r="AF689" s="1">
        <v>0</v>
      </c>
      <c r="AG689" s="1">
        <v>0</v>
      </c>
      <c r="AH689" s="1">
        <v>0</v>
      </c>
      <c r="AI689" s="1">
        <v>0</v>
      </c>
      <c r="AJ689" s="1">
        <v>0</v>
      </c>
      <c r="AK689" s="1">
        <v>0</v>
      </c>
      <c r="AL689" s="1">
        <v>0</v>
      </c>
      <c r="AM689" s="1">
        <v>0</v>
      </c>
      <c r="AN689" s="1">
        <v>0</v>
      </c>
      <c r="AO689" s="1">
        <v>0</v>
      </c>
      <c r="AP689" s="1">
        <v>0</v>
      </c>
      <c r="AQ689" s="24">
        <f t="shared" si="32"/>
        <v>0</v>
      </c>
    </row>
    <row r="690" spans="1:43" ht="17.25" customHeight="1" x14ac:dyDescent="0.45">
      <c r="A690" s="12" t="s">
        <v>17</v>
      </c>
      <c r="B690" s="12" t="s">
        <v>66</v>
      </c>
      <c r="C690" s="12" t="s">
        <v>143</v>
      </c>
      <c r="D690" s="12" t="s">
        <v>68</v>
      </c>
      <c r="E690" s="25">
        <v>23</v>
      </c>
      <c r="F690" s="10">
        <v>29</v>
      </c>
      <c r="G690" s="10">
        <v>29</v>
      </c>
      <c r="H690" s="10">
        <v>13</v>
      </c>
      <c r="I690" s="10">
        <v>6</v>
      </c>
      <c r="J690" s="10">
        <v>5</v>
      </c>
      <c r="K690" s="10">
        <v>4</v>
      </c>
      <c r="L690" s="10">
        <v>3</v>
      </c>
      <c r="M690" s="10">
        <v>0</v>
      </c>
      <c r="N690" s="10">
        <v>11</v>
      </c>
      <c r="O690" s="10">
        <v>22</v>
      </c>
      <c r="P690" s="10">
        <v>31</v>
      </c>
      <c r="Q690" s="26">
        <f t="shared" si="30"/>
        <v>176</v>
      </c>
      <c r="R690" s="25">
        <v>3810</v>
      </c>
      <c r="S690" s="10">
        <v>4745</v>
      </c>
      <c r="T690" s="10">
        <v>4566</v>
      </c>
      <c r="U690" s="10">
        <v>2170</v>
      </c>
      <c r="V690" s="10">
        <v>957</v>
      </c>
      <c r="W690" s="10">
        <v>807</v>
      </c>
      <c r="X690" s="10">
        <v>702</v>
      </c>
      <c r="Y690" s="10">
        <v>512</v>
      </c>
      <c r="Z690" s="10">
        <v>0</v>
      </c>
      <c r="AA690" s="10">
        <v>1331</v>
      </c>
      <c r="AB690" s="10">
        <v>3044</v>
      </c>
      <c r="AC690" s="10">
        <v>4702</v>
      </c>
      <c r="AD690" s="26">
        <f t="shared" si="31"/>
        <v>27346</v>
      </c>
      <c r="AE690" s="25">
        <v>174</v>
      </c>
      <c r="AF690" s="10">
        <v>217</v>
      </c>
      <c r="AG690" s="10">
        <v>562</v>
      </c>
      <c r="AH690" s="10">
        <v>221</v>
      </c>
      <c r="AI690" s="10">
        <v>211</v>
      </c>
      <c r="AJ690" s="10">
        <v>207</v>
      </c>
      <c r="AK690" s="10">
        <v>125</v>
      </c>
      <c r="AL690" s="10">
        <v>66</v>
      </c>
      <c r="AM690" s="10">
        <v>0</v>
      </c>
      <c r="AN690" s="10">
        <v>161</v>
      </c>
      <c r="AO690" s="10">
        <v>273</v>
      </c>
      <c r="AP690" s="10">
        <v>346</v>
      </c>
      <c r="AQ690" s="26">
        <f t="shared" si="32"/>
        <v>2563</v>
      </c>
    </row>
    <row r="691" spans="1:43" ht="17.25" customHeight="1" x14ac:dyDescent="0.45">
      <c r="A691" s="2" t="s">
        <v>17</v>
      </c>
      <c r="B691" s="2" t="s">
        <v>66</v>
      </c>
      <c r="C691" s="2" t="s">
        <v>244</v>
      </c>
      <c r="D691" s="2" t="s">
        <v>65</v>
      </c>
      <c r="E691" s="23">
        <v>4</v>
      </c>
      <c r="F691" s="1">
        <v>4</v>
      </c>
      <c r="G691" s="1">
        <v>5</v>
      </c>
      <c r="H691" s="1">
        <v>3</v>
      </c>
      <c r="I691" s="1">
        <v>0</v>
      </c>
      <c r="J691" s="1">
        <v>0</v>
      </c>
      <c r="K691" s="1">
        <v>0</v>
      </c>
      <c r="L691" s="1">
        <v>0</v>
      </c>
      <c r="M691" s="1">
        <v>0</v>
      </c>
      <c r="N691" s="1">
        <v>0</v>
      </c>
      <c r="O691" s="1">
        <v>0</v>
      </c>
      <c r="P691" s="1">
        <v>3</v>
      </c>
      <c r="Q691" s="24">
        <f t="shared" si="30"/>
        <v>19</v>
      </c>
      <c r="R691" s="23">
        <v>367</v>
      </c>
      <c r="S691" s="1">
        <v>593</v>
      </c>
      <c r="T691" s="1">
        <v>791</v>
      </c>
      <c r="U691" s="1">
        <v>460</v>
      </c>
      <c r="V691" s="1">
        <v>0</v>
      </c>
      <c r="W691" s="1">
        <v>0</v>
      </c>
      <c r="X691" s="1">
        <v>0</v>
      </c>
      <c r="Y691" s="1">
        <v>0</v>
      </c>
      <c r="Z691" s="1">
        <v>0</v>
      </c>
      <c r="AA691" s="1">
        <v>0</v>
      </c>
      <c r="AB691" s="1">
        <v>0</v>
      </c>
      <c r="AC691" s="1">
        <v>310</v>
      </c>
      <c r="AD691" s="24">
        <f t="shared" si="31"/>
        <v>2521</v>
      </c>
      <c r="AE691" s="23">
        <v>0</v>
      </c>
      <c r="AF691" s="1">
        <v>0</v>
      </c>
      <c r="AG691" s="1">
        <v>0</v>
      </c>
      <c r="AH691" s="1">
        <v>0</v>
      </c>
      <c r="AI691" s="1">
        <v>0</v>
      </c>
      <c r="AJ691" s="1">
        <v>0</v>
      </c>
      <c r="AK691" s="1">
        <v>0</v>
      </c>
      <c r="AL691" s="1">
        <v>0</v>
      </c>
      <c r="AM691" s="1">
        <v>0</v>
      </c>
      <c r="AN691" s="1">
        <v>0</v>
      </c>
      <c r="AO691" s="1">
        <v>0</v>
      </c>
      <c r="AP691" s="1">
        <v>0</v>
      </c>
      <c r="AQ691" s="24">
        <f t="shared" si="32"/>
        <v>0</v>
      </c>
    </row>
    <row r="692" spans="1:43" ht="17.25" customHeight="1" x14ac:dyDescent="0.45">
      <c r="A692" s="12" t="s">
        <v>17</v>
      </c>
      <c r="B692" s="12" t="s">
        <v>66</v>
      </c>
      <c r="C692" s="12" t="s">
        <v>144</v>
      </c>
      <c r="D692" s="12" t="s">
        <v>65</v>
      </c>
      <c r="E692" s="25">
        <v>13</v>
      </c>
      <c r="F692" s="10">
        <v>12</v>
      </c>
      <c r="G692" s="10">
        <v>14</v>
      </c>
      <c r="H692" s="10">
        <v>11</v>
      </c>
      <c r="I692" s="10">
        <v>0</v>
      </c>
      <c r="J692" s="10">
        <v>0</v>
      </c>
      <c r="K692" s="10">
        <v>0</v>
      </c>
      <c r="L692" s="10">
        <v>0</v>
      </c>
      <c r="M692" s="10">
        <v>0</v>
      </c>
      <c r="N692" s="10">
        <v>0</v>
      </c>
      <c r="O692" s="10">
        <v>0</v>
      </c>
      <c r="P692" s="10">
        <v>7</v>
      </c>
      <c r="Q692" s="26">
        <f t="shared" si="30"/>
        <v>57</v>
      </c>
      <c r="R692" s="25">
        <v>1798</v>
      </c>
      <c r="S692" s="10">
        <v>1900</v>
      </c>
      <c r="T692" s="10">
        <v>2463</v>
      </c>
      <c r="U692" s="10">
        <v>1792</v>
      </c>
      <c r="V692" s="10">
        <v>0</v>
      </c>
      <c r="W692" s="10">
        <v>0</v>
      </c>
      <c r="X692" s="10">
        <v>0</v>
      </c>
      <c r="Y692" s="10">
        <v>0</v>
      </c>
      <c r="Z692" s="10">
        <v>0</v>
      </c>
      <c r="AA692" s="10">
        <v>0</v>
      </c>
      <c r="AB692" s="10">
        <v>0</v>
      </c>
      <c r="AC692" s="10">
        <v>687</v>
      </c>
      <c r="AD692" s="26">
        <f t="shared" si="31"/>
        <v>8640</v>
      </c>
      <c r="AE692" s="25">
        <v>0</v>
      </c>
      <c r="AF692" s="10">
        <v>0</v>
      </c>
      <c r="AG692" s="10">
        <v>0</v>
      </c>
      <c r="AH692" s="10">
        <v>0</v>
      </c>
      <c r="AI692" s="10">
        <v>0</v>
      </c>
      <c r="AJ692" s="10">
        <v>0</v>
      </c>
      <c r="AK692" s="10">
        <v>0</v>
      </c>
      <c r="AL692" s="10">
        <v>0</v>
      </c>
      <c r="AM692" s="10">
        <v>0</v>
      </c>
      <c r="AN692" s="10">
        <v>0</v>
      </c>
      <c r="AO692" s="10">
        <v>0</v>
      </c>
      <c r="AP692" s="10">
        <v>0</v>
      </c>
      <c r="AQ692" s="26">
        <f t="shared" si="32"/>
        <v>0</v>
      </c>
    </row>
    <row r="693" spans="1:43" ht="17.25" customHeight="1" x14ac:dyDescent="0.45">
      <c r="A693" s="2" t="s">
        <v>17</v>
      </c>
      <c r="B693" s="2" t="s">
        <v>66</v>
      </c>
      <c r="C693" s="2" t="s">
        <v>146</v>
      </c>
      <c r="D693" s="2" t="s">
        <v>65</v>
      </c>
      <c r="E693" s="23">
        <v>16</v>
      </c>
      <c r="F693" s="1">
        <v>16</v>
      </c>
      <c r="G693" s="1">
        <v>18</v>
      </c>
      <c r="H693" s="1">
        <v>8</v>
      </c>
      <c r="I693" s="1">
        <v>0</v>
      </c>
      <c r="J693" s="1">
        <v>0</v>
      </c>
      <c r="K693" s="1">
        <v>0</v>
      </c>
      <c r="L693" s="1">
        <v>0</v>
      </c>
      <c r="M693" s="1">
        <v>0</v>
      </c>
      <c r="N693" s="1">
        <v>0</v>
      </c>
      <c r="O693" s="1">
        <v>8</v>
      </c>
      <c r="P693" s="1">
        <v>15</v>
      </c>
      <c r="Q693" s="24">
        <f t="shared" si="30"/>
        <v>81</v>
      </c>
      <c r="R693" s="23">
        <v>2288</v>
      </c>
      <c r="S693" s="1">
        <v>2637</v>
      </c>
      <c r="T693" s="1">
        <v>2467</v>
      </c>
      <c r="U693" s="1">
        <v>1007</v>
      </c>
      <c r="V693" s="1">
        <v>0</v>
      </c>
      <c r="W693" s="1">
        <v>0</v>
      </c>
      <c r="X693" s="1">
        <v>0</v>
      </c>
      <c r="Y693" s="1">
        <v>0</v>
      </c>
      <c r="Z693" s="1">
        <v>0</v>
      </c>
      <c r="AA693" s="1">
        <v>0</v>
      </c>
      <c r="AB693" s="1">
        <v>810</v>
      </c>
      <c r="AC693" s="1">
        <v>1800</v>
      </c>
      <c r="AD693" s="24">
        <f t="shared" si="31"/>
        <v>11009</v>
      </c>
      <c r="AE693" s="23">
        <v>0</v>
      </c>
      <c r="AF693" s="1">
        <v>0</v>
      </c>
      <c r="AG693" s="1">
        <v>0</v>
      </c>
      <c r="AH693" s="1">
        <v>0</v>
      </c>
      <c r="AI693" s="1">
        <v>0</v>
      </c>
      <c r="AJ693" s="1">
        <v>0</v>
      </c>
      <c r="AK693" s="1">
        <v>0</v>
      </c>
      <c r="AL693" s="1">
        <v>0</v>
      </c>
      <c r="AM693" s="1">
        <v>0</v>
      </c>
      <c r="AN693" s="1">
        <v>0</v>
      </c>
      <c r="AO693" s="1">
        <v>0</v>
      </c>
      <c r="AP693" s="1">
        <v>0</v>
      </c>
      <c r="AQ693" s="24">
        <f t="shared" si="32"/>
        <v>0</v>
      </c>
    </row>
    <row r="694" spans="1:43" ht="17.25" customHeight="1" x14ac:dyDescent="0.45">
      <c r="A694" s="12" t="s">
        <v>17</v>
      </c>
      <c r="B694" s="12" t="s">
        <v>66</v>
      </c>
      <c r="C694" s="12" t="s">
        <v>148</v>
      </c>
      <c r="D694" s="12" t="s">
        <v>68</v>
      </c>
      <c r="E694" s="25">
        <v>28</v>
      </c>
      <c r="F694" s="10">
        <v>27</v>
      </c>
      <c r="G694" s="10">
        <v>31</v>
      </c>
      <c r="H694" s="10">
        <v>30</v>
      </c>
      <c r="I694" s="10">
        <v>31</v>
      </c>
      <c r="J694" s="10">
        <v>30</v>
      </c>
      <c r="K694" s="10">
        <v>31</v>
      </c>
      <c r="L694" s="10">
        <v>20</v>
      </c>
      <c r="M694" s="10">
        <v>16</v>
      </c>
      <c r="N694" s="10">
        <v>18</v>
      </c>
      <c r="O694" s="10">
        <v>26</v>
      </c>
      <c r="P694" s="10">
        <v>31</v>
      </c>
      <c r="Q694" s="26">
        <f t="shared" si="30"/>
        <v>319</v>
      </c>
      <c r="R694" s="25">
        <v>4823</v>
      </c>
      <c r="S694" s="10">
        <v>4575</v>
      </c>
      <c r="T694" s="10">
        <v>5224</v>
      </c>
      <c r="U694" s="10">
        <v>5052</v>
      </c>
      <c r="V694" s="10">
        <v>5065</v>
      </c>
      <c r="W694" s="10">
        <v>5244</v>
      </c>
      <c r="X694" s="10">
        <v>4791</v>
      </c>
      <c r="Y694" s="10">
        <v>2907</v>
      </c>
      <c r="Z694" s="10">
        <v>2113</v>
      </c>
      <c r="AA694" s="10">
        <v>2422</v>
      </c>
      <c r="AB694" s="10">
        <v>3576</v>
      </c>
      <c r="AC694" s="10">
        <v>4302</v>
      </c>
      <c r="AD694" s="26">
        <f t="shared" si="31"/>
        <v>50094</v>
      </c>
      <c r="AE694" s="25">
        <v>0</v>
      </c>
      <c r="AF694" s="10">
        <v>0</v>
      </c>
      <c r="AG694" s="10">
        <v>0</v>
      </c>
      <c r="AH694" s="10">
        <v>0</v>
      </c>
      <c r="AI694" s="10">
        <v>0</v>
      </c>
      <c r="AJ694" s="10">
        <v>0</v>
      </c>
      <c r="AK694" s="10">
        <v>0</v>
      </c>
      <c r="AL694" s="10">
        <v>0</v>
      </c>
      <c r="AM694" s="10">
        <v>0</v>
      </c>
      <c r="AN694" s="10">
        <v>0</v>
      </c>
      <c r="AO694" s="10">
        <v>0</v>
      </c>
      <c r="AP694" s="10">
        <v>0</v>
      </c>
      <c r="AQ694" s="26">
        <f t="shared" si="32"/>
        <v>0</v>
      </c>
    </row>
    <row r="695" spans="1:43" ht="17.25" customHeight="1" x14ac:dyDescent="0.45">
      <c r="A695" s="2" t="s">
        <v>17</v>
      </c>
      <c r="B695" s="2" t="s">
        <v>66</v>
      </c>
      <c r="C695" s="2" t="s">
        <v>150</v>
      </c>
      <c r="D695" s="2" t="s">
        <v>68</v>
      </c>
      <c r="E695" s="23">
        <v>14</v>
      </c>
      <c r="F695" s="1">
        <v>13</v>
      </c>
      <c r="G695" s="1">
        <v>14</v>
      </c>
      <c r="H695" s="1">
        <v>17</v>
      </c>
      <c r="I695" s="1">
        <v>11</v>
      </c>
      <c r="J695" s="1">
        <v>9</v>
      </c>
      <c r="K695" s="1">
        <v>9</v>
      </c>
      <c r="L695" s="1">
        <v>5</v>
      </c>
      <c r="M695" s="1">
        <v>0</v>
      </c>
      <c r="N695" s="1">
        <v>10</v>
      </c>
      <c r="O695" s="1">
        <v>18</v>
      </c>
      <c r="P695" s="1">
        <v>17</v>
      </c>
      <c r="Q695" s="24">
        <f t="shared" si="30"/>
        <v>137</v>
      </c>
      <c r="R695" s="23">
        <v>2218</v>
      </c>
      <c r="S695" s="1">
        <v>1827</v>
      </c>
      <c r="T695" s="1">
        <v>1846</v>
      </c>
      <c r="U695" s="1">
        <v>2544</v>
      </c>
      <c r="V695" s="1">
        <v>1593</v>
      </c>
      <c r="W695" s="1">
        <v>1403</v>
      </c>
      <c r="X695" s="1">
        <v>1467</v>
      </c>
      <c r="Y695" s="1">
        <v>679</v>
      </c>
      <c r="Z695" s="1">
        <v>0</v>
      </c>
      <c r="AA695" s="1">
        <v>1043</v>
      </c>
      <c r="AB695" s="1">
        <v>2414</v>
      </c>
      <c r="AC695" s="1">
        <v>1713</v>
      </c>
      <c r="AD695" s="24">
        <f t="shared" si="31"/>
        <v>18747</v>
      </c>
      <c r="AE695" s="23">
        <v>194</v>
      </c>
      <c r="AF695" s="1">
        <v>177</v>
      </c>
      <c r="AG695" s="1">
        <v>113</v>
      </c>
      <c r="AH695" s="1">
        <v>223</v>
      </c>
      <c r="AI695" s="1">
        <v>45</v>
      </c>
      <c r="AJ695" s="1">
        <v>96</v>
      </c>
      <c r="AK695" s="1">
        <v>193</v>
      </c>
      <c r="AL695" s="1">
        <v>110</v>
      </c>
      <c r="AM695" s="1">
        <v>0</v>
      </c>
      <c r="AN695" s="1">
        <v>101</v>
      </c>
      <c r="AO695" s="1">
        <v>64</v>
      </c>
      <c r="AP695" s="1">
        <v>116</v>
      </c>
      <c r="AQ695" s="24">
        <f t="shared" si="32"/>
        <v>1432</v>
      </c>
    </row>
    <row r="696" spans="1:43" ht="17.25" customHeight="1" x14ac:dyDescent="0.45">
      <c r="A696" s="12" t="s">
        <v>17</v>
      </c>
      <c r="B696" s="12" t="s">
        <v>66</v>
      </c>
      <c r="C696" s="12" t="s">
        <v>151</v>
      </c>
      <c r="D696" s="12" t="s">
        <v>68</v>
      </c>
      <c r="E696" s="25">
        <v>125</v>
      </c>
      <c r="F696" s="10">
        <v>119</v>
      </c>
      <c r="G696" s="10">
        <v>125</v>
      </c>
      <c r="H696" s="10">
        <v>83</v>
      </c>
      <c r="I696" s="10">
        <v>70</v>
      </c>
      <c r="J696" s="10">
        <v>76</v>
      </c>
      <c r="K696" s="10">
        <v>73</v>
      </c>
      <c r="L696" s="10">
        <v>51</v>
      </c>
      <c r="M696" s="10">
        <v>17</v>
      </c>
      <c r="N696" s="10">
        <v>65</v>
      </c>
      <c r="O696" s="10">
        <v>94</v>
      </c>
      <c r="P696" s="10">
        <v>106</v>
      </c>
      <c r="Q696" s="26">
        <f t="shared" si="30"/>
        <v>1004</v>
      </c>
      <c r="R696" s="25">
        <v>16062</v>
      </c>
      <c r="S696" s="10">
        <v>13766</v>
      </c>
      <c r="T696" s="10">
        <v>15185</v>
      </c>
      <c r="U696" s="10">
        <v>13265</v>
      </c>
      <c r="V696" s="10">
        <v>10545</v>
      </c>
      <c r="W696" s="10">
        <v>11669</v>
      </c>
      <c r="X696" s="10">
        <v>11466</v>
      </c>
      <c r="Y696" s="10">
        <v>7808</v>
      </c>
      <c r="Z696" s="10">
        <v>2403</v>
      </c>
      <c r="AA696" s="10">
        <v>8420</v>
      </c>
      <c r="AB696" s="10">
        <v>12042</v>
      </c>
      <c r="AC696" s="10">
        <v>13471</v>
      </c>
      <c r="AD696" s="26">
        <f t="shared" si="31"/>
        <v>136102</v>
      </c>
      <c r="AE696" s="25">
        <v>400</v>
      </c>
      <c r="AF696" s="10">
        <v>279</v>
      </c>
      <c r="AG696" s="10">
        <v>1434</v>
      </c>
      <c r="AH696" s="10">
        <v>285</v>
      </c>
      <c r="AI696" s="10">
        <v>820</v>
      </c>
      <c r="AJ696" s="10">
        <v>1947</v>
      </c>
      <c r="AK696" s="10">
        <v>210</v>
      </c>
      <c r="AL696" s="10">
        <v>97</v>
      </c>
      <c r="AM696" s="10">
        <v>187</v>
      </c>
      <c r="AN696" s="10">
        <v>39</v>
      </c>
      <c r="AO696" s="10">
        <v>46</v>
      </c>
      <c r="AP696" s="10">
        <v>328</v>
      </c>
      <c r="AQ696" s="26">
        <f t="shared" si="32"/>
        <v>6072</v>
      </c>
    </row>
    <row r="697" spans="1:43" ht="17.25" customHeight="1" x14ac:dyDescent="0.45">
      <c r="A697" s="2" t="s">
        <v>17</v>
      </c>
      <c r="B697" s="2" t="s">
        <v>66</v>
      </c>
      <c r="C697" s="2" t="s">
        <v>177</v>
      </c>
      <c r="D697" s="2" t="s">
        <v>68</v>
      </c>
      <c r="E697" s="23">
        <v>20</v>
      </c>
      <c r="F697" s="1">
        <v>21</v>
      </c>
      <c r="G697" s="1">
        <v>22</v>
      </c>
      <c r="H697" s="1">
        <v>13</v>
      </c>
      <c r="I697" s="1">
        <v>6</v>
      </c>
      <c r="J697" s="1">
        <v>10</v>
      </c>
      <c r="K697" s="1">
        <v>8</v>
      </c>
      <c r="L697" s="1">
        <v>6</v>
      </c>
      <c r="M697" s="1">
        <v>0</v>
      </c>
      <c r="N697" s="1">
        <v>4</v>
      </c>
      <c r="O697" s="1">
        <v>11</v>
      </c>
      <c r="P697" s="1">
        <v>17</v>
      </c>
      <c r="Q697" s="24">
        <f t="shared" si="30"/>
        <v>138</v>
      </c>
      <c r="R697" s="23">
        <v>3049</v>
      </c>
      <c r="S697" s="1">
        <v>2658</v>
      </c>
      <c r="T697" s="1">
        <v>3003</v>
      </c>
      <c r="U697" s="1">
        <v>2215</v>
      </c>
      <c r="V697" s="1">
        <v>959</v>
      </c>
      <c r="W697" s="1">
        <v>1608</v>
      </c>
      <c r="X697" s="1">
        <v>1376</v>
      </c>
      <c r="Y697" s="1">
        <v>967</v>
      </c>
      <c r="Z697" s="1">
        <v>0</v>
      </c>
      <c r="AA697" s="1">
        <v>613</v>
      </c>
      <c r="AB697" s="1">
        <v>1413</v>
      </c>
      <c r="AC697" s="1">
        <v>2206</v>
      </c>
      <c r="AD697" s="24">
        <f t="shared" si="31"/>
        <v>20067</v>
      </c>
      <c r="AE697" s="23">
        <v>62</v>
      </c>
      <c r="AF697" s="1">
        <v>46</v>
      </c>
      <c r="AG697" s="1">
        <v>0</v>
      </c>
      <c r="AH697" s="1">
        <v>0</v>
      </c>
      <c r="AI697" s="1">
        <v>0</v>
      </c>
      <c r="AJ697" s="1">
        <v>16</v>
      </c>
      <c r="AK697" s="1">
        <v>72</v>
      </c>
      <c r="AL697" s="1">
        <v>0</v>
      </c>
      <c r="AM697" s="1">
        <v>0</v>
      </c>
      <c r="AN697" s="1">
        <v>0</v>
      </c>
      <c r="AO697" s="1">
        <v>20</v>
      </c>
      <c r="AP697" s="1">
        <v>0</v>
      </c>
      <c r="AQ697" s="24">
        <f t="shared" si="32"/>
        <v>216</v>
      </c>
    </row>
    <row r="698" spans="1:43" ht="17.25" customHeight="1" x14ac:dyDescent="0.45">
      <c r="A698" s="12" t="s">
        <v>17</v>
      </c>
      <c r="B698" s="12" t="s">
        <v>66</v>
      </c>
      <c r="C698" s="12" t="s">
        <v>204</v>
      </c>
      <c r="D698" s="12" t="s">
        <v>68</v>
      </c>
      <c r="E698" s="25">
        <v>17</v>
      </c>
      <c r="F698" s="10">
        <v>27</v>
      </c>
      <c r="G698" s="10">
        <v>31</v>
      </c>
      <c r="H698" s="10">
        <v>30</v>
      </c>
      <c r="I698" s="10">
        <v>31</v>
      </c>
      <c r="J698" s="10">
        <v>30</v>
      </c>
      <c r="K698" s="10">
        <v>31</v>
      </c>
      <c r="L698" s="10">
        <v>23</v>
      </c>
      <c r="M698" s="10">
        <v>22</v>
      </c>
      <c r="N698" s="10">
        <v>21</v>
      </c>
      <c r="O698" s="10">
        <v>29</v>
      </c>
      <c r="P698" s="10">
        <v>30</v>
      </c>
      <c r="Q698" s="26">
        <f t="shared" si="30"/>
        <v>322</v>
      </c>
      <c r="R698" s="25">
        <v>1752</v>
      </c>
      <c r="S698" s="10">
        <v>2495</v>
      </c>
      <c r="T698" s="10">
        <v>3602</v>
      </c>
      <c r="U698" s="10">
        <v>3433</v>
      </c>
      <c r="V698" s="10">
        <v>2844</v>
      </c>
      <c r="W698" s="10">
        <v>3656</v>
      </c>
      <c r="X698" s="10">
        <v>4091</v>
      </c>
      <c r="Y698" s="10">
        <v>2619</v>
      </c>
      <c r="Z698" s="10">
        <v>1986</v>
      </c>
      <c r="AA698" s="10">
        <v>2286</v>
      </c>
      <c r="AB698" s="10">
        <v>2790</v>
      </c>
      <c r="AC698" s="10">
        <v>2254</v>
      </c>
      <c r="AD698" s="26">
        <f t="shared" si="31"/>
        <v>33808</v>
      </c>
      <c r="AE698" s="25">
        <v>0</v>
      </c>
      <c r="AF698" s="10">
        <v>0</v>
      </c>
      <c r="AG698" s="10">
        <v>0</v>
      </c>
      <c r="AH698" s="10">
        <v>0</v>
      </c>
      <c r="AI698" s="10">
        <v>0</v>
      </c>
      <c r="AJ698" s="10">
        <v>0</v>
      </c>
      <c r="AK698" s="10">
        <v>0</v>
      </c>
      <c r="AL698" s="10">
        <v>0</v>
      </c>
      <c r="AM698" s="10">
        <v>0</v>
      </c>
      <c r="AN698" s="10">
        <v>0</v>
      </c>
      <c r="AO698" s="10">
        <v>0</v>
      </c>
      <c r="AP698" s="10">
        <v>0</v>
      </c>
      <c r="AQ698" s="26">
        <f t="shared" si="32"/>
        <v>0</v>
      </c>
    </row>
    <row r="699" spans="1:43" ht="17.25" customHeight="1" x14ac:dyDescent="0.45">
      <c r="A699" s="2" t="s">
        <v>17</v>
      </c>
      <c r="B699" s="2" t="s">
        <v>66</v>
      </c>
      <c r="C699" s="2" t="s">
        <v>160</v>
      </c>
      <c r="D699" s="2" t="s">
        <v>65</v>
      </c>
      <c r="E699" s="23">
        <v>11</v>
      </c>
      <c r="F699" s="1">
        <v>13</v>
      </c>
      <c r="G699" s="1">
        <v>12</v>
      </c>
      <c r="H699" s="1">
        <v>8</v>
      </c>
      <c r="I699" s="1">
        <v>0</v>
      </c>
      <c r="J699" s="1">
        <v>0</v>
      </c>
      <c r="K699" s="1">
        <v>0</v>
      </c>
      <c r="L699" s="1">
        <v>0</v>
      </c>
      <c r="M699" s="1">
        <v>0</v>
      </c>
      <c r="N699" s="1">
        <v>0</v>
      </c>
      <c r="O699" s="1">
        <v>10</v>
      </c>
      <c r="P699" s="1">
        <v>15</v>
      </c>
      <c r="Q699" s="24">
        <f t="shared" si="30"/>
        <v>69</v>
      </c>
      <c r="R699" s="23">
        <v>1586</v>
      </c>
      <c r="S699" s="1">
        <v>2094</v>
      </c>
      <c r="T699" s="1">
        <v>1927</v>
      </c>
      <c r="U699" s="1">
        <v>1163</v>
      </c>
      <c r="V699" s="1">
        <v>0</v>
      </c>
      <c r="W699" s="1">
        <v>0</v>
      </c>
      <c r="X699" s="1">
        <v>0</v>
      </c>
      <c r="Y699" s="1">
        <v>0</v>
      </c>
      <c r="Z699" s="1">
        <v>0</v>
      </c>
      <c r="AA699" s="1">
        <v>0</v>
      </c>
      <c r="AB699" s="1">
        <v>1238</v>
      </c>
      <c r="AC699" s="1">
        <v>2027</v>
      </c>
      <c r="AD699" s="24">
        <f t="shared" si="31"/>
        <v>10035</v>
      </c>
      <c r="AE699" s="23">
        <v>0</v>
      </c>
      <c r="AF699" s="1">
        <v>0</v>
      </c>
      <c r="AG699" s="1">
        <v>0</v>
      </c>
      <c r="AH699" s="1">
        <v>0</v>
      </c>
      <c r="AI699" s="1">
        <v>0</v>
      </c>
      <c r="AJ699" s="1">
        <v>0</v>
      </c>
      <c r="AK699" s="1">
        <v>0</v>
      </c>
      <c r="AL699" s="1">
        <v>0</v>
      </c>
      <c r="AM699" s="1">
        <v>0</v>
      </c>
      <c r="AN699" s="1">
        <v>0</v>
      </c>
      <c r="AO699" s="1">
        <v>0</v>
      </c>
      <c r="AP699" s="1">
        <v>0</v>
      </c>
      <c r="AQ699" s="24">
        <f t="shared" si="32"/>
        <v>0</v>
      </c>
    </row>
    <row r="700" spans="1:43" ht="17.25" customHeight="1" x14ac:dyDescent="0.45">
      <c r="A700" s="12" t="s">
        <v>17</v>
      </c>
      <c r="B700" s="12" t="s">
        <v>66</v>
      </c>
      <c r="C700" s="12" t="s">
        <v>161</v>
      </c>
      <c r="D700" s="12" t="s">
        <v>68</v>
      </c>
      <c r="E700" s="25">
        <v>84</v>
      </c>
      <c r="F700" s="10">
        <v>87</v>
      </c>
      <c r="G700" s="10">
        <v>78</v>
      </c>
      <c r="H700" s="10">
        <v>64</v>
      </c>
      <c r="I700" s="10">
        <v>52</v>
      </c>
      <c r="J700" s="10">
        <v>26</v>
      </c>
      <c r="K700" s="10">
        <v>22</v>
      </c>
      <c r="L700" s="10">
        <v>13</v>
      </c>
      <c r="M700" s="10">
        <v>13</v>
      </c>
      <c r="N700" s="10">
        <v>35</v>
      </c>
      <c r="O700" s="10">
        <v>60</v>
      </c>
      <c r="P700" s="10">
        <v>73</v>
      </c>
      <c r="Q700" s="26">
        <f t="shared" si="30"/>
        <v>607</v>
      </c>
      <c r="R700" s="25">
        <v>13398</v>
      </c>
      <c r="S700" s="10">
        <v>13917</v>
      </c>
      <c r="T700" s="10">
        <v>12577</v>
      </c>
      <c r="U700" s="10">
        <v>10746</v>
      </c>
      <c r="V700" s="10">
        <v>8130</v>
      </c>
      <c r="W700" s="10">
        <v>4316</v>
      </c>
      <c r="X700" s="10">
        <v>3653</v>
      </c>
      <c r="Y700" s="10">
        <v>2283</v>
      </c>
      <c r="Z700" s="10">
        <v>1881</v>
      </c>
      <c r="AA700" s="10">
        <v>4764</v>
      </c>
      <c r="AB700" s="10">
        <v>8196</v>
      </c>
      <c r="AC700" s="10">
        <v>10051</v>
      </c>
      <c r="AD700" s="26">
        <f t="shared" si="31"/>
        <v>93912</v>
      </c>
      <c r="AE700" s="25">
        <v>379</v>
      </c>
      <c r="AF700" s="10">
        <v>438</v>
      </c>
      <c r="AG700" s="10">
        <v>477</v>
      </c>
      <c r="AH700" s="10">
        <v>734</v>
      </c>
      <c r="AI700" s="10">
        <v>608</v>
      </c>
      <c r="AJ700" s="10">
        <v>304</v>
      </c>
      <c r="AK700" s="10">
        <v>338</v>
      </c>
      <c r="AL700" s="10">
        <v>105</v>
      </c>
      <c r="AM700" s="10">
        <v>319</v>
      </c>
      <c r="AN700" s="10">
        <v>362</v>
      </c>
      <c r="AO700" s="10">
        <v>254</v>
      </c>
      <c r="AP700" s="10">
        <v>214</v>
      </c>
      <c r="AQ700" s="26">
        <f t="shared" si="32"/>
        <v>4532</v>
      </c>
    </row>
    <row r="701" spans="1:43" ht="17.25" customHeight="1" x14ac:dyDescent="0.45">
      <c r="A701" s="2" t="s">
        <v>17</v>
      </c>
      <c r="B701" s="2" t="s">
        <v>66</v>
      </c>
      <c r="C701" s="2" t="s">
        <v>71</v>
      </c>
      <c r="D701" s="2" t="s">
        <v>65</v>
      </c>
      <c r="E701" s="23">
        <v>52</v>
      </c>
      <c r="F701" s="1">
        <v>48</v>
      </c>
      <c r="G701" s="1">
        <v>59</v>
      </c>
      <c r="H701" s="1">
        <v>44</v>
      </c>
      <c r="I701" s="1">
        <v>16</v>
      </c>
      <c r="J701" s="1">
        <v>7</v>
      </c>
      <c r="K701" s="1">
        <v>4</v>
      </c>
      <c r="L701" s="1">
        <v>5</v>
      </c>
      <c r="M701" s="1">
        <v>1</v>
      </c>
      <c r="N701" s="1">
        <v>10</v>
      </c>
      <c r="O701" s="1">
        <v>53</v>
      </c>
      <c r="P701" s="1">
        <v>68</v>
      </c>
      <c r="Q701" s="24">
        <f t="shared" si="30"/>
        <v>367</v>
      </c>
      <c r="R701" s="23">
        <v>7657</v>
      </c>
      <c r="S701" s="1">
        <v>7374</v>
      </c>
      <c r="T701" s="1">
        <v>9390</v>
      </c>
      <c r="U701" s="1">
        <v>6423</v>
      </c>
      <c r="V701" s="1">
        <v>2862</v>
      </c>
      <c r="W701" s="1">
        <v>1110</v>
      </c>
      <c r="X701" s="1">
        <v>599</v>
      </c>
      <c r="Y701" s="1">
        <v>869</v>
      </c>
      <c r="Z701" s="1">
        <v>152</v>
      </c>
      <c r="AA701" s="1">
        <v>734</v>
      </c>
      <c r="AB701" s="1">
        <v>6985</v>
      </c>
      <c r="AC701" s="1">
        <v>9073</v>
      </c>
      <c r="AD701" s="24">
        <f t="shared" si="31"/>
        <v>53228</v>
      </c>
      <c r="AE701" s="23">
        <v>0</v>
      </c>
      <c r="AF701" s="1">
        <v>0</v>
      </c>
      <c r="AG701" s="1">
        <v>0</v>
      </c>
      <c r="AH701" s="1">
        <v>0</v>
      </c>
      <c r="AI701" s="1">
        <v>0</v>
      </c>
      <c r="AJ701" s="1">
        <v>0</v>
      </c>
      <c r="AK701" s="1">
        <v>0</v>
      </c>
      <c r="AL701" s="1">
        <v>0</v>
      </c>
      <c r="AM701" s="1">
        <v>0</v>
      </c>
      <c r="AN701" s="1">
        <v>0</v>
      </c>
      <c r="AO701" s="1">
        <v>0</v>
      </c>
      <c r="AP701" s="1">
        <v>0</v>
      </c>
      <c r="AQ701" s="24">
        <f t="shared" si="32"/>
        <v>0</v>
      </c>
    </row>
    <row r="702" spans="1:43" ht="17.25" customHeight="1" x14ac:dyDescent="0.45">
      <c r="A702" s="12" t="s">
        <v>17</v>
      </c>
      <c r="B702" s="12" t="s">
        <v>66</v>
      </c>
      <c r="C702" s="12" t="s">
        <v>165</v>
      </c>
      <c r="D702" s="12" t="s">
        <v>65</v>
      </c>
      <c r="E702" s="25">
        <v>79</v>
      </c>
      <c r="F702" s="10">
        <v>76</v>
      </c>
      <c r="G702" s="10">
        <v>81</v>
      </c>
      <c r="H702" s="10">
        <v>72</v>
      </c>
      <c r="I702" s="10">
        <v>46</v>
      </c>
      <c r="J702" s="10">
        <v>26</v>
      </c>
      <c r="K702" s="10">
        <v>25</v>
      </c>
      <c r="L702" s="10">
        <v>32</v>
      </c>
      <c r="M702" s="10">
        <v>14</v>
      </c>
      <c r="N702" s="10">
        <v>39</v>
      </c>
      <c r="O702" s="10">
        <v>98</v>
      </c>
      <c r="P702" s="10">
        <v>121</v>
      </c>
      <c r="Q702" s="26">
        <f t="shared" si="30"/>
        <v>709</v>
      </c>
      <c r="R702" s="25">
        <v>15242</v>
      </c>
      <c r="S702" s="10">
        <v>15092</v>
      </c>
      <c r="T702" s="10">
        <v>16720</v>
      </c>
      <c r="U702" s="10">
        <v>11206</v>
      </c>
      <c r="V702" s="10">
        <v>7780</v>
      </c>
      <c r="W702" s="10">
        <v>4061</v>
      </c>
      <c r="X702" s="10">
        <v>3710</v>
      </c>
      <c r="Y702" s="10">
        <v>4785</v>
      </c>
      <c r="Z702" s="10">
        <v>2063</v>
      </c>
      <c r="AA702" s="10">
        <v>3879</v>
      </c>
      <c r="AB702" s="10">
        <v>12582</v>
      </c>
      <c r="AC702" s="10">
        <v>16956</v>
      </c>
      <c r="AD702" s="26">
        <f t="shared" si="31"/>
        <v>114076</v>
      </c>
      <c r="AE702" s="25">
        <v>0</v>
      </c>
      <c r="AF702" s="10">
        <v>0</v>
      </c>
      <c r="AG702" s="10">
        <v>0</v>
      </c>
      <c r="AH702" s="10">
        <v>0</v>
      </c>
      <c r="AI702" s="10">
        <v>0</v>
      </c>
      <c r="AJ702" s="10">
        <v>0</v>
      </c>
      <c r="AK702" s="10">
        <v>0</v>
      </c>
      <c r="AL702" s="10">
        <v>0</v>
      </c>
      <c r="AM702" s="10">
        <v>0</v>
      </c>
      <c r="AN702" s="10">
        <v>0</v>
      </c>
      <c r="AO702" s="10">
        <v>0</v>
      </c>
      <c r="AP702" s="10">
        <v>0</v>
      </c>
      <c r="AQ702" s="26">
        <f t="shared" si="32"/>
        <v>0</v>
      </c>
    </row>
    <row r="703" spans="1:43" ht="17.25" customHeight="1" x14ac:dyDescent="0.45">
      <c r="A703" s="2" t="s">
        <v>17</v>
      </c>
      <c r="B703" s="2" t="s">
        <v>66</v>
      </c>
      <c r="C703" s="2" t="s">
        <v>166</v>
      </c>
      <c r="D703" s="2" t="s">
        <v>65</v>
      </c>
      <c r="E703" s="23">
        <v>9</v>
      </c>
      <c r="F703" s="1">
        <v>8</v>
      </c>
      <c r="G703" s="1">
        <v>9</v>
      </c>
      <c r="H703" s="1">
        <v>8</v>
      </c>
      <c r="I703" s="1">
        <v>3</v>
      </c>
      <c r="J703" s="1">
        <v>0</v>
      </c>
      <c r="K703" s="1">
        <v>0</v>
      </c>
      <c r="L703" s="1">
        <v>0</v>
      </c>
      <c r="M703" s="1">
        <v>0</v>
      </c>
      <c r="N703" s="1">
        <v>4</v>
      </c>
      <c r="O703" s="1">
        <v>13</v>
      </c>
      <c r="P703" s="1">
        <v>13</v>
      </c>
      <c r="Q703" s="24">
        <f t="shared" si="30"/>
        <v>67</v>
      </c>
      <c r="R703" s="23">
        <v>1385</v>
      </c>
      <c r="S703" s="1">
        <v>1276</v>
      </c>
      <c r="T703" s="1">
        <v>1486</v>
      </c>
      <c r="U703" s="1">
        <v>1195</v>
      </c>
      <c r="V703" s="1">
        <v>404</v>
      </c>
      <c r="W703" s="1">
        <v>0</v>
      </c>
      <c r="X703" s="1">
        <v>0</v>
      </c>
      <c r="Y703" s="1">
        <v>0</v>
      </c>
      <c r="Z703" s="1">
        <v>0</v>
      </c>
      <c r="AA703" s="1">
        <v>283</v>
      </c>
      <c r="AB703" s="1">
        <v>1434</v>
      </c>
      <c r="AC703" s="1">
        <v>1755</v>
      </c>
      <c r="AD703" s="24">
        <f t="shared" si="31"/>
        <v>9218</v>
      </c>
      <c r="AE703" s="23">
        <v>0</v>
      </c>
      <c r="AF703" s="1">
        <v>0</v>
      </c>
      <c r="AG703" s="1">
        <v>0</v>
      </c>
      <c r="AH703" s="1">
        <v>0</v>
      </c>
      <c r="AI703" s="1">
        <v>0</v>
      </c>
      <c r="AJ703" s="1">
        <v>0</v>
      </c>
      <c r="AK703" s="1">
        <v>0</v>
      </c>
      <c r="AL703" s="1">
        <v>0</v>
      </c>
      <c r="AM703" s="1">
        <v>0</v>
      </c>
      <c r="AN703" s="1">
        <v>0</v>
      </c>
      <c r="AO703" s="1">
        <v>0</v>
      </c>
      <c r="AP703" s="1">
        <v>0</v>
      </c>
      <c r="AQ703" s="24">
        <f t="shared" si="32"/>
        <v>0</v>
      </c>
    </row>
    <row r="704" spans="1:43" ht="17.25" customHeight="1" x14ac:dyDescent="0.45">
      <c r="A704" s="12" t="s">
        <v>17</v>
      </c>
      <c r="B704" s="12" t="s">
        <v>66</v>
      </c>
      <c r="C704" s="12" t="s">
        <v>171</v>
      </c>
      <c r="D704" s="12" t="s">
        <v>65</v>
      </c>
      <c r="E704" s="25">
        <v>33</v>
      </c>
      <c r="F704" s="10">
        <v>33</v>
      </c>
      <c r="G704" s="10">
        <v>36</v>
      </c>
      <c r="H704" s="10">
        <v>21</v>
      </c>
      <c r="I704" s="10">
        <v>0</v>
      </c>
      <c r="J704" s="10">
        <v>0</v>
      </c>
      <c r="K704" s="10">
        <v>0</v>
      </c>
      <c r="L704" s="10">
        <v>0</v>
      </c>
      <c r="M704" s="10">
        <v>0</v>
      </c>
      <c r="N704" s="10">
        <v>1</v>
      </c>
      <c r="O704" s="10">
        <v>17</v>
      </c>
      <c r="P704" s="10">
        <v>33</v>
      </c>
      <c r="Q704" s="26">
        <f t="shared" si="30"/>
        <v>174</v>
      </c>
      <c r="R704" s="25">
        <v>5057</v>
      </c>
      <c r="S704" s="10">
        <v>5401</v>
      </c>
      <c r="T704" s="10">
        <v>6109</v>
      </c>
      <c r="U704" s="10">
        <v>2988</v>
      </c>
      <c r="V704" s="10">
        <v>0</v>
      </c>
      <c r="W704" s="10">
        <v>0</v>
      </c>
      <c r="X704" s="10">
        <v>0</v>
      </c>
      <c r="Y704" s="10">
        <v>0</v>
      </c>
      <c r="Z704" s="10">
        <v>0</v>
      </c>
      <c r="AA704" s="10">
        <v>35</v>
      </c>
      <c r="AB704" s="10">
        <v>1822</v>
      </c>
      <c r="AC704" s="10">
        <v>3711</v>
      </c>
      <c r="AD704" s="26">
        <f t="shared" si="31"/>
        <v>25123</v>
      </c>
      <c r="AE704" s="25">
        <v>0</v>
      </c>
      <c r="AF704" s="10">
        <v>0</v>
      </c>
      <c r="AG704" s="10">
        <v>0</v>
      </c>
      <c r="AH704" s="10">
        <v>0</v>
      </c>
      <c r="AI704" s="10">
        <v>0</v>
      </c>
      <c r="AJ704" s="10">
        <v>0</v>
      </c>
      <c r="AK704" s="10">
        <v>0</v>
      </c>
      <c r="AL704" s="10">
        <v>0</v>
      </c>
      <c r="AM704" s="10">
        <v>0</v>
      </c>
      <c r="AN704" s="10">
        <v>0</v>
      </c>
      <c r="AO704" s="10">
        <v>0</v>
      </c>
      <c r="AP704" s="10">
        <v>0</v>
      </c>
      <c r="AQ704" s="26">
        <f t="shared" si="32"/>
        <v>0</v>
      </c>
    </row>
    <row r="705" spans="1:43" ht="17.25" customHeight="1" x14ac:dyDescent="0.45">
      <c r="A705" s="2" t="s">
        <v>271</v>
      </c>
      <c r="B705" s="2" t="s">
        <v>159</v>
      </c>
      <c r="C705" s="2" t="s">
        <v>10</v>
      </c>
      <c r="D705" s="2" t="s">
        <v>66</v>
      </c>
      <c r="E705" s="23">
        <v>0</v>
      </c>
      <c r="F705" s="1">
        <v>0</v>
      </c>
      <c r="G705" s="1">
        <v>0</v>
      </c>
      <c r="H705" s="1">
        <v>0</v>
      </c>
      <c r="I705" s="1">
        <v>0</v>
      </c>
      <c r="J705" s="1">
        <v>0</v>
      </c>
      <c r="K705" s="1">
        <v>0</v>
      </c>
      <c r="L705" s="1">
        <v>0</v>
      </c>
      <c r="M705" s="1">
        <v>0</v>
      </c>
      <c r="N705" s="1">
        <v>5</v>
      </c>
      <c r="O705" s="1">
        <v>30</v>
      </c>
      <c r="P705" s="1">
        <v>31</v>
      </c>
      <c r="Q705" s="24">
        <f t="shared" si="30"/>
        <v>66</v>
      </c>
      <c r="R705" s="23">
        <v>0</v>
      </c>
      <c r="S705" s="1">
        <v>0</v>
      </c>
      <c r="T705" s="1">
        <v>0</v>
      </c>
      <c r="U705" s="1">
        <v>0</v>
      </c>
      <c r="V705" s="1">
        <v>0</v>
      </c>
      <c r="W705" s="1">
        <v>0</v>
      </c>
      <c r="X705" s="1">
        <v>0</v>
      </c>
      <c r="Y705" s="1">
        <v>0</v>
      </c>
      <c r="Z705" s="1">
        <v>0</v>
      </c>
      <c r="AA705" s="1">
        <v>564</v>
      </c>
      <c r="AB705" s="1">
        <v>2804</v>
      </c>
      <c r="AC705" s="1">
        <v>3539</v>
      </c>
      <c r="AD705" s="24">
        <f t="shared" si="31"/>
        <v>6907</v>
      </c>
      <c r="AE705" s="23">
        <v>0</v>
      </c>
      <c r="AF705" s="1">
        <v>0</v>
      </c>
      <c r="AG705" s="1">
        <v>0</v>
      </c>
      <c r="AH705" s="1">
        <v>0</v>
      </c>
      <c r="AI705" s="1">
        <v>0</v>
      </c>
      <c r="AJ705" s="1">
        <v>0</v>
      </c>
      <c r="AK705" s="1">
        <v>0</v>
      </c>
      <c r="AL705" s="1">
        <v>0</v>
      </c>
      <c r="AM705" s="1">
        <v>0</v>
      </c>
      <c r="AN705" s="1">
        <v>0</v>
      </c>
      <c r="AO705" s="1">
        <v>0</v>
      </c>
      <c r="AP705" s="1">
        <v>0</v>
      </c>
      <c r="AQ705" s="24">
        <f t="shared" si="32"/>
        <v>0</v>
      </c>
    </row>
    <row r="706" spans="1:43" ht="17.25" customHeight="1" x14ac:dyDescent="0.45">
      <c r="A706" s="12" t="s">
        <v>271</v>
      </c>
      <c r="B706" s="12" t="s">
        <v>159</v>
      </c>
      <c r="C706" s="12" t="s">
        <v>14</v>
      </c>
      <c r="D706" s="12" t="s">
        <v>66</v>
      </c>
      <c r="E706" s="25">
        <v>0</v>
      </c>
      <c r="F706" s="10">
        <v>0</v>
      </c>
      <c r="G706" s="10">
        <v>0</v>
      </c>
      <c r="H706" s="10">
        <v>0</v>
      </c>
      <c r="I706" s="10">
        <v>0</v>
      </c>
      <c r="J706" s="10">
        <v>0</v>
      </c>
      <c r="K706" s="10">
        <v>0</v>
      </c>
      <c r="L706" s="10">
        <v>0</v>
      </c>
      <c r="M706" s="10">
        <v>0</v>
      </c>
      <c r="N706" s="10">
        <v>4</v>
      </c>
      <c r="O706" s="10">
        <v>21</v>
      </c>
      <c r="P706" s="10">
        <v>22</v>
      </c>
      <c r="Q706" s="26">
        <f t="shared" si="30"/>
        <v>47</v>
      </c>
      <c r="R706" s="25">
        <v>0</v>
      </c>
      <c r="S706" s="10">
        <v>0</v>
      </c>
      <c r="T706" s="10">
        <v>0</v>
      </c>
      <c r="U706" s="10">
        <v>0</v>
      </c>
      <c r="V706" s="10">
        <v>0</v>
      </c>
      <c r="W706" s="10">
        <v>0</v>
      </c>
      <c r="X706" s="10">
        <v>0</v>
      </c>
      <c r="Y706" s="10">
        <v>0</v>
      </c>
      <c r="Z706" s="10">
        <v>0</v>
      </c>
      <c r="AA706" s="10">
        <v>582</v>
      </c>
      <c r="AB706" s="10">
        <v>3013</v>
      </c>
      <c r="AC706" s="10">
        <v>3336</v>
      </c>
      <c r="AD706" s="26">
        <f t="shared" si="31"/>
        <v>6931</v>
      </c>
      <c r="AE706" s="25">
        <v>0</v>
      </c>
      <c r="AF706" s="10">
        <v>0</v>
      </c>
      <c r="AG706" s="10">
        <v>0</v>
      </c>
      <c r="AH706" s="10">
        <v>0</v>
      </c>
      <c r="AI706" s="10">
        <v>0</v>
      </c>
      <c r="AJ706" s="10">
        <v>0</v>
      </c>
      <c r="AK706" s="10">
        <v>0</v>
      </c>
      <c r="AL706" s="10">
        <v>0</v>
      </c>
      <c r="AM706" s="10">
        <v>0</v>
      </c>
      <c r="AN706" s="10">
        <v>0</v>
      </c>
      <c r="AO706" s="10">
        <v>0</v>
      </c>
      <c r="AP706" s="10">
        <v>0</v>
      </c>
      <c r="AQ706" s="26">
        <f t="shared" si="32"/>
        <v>0</v>
      </c>
    </row>
    <row r="707" spans="1:43" ht="17.25" customHeight="1" x14ac:dyDescent="0.45">
      <c r="A707" s="2" t="s">
        <v>144</v>
      </c>
      <c r="B707" s="2" t="s">
        <v>65</v>
      </c>
      <c r="C707" s="2" t="s">
        <v>10</v>
      </c>
      <c r="D707" s="2" t="s">
        <v>66</v>
      </c>
      <c r="E707" s="23">
        <v>35</v>
      </c>
      <c r="F707" s="1">
        <v>33</v>
      </c>
      <c r="G707" s="1">
        <v>36</v>
      </c>
      <c r="H707" s="1">
        <v>30</v>
      </c>
      <c r="I707" s="1">
        <v>12</v>
      </c>
      <c r="J707" s="1">
        <v>10</v>
      </c>
      <c r="K707" s="1">
        <v>8</v>
      </c>
      <c r="L707" s="1">
        <v>8</v>
      </c>
      <c r="M707" s="1">
        <v>10</v>
      </c>
      <c r="N707" s="1">
        <v>11</v>
      </c>
      <c r="O707" s="1">
        <v>45</v>
      </c>
      <c r="P707" s="1">
        <v>48</v>
      </c>
      <c r="Q707" s="24">
        <f t="shared" si="30"/>
        <v>286</v>
      </c>
      <c r="R707" s="23">
        <v>6170</v>
      </c>
      <c r="S707" s="1">
        <v>5775</v>
      </c>
      <c r="T707" s="1">
        <v>6125</v>
      </c>
      <c r="U707" s="1">
        <v>4841</v>
      </c>
      <c r="V707" s="1">
        <v>1744</v>
      </c>
      <c r="W707" s="1">
        <v>1641</v>
      </c>
      <c r="X707" s="1">
        <v>1424</v>
      </c>
      <c r="Y707" s="1">
        <v>1436</v>
      </c>
      <c r="Z707" s="1">
        <v>1405</v>
      </c>
      <c r="AA707" s="1">
        <v>1932</v>
      </c>
      <c r="AB707" s="1">
        <v>7095</v>
      </c>
      <c r="AC707" s="1">
        <v>7918</v>
      </c>
      <c r="AD707" s="24">
        <f t="shared" si="31"/>
        <v>47506</v>
      </c>
      <c r="AE707" s="23">
        <v>0</v>
      </c>
      <c r="AF707" s="1">
        <v>0</v>
      </c>
      <c r="AG707" s="1">
        <v>0</v>
      </c>
      <c r="AH707" s="1">
        <v>0</v>
      </c>
      <c r="AI707" s="1">
        <v>0</v>
      </c>
      <c r="AJ707" s="1">
        <v>0</v>
      </c>
      <c r="AK707" s="1">
        <v>0</v>
      </c>
      <c r="AL707" s="1">
        <v>0</v>
      </c>
      <c r="AM707" s="1">
        <v>0</v>
      </c>
      <c r="AN707" s="1">
        <v>0</v>
      </c>
      <c r="AO707" s="1">
        <v>0</v>
      </c>
      <c r="AP707" s="1">
        <v>0</v>
      </c>
      <c r="AQ707" s="24">
        <f t="shared" si="32"/>
        <v>0</v>
      </c>
    </row>
    <row r="708" spans="1:43" ht="17.25" customHeight="1" x14ac:dyDescent="0.45">
      <c r="A708" s="12" t="s">
        <v>144</v>
      </c>
      <c r="B708" s="12" t="s">
        <v>65</v>
      </c>
      <c r="C708" s="12" t="s">
        <v>17</v>
      </c>
      <c r="D708" s="12" t="s">
        <v>66</v>
      </c>
      <c r="E708" s="25">
        <v>13</v>
      </c>
      <c r="F708" s="10">
        <v>12</v>
      </c>
      <c r="G708" s="10">
        <v>14</v>
      </c>
      <c r="H708" s="10">
        <v>10</v>
      </c>
      <c r="I708" s="10">
        <v>0</v>
      </c>
      <c r="J708" s="10">
        <v>0</v>
      </c>
      <c r="K708" s="10">
        <v>0</v>
      </c>
      <c r="L708" s="10">
        <v>0</v>
      </c>
      <c r="M708" s="10">
        <v>0</v>
      </c>
      <c r="N708" s="10">
        <v>0</v>
      </c>
      <c r="O708" s="10">
        <v>0</v>
      </c>
      <c r="P708" s="10">
        <v>8</v>
      </c>
      <c r="Q708" s="26">
        <f t="shared" si="30"/>
        <v>57</v>
      </c>
      <c r="R708" s="25">
        <v>2305</v>
      </c>
      <c r="S708" s="10">
        <v>1865</v>
      </c>
      <c r="T708" s="10">
        <v>1844</v>
      </c>
      <c r="U708" s="10">
        <v>847</v>
      </c>
      <c r="V708" s="10">
        <v>0</v>
      </c>
      <c r="W708" s="10">
        <v>0</v>
      </c>
      <c r="X708" s="10">
        <v>0</v>
      </c>
      <c r="Y708" s="10">
        <v>0</v>
      </c>
      <c r="Z708" s="10">
        <v>0</v>
      </c>
      <c r="AA708" s="10">
        <v>0</v>
      </c>
      <c r="AB708" s="10">
        <v>0</v>
      </c>
      <c r="AC708" s="10">
        <v>1358</v>
      </c>
      <c r="AD708" s="26">
        <f t="shared" si="31"/>
        <v>8219</v>
      </c>
      <c r="AE708" s="25">
        <v>0</v>
      </c>
      <c r="AF708" s="10">
        <v>0</v>
      </c>
      <c r="AG708" s="10">
        <v>0</v>
      </c>
      <c r="AH708" s="10">
        <v>0</v>
      </c>
      <c r="AI708" s="10">
        <v>0</v>
      </c>
      <c r="AJ708" s="10">
        <v>0</v>
      </c>
      <c r="AK708" s="10">
        <v>0</v>
      </c>
      <c r="AL708" s="10">
        <v>0</v>
      </c>
      <c r="AM708" s="10">
        <v>0</v>
      </c>
      <c r="AN708" s="10">
        <v>0</v>
      </c>
      <c r="AO708" s="10">
        <v>0</v>
      </c>
      <c r="AP708" s="10">
        <v>0</v>
      </c>
      <c r="AQ708" s="26">
        <f t="shared" si="32"/>
        <v>0</v>
      </c>
    </row>
    <row r="709" spans="1:43" ht="17.25" customHeight="1" x14ac:dyDescent="0.45">
      <c r="A709" s="2" t="s">
        <v>144</v>
      </c>
      <c r="B709" s="2" t="s">
        <v>65</v>
      </c>
      <c r="C709" s="2" t="s">
        <v>247</v>
      </c>
      <c r="D709" s="2" t="s">
        <v>66</v>
      </c>
      <c r="E709" s="23">
        <v>0</v>
      </c>
      <c r="F709" s="1">
        <v>0</v>
      </c>
      <c r="G709" s="1">
        <v>0</v>
      </c>
      <c r="H709" s="1">
        <v>0</v>
      </c>
      <c r="I709" s="1">
        <v>0</v>
      </c>
      <c r="J709" s="1">
        <v>0</v>
      </c>
      <c r="K709" s="1">
        <v>0</v>
      </c>
      <c r="L709" s="1">
        <v>0</v>
      </c>
      <c r="M709" s="1">
        <v>0</v>
      </c>
      <c r="N709" s="1">
        <v>0</v>
      </c>
      <c r="O709" s="1">
        <v>0</v>
      </c>
      <c r="P709" s="1">
        <v>5</v>
      </c>
      <c r="Q709" s="24">
        <f t="shared" si="30"/>
        <v>5</v>
      </c>
      <c r="R709" s="23">
        <v>0</v>
      </c>
      <c r="S709" s="1">
        <v>0</v>
      </c>
      <c r="T709" s="1">
        <v>0</v>
      </c>
      <c r="U709" s="1">
        <v>0</v>
      </c>
      <c r="V709" s="1">
        <v>0</v>
      </c>
      <c r="W709" s="1">
        <v>0</v>
      </c>
      <c r="X709" s="1">
        <v>0</v>
      </c>
      <c r="Y709" s="1">
        <v>0</v>
      </c>
      <c r="Z709" s="1">
        <v>0</v>
      </c>
      <c r="AA709" s="1">
        <v>0</v>
      </c>
      <c r="AB709" s="1">
        <v>0</v>
      </c>
      <c r="AC709" s="1">
        <v>726</v>
      </c>
      <c r="AD709" s="24">
        <f t="shared" si="31"/>
        <v>726</v>
      </c>
      <c r="AE709" s="23">
        <v>0</v>
      </c>
      <c r="AF709" s="1">
        <v>0</v>
      </c>
      <c r="AG709" s="1">
        <v>0</v>
      </c>
      <c r="AH709" s="1">
        <v>0</v>
      </c>
      <c r="AI709" s="1">
        <v>0</v>
      </c>
      <c r="AJ709" s="1">
        <v>0</v>
      </c>
      <c r="AK709" s="1">
        <v>0</v>
      </c>
      <c r="AL709" s="1">
        <v>0</v>
      </c>
      <c r="AM709" s="1">
        <v>0</v>
      </c>
      <c r="AN709" s="1">
        <v>0</v>
      </c>
      <c r="AO709" s="1">
        <v>0</v>
      </c>
      <c r="AP709" s="1">
        <v>0</v>
      </c>
      <c r="AQ709" s="24">
        <f t="shared" si="32"/>
        <v>0</v>
      </c>
    </row>
    <row r="710" spans="1:43" ht="17.25" customHeight="1" x14ac:dyDescent="0.45">
      <c r="A710" s="12" t="s">
        <v>28</v>
      </c>
      <c r="B710" s="12" t="s">
        <v>66</v>
      </c>
      <c r="C710" s="12" t="s">
        <v>77</v>
      </c>
      <c r="D710" s="12" t="s">
        <v>68</v>
      </c>
      <c r="E710" s="25">
        <v>0</v>
      </c>
      <c r="F710" s="10">
        <v>0</v>
      </c>
      <c r="G710" s="10">
        <v>0</v>
      </c>
      <c r="H710" s="10">
        <v>0</v>
      </c>
      <c r="I710" s="10">
        <v>0</v>
      </c>
      <c r="J710" s="10">
        <v>0</v>
      </c>
      <c r="K710" s="10">
        <v>0</v>
      </c>
      <c r="L710" s="10">
        <v>27</v>
      </c>
      <c r="M710" s="10">
        <v>30</v>
      </c>
      <c r="N710" s="10">
        <v>31</v>
      </c>
      <c r="O710" s="10">
        <v>30</v>
      </c>
      <c r="P710" s="10">
        <v>31</v>
      </c>
      <c r="Q710" s="26">
        <f t="shared" si="30"/>
        <v>149</v>
      </c>
      <c r="R710" s="25">
        <v>0</v>
      </c>
      <c r="S710" s="10">
        <v>0</v>
      </c>
      <c r="T710" s="10">
        <v>0</v>
      </c>
      <c r="U710" s="10">
        <v>0</v>
      </c>
      <c r="V710" s="10">
        <v>0</v>
      </c>
      <c r="W710" s="10">
        <v>0</v>
      </c>
      <c r="X710" s="10">
        <v>0</v>
      </c>
      <c r="Y710" s="10">
        <v>2221</v>
      </c>
      <c r="Z710" s="10">
        <v>2336</v>
      </c>
      <c r="AA710" s="10">
        <v>2328</v>
      </c>
      <c r="AB710" s="10">
        <v>2311</v>
      </c>
      <c r="AC710" s="10">
        <v>2356</v>
      </c>
      <c r="AD710" s="26">
        <f t="shared" si="31"/>
        <v>11552</v>
      </c>
      <c r="AE710" s="25">
        <v>0</v>
      </c>
      <c r="AF710" s="10">
        <v>0</v>
      </c>
      <c r="AG710" s="10">
        <v>0</v>
      </c>
      <c r="AH710" s="10">
        <v>0</v>
      </c>
      <c r="AI710" s="10">
        <v>0</v>
      </c>
      <c r="AJ710" s="10">
        <v>0</v>
      </c>
      <c r="AK710" s="10">
        <v>0</v>
      </c>
      <c r="AL710" s="10">
        <v>0</v>
      </c>
      <c r="AM710" s="10">
        <v>0</v>
      </c>
      <c r="AN710" s="10">
        <v>0</v>
      </c>
      <c r="AO710" s="10">
        <v>0</v>
      </c>
      <c r="AP710" s="10">
        <v>0</v>
      </c>
      <c r="AQ710" s="26">
        <f t="shared" si="32"/>
        <v>0</v>
      </c>
    </row>
    <row r="711" spans="1:43" ht="17.25" customHeight="1" x14ac:dyDescent="0.45">
      <c r="A711" s="2" t="s">
        <v>28</v>
      </c>
      <c r="B711" s="2" t="s">
        <v>66</v>
      </c>
      <c r="C711" s="2" t="s">
        <v>72</v>
      </c>
      <c r="D711" s="2" t="s">
        <v>68</v>
      </c>
      <c r="E711" s="23">
        <v>6</v>
      </c>
      <c r="F711" s="1">
        <v>4</v>
      </c>
      <c r="G711" s="1">
        <v>4</v>
      </c>
      <c r="H711" s="1">
        <v>9</v>
      </c>
      <c r="I711" s="1">
        <v>9</v>
      </c>
      <c r="J711" s="1">
        <v>8</v>
      </c>
      <c r="K711" s="1">
        <v>8</v>
      </c>
      <c r="L711" s="1">
        <v>9</v>
      </c>
      <c r="M711" s="1">
        <v>8</v>
      </c>
      <c r="N711" s="1">
        <v>9</v>
      </c>
      <c r="O711" s="1">
        <v>9</v>
      </c>
      <c r="P711" s="1">
        <v>10</v>
      </c>
      <c r="Q711" s="24">
        <f t="shared" si="30"/>
        <v>93</v>
      </c>
      <c r="R711" s="23">
        <v>901</v>
      </c>
      <c r="S711" s="1">
        <v>561</v>
      </c>
      <c r="T711" s="1">
        <v>559</v>
      </c>
      <c r="U711" s="1">
        <v>1126</v>
      </c>
      <c r="V711" s="1">
        <v>1078</v>
      </c>
      <c r="W711" s="1">
        <v>985</v>
      </c>
      <c r="X711" s="1">
        <v>1339</v>
      </c>
      <c r="Y711" s="1">
        <v>1477</v>
      </c>
      <c r="Z711" s="1">
        <v>1046</v>
      </c>
      <c r="AA711" s="1">
        <v>1201</v>
      </c>
      <c r="AB711" s="1">
        <v>1084</v>
      </c>
      <c r="AC711" s="1">
        <v>1138</v>
      </c>
      <c r="AD711" s="24">
        <f t="shared" si="31"/>
        <v>12495</v>
      </c>
      <c r="AE711" s="23">
        <v>0</v>
      </c>
      <c r="AF711" s="1">
        <v>0</v>
      </c>
      <c r="AG711" s="1">
        <v>0</v>
      </c>
      <c r="AH711" s="1">
        <v>0</v>
      </c>
      <c r="AI711" s="1">
        <v>0</v>
      </c>
      <c r="AJ711" s="1">
        <v>0</v>
      </c>
      <c r="AK711" s="1">
        <v>0</v>
      </c>
      <c r="AL711" s="1">
        <v>0</v>
      </c>
      <c r="AM711" s="1">
        <v>0</v>
      </c>
      <c r="AN711" s="1">
        <v>0</v>
      </c>
      <c r="AO711" s="1">
        <v>0</v>
      </c>
      <c r="AP711" s="1">
        <v>0</v>
      </c>
      <c r="AQ711" s="24">
        <f t="shared" si="32"/>
        <v>0</v>
      </c>
    </row>
    <row r="712" spans="1:43" ht="17.25" customHeight="1" x14ac:dyDescent="0.45">
      <c r="A712" s="12" t="s">
        <v>28</v>
      </c>
      <c r="B712" s="12" t="s">
        <v>66</v>
      </c>
      <c r="C712" s="12" t="s">
        <v>67</v>
      </c>
      <c r="D712" s="12" t="s">
        <v>68</v>
      </c>
      <c r="E712" s="25">
        <v>88</v>
      </c>
      <c r="F712" s="10">
        <v>86</v>
      </c>
      <c r="G712" s="10">
        <v>93</v>
      </c>
      <c r="H712" s="10">
        <v>90</v>
      </c>
      <c r="I712" s="10">
        <v>89</v>
      </c>
      <c r="J712" s="10">
        <v>89</v>
      </c>
      <c r="K712" s="10">
        <v>92</v>
      </c>
      <c r="L712" s="10">
        <v>92</v>
      </c>
      <c r="M712" s="10">
        <v>90</v>
      </c>
      <c r="N712" s="10">
        <v>92</v>
      </c>
      <c r="O712" s="10">
        <v>87</v>
      </c>
      <c r="P712" s="10">
        <v>91</v>
      </c>
      <c r="Q712" s="26">
        <f t="shared" ref="Q712:Q775" si="33">SUM(E712:P712)</f>
        <v>1079</v>
      </c>
      <c r="R712" s="25">
        <v>12018</v>
      </c>
      <c r="S712" s="10">
        <v>9998</v>
      </c>
      <c r="T712" s="10">
        <v>12329</v>
      </c>
      <c r="U712" s="10">
        <v>10843</v>
      </c>
      <c r="V712" s="10">
        <v>10460</v>
      </c>
      <c r="W712" s="10">
        <v>11418</v>
      </c>
      <c r="X712" s="10">
        <v>14914</v>
      </c>
      <c r="Y712" s="10">
        <v>13473</v>
      </c>
      <c r="Z712" s="10">
        <v>11010</v>
      </c>
      <c r="AA712" s="10">
        <v>10865</v>
      </c>
      <c r="AB712" s="10">
        <v>10912</v>
      </c>
      <c r="AC712" s="10">
        <v>11092</v>
      </c>
      <c r="AD712" s="26">
        <f t="shared" ref="AD712:AD775" si="34">SUM(R712:AC712)</f>
        <v>139332</v>
      </c>
      <c r="AE712" s="25">
        <v>0</v>
      </c>
      <c r="AF712" s="10">
        <v>357.43078756</v>
      </c>
      <c r="AG712" s="10">
        <v>172.81869297000003</v>
      </c>
      <c r="AH712" s="10">
        <v>184.15850222</v>
      </c>
      <c r="AI712" s="10">
        <v>163.29325320000001</v>
      </c>
      <c r="AJ712" s="10">
        <v>72.574779200000009</v>
      </c>
      <c r="AK712" s="10">
        <v>0</v>
      </c>
      <c r="AL712" s="10">
        <v>105.68702221000001</v>
      </c>
      <c r="AM712" s="10">
        <v>0</v>
      </c>
      <c r="AN712" s="10">
        <v>16.782917690000001</v>
      </c>
      <c r="AO712" s="10">
        <v>163.29325320000001</v>
      </c>
      <c r="AP712" s="10">
        <v>2.2679618500000003</v>
      </c>
      <c r="AQ712" s="26">
        <f t="shared" ref="AQ712:AQ775" si="35">SUM(AE712:AP712)</f>
        <v>1238.3071700999997</v>
      </c>
    </row>
    <row r="713" spans="1:43" ht="17.25" customHeight="1" x14ac:dyDescent="0.45">
      <c r="A713" s="2" t="s">
        <v>28</v>
      </c>
      <c r="B713" s="2" t="s">
        <v>66</v>
      </c>
      <c r="C713" s="2" t="s">
        <v>101</v>
      </c>
      <c r="D713" s="2" t="s">
        <v>68</v>
      </c>
      <c r="E713" s="23">
        <v>20</v>
      </c>
      <c r="F713" s="1">
        <v>25</v>
      </c>
      <c r="G713" s="1">
        <v>25</v>
      </c>
      <c r="H713" s="1">
        <v>26</v>
      </c>
      <c r="I713" s="1">
        <v>27</v>
      </c>
      <c r="J713" s="1">
        <v>25</v>
      </c>
      <c r="K713" s="1">
        <v>27</v>
      </c>
      <c r="L713" s="1">
        <v>22</v>
      </c>
      <c r="M713" s="1">
        <v>18</v>
      </c>
      <c r="N713" s="1">
        <v>19</v>
      </c>
      <c r="O713" s="1">
        <v>19</v>
      </c>
      <c r="P713" s="1">
        <v>20</v>
      </c>
      <c r="Q713" s="24">
        <f t="shared" si="33"/>
        <v>273</v>
      </c>
      <c r="R713" s="23">
        <v>1328</v>
      </c>
      <c r="S713" s="1">
        <v>1645</v>
      </c>
      <c r="T713" s="1">
        <v>1806</v>
      </c>
      <c r="U713" s="1">
        <v>1957</v>
      </c>
      <c r="V713" s="1">
        <v>1762</v>
      </c>
      <c r="W713" s="1">
        <v>1556</v>
      </c>
      <c r="X713" s="1">
        <v>2141</v>
      </c>
      <c r="Y713" s="1">
        <v>1655</v>
      </c>
      <c r="Z713" s="1">
        <v>938</v>
      </c>
      <c r="AA713" s="1">
        <v>1044</v>
      </c>
      <c r="AB713" s="1">
        <v>938</v>
      </c>
      <c r="AC713" s="1">
        <v>793</v>
      </c>
      <c r="AD713" s="24">
        <f t="shared" si="34"/>
        <v>17563</v>
      </c>
      <c r="AE713" s="23">
        <v>0</v>
      </c>
      <c r="AF713" s="1">
        <v>0</v>
      </c>
      <c r="AG713" s="1">
        <v>0</v>
      </c>
      <c r="AH713" s="1">
        <v>0</v>
      </c>
      <c r="AI713" s="1">
        <v>0</v>
      </c>
      <c r="AJ713" s="1">
        <v>45</v>
      </c>
      <c r="AK713" s="1">
        <v>0</v>
      </c>
      <c r="AL713" s="1">
        <v>0</v>
      </c>
      <c r="AM713" s="1">
        <v>0</v>
      </c>
      <c r="AN713" s="1">
        <v>0</v>
      </c>
      <c r="AO713" s="1">
        <v>0</v>
      </c>
      <c r="AP713" s="1">
        <v>0</v>
      </c>
      <c r="AQ713" s="24">
        <f t="shared" si="35"/>
        <v>45</v>
      </c>
    </row>
    <row r="714" spans="1:43" ht="17.25" customHeight="1" x14ac:dyDescent="0.45">
      <c r="A714" s="12" t="s">
        <v>28</v>
      </c>
      <c r="B714" s="12" t="s">
        <v>66</v>
      </c>
      <c r="C714" s="12" t="s">
        <v>69</v>
      </c>
      <c r="D714" s="12" t="s">
        <v>68</v>
      </c>
      <c r="E714" s="25">
        <v>106</v>
      </c>
      <c r="F714" s="10">
        <v>100</v>
      </c>
      <c r="G714" s="10">
        <v>106</v>
      </c>
      <c r="H714" s="10">
        <v>106</v>
      </c>
      <c r="I714" s="10">
        <v>104</v>
      </c>
      <c r="J714" s="10">
        <v>103</v>
      </c>
      <c r="K714" s="10">
        <v>102</v>
      </c>
      <c r="L714" s="10">
        <v>106</v>
      </c>
      <c r="M714" s="10">
        <v>103</v>
      </c>
      <c r="N714" s="10">
        <v>102</v>
      </c>
      <c r="O714" s="10">
        <v>103</v>
      </c>
      <c r="P714" s="10">
        <v>136</v>
      </c>
      <c r="Q714" s="26">
        <f t="shared" si="33"/>
        <v>1277</v>
      </c>
      <c r="R714" s="25">
        <v>11798</v>
      </c>
      <c r="S714" s="10">
        <v>10030</v>
      </c>
      <c r="T714" s="10">
        <v>11578</v>
      </c>
      <c r="U714" s="10">
        <v>10263</v>
      </c>
      <c r="V714" s="10">
        <v>10020</v>
      </c>
      <c r="W714" s="10">
        <v>10521</v>
      </c>
      <c r="X714" s="10">
        <v>12406</v>
      </c>
      <c r="Y714" s="10">
        <v>11798</v>
      </c>
      <c r="Z714" s="10">
        <v>10296</v>
      </c>
      <c r="AA714" s="10">
        <v>10391</v>
      </c>
      <c r="AB714" s="10">
        <v>10533</v>
      </c>
      <c r="AC714" s="10">
        <v>13278</v>
      </c>
      <c r="AD714" s="26">
        <f t="shared" si="34"/>
        <v>132912</v>
      </c>
      <c r="AE714" s="25">
        <v>0</v>
      </c>
      <c r="AF714" s="10">
        <v>0</v>
      </c>
      <c r="AG714" s="10">
        <v>0</v>
      </c>
      <c r="AH714" s="10">
        <v>0</v>
      </c>
      <c r="AI714" s="10">
        <v>0</v>
      </c>
      <c r="AJ714" s="10">
        <v>0</v>
      </c>
      <c r="AK714" s="10">
        <v>0</v>
      </c>
      <c r="AL714" s="10">
        <v>0</v>
      </c>
      <c r="AM714" s="10">
        <v>0</v>
      </c>
      <c r="AN714" s="10">
        <v>0</v>
      </c>
      <c r="AO714" s="10">
        <v>0</v>
      </c>
      <c r="AP714" s="10">
        <v>0</v>
      </c>
      <c r="AQ714" s="26">
        <f t="shared" si="35"/>
        <v>0</v>
      </c>
    </row>
    <row r="715" spans="1:43" ht="17.25" customHeight="1" x14ac:dyDescent="0.45">
      <c r="A715" s="2" t="s">
        <v>28</v>
      </c>
      <c r="B715" s="2" t="s">
        <v>66</v>
      </c>
      <c r="C715" s="2" t="s">
        <v>188</v>
      </c>
      <c r="D715" s="2" t="s">
        <v>68</v>
      </c>
      <c r="E715" s="23">
        <v>19</v>
      </c>
      <c r="F715" s="1">
        <v>20</v>
      </c>
      <c r="G715" s="1">
        <v>20</v>
      </c>
      <c r="H715" s="1">
        <v>21</v>
      </c>
      <c r="I715" s="1">
        <v>21</v>
      </c>
      <c r="J715" s="1">
        <v>20</v>
      </c>
      <c r="K715" s="1">
        <v>23</v>
      </c>
      <c r="L715" s="1">
        <v>20</v>
      </c>
      <c r="M715" s="1">
        <v>21</v>
      </c>
      <c r="N715" s="1">
        <v>21</v>
      </c>
      <c r="O715" s="1">
        <v>21</v>
      </c>
      <c r="P715" s="1">
        <v>21</v>
      </c>
      <c r="Q715" s="24">
        <f t="shared" si="33"/>
        <v>248</v>
      </c>
      <c r="R715" s="23">
        <v>0</v>
      </c>
      <c r="S715" s="1">
        <v>0</v>
      </c>
      <c r="T715" s="1">
        <v>0</v>
      </c>
      <c r="U715" s="1">
        <v>0</v>
      </c>
      <c r="V715" s="1">
        <v>0</v>
      </c>
      <c r="W715" s="1">
        <v>0</v>
      </c>
      <c r="X715" s="1">
        <v>0</v>
      </c>
      <c r="Y715" s="1">
        <v>0</v>
      </c>
      <c r="Z715" s="1">
        <v>0</v>
      </c>
      <c r="AA715" s="1">
        <v>0</v>
      </c>
      <c r="AB715" s="1">
        <v>0</v>
      </c>
      <c r="AC715" s="1">
        <v>0</v>
      </c>
      <c r="AD715" s="24">
        <f t="shared" si="34"/>
        <v>0</v>
      </c>
      <c r="AE715" s="23">
        <v>914409</v>
      </c>
      <c r="AF715" s="1">
        <v>1107526</v>
      </c>
      <c r="AG715" s="1">
        <v>1105404</v>
      </c>
      <c r="AH715" s="1">
        <v>1582591</v>
      </c>
      <c r="AI715" s="1">
        <v>1408092</v>
      </c>
      <c r="AJ715" s="1">
        <v>645824</v>
      </c>
      <c r="AK715" s="1">
        <v>946933</v>
      </c>
      <c r="AL715" s="1">
        <v>375895.77272800001</v>
      </c>
      <c r="AM715" s="1">
        <v>400515.73981674685</v>
      </c>
      <c r="AN715" s="1">
        <v>501786.26508210099</v>
      </c>
      <c r="AO715" s="1">
        <v>488206.93096253276</v>
      </c>
      <c r="AP715" s="1">
        <v>345348.81611176638</v>
      </c>
      <c r="AQ715" s="24">
        <f t="shared" si="35"/>
        <v>9822532.5247011464</v>
      </c>
    </row>
    <row r="716" spans="1:43" ht="17.25" customHeight="1" x14ac:dyDescent="0.45">
      <c r="A716" s="12" t="s">
        <v>28</v>
      </c>
      <c r="B716" s="12" t="s">
        <v>66</v>
      </c>
      <c r="C716" s="12" t="s">
        <v>149</v>
      </c>
      <c r="D716" s="12" t="s">
        <v>68</v>
      </c>
      <c r="E716" s="25">
        <v>9</v>
      </c>
      <c r="F716" s="10">
        <v>8</v>
      </c>
      <c r="G716" s="10">
        <v>8</v>
      </c>
      <c r="H716" s="10">
        <v>9</v>
      </c>
      <c r="I716" s="10">
        <v>9</v>
      </c>
      <c r="J716" s="10">
        <v>7</v>
      </c>
      <c r="K716" s="10">
        <v>13</v>
      </c>
      <c r="L716" s="10">
        <v>10</v>
      </c>
      <c r="M716" s="10">
        <v>9</v>
      </c>
      <c r="N716" s="10">
        <v>8</v>
      </c>
      <c r="O716" s="10">
        <v>11</v>
      </c>
      <c r="P716" s="10">
        <v>12</v>
      </c>
      <c r="Q716" s="26">
        <f t="shared" si="33"/>
        <v>113</v>
      </c>
      <c r="R716" s="25">
        <v>1133</v>
      </c>
      <c r="S716" s="10">
        <v>802</v>
      </c>
      <c r="T716" s="10">
        <v>1002</v>
      </c>
      <c r="U716" s="10">
        <v>967</v>
      </c>
      <c r="V716" s="10">
        <v>961</v>
      </c>
      <c r="W716" s="10">
        <v>825</v>
      </c>
      <c r="X716" s="10">
        <v>1903</v>
      </c>
      <c r="Y716" s="10">
        <v>1255</v>
      </c>
      <c r="Z716" s="10">
        <v>1148</v>
      </c>
      <c r="AA716" s="10">
        <v>964</v>
      </c>
      <c r="AB716" s="10">
        <v>1228</v>
      </c>
      <c r="AC716" s="10">
        <v>1406</v>
      </c>
      <c r="AD716" s="26">
        <f t="shared" si="34"/>
        <v>13594</v>
      </c>
      <c r="AE716" s="25">
        <v>0</v>
      </c>
      <c r="AF716" s="10">
        <v>0</v>
      </c>
      <c r="AG716" s="10">
        <v>0</v>
      </c>
      <c r="AH716" s="10">
        <v>0</v>
      </c>
      <c r="AI716" s="10">
        <v>0</v>
      </c>
      <c r="AJ716" s="10">
        <v>0</v>
      </c>
      <c r="AK716" s="10">
        <v>0</v>
      </c>
      <c r="AL716" s="10">
        <v>0</v>
      </c>
      <c r="AM716" s="10">
        <v>0</v>
      </c>
      <c r="AN716" s="10">
        <v>0</v>
      </c>
      <c r="AO716" s="10">
        <v>0</v>
      </c>
      <c r="AP716" s="10">
        <v>0</v>
      </c>
      <c r="AQ716" s="26">
        <f t="shared" si="35"/>
        <v>0</v>
      </c>
    </row>
    <row r="717" spans="1:43" ht="17.25" customHeight="1" x14ac:dyDescent="0.45">
      <c r="A717" s="2" t="s">
        <v>198</v>
      </c>
      <c r="B717" s="2" t="s">
        <v>199</v>
      </c>
      <c r="C717" s="2" t="s">
        <v>10</v>
      </c>
      <c r="D717" s="2" t="s">
        <v>66</v>
      </c>
      <c r="E717" s="23">
        <v>4</v>
      </c>
      <c r="F717" s="1">
        <v>0</v>
      </c>
      <c r="G717" s="1">
        <v>0</v>
      </c>
      <c r="H717" s="1">
        <v>0</v>
      </c>
      <c r="I717" s="1">
        <v>0</v>
      </c>
      <c r="J717" s="1">
        <v>0</v>
      </c>
      <c r="K717" s="1">
        <v>0</v>
      </c>
      <c r="L717" s="1">
        <v>0</v>
      </c>
      <c r="M717" s="1">
        <v>0</v>
      </c>
      <c r="N717" s="1">
        <v>0</v>
      </c>
      <c r="O717" s="1">
        <v>0</v>
      </c>
      <c r="P717" s="1">
        <v>0</v>
      </c>
      <c r="Q717" s="24">
        <f t="shared" si="33"/>
        <v>4</v>
      </c>
      <c r="R717" s="23">
        <v>503</v>
      </c>
      <c r="S717" s="1">
        <v>0</v>
      </c>
      <c r="T717" s="1">
        <v>0</v>
      </c>
      <c r="U717" s="1">
        <v>0</v>
      </c>
      <c r="V717" s="1">
        <v>0</v>
      </c>
      <c r="W717" s="1">
        <v>0</v>
      </c>
      <c r="X717" s="1">
        <v>0</v>
      </c>
      <c r="Y717" s="1">
        <v>0</v>
      </c>
      <c r="Z717" s="1">
        <v>0</v>
      </c>
      <c r="AA717" s="1">
        <v>0</v>
      </c>
      <c r="AB717" s="1">
        <v>0</v>
      </c>
      <c r="AC717" s="1">
        <v>0</v>
      </c>
      <c r="AD717" s="24">
        <f t="shared" si="34"/>
        <v>503</v>
      </c>
      <c r="AE717" s="23">
        <v>536</v>
      </c>
      <c r="AF717" s="1">
        <v>0</v>
      </c>
      <c r="AG717" s="1">
        <v>0</v>
      </c>
      <c r="AH717" s="1">
        <v>0</v>
      </c>
      <c r="AI717" s="1">
        <v>0</v>
      </c>
      <c r="AJ717" s="1">
        <v>0</v>
      </c>
      <c r="AK717" s="1">
        <v>0</v>
      </c>
      <c r="AL717" s="1">
        <v>0</v>
      </c>
      <c r="AM717" s="1">
        <v>0</v>
      </c>
      <c r="AN717" s="1">
        <v>0</v>
      </c>
      <c r="AO717" s="1">
        <v>0</v>
      </c>
      <c r="AP717" s="1">
        <v>0</v>
      </c>
      <c r="AQ717" s="24">
        <f t="shared" si="35"/>
        <v>536</v>
      </c>
    </row>
    <row r="718" spans="1:43" ht="17.25" customHeight="1" x14ac:dyDescent="0.45">
      <c r="A718" s="12" t="s">
        <v>198</v>
      </c>
      <c r="B718" s="12" t="s">
        <v>199</v>
      </c>
      <c r="C718" s="12" t="s">
        <v>12</v>
      </c>
      <c r="D718" s="12" t="s">
        <v>66</v>
      </c>
      <c r="E718" s="25">
        <v>30</v>
      </c>
      <c r="F718" s="10">
        <v>18</v>
      </c>
      <c r="G718" s="10">
        <v>17</v>
      </c>
      <c r="H718" s="10">
        <v>18</v>
      </c>
      <c r="I718" s="10">
        <v>18</v>
      </c>
      <c r="J718" s="10">
        <v>17</v>
      </c>
      <c r="K718" s="10">
        <v>0</v>
      </c>
      <c r="L718" s="10">
        <v>0</v>
      </c>
      <c r="M718" s="10">
        <v>0</v>
      </c>
      <c r="N718" s="10">
        <v>0</v>
      </c>
      <c r="O718" s="10">
        <v>0</v>
      </c>
      <c r="P718" s="10">
        <v>0</v>
      </c>
      <c r="Q718" s="26">
        <f t="shared" si="33"/>
        <v>118</v>
      </c>
      <c r="R718" s="25">
        <v>3420</v>
      </c>
      <c r="S718" s="10">
        <v>2206</v>
      </c>
      <c r="T718" s="10">
        <v>2106</v>
      </c>
      <c r="U718" s="10">
        <v>1930</v>
      </c>
      <c r="V718" s="10">
        <v>1723</v>
      </c>
      <c r="W718" s="10">
        <v>1726</v>
      </c>
      <c r="X718" s="10">
        <v>0</v>
      </c>
      <c r="Y718" s="10">
        <v>0</v>
      </c>
      <c r="Z718" s="10">
        <v>0</v>
      </c>
      <c r="AA718" s="10">
        <v>0</v>
      </c>
      <c r="AB718" s="10">
        <v>0</v>
      </c>
      <c r="AC718" s="10">
        <v>0</v>
      </c>
      <c r="AD718" s="26">
        <f t="shared" si="34"/>
        <v>13111</v>
      </c>
      <c r="AE718" s="25">
        <v>66392</v>
      </c>
      <c r="AF718" s="10">
        <v>35460</v>
      </c>
      <c r="AG718" s="10">
        <v>38591</v>
      </c>
      <c r="AH718" s="10">
        <v>34753</v>
      </c>
      <c r="AI718" s="10">
        <v>42319</v>
      </c>
      <c r="AJ718" s="10">
        <v>32100</v>
      </c>
      <c r="AK718" s="10">
        <v>0</v>
      </c>
      <c r="AL718" s="10">
        <v>0</v>
      </c>
      <c r="AM718" s="10">
        <v>0</v>
      </c>
      <c r="AN718" s="10">
        <v>0</v>
      </c>
      <c r="AO718" s="10">
        <v>0</v>
      </c>
      <c r="AP718" s="10">
        <v>0</v>
      </c>
      <c r="AQ718" s="26">
        <f t="shared" si="35"/>
        <v>249615</v>
      </c>
    </row>
    <row r="719" spans="1:43" ht="17.25" customHeight="1" x14ac:dyDescent="0.45">
      <c r="A719" s="2" t="s">
        <v>198</v>
      </c>
      <c r="B719" s="2" t="s">
        <v>199</v>
      </c>
      <c r="C719" s="2" t="s">
        <v>14</v>
      </c>
      <c r="D719" s="2" t="s">
        <v>66</v>
      </c>
      <c r="E719" s="23">
        <v>12</v>
      </c>
      <c r="F719" s="1">
        <v>13</v>
      </c>
      <c r="G719" s="1">
        <v>9</v>
      </c>
      <c r="H719" s="1">
        <v>16</v>
      </c>
      <c r="I719" s="1">
        <v>13</v>
      </c>
      <c r="J719" s="1">
        <v>13</v>
      </c>
      <c r="K719" s="1">
        <v>8</v>
      </c>
      <c r="L719" s="1">
        <v>12</v>
      </c>
      <c r="M719" s="1">
        <v>4</v>
      </c>
      <c r="N719" s="1">
        <v>13</v>
      </c>
      <c r="O719" s="1">
        <v>10</v>
      </c>
      <c r="P719" s="1">
        <v>14</v>
      </c>
      <c r="Q719" s="24">
        <f t="shared" si="33"/>
        <v>137</v>
      </c>
      <c r="R719" s="23">
        <v>0</v>
      </c>
      <c r="S719" s="1">
        <v>0</v>
      </c>
      <c r="T719" s="1">
        <v>0</v>
      </c>
      <c r="U719" s="1">
        <v>0</v>
      </c>
      <c r="V719" s="1">
        <v>0</v>
      </c>
      <c r="W719" s="1">
        <v>0</v>
      </c>
      <c r="X719" s="1">
        <v>0</v>
      </c>
      <c r="Y719" s="1">
        <v>0</v>
      </c>
      <c r="Z719" s="1">
        <v>0</v>
      </c>
      <c r="AA719" s="1">
        <v>0</v>
      </c>
      <c r="AB719" s="1">
        <v>0</v>
      </c>
      <c r="AC719" s="1">
        <v>0</v>
      </c>
      <c r="AD719" s="24">
        <f t="shared" si="34"/>
        <v>0</v>
      </c>
      <c r="AE719" s="23">
        <v>594014</v>
      </c>
      <c r="AF719" s="1">
        <v>684501</v>
      </c>
      <c r="AG719" s="1">
        <v>479465</v>
      </c>
      <c r="AH719" s="1">
        <v>851755</v>
      </c>
      <c r="AI719" s="1">
        <v>676540</v>
      </c>
      <c r="AJ719" s="1">
        <v>641901</v>
      </c>
      <c r="AK719" s="1">
        <v>291290</v>
      </c>
      <c r="AL719" s="1">
        <v>702566</v>
      </c>
      <c r="AM719" s="1">
        <v>181135</v>
      </c>
      <c r="AN719" s="1">
        <v>777837</v>
      </c>
      <c r="AO719" s="1">
        <v>591831</v>
      </c>
      <c r="AP719" s="1">
        <v>635020</v>
      </c>
      <c r="AQ719" s="24">
        <f t="shared" si="35"/>
        <v>7107855</v>
      </c>
    </row>
    <row r="720" spans="1:43" ht="17.25" customHeight="1" x14ac:dyDescent="0.45">
      <c r="A720" s="12" t="s">
        <v>145</v>
      </c>
      <c r="B720" s="12" t="s">
        <v>68</v>
      </c>
      <c r="C720" s="12" t="s">
        <v>10</v>
      </c>
      <c r="D720" s="12" t="s">
        <v>66</v>
      </c>
      <c r="E720" s="25">
        <v>15</v>
      </c>
      <c r="F720" s="10">
        <v>12</v>
      </c>
      <c r="G720" s="10">
        <v>14</v>
      </c>
      <c r="H720" s="10">
        <v>9</v>
      </c>
      <c r="I720" s="10">
        <v>9</v>
      </c>
      <c r="J720" s="10">
        <v>7</v>
      </c>
      <c r="K720" s="10">
        <v>4</v>
      </c>
      <c r="L720" s="10">
        <v>5</v>
      </c>
      <c r="M720" s="10">
        <v>4</v>
      </c>
      <c r="N720" s="10">
        <v>4</v>
      </c>
      <c r="O720" s="10">
        <v>0</v>
      </c>
      <c r="P720" s="10">
        <v>2</v>
      </c>
      <c r="Q720" s="26">
        <f t="shared" si="33"/>
        <v>85</v>
      </c>
      <c r="R720" s="25">
        <v>972</v>
      </c>
      <c r="S720" s="10">
        <v>1156</v>
      </c>
      <c r="T720" s="10">
        <v>1438</v>
      </c>
      <c r="U720" s="10">
        <v>674</v>
      </c>
      <c r="V720" s="10">
        <v>1011</v>
      </c>
      <c r="W720" s="10">
        <v>900</v>
      </c>
      <c r="X720" s="10">
        <v>497</v>
      </c>
      <c r="Y720" s="10">
        <v>695</v>
      </c>
      <c r="Z720" s="10">
        <v>433</v>
      </c>
      <c r="AA720" s="10">
        <v>489</v>
      </c>
      <c r="AB720" s="10">
        <v>0</v>
      </c>
      <c r="AC720" s="10">
        <v>290</v>
      </c>
      <c r="AD720" s="26">
        <f t="shared" si="34"/>
        <v>8555</v>
      </c>
      <c r="AE720" s="25">
        <v>0</v>
      </c>
      <c r="AF720" s="10">
        <v>0</v>
      </c>
      <c r="AG720" s="10">
        <v>0</v>
      </c>
      <c r="AH720" s="10">
        <v>0</v>
      </c>
      <c r="AI720" s="10">
        <v>0</v>
      </c>
      <c r="AJ720" s="10">
        <v>0</v>
      </c>
      <c r="AK720" s="10">
        <v>0</v>
      </c>
      <c r="AL720" s="10">
        <v>0</v>
      </c>
      <c r="AM720" s="10">
        <v>0</v>
      </c>
      <c r="AN720" s="10">
        <v>0</v>
      </c>
      <c r="AO720" s="10">
        <v>0</v>
      </c>
      <c r="AP720" s="10">
        <v>0</v>
      </c>
      <c r="AQ720" s="26">
        <f t="shared" si="35"/>
        <v>0</v>
      </c>
    </row>
    <row r="721" spans="1:43" ht="17.25" customHeight="1" x14ac:dyDescent="0.45">
      <c r="A721" s="2" t="s">
        <v>145</v>
      </c>
      <c r="B721" s="2" t="s">
        <v>68</v>
      </c>
      <c r="C721" s="2" t="s">
        <v>12</v>
      </c>
      <c r="D721" s="2" t="s">
        <v>66</v>
      </c>
      <c r="E721" s="23">
        <v>0</v>
      </c>
      <c r="F721" s="1">
        <v>0</v>
      </c>
      <c r="G721" s="1">
        <v>0</v>
      </c>
      <c r="H721" s="1">
        <v>0</v>
      </c>
      <c r="I721" s="1">
        <v>0</v>
      </c>
      <c r="J721" s="1">
        <v>0</v>
      </c>
      <c r="K721" s="1">
        <v>31</v>
      </c>
      <c r="L721" s="1">
        <v>31</v>
      </c>
      <c r="M721" s="1">
        <v>30</v>
      </c>
      <c r="N721" s="1">
        <v>31</v>
      </c>
      <c r="O721" s="1">
        <v>30</v>
      </c>
      <c r="P721" s="1">
        <v>31</v>
      </c>
      <c r="Q721" s="24">
        <f t="shared" si="33"/>
        <v>184</v>
      </c>
      <c r="R721" s="23">
        <v>0</v>
      </c>
      <c r="S721" s="1">
        <v>0</v>
      </c>
      <c r="T721" s="1">
        <v>0</v>
      </c>
      <c r="U721" s="1">
        <v>0</v>
      </c>
      <c r="V721" s="1">
        <v>0</v>
      </c>
      <c r="W721" s="1">
        <v>0</v>
      </c>
      <c r="X721" s="1">
        <v>2669</v>
      </c>
      <c r="Y721" s="1">
        <v>2343</v>
      </c>
      <c r="Z721" s="1">
        <v>1908</v>
      </c>
      <c r="AA721" s="1">
        <v>2446</v>
      </c>
      <c r="AB721" s="1">
        <v>2306</v>
      </c>
      <c r="AC721" s="1">
        <v>2906</v>
      </c>
      <c r="AD721" s="24">
        <f t="shared" si="34"/>
        <v>14578</v>
      </c>
      <c r="AE721" s="23">
        <v>0</v>
      </c>
      <c r="AF721" s="1">
        <v>0</v>
      </c>
      <c r="AG721" s="1">
        <v>0</v>
      </c>
      <c r="AH721" s="1">
        <v>0</v>
      </c>
      <c r="AI721" s="1">
        <v>0</v>
      </c>
      <c r="AJ721" s="1">
        <v>0</v>
      </c>
      <c r="AK721" s="1">
        <v>0</v>
      </c>
      <c r="AL721" s="1">
        <v>0</v>
      </c>
      <c r="AM721" s="1">
        <v>7</v>
      </c>
      <c r="AN721" s="1">
        <v>0</v>
      </c>
      <c r="AO721" s="1">
        <v>0</v>
      </c>
      <c r="AP721" s="1">
        <v>0</v>
      </c>
      <c r="AQ721" s="24">
        <f t="shared" si="35"/>
        <v>7</v>
      </c>
    </row>
    <row r="722" spans="1:43" ht="17.25" customHeight="1" x14ac:dyDescent="0.45">
      <c r="A722" s="12" t="s">
        <v>146</v>
      </c>
      <c r="B722" s="12" t="s">
        <v>65</v>
      </c>
      <c r="C722" s="12" t="s">
        <v>10</v>
      </c>
      <c r="D722" s="12" t="s">
        <v>66</v>
      </c>
      <c r="E722" s="25">
        <v>22</v>
      </c>
      <c r="F722" s="10">
        <v>20</v>
      </c>
      <c r="G722" s="10">
        <v>23</v>
      </c>
      <c r="H722" s="10">
        <v>12</v>
      </c>
      <c r="I722" s="10">
        <v>0</v>
      </c>
      <c r="J722" s="10">
        <v>0</v>
      </c>
      <c r="K722" s="10">
        <v>0</v>
      </c>
      <c r="L722" s="10">
        <v>0</v>
      </c>
      <c r="M722" s="10">
        <v>0</v>
      </c>
      <c r="N722" s="10">
        <v>1</v>
      </c>
      <c r="O722" s="10">
        <v>11</v>
      </c>
      <c r="P722" s="10">
        <v>22</v>
      </c>
      <c r="Q722" s="26">
        <f t="shared" si="33"/>
        <v>111</v>
      </c>
      <c r="R722" s="25">
        <v>3615</v>
      </c>
      <c r="S722" s="10">
        <v>2847</v>
      </c>
      <c r="T722" s="10">
        <v>2641</v>
      </c>
      <c r="U722" s="10">
        <v>1209</v>
      </c>
      <c r="V722" s="10">
        <v>0</v>
      </c>
      <c r="W722" s="10">
        <v>0</v>
      </c>
      <c r="X722" s="10">
        <v>0</v>
      </c>
      <c r="Y722" s="10">
        <v>0</v>
      </c>
      <c r="Z722" s="10">
        <v>0</v>
      </c>
      <c r="AA722" s="10">
        <v>129</v>
      </c>
      <c r="AB722" s="10">
        <v>1664</v>
      </c>
      <c r="AC722" s="10">
        <v>3346</v>
      </c>
      <c r="AD722" s="26">
        <f t="shared" si="34"/>
        <v>15451</v>
      </c>
      <c r="AE722" s="25">
        <v>0</v>
      </c>
      <c r="AF722" s="10">
        <v>0</v>
      </c>
      <c r="AG722" s="10">
        <v>0</v>
      </c>
      <c r="AH722" s="10">
        <v>0</v>
      </c>
      <c r="AI722" s="10">
        <v>0</v>
      </c>
      <c r="AJ722" s="10">
        <v>0</v>
      </c>
      <c r="AK722" s="10">
        <v>0</v>
      </c>
      <c r="AL722" s="10">
        <v>0</v>
      </c>
      <c r="AM722" s="10">
        <v>0</v>
      </c>
      <c r="AN722" s="10">
        <v>0</v>
      </c>
      <c r="AO722" s="10">
        <v>0</v>
      </c>
      <c r="AP722" s="10">
        <v>0</v>
      </c>
      <c r="AQ722" s="26">
        <f t="shared" si="35"/>
        <v>0</v>
      </c>
    </row>
    <row r="723" spans="1:43" ht="17.25" customHeight="1" x14ac:dyDescent="0.45">
      <c r="A723" s="2" t="s">
        <v>146</v>
      </c>
      <c r="B723" s="2" t="s">
        <v>65</v>
      </c>
      <c r="C723" s="2" t="s">
        <v>17</v>
      </c>
      <c r="D723" s="2" t="s">
        <v>66</v>
      </c>
      <c r="E723" s="23">
        <v>16</v>
      </c>
      <c r="F723" s="1">
        <v>16</v>
      </c>
      <c r="G723" s="1">
        <v>18</v>
      </c>
      <c r="H723" s="1">
        <v>7</v>
      </c>
      <c r="I723" s="1">
        <v>0</v>
      </c>
      <c r="J723" s="1">
        <v>0</v>
      </c>
      <c r="K723" s="1">
        <v>0</v>
      </c>
      <c r="L723" s="1">
        <v>0</v>
      </c>
      <c r="M723" s="1">
        <v>0</v>
      </c>
      <c r="N723" s="1">
        <v>0</v>
      </c>
      <c r="O723" s="1">
        <v>10</v>
      </c>
      <c r="P723" s="1">
        <v>18</v>
      </c>
      <c r="Q723" s="24">
        <f t="shared" si="33"/>
        <v>85</v>
      </c>
      <c r="R723" s="23">
        <v>2573</v>
      </c>
      <c r="S723" s="1">
        <v>2469</v>
      </c>
      <c r="T723" s="1">
        <v>2050</v>
      </c>
      <c r="U723" s="1">
        <v>522</v>
      </c>
      <c r="V723" s="1">
        <v>0</v>
      </c>
      <c r="W723" s="1">
        <v>0</v>
      </c>
      <c r="X723" s="1">
        <v>0</v>
      </c>
      <c r="Y723" s="1">
        <v>0</v>
      </c>
      <c r="Z723" s="1">
        <v>0</v>
      </c>
      <c r="AA723" s="1">
        <v>0</v>
      </c>
      <c r="AB723" s="1">
        <v>1481</v>
      </c>
      <c r="AC723" s="1">
        <v>2512</v>
      </c>
      <c r="AD723" s="24">
        <f t="shared" si="34"/>
        <v>11607</v>
      </c>
      <c r="AE723" s="23">
        <v>0</v>
      </c>
      <c r="AF723" s="1">
        <v>0</v>
      </c>
      <c r="AG723" s="1">
        <v>0</v>
      </c>
      <c r="AH723" s="1">
        <v>0</v>
      </c>
      <c r="AI723" s="1">
        <v>0</v>
      </c>
      <c r="AJ723" s="1">
        <v>0</v>
      </c>
      <c r="AK723" s="1">
        <v>0</v>
      </c>
      <c r="AL723" s="1">
        <v>0</v>
      </c>
      <c r="AM723" s="1">
        <v>0</v>
      </c>
      <c r="AN723" s="1">
        <v>0</v>
      </c>
      <c r="AO723" s="1">
        <v>0</v>
      </c>
      <c r="AP723" s="1">
        <v>0</v>
      </c>
      <c r="AQ723" s="24">
        <f t="shared" si="35"/>
        <v>0</v>
      </c>
    </row>
    <row r="724" spans="1:43" ht="17.25" customHeight="1" x14ac:dyDescent="0.45">
      <c r="A724" s="12" t="s">
        <v>190</v>
      </c>
      <c r="B724" s="12" t="s">
        <v>68</v>
      </c>
      <c r="C724" s="12" t="s">
        <v>11</v>
      </c>
      <c r="D724" s="12" t="s">
        <v>66</v>
      </c>
      <c r="E724" s="25">
        <v>23</v>
      </c>
      <c r="F724" s="10">
        <v>20</v>
      </c>
      <c r="G724" s="10">
        <v>20</v>
      </c>
      <c r="H724" s="10">
        <v>22</v>
      </c>
      <c r="I724" s="10">
        <v>23</v>
      </c>
      <c r="J724" s="10">
        <v>20</v>
      </c>
      <c r="K724" s="10">
        <v>23</v>
      </c>
      <c r="L724" s="10">
        <v>22</v>
      </c>
      <c r="M724" s="10">
        <v>21</v>
      </c>
      <c r="N724" s="10">
        <v>23</v>
      </c>
      <c r="O724" s="10">
        <v>21</v>
      </c>
      <c r="P724" s="10">
        <v>22</v>
      </c>
      <c r="Q724" s="26">
        <f t="shared" si="33"/>
        <v>260</v>
      </c>
      <c r="R724" s="25">
        <v>3395</v>
      </c>
      <c r="S724" s="10">
        <v>2528</v>
      </c>
      <c r="T724" s="10">
        <v>2787</v>
      </c>
      <c r="U724" s="10">
        <v>2279</v>
      </c>
      <c r="V724" s="10">
        <v>2567</v>
      </c>
      <c r="W724" s="10">
        <v>2604</v>
      </c>
      <c r="X724" s="10">
        <v>2972</v>
      </c>
      <c r="Y724" s="10">
        <v>2541</v>
      </c>
      <c r="Z724" s="10">
        <v>2653</v>
      </c>
      <c r="AA724" s="10">
        <v>2956</v>
      </c>
      <c r="AB724" s="10">
        <v>2589</v>
      </c>
      <c r="AC724" s="10">
        <v>3688</v>
      </c>
      <c r="AD724" s="26">
        <f t="shared" si="34"/>
        <v>33559</v>
      </c>
      <c r="AE724" s="25">
        <v>0</v>
      </c>
      <c r="AF724" s="10">
        <v>0</v>
      </c>
      <c r="AG724" s="10">
        <v>0</v>
      </c>
      <c r="AH724" s="10">
        <v>0</v>
      </c>
      <c r="AI724" s="10">
        <v>0</v>
      </c>
      <c r="AJ724" s="10">
        <v>0</v>
      </c>
      <c r="AK724" s="10">
        <v>0</v>
      </c>
      <c r="AL724" s="10">
        <v>0</v>
      </c>
      <c r="AM724" s="10">
        <v>0</v>
      </c>
      <c r="AN724" s="10">
        <v>0</v>
      </c>
      <c r="AO724" s="10">
        <v>0</v>
      </c>
      <c r="AP724" s="10">
        <v>0</v>
      </c>
      <c r="AQ724" s="26">
        <f t="shared" si="35"/>
        <v>0</v>
      </c>
    </row>
    <row r="725" spans="1:43" ht="17.25" customHeight="1" x14ac:dyDescent="0.45">
      <c r="A725" s="2" t="s">
        <v>147</v>
      </c>
      <c r="B725" s="2" t="s">
        <v>128</v>
      </c>
      <c r="C725" s="2" t="s">
        <v>10</v>
      </c>
      <c r="D725" s="2" t="s">
        <v>66</v>
      </c>
      <c r="E725" s="23">
        <v>5</v>
      </c>
      <c r="F725" s="1">
        <v>4</v>
      </c>
      <c r="G725" s="1">
        <v>4</v>
      </c>
      <c r="H725" s="1">
        <v>5</v>
      </c>
      <c r="I725" s="1">
        <v>1</v>
      </c>
      <c r="J725" s="1">
        <v>5</v>
      </c>
      <c r="K725" s="1">
        <v>4</v>
      </c>
      <c r="L725" s="1">
        <v>4</v>
      </c>
      <c r="M725" s="1">
        <v>0</v>
      </c>
      <c r="N725" s="1">
        <v>0</v>
      </c>
      <c r="O725" s="1">
        <v>0</v>
      </c>
      <c r="P725" s="1">
        <v>6</v>
      </c>
      <c r="Q725" s="24">
        <f t="shared" si="33"/>
        <v>38</v>
      </c>
      <c r="R725" s="23">
        <v>798</v>
      </c>
      <c r="S725" s="1">
        <v>532</v>
      </c>
      <c r="T725" s="1">
        <v>677</v>
      </c>
      <c r="U725" s="1">
        <v>821</v>
      </c>
      <c r="V725" s="1">
        <v>19</v>
      </c>
      <c r="W725" s="1">
        <v>716</v>
      </c>
      <c r="X725" s="1">
        <v>858</v>
      </c>
      <c r="Y725" s="1">
        <v>972</v>
      </c>
      <c r="Z725" s="1">
        <v>0</v>
      </c>
      <c r="AA725" s="1">
        <v>0</v>
      </c>
      <c r="AB725" s="1">
        <v>0</v>
      </c>
      <c r="AC725" s="1">
        <v>2072</v>
      </c>
      <c r="AD725" s="24">
        <f t="shared" si="34"/>
        <v>7465</v>
      </c>
      <c r="AE725" s="23">
        <v>0</v>
      </c>
      <c r="AF725" s="1">
        <v>824</v>
      </c>
      <c r="AG725" s="1">
        <v>489</v>
      </c>
      <c r="AH725" s="1">
        <v>3428</v>
      </c>
      <c r="AI725" s="1">
        <v>0</v>
      </c>
      <c r="AJ725" s="1">
        <v>0</v>
      </c>
      <c r="AK725" s="1">
        <v>0</v>
      </c>
      <c r="AL725" s="1">
        <v>0</v>
      </c>
      <c r="AM725" s="1">
        <v>0</v>
      </c>
      <c r="AN725" s="1">
        <v>0</v>
      </c>
      <c r="AO725" s="1">
        <v>0</v>
      </c>
      <c r="AP725" s="1">
        <v>26209</v>
      </c>
      <c r="AQ725" s="24">
        <f t="shared" si="35"/>
        <v>30950</v>
      </c>
    </row>
    <row r="726" spans="1:43" ht="17.25" customHeight="1" x14ac:dyDescent="0.45">
      <c r="A726" s="12" t="s">
        <v>147</v>
      </c>
      <c r="B726" s="12" t="s">
        <v>128</v>
      </c>
      <c r="C726" s="12" t="s">
        <v>12</v>
      </c>
      <c r="D726" s="12" t="s">
        <v>66</v>
      </c>
      <c r="E726" s="25">
        <v>20</v>
      </c>
      <c r="F726" s="10">
        <v>12</v>
      </c>
      <c r="G726" s="10">
        <v>22</v>
      </c>
      <c r="H726" s="10">
        <v>30</v>
      </c>
      <c r="I726" s="10">
        <v>31</v>
      </c>
      <c r="J726" s="10">
        <v>30</v>
      </c>
      <c r="K726" s="10">
        <v>31</v>
      </c>
      <c r="L726" s="10">
        <v>31</v>
      </c>
      <c r="M726" s="10">
        <v>30</v>
      </c>
      <c r="N726" s="10">
        <v>28</v>
      </c>
      <c r="O726" s="10">
        <v>18</v>
      </c>
      <c r="P726" s="10">
        <v>18</v>
      </c>
      <c r="Q726" s="26">
        <f t="shared" si="33"/>
        <v>301</v>
      </c>
      <c r="R726" s="25">
        <v>3918</v>
      </c>
      <c r="S726" s="10">
        <v>2368</v>
      </c>
      <c r="T726" s="10">
        <v>4347</v>
      </c>
      <c r="U726" s="10">
        <v>6577</v>
      </c>
      <c r="V726" s="10">
        <v>6739</v>
      </c>
      <c r="W726" s="10">
        <v>6283</v>
      </c>
      <c r="X726" s="10">
        <v>7020</v>
      </c>
      <c r="Y726" s="10">
        <v>6910</v>
      </c>
      <c r="Z726" s="10">
        <v>6285</v>
      </c>
      <c r="AA726" s="10">
        <v>6403</v>
      </c>
      <c r="AB726" s="10">
        <v>3834</v>
      </c>
      <c r="AC726" s="10">
        <v>3759</v>
      </c>
      <c r="AD726" s="26">
        <f t="shared" si="34"/>
        <v>64443</v>
      </c>
      <c r="AE726" s="25">
        <v>138125</v>
      </c>
      <c r="AF726" s="10">
        <v>81017</v>
      </c>
      <c r="AG726" s="10">
        <v>173299</v>
      </c>
      <c r="AH726" s="10">
        <v>190060</v>
      </c>
      <c r="AI726" s="10">
        <v>228630</v>
      </c>
      <c r="AJ726" s="10">
        <v>201622</v>
      </c>
      <c r="AK726" s="10">
        <v>226937</v>
      </c>
      <c r="AL726" s="10">
        <v>205446</v>
      </c>
      <c r="AM726" s="10">
        <v>221643</v>
      </c>
      <c r="AN726" s="10">
        <v>196036</v>
      </c>
      <c r="AO726" s="10">
        <v>140039</v>
      </c>
      <c r="AP726" s="10">
        <v>120757</v>
      </c>
      <c r="AQ726" s="26">
        <f t="shared" si="35"/>
        <v>2123611</v>
      </c>
    </row>
    <row r="727" spans="1:43" ht="17.25" customHeight="1" x14ac:dyDescent="0.45">
      <c r="A727" s="2" t="s">
        <v>176</v>
      </c>
      <c r="B727" s="2" t="s">
        <v>68</v>
      </c>
      <c r="C727" s="2" t="s">
        <v>22</v>
      </c>
      <c r="D727" s="2" t="s">
        <v>66</v>
      </c>
      <c r="E727" s="23">
        <v>9</v>
      </c>
      <c r="F727" s="1">
        <v>8</v>
      </c>
      <c r="G727" s="1">
        <v>9</v>
      </c>
      <c r="H727" s="1">
        <v>8</v>
      </c>
      <c r="I727" s="1">
        <v>9</v>
      </c>
      <c r="J727" s="1">
        <v>13</v>
      </c>
      <c r="K727" s="1">
        <v>14</v>
      </c>
      <c r="L727" s="1">
        <v>12</v>
      </c>
      <c r="M727" s="1">
        <v>14</v>
      </c>
      <c r="N727" s="1">
        <v>13</v>
      </c>
      <c r="O727" s="1">
        <v>12</v>
      </c>
      <c r="P727" s="1">
        <v>14</v>
      </c>
      <c r="Q727" s="24">
        <f t="shared" si="33"/>
        <v>135</v>
      </c>
      <c r="R727" s="23">
        <v>1461</v>
      </c>
      <c r="S727" s="1">
        <v>1045</v>
      </c>
      <c r="T727" s="1">
        <v>1184</v>
      </c>
      <c r="U727" s="1">
        <v>848</v>
      </c>
      <c r="V727" s="1">
        <v>1223</v>
      </c>
      <c r="W727" s="1">
        <v>1775</v>
      </c>
      <c r="X727" s="1">
        <v>1832</v>
      </c>
      <c r="Y727" s="1">
        <v>1228</v>
      </c>
      <c r="Z727" s="1">
        <v>1426</v>
      </c>
      <c r="AA727" s="1">
        <v>1711</v>
      </c>
      <c r="AB727" s="1">
        <v>1660</v>
      </c>
      <c r="AC727" s="1">
        <v>2425</v>
      </c>
      <c r="AD727" s="24">
        <f t="shared" si="34"/>
        <v>17818</v>
      </c>
      <c r="AE727" s="23">
        <v>0</v>
      </c>
      <c r="AF727" s="1">
        <v>0</v>
      </c>
      <c r="AG727" s="1">
        <v>0</v>
      </c>
      <c r="AH727" s="1">
        <v>0</v>
      </c>
      <c r="AI727" s="1">
        <v>0</v>
      </c>
      <c r="AJ727" s="1">
        <v>0</v>
      </c>
      <c r="AK727" s="1">
        <v>0</v>
      </c>
      <c r="AL727" s="1">
        <v>0</v>
      </c>
      <c r="AM727" s="1">
        <v>0</v>
      </c>
      <c r="AN727" s="1">
        <v>0</v>
      </c>
      <c r="AO727" s="1">
        <v>0</v>
      </c>
      <c r="AP727" s="1">
        <v>0</v>
      </c>
      <c r="AQ727" s="24">
        <f t="shared" si="35"/>
        <v>0</v>
      </c>
    </row>
    <row r="728" spans="1:43" ht="17.25" customHeight="1" x14ac:dyDescent="0.45">
      <c r="A728" s="12" t="s">
        <v>176</v>
      </c>
      <c r="B728" s="12" t="s">
        <v>68</v>
      </c>
      <c r="C728" s="12" t="s">
        <v>11</v>
      </c>
      <c r="D728" s="12" t="s">
        <v>66</v>
      </c>
      <c r="E728" s="25">
        <v>96</v>
      </c>
      <c r="F728" s="10">
        <v>79</v>
      </c>
      <c r="G728" s="10">
        <v>84</v>
      </c>
      <c r="H728" s="10">
        <v>57</v>
      </c>
      <c r="I728" s="10">
        <v>61</v>
      </c>
      <c r="J728" s="10">
        <v>75</v>
      </c>
      <c r="K728" s="10">
        <v>97</v>
      </c>
      <c r="L728" s="10">
        <v>83</v>
      </c>
      <c r="M728" s="10">
        <v>48</v>
      </c>
      <c r="N728" s="10">
        <v>53</v>
      </c>
      <c r="O728" s="10">
        <v>78</v>
      </c>
      <c r="P728" s="10">
        <v>91</v>
      </c>
      <c r="Q728" s="26">
        <f t="shared" si="33"/>
        <v>902</v>
      </c>
      <c r="R728" s="25">
        <v>13982</v>
      </c>
      <c r="S728" s="10">
        <v>10529</v>
      </c>
      <c r="T728" s="10">
        <v>11122</v>
      </c>
      <c r="U728" s="10">
        <v>8382</v>
      </c>
      <c r="V728" s="10">
        <v>9840</v>
      </c>
      <c r="W728" s="10">
        <v>12076</v>
      </c>
      <c r="X728" s="10">
        <v>14421</v>
      </c>
      <c r="Y728" s="10">
        <v>10279</v>
      </c>
      <c r="Z728" s="10">
        <v>7933</v>
      </c>
      <c r="AA728" s="10">
        <v>9136</v>
      </c>
      <c r="AB728" s="10">
        <v>12085</v>
      </c>
      <c r="AC728" s="10">
        <v>15278</v>
      </c>
      <c r="AD728" s="26">
        <f t="shared" si="34"/>
        <v>135063</v>
      </c>
      <c r="AE728" s="25">
        <v>0</v>
      </c>
      <c r="AF728" s="10">
        <v>0</v>
      </c>
      <c r="AG728" s="10">
        <v>0</v>
      </c>
      <c r="AH728" s="10">
        <v>0</v>
      </c>
      <c r="AI728" s="10">
        <v>0</v>
      </c>
      <c r="AJ728" s="10">
        <v>0</v>
      </c>
      <c r="AK728" s="10">
        <v>0</v>
      </c>
      <c r="AL728" s="10">
        <v>150</v>
      </c>
      <c r="AM728" s="10">
        <v>0</v>
      </c>
      <c r="AN728" s="10">
        <v>0</v>
      </c>
      <c r="AO728" s="10">
        <v>0</v>
      </c>
      <c r="AP728" s="10">
        <v>0</v>
      </c>
      <c r="AQ728" s="26">
        <f t="shared" si="35"/>
        <v>150</v>
      </c>
    </row>
    <row r="729" spans="1:43" ht="17.25" customHeight="1" x14ac:dyDescent="0.45">
      <c r="A729" s="2" t="s">
        <v>176</v>
      </c>
      <c r="B729" s="2" t="s">
        <v>68</v>
      </c>
      <c r="C729" s="2" t="s">
        <v>12</v>
      </c>
      <c r="D729" s="2" t="s">
        <v>66</v>
      </c>
      <c r="E729" s="23">
        <v>9</v>
      </c>
      <c r="F729" s="1">
        <v>9</v>
      </c>
      <c r="G729" s="1">
        <v>8</v>
      </c>
      <c r="H729" s="1">
        <v>0</v>
      </c>
      <c r="I729" s="1">
        <v>0</v>
      </c>
      <c r="J729" s="1">
        <v>0</v>
      </c>
      <c r="K729" s="1">
        <v>0</v>
      </c>
      <c r="L729" s="1">
        <v>0</v>
      </c>
      <c r="M729" s="1">
        <v>0</v>
      </c>
      <c r="N729" s="1">
        <v>2</v>
      </c>
      <c r="O729" s="1">
        <v>13</v>
      </c>
      <c r="P729" s="1">
        <v>13</v>
      </c>
      <c r="Q729" s="24">
        <f t="shared" si="33"/>
        <v>54</v>
      </c>
      <c r="R729" s="23">
        <v>1279</v>
      </c>
      <c r="S729" s="1">
        <v>1333</v>
      </c>
      <c r="T729" s="1">
        <v>1053</v>
      </c>
      <c r="U729" s="1">
        <v>0</v>
      </c>
      <c r="V729" s="1">
        <v>0</v>
      </c>
      <c r="W729" s="1">
        <v>0</v>
      </c>
      <c r="X729" s="1">
        <v>0</v>
      </c>
      <c r="Y729" s="1">
        <v>0</v>
      </c>
      <c r="Z729" s="1">
        <v>0</v>
      </c>
      <c r="AA729" s="1">
        <v>370</v>
      </c>
      <c r="AB729" s="1">
        <v>1762</v>
      </c>
      <c r="AC729" s="1">
        <v>2464</v>
      </c>
      <c r="AD729" s="24">
        <f t="shared" si="34"/>
        <v>8261</v>
      </c>
      <c r="AE729" s="23">
        <v>0</v>
      </c>
      <c r="AF729" s="1">
        <v>0</v>
      </c>
      <c r="AG729" s="1">
        <v>0</v>
      </c>
      <c r="AH729" s="1">
        <v>0</v>
      </c>
      <c r="AI729" s="1">
        <v>0</v>
      </c>
      <c r="AJ729" s="1">
        <v>0</v>
      </c>
      <c r="AK729" s="1">
        <v>0</v>
      </c>
      <c r="AL729" s="1">
        <v>0</v>
      </c>
      <c r="AM729" s="1">
        <v>0</v>
      </c>
      <c r="AN729" s="1">
        <v>0</v>
      </c>
      <c r="AO729" s="1">
        <v>0</v>
      </c>
      <c r="AP729" s="1">
        <v>0</v>
      </c>
      <c r="AQ729" s="24">
        <f t="shared" si="35"/>
        <v>0</v>
      </c>
    </row>
    <row r="730" spans="1:43" ht="17.25" customHeight="1" x14ac:dyDescent="0.45">
      <c r="A730" s="12" t="s">
        <v>176</v>
      </c>
      <c r="B730" s="12" t="s">
        <v>68</v>
      </c>
      <c r="C730" s="12" t="s">
        <v>48</v>
      </c>
      <c r="D730" s="12" t="s">
        <v>66</v>
      </c>
      <c r="E730" s="25">
        <v>7</v>
      </c>
      <c r="F730" s="10">
        <v>8</v>
      </c>
      <c r="G730" s="10">
        <v>10</v>
      </c>
      <c r="H730" s="10">
        <v>8</v>
      </c>
      <c r="I730" s="10">
        <v>8</v>
      </c>
      <c r="J730" s="10">
        <v>10</v>
      </c>
      <c r="K730" s="10">
        <v>8</v>
      </c>
      <c r="L730" s="10">
        <v>2</v>
      </c>
      <c r="M730" s="10">
        <v>0</v>
      </c>
      <c r="N730" s="10">
        <v>8</v>
      </c>
      <c r="O730" s="10">
        <v>5</v>
      </c>
      <c r="P730" s="10">
        <v>4</v>
      </c>
      <c r="Q730" s="26">
        <f t="shared" si="33"/>
        <v>78</v>
      </c>
      <c r="R730" s="25">
        <v>1032</v>
      </c>
      <c r="S730" s="10">
        <v>1207</v>
      </c>
      <c r="T730" s="10">
        <v>1663</v>
      </c>
      <c r="U730" s="10">
        <v>1144</v>
      </c>
      <c r="V730" s="10">
        <v>1102</v>
      </c>
      <c r="W730" s="10">
        <v>1469</v>
      </c>
      <c r="X730" s="10">
        <v>1130</v>
      </c>
      <c r="Y730" s="10">
        <v>252</v>
      </c>
      <c r="Z730" s="10">
        <v>0</v>
      </c>
      <c r="AA730" s="10">
        <v>1188</v>
      </c>
      <c r="AB730" s="10">
        <v>733</v>
      </c>
      <c r="AC730" s="10">
        <v>554</v>
      </c>
      <c r="AD730" s="26">
        <f t="shared" si="34"/>
        <v>11474</v>
      </c>
      <c r="AE730" s="25">
        <v>0</v>
      </c>
      <c r="AF730" s="10">
        <v>0</v>
      </c>
      <c r="AG730" s="10">
        <v>0</v>
      </c>
      <c r="AH730" s="10">
        <v>0</v>
      </c>
      <c r="AI730" s="10">
        <v>0</v>
      </c>
      <c r="AJ730" s="10">
        <v>0</v>
      </c>
      <c r="AK730" s="10">
        <v>0</v>
      </c>
      <c r="AL730" s="10">
        <v>0</v>
      </c>
      <c r="AM730" s="10">
        <v>0</v>
      </c>
      <c r="AN730" s="10">
        <v>0</v>
      </c>
      <c r="AO730" s="10">
        <v>0</v>
      </c>
      <c r="AP730" s="10">
        <v>0</v>
      </c>
      <c r="AQ730" s="26">
        <f t="shared" si="35"/>
        <v>0</v>
      </c>
    </row>
    <row r="731" spans="1:43" ht="17.25" customHeight="1" x14ac:dyDescent="0.45">
      <c r="A731" s="2" t="s">
        <v>148</v>
      </c>
      <c r="B731" s="2" t="s">
        <v>68</v>
      </c>
      <c r="C731" s="2" t="s">
        <v>10</v>
      </c>
      <c r="D731" s="2" t="s">
        <v>66</v>
      </c>
      <c r="E731" s="23">
        <v>55</v>
      </c>
      <c r="F731" s="1">
        <v>49</v>
      </c>
      <c r="G731" s="1">
        <v>55</v>
      </c>
      <c r="H731" s="1">
        <v>38</v>
      </c>
      <c r="I731" s="1">
        <v>31</v>
      </c>
      <c r="J731" s="1">
        <v>30</v>
      </c>
      <c r="K731" s="1">
        <v>31</v>
      </c>
      <c r="L731" s="1">
        <v>27</v>
      </c>
      <c r="M731" s="1">
        <v>26</v>
      </c>
      <c r="N731" s="1">
        <v>26</v>
      </c>
      <c r="O731" s="1">
        <v>29</v>
      </c>
      <c r="P731" s="1">
        <v>44</v>
      </c>
      <c r="Q731" s="24">
        <f t="shared" si="33"/>
        <v>441</v>
      </c>
      <c r="R731" s="23">
        <v>8578</v>
      </c>
      <c r="S731" s="1">
        <v>8013</v>
      </c>
      <c r="T731" s="1">
        <v>9180</v>
      </c>
      <c r="U731" s="1">
        <v>6147</v>
      </c>
      <c r="V731" s="1">
        <v>5299</v>
      </c>
      <c r="W731" s="1">
        <v>5002</v>
      </c>
      <c r="X731" s="1">
        <v>4747</v>
      </c>
      <c r="Y731" s="1">
        <v>4294</v>
      </c>
      <c r="Z731" s="1">
        <v>4337</v>
      </c>
      <c r="AA731" s="1">
        <v>4407</v>
      </c>
      <c r="AB731" s="1">
        <v>4860</v>
      </c>
      <c r="AC731" s="1">
        <v>7344</v>
      </c>
      <c r="AD731" s="24">
        <f t="shared" si="34"/>
        <v>72208</v>
      </c>
      <c r="AE731" s="23">
        <v>0</v>
      </c>
      <c r="AF731" s="1">
        <v>0</v>
      </c>
      <c r="AG731" s="1">
        <v>0</v>
      </c>
      <c r="AH731" s="1">
        <v>0</v>
      </c>
      <c r="AI731" s="1">
        <v>0</v>
      </c>
      <c r="AJ731" s="1">
        <v>0</v>
      </c>
      <c r="AK731" s="1">
        <v>0</v>
      </c>
      <c r="AL731" s="1">
        <v>0</v>
      </c>
      <c r="AM731" s="1">
        <v>0</v>
      </c>
      <c r="AN731" s="1">
        <v>0</v>
      </c>
      <c r="AO731" s="1">
        <v>0</v>
      </c>
      <c r="AP731" s="1">
        <v>0</v>
      </c>
      <c r="AQ731" s="24">
        <f t="shared" si="35"/>
        <v>0</v>
      </c>
    </row>
    <row r="732" spans="1:43" ht="17.25" customHeight="1" x14ac:dyDescent="0.45">
      <c r="A732" s="12" t="s">
        <v>148</v>
      </c>
      <c r="B732" s="12" t="s">
        <v>68</v>
      </c>
      <c r="C732" s="12" t="s">
        <v>11</v>
      </c>
      <c r="D732" s="12" t="s">
        <v>66</v>
      </c>
      <c r="E732" s="25">
        <v>26</v>
      </c>
      <c r="F732" s="10">
        <v>29</v>
      </c>
      <c r="G732" s="10">
        <v>31</v>
      </c>
      <c r="H732" s="10">
        <v>30</v>
      </c>
      <c r="I732" s="10">
        <v>31</v>
      </c>
      <c r="J732" s="10">
        <v>30</v>
      </c>
      <c r="K732" s="10">
        <v>31</v>
      </c>
      <c r="L732" s="10">
        <v>27</v>
      </c>
      <c r="M732" s="10">
        <v>22</v>
      </c>
      <c r="N732" s="10">
        <v>23</v>
      </c>
      <c r="O732" s="10">
        <v>30</v>
      </c>
      <c r="P732" s="10">
        <v>31</v>
      </c>
      <c r="Q732" s="26">
        <f t="shared" si="33"/>
        <v>341</v>
      </c>
      <c r="R732" s="25">
        <v>2942</v>
      </c>
      <c r="S732" s="10">
        <v>3170</v>
      </c>
      <c r="T732" s="10">
        <v>3884</v>
      </c>
      <c r="U732" s="10">
        <v>3665</v>
      </c>
      <c r="V732" s="10">
        <v>4422</v>
      </c>
      <c r="W732" s="10">
        <v>4398</v>
      </c>
      <c r="X732" s="10">
        <v>4407</v>
      </c>
      <c r="Y732" s="10">
        <v>3844</v>
      </c>
      <c r="Z732" s="10">
        <v>3165</v>
      </c>
      <c r="AA732" s="10">
        <v>3494</v>
      </c>
      <c r="AB732" s="10">
        <v>4749</v>
      </c>
      <c r="AC732" s="10">
        <v>4884</v>
      </c>
      <c r="AD732" s="26">
        <f t="shared" si="34"/>
        <v>47024</v>
      </c>
      <c r="AE732" s="25">
        <v>0</v>
      </c>
      <c r="AF732" s="10">
        <v>0</v>
      </c>
      <c r="AG732" s="10">
        <v>0</v>
      </c>
      <c r="AH732" s="10">
        <v>0</v>
      </c>
      <c r="AI732" s="10">
        <v>0</v>
      </c>
      <c r="AJ732" s="10">
        <v>0</v>
      </c>
      <c r="AK732" s="10">
        <v>0</v>
      </c>
      <c r="AL732" s="10">
        <v>0</v>
      </c>
      <c r="AM732" s="10">
        <v>0</v>
      </c>
      <c r="AN732" s="10">
        <v>0</v>
      </c>
      <c r="AO732" s="10">
        <v>0</v>
      </c>
      <c r="AP732" s="10">
        <v>0</v>
      </c>
      <c r="AQ732" s="26">
        <f t="shared" si="35"/>
        <v>0</v>
      </c>
    </row>
    <row r="733" spans="1:43" ht="17.25" customHeight="1" x14ac:dyDescent="0.45">
      <c r="A733" s="2" t="s">
        <v>148</v>
      </c>
      <c r="B733" s="2" t="s">
        <v>68</v>
      </c>
      <c r="C733" s="2" t="s">
        <v>12</v>
      </c>
      <c r="D733" s="2" t="s">
        <v>66</v>
      </c>
      <c r="E733" s="23">
        <v>31</v>
      </c>
      <c r="F733" s="1">
        <v>29</v>
      </c>
      <c r="G733" s="1">
        <v>31</v>
      </c>
      <c r="H733" s="1">
        <v>30</v>
      </c>
      <c r="I733" s="1">
        <v>31</v>
      </c>
      <c r="J733" s="1">
        <v>30</v>
      </c>
      <c r="K733" s="1">
        <v>61</v>
      </c>
      <c r="L733" s="1">
        <v>49</v>
      </c>
      <c r="M733" s="1">
        <v>30</v>
      </c>
      <c r="N733" s="1">
        <v>31</v>
      </c>
      <c r="O733" s="1">
        <v>30</v>
      </c>
      <c r="P733" s="1">
        <v>44</v>
      </c>
      <c r="Q733" s="24">
        <f t="shared" si="33"/>
        <v>427</v>
      </c>
      <c r="R733" s="23">
        <v>3717</v>
      </c>
      <c r="S733" s="1">
        <v>3578</v>
      </c>
      <c r="T733" s="1">
        <v>3786</v>
      </c>
      <c r="U733" s="1">
        <v>3660</v>
      </c>
      <c r="V733" s="1">
        <v>3857</v>
      </c>
      <c r="W733" s="1">
        <v>3641</v>
      </c>
      <c r="X733" s="1">
        <v>7392</v>
      </c>
      <c r="Y733" s="1">
        <v>5334</v>
      </c>
      <c r="Z733" s="1">
        <v>3629</v>
      </c>
      <c r="AA733" s="1">
        <v>3930</v>
      </c>
      <c r="AB733" s="1">
        <v>3730</v>
      </c>
      <c r="AC733" s="1">
        <v>5696</v>
      </c>
      <c r="AD733" s="24">
        <f t="shared" si="34"/>
        <v>51950</v>
      </c>
      <c r="AE733" s="23">
        <v>314</v>
      </c>
      <c r="AF733" s="1">
        <v>315</v>
      </c>
      <c r="AG733" s="1">
        <v>357</v>
      </c>
      <c r="AH733" s="1">
        <v>284</v>
      </c>
      <c r="AI733" s="1">
        <v>704</v>
      </c>
      <c r="AJ733" s="1">
        <v>971</v>
      </c>
      <c r="AK733" s="1">
        <v>892</v>
      </c>
      <c r="AL733" s="1">
        <v>1174</v>
      </c>
      <c r="AM733" s="1">
        <v>1119</v>
      </c>
      <c r="AN733" s="1">
        <v>1230</v>
      </c>
      <c r="AO733" s="1">
        <v>1587</v>
      </c>
      <c r="AP733" s="1">
        <v>1687</v>
      </c>
      <c r="AQ733" s="24">
        <f t="shared" si="35"/>
        <v>10634</v>
      </c>
    </row>
    <row r="734" spans="1:43" ht="17.25" customHeight="1" x14ac:dyDescent="0.45">
      <c r="A734" s="12" t="s">
        <v>148</v>
      </c>
      <c r="B734" s="12" t="s">
        <v>68</v>
      </c>
      <c r="C734" s="12" t="s">
        <v>13</v>
      </c>
      <c r="D734" s="12" t="s">
        <v>66</v>
      </c>
      <c r="E734" s="25">
        <v>0</v>
      </c>
      <c r="F734" s="10">
        <v>0</v>
      </c>
      <c r="G734" s="10">
        <v>17</v>
      </c>
      <c r="H734" s="10">
        <v>1</v>
      </c>
      <c r="I734" s="10">
        <v>0</v>
      </c>
      <c r="J734" s="10">
        <v>0</v>
      </c>
      <c r="K734" s="10">
        <v>0</v>
      </c>
      <c r="L734" s="10">
        <v>0</v>
      </c>
      <c r="M734" s="10">
        <v>0</v>
      </c>
      <c r="N734" s="10">
        <v>0</v>
      </c>
      <c r="O734" s="10">
        <v>0</v>
      </c>
      <c r="P734" s="10">
        <v>0</v>
      </c>
      <c r="Q734" s="26">
        <f t="shared" si="33"/>
        <v>18</v>
      </c>
      <c r="R734" s="25">
        <v>0</v>
      </c>
      <c r="S734" s="10">
        <v>0</v>
      </c>
      <c r="T734" s="10">
        <v>813</v>
      </c>
      <c r="U734" s="10">
        <v>95</v>
      </c>
      <c r="V734" s="10">
        <v>0</v>
      </c>
      <c r="W734" s="10">
        <v>0</v>
      </c>
      <c r="X734" s="10">
        <v>0</v>
      </c>
      <c r="Y734" s="10">
        <v>0</v>
      </c>
      <c r="Z734" s="10">
        <v>0</v>
      </c>
      <c r="AA734" s="10">
        <v>0</v>
      </c>
      <c r="AB734" s="10">
        <v>0</v>
      </c>
      <c r="AC734" s="10">
        <v>0</v>
      </c>
      <c r="AD734" s="26">
        <f t="shared" si="34"/>
        <v>908</v>
      </c>
      <c r="AE734" s="25">
        <v>0</v>
      </c>
      <c r="AF734" s="10">
        <v>0</v>
      </c>
      <c r="AG734" s="10">
        <v>0</v>
      </c>
      <c r="AH734" s="10">
        <v>0</v>
      </c>
      <c r="AI734" s="10">
        <v>0</v>
      </c>
      <c r="AJ734" s="10">
        <v>0</v>
      </c>
      <c r="AK734" s="10">
        <v>0</v>
      </c>
      <c r="AL734" s="10">
        <v>0</v>
      </c>
      <c r="AM734" s="10">
        <v>0</v>
      </c>
      <c r="AN734" s="10">
        <v>0</v>
      </c>
      <c r="AO734" s="10">
        <v>0</v>
      </c>
      <c r="AP734" s="10">
        <v>0</v>
      </c>
      <c r="AQ734" s="26">
        <f t="shared" si="35"/>
        <v>0</v>
      </c>
    </row>
    <row r="735" spans="1:43" ht="17.25" customHeight="1" x14ac:dyDescent="0.45">
      <c r="A735" s="2" t="s">
        <v>148</v>
      </c>
      <c r="B735" s="2" t="s">
        <v>68</v>
      </c>
      <c r="C735" s="2" t="s">
        <v>17</v>
      </c>
      <c r="D735" s="2" t="s">
        <v>66</v>
      </c>
      <c r="E735" s="23">
        <v>28</v>
      </c>
      <c r="F735" s="1">
        <v>27</v>
      </c>
      <c r="G735" s="1">
        <v>31</v>
      </c>
      <c r="H735" s="1">
        <v>30</v>
      </c>
      <c r="I735" s="1">
        <v>31</v>
      </c>
      <c r="J735" s="1">
        <v>30</v>
      </c>
      <c r="K735" s="1">
        <v>31</v>
      </c>
      <c r="L735" s="1">
        <v>20</v>
      </c>
      <c r="M735" s="1">
        <v>16</v>
      </c>
      <c r="N735" s="1">
        <v>18</v>
      </c>
      <c r="O735" s="1">
        <v>26</v>
      </c>
      <c r="P735" s="1">
        <v>31</v>
      </c>
      <c r="Q735" s="24">
        <f t="shared" si="33"/>
        <v>319</v>
      </c>
      <c r="R735" s="23">
        <v>4482</v>
      </c>
      <c r="S735" s="1">
        <v>4268</v>
      </c>
      <c r="T735" s="1">
        <v>5079</v>
      </c>
      <c r="U735" s="1">
        <v>4670</v>
      </c>
      <c r="V735" s="1">
        <v>5107</v>
      </c>
      <c r="W735" s="1">
        <v>5131</v>
      </c>
      <c r="X735" s="1">
        <v>4294</v>
      </c>
      <c r="Y735" s="1">
        <v>2765</v>
      </c>
      <c r="Z735" s="1">
        <v>2357</v>
      </c>
      <c r="AA735" s="1">
        <v>2784</v>
      </c>
      <c r="AB735" s="1">
        <v>3844</v>
      </c>
      <c r="AC735" s="1">
        <v>4789</v>
      </c>
      <c r="AD735" s="24">
        <f t="shared" si="34"/>
        <v>49570</v>
      </c>
      <c r="AE735" s="23">
        <v>0</v>
      </c>
      <c r="AF735" s="1">
        <v>0</v>
      </c>
      <c r="AG735" s="1">
        <v>0</v>
      </c>
      <c r="AH735" s="1">
        <v>0</v>
      </c>
      <c r="AI735" s="1">
        <v>0</v>
      </c>
      <c r="AJ735" s="1">
        <v>0</v>
      </c>
      <c r="AK735" s="1">
        <v>0</v>
      </c>
      <c r="AL735" s="1">
        <v>0</v>
      </c>
      <c r="AM735" s="1">
        <v>0</v>
      </c>
      <c r="AN735" s="1">
        <v>0</v>
      </c>
      <c r="AO735" s="1">
        <v>0</v>
      </c>
      <c r="AP735" s="1">
        <v>0</v>
      </c>
      <c r="AQ735" s="24">
        <f t="shared" si="35"/>
        <v>0</v>
      </c>
    </row>
    <row r="736" spans="1:43" ht="17.25" customHeight="1" x14ac:dyDescent="0.45">
      <c r="A736" s="12" t="s">
        <v>148</v>
      </c>
      <c r="B736" s="12" t="s">
        <v>68</v>
      </c>
      <c r="C736" s="12" t="s">
        <v>48</v>
      </c>
      <c r="D736" s="12" t="s">
        <v>66</v>
      </c>
      <c r="E736" s="25">
        <v>50</v>
      </c>
      <c r="F736" s="10">
        <v>45</v>
      </c>
      <c r="G736" s="10">
        <v>55</v>
      </c>
      <c r="H736" s="10">
        <v>38</v>
      </c>
      <c r="I736" s="10">
        <v>31</v>
      </c>
      <c r="J736" s="10">
        <v>30</v>
      </c>
      <c r="K736" s="10">
        <v>31</v>
      </c>
      <c r="L736" s="10">
        <v>22</v>
      </c>
      <c r="M736" s="10">
        <v>22</v>
      </c>
      <c r="N736" s="10">
        <v>22</v>
      </c>
      <c r="O736" s="10">
        <v>27</v>
      </c>
      <c r="P736" s="10">
        <v>44</v>
      </c>
      <c r="Q736" s="26">
        <f t="shared" si="33"/>
        <v>417</v>
      </c>
      <c r="R736" s="25">
        <v>6703</v>
      </c>
      <c r="S736" s="10">
        <v>6729</v>
      </c>
      <c r="T736" s="10">
        <v>8547</v>
      </c>
      <c r="U736" s="10">
        <v>5357</v>
      </c>
      <c r="V736" s="10">
        <v>4816</v>
      </c>
      <c r="W736" s="10">
        <v>4593</v>
      </c>
      <c r="X736" s="10">
        <v>4381</v>
      </c>
      <c r="Y736" s="10">
        <v>3002</v>
      </c>
      <c r="Z736" s="10">
        <v>3088</v>
      </c>
      <c r="AA736" s="10">
        <v>3517</v>
      </c>
      <c r="AB736" s="10">
        <v>4427</v>
      </c>
      <c r="AC736" s="10">
        <v>6956</v>
      </c>
      <c r="AD736" s="26">
        <f t="shared" si="34"/>
        <v>62116</v>
      </c>
      <c r="AE736" s="25">
        <v>0</v>
      </c>
      <c r="AF736" s="10">
        <v>0</v>
      </c>
      <c r="AG736" s="10">
        <v>0</v>
      </c>
      <c r="AH736" s="10">
        <v>0</v>
      </c>
      <c r="AI736" s="10">
        <v>0</v>
      </c>
      <c r="AJ736" s="10">
        <v>0</v>
      </c>
      <c r="AK736" s="10">
        <v>0</v>
      </c>
      <c r="AL736" s="10">
        <v>0</v>
      </c>
      <c r="AM736" s="10">
        <v>0</v>
      </c>
      <c r="AN736" s="10">
        <v>0</v>
      </c>
      <c r="AO736" s="10">
        <v>0</v>
      </c>
      <c r="AP736" s="10">
        <v>0</v>
      </c>
      <c r="AQ736" s="26">
        <f t="shared" si="35"/>
        <v>0</v>
      </c>
    </row>
    <row r="737" spans="1:43" ht="17.25" customHeight="1" x14ac:dyDescent="0.45">
      <c r="A737" s="2" t="s">
        <v>149</v>
      </c>
      <c r="B737" s="2" t="s">
        <v>68</v>
      </c>
      <c r="C737" s="2" t="s">
        <v>10</v>
      </c>
      <c r="D737" s="2" t="s">
        <v>66</v>
      </c>
      <c r="E737" s="23">
        <v>1</v>
      </c>
      <c r="F737" s="1">
        <v>0</v>
      </c>
      <c r="G737" s="1">
        <v>8</v>
      </c>
      <c r="H737" s="1">
        <v>5</v>
      </c>
      <c r="I737" s="1">
        <v>8</v>
      </c>
      <c r="J737" s="1">
        <v>45</v>
      </c>
      <c r="K737" s="1">
        <v>47</v>
      </c>
      <c r="L737" s="1">
        <v>8</v>
      </c>
      <c r="M737" s="1">
        <v>0</v>
      </c>
      <c r="N737" s="1">
        <v>4</v>
      </c>
      <c r="O737" s="1">
        <v>5</v>
      </c>
      <c r="P737" s="1">
        <v>4</v>
      </c>
      <c r="Q737" s="24">
        <f t="shared" si="33"/>
        <v>135</v>
      </c>
      <c r="R737" s="23">
        <v>51</v>
      </c>
      <c r="S737" s="1">
        <v>0</v>
      </c>
      <c r="T737" s="1">
        <v>582</v>
      </c>
      <c r="U737" s="1">
        <v>430</v>
      </c>
      <c r="V737" s="1">
        <v>1265</v>
      </c>
      <c r="W737" s="1">
        <v>7478</v>
      </c>
      <c r="X737" s="1">
        <v>7386</v>
      </c>
      <c r="Y737" s="1">
        <v>868</v>
      </c>
      <c r="Z737" s="1">
        <v>0</v>
      </c>
      <c r="AA737" s="1">
        <v>537</v>
      </c>
      <c r="AB737" s="1">
        <v>541</v>
      </c>
      <c r="AC737" s="1">
        <v>463</v>
      </c>
      <c r="AD737" s="24">
        <f t="shared" si="34"/>
        <v>19601</v>
      </c>
      <c r="AE737" s="23">
        <v>0</v>
      </c>
      <c r="AF737" s="1">
        <v>0</v>
      </c>
      <c r="AG737" s="1">
        <v>0</v>
      </c>
      <c r="AH737" s="1">
        <v>0</v>
      </c>
      <c r="AI737" s="1">
        <v>0</v>
      </c>
      <c r="AJ737" s="1">
        <v>0</v>
      </c>
      <c r="AK737" s="1">
        <v>0</v>
      </c>
      <c r="AL737" s="1">
        <v>0</v>
      </c>
      <c r="AM737" s="1">
        <v>0</v>
      </c>
      <c r="AN737" s="1">
        <v>0</v>
      </c>
      <c r="AO737" s="1">
        <v>0</v>
      </c>
      <c r="AP737" s="1">
        <v>0</v>
      </c>
      <c r="AQ737" s="24">
        <f t="shared" si="35"/>
        <v>0</v>
      </c>
    </row>
    <row r="738" spans="1:43" ht="17.25" customHeight="1" x14ac:dyDescent="0.45">
      <c r="A738" s="12" t="s">
        <v>149</v>
      </c>
      <c r="B738" s="12" t="s">
        <v>68</v>
      </c>
      <c r="C738" s="12" t="s">
        <v>22</v>
      </c>
      <c r="D738" s="12" t="s">
        <v>66</v>
      </c>
      <c r="E738" s="25">
        <v>10</v>
      </c>
      <c r="F738" s="10">
        <v>8</v>
      </c>
      <c r="G738" s="10">
        <v>9</v>
      </c>
      <c r="H738" s="10">
        <v>9</v>
      </c>
      <c r="I738" s="10">
        <v>8</v>
      </c>
      <c r="J738" s="10">
        <v>11</v>
      </c>
      <c r="K738" s="10">
        <v>9</v>
      </c>
      <c r="L738" s="10">
        <v>8</v>
      </c>
      <c r="M738" s="10">
        <v>7</v>
      </c>
      <c r="N738" s="10">
        <v>11</v>
      </c>
      <c r="O738" s="10">
        <v>12</v>
      </c>
      <c r="P738" s="10">
        <v>13</v>
      </c>
      <c r="Q738" s="26">
        <f t="shared" si="33"/>
        <v>115</v>
      </c>
      <c r="R738" s="25">
        <v>1046</v>
      </c>
      <c r="S738" s="10">
        <v>715</v>
      </c>
      <c r="T738" s="10">
        <v>905</v>
      </c>
      <c r="U738" s="10">
        <v>799</v>
      </c>
      <c r="V738" s="10">
        <v>819</v>
      </c>
      <c r="W738" s="10">
        <v>1301</v>
      </c>
      <c r="X738" s="10">
        <v>1128</v>
      </c>
      <c r="Y738" s="10">
        <v>748</v>
      </c>
      <c r="Z738" s="10">
        <v>676</v>
      </c>
      <c r="AA738" s="10">
        <v>1009</v>
      </c>
      <c r="AB738" s="10">
        <v>1198</v>
      </c>
      <c r="AC738" s="10">
        <v>1700</v>
      </c>
      <c r="AD738" s="26">
        <f t="shared" si="34"/>
        <v>12044</v>
      </c>
      <c r="AE738" s="25">
        <v>0</v>
      </c>
      <c r="AF738" s="10">
        <v>0</v>
      </c>
      <c r="AG738" s="10">
        <v>0</v>
      </c>
      <c r="AH738" s="10">
        <v>0</v>
      </c>
      <c r="AI738" s="10">
        <v>0</v>
      </c>
      <c r="AJ738" s="10">
        <v>0</v>
      </c>
      <c r="AK738" s="10">
        <v>0</v>
      </c>
      <c r="AL738" s="10">
        <v>0</v>
      </c>
      <c r="AM738" s="10">
        <v>0</v>
      </c>
      <c r="AN738" s="10">
        <v>0</v>
      </c>
      <c r="AO738" s="10">
        <v>0</v>
      </c>
      <c r="AP738" s="10">
        <v>0</v>
      </c>
      <c r="AQ738" s="26">
        <f t="shared" si="35"/>
        <v>0</v>
      </c>
    </row>
    <row r="739" spans="1:43" ht="17.25" customHeight="1" x14ac:dyDescent="0.45">
      <c r="A739" s="2" t="s">
        <v>149</v>
      </c>
      <c r="B739" s="2" t="s">
        <v>68</v>
      </c>
      <c r="C739" s="2" t="s">
        <v>11</v>
      </c>
      <c r="D739" s="2" t="s">
        <v>66</v>
      </c>
      <c r="E739" s="23">
        <v>61</v>
      </c>
      <c r="F739" s="1">
        <v>58</v>
      </c>
      <c r="G739" s="1">
        <v>60</v>
      </c>
      <c r="H739" s="1">
        <v>48</v>
      </c>
      <c r="I739" s="1">
        <v>54</v>
      </c>
      <c r="J739" s="1">
        <v>55</v>
      </c>
      <c r="K739" s="1">
        <v>58</v>
      </c>
      <c r="L739" s="1">
        <v>57</v>
      </c>
      <c r="M739" s="1">
        <v>55</v>
      </c>
      <c r="N739" s="1">
        <v>58</v>
      </c>
      <c r="O739" s="1">
        <v>55</v>
      </c>
      <c r="P739" s="1">
        <v>79</v>
      </c>
      <c r="Q739" s="24">
        <f t="shared" si="33"/>
        <v>698</v>
      </c>
      <c r="R739" s="23">
        <v>5626</v>
      </c>
      <c r="S739" s="1">
        <v>3950</v>
      </c>
      <c r="T739" s="1">
        <v>5428</v>
      </c>
      <c r="U739" s="1">
        <v>4799</v>
      </c>
      <c r="V739" s="1">
        <v>5416</v>
      </c>
      <c r="W739" s="1">
        <v>5846</v>
      </c>
      <c r="X739" s="1">
        <v>5962</v>
      </c>
      <c r="Y739" s="1">
        <v>5271</v>
      </c>
      <c r="Z739" s="1">
        <v>4703</v>
      </c>
      <c r="AA739" s="1">
        <v>5800</v>
      </c>
      <c r="AB739" s="1">
        <v>5829</v>
      </c>
      <c r="AC739" s="1">
        <v>9292</v>
      </c>
      <c r="AD739" s="24">
        <f t="shared" si="34"/>
        <v>67922</v>
      </c>
      <c r="AE739" s="23">
        <v>465334</v>
      </c>
      <c r="AF739" s="1">
        <v>428443</v>
      </c>
      <c r="AG739" s="1">
        <v>422013</v>
      </c>
      <c r="AH739" s="1">
        <v>427222</v>
      </c>
      <c r="AI739" s="1">
        <v>555443</v>
      </c>
      <c r="AJ739" s="1">
        <v>464745</v>
      </c>
      <c r="AK739" s="1">
        <v>495245</v>
      </c>
      <c r="AL739" s="1">
        <v>480156</v>
      </c>
      <c r="AM739" s="1">
        <v>481659</v>
      </c>
      <c r="AN739" s="1">
        <v>532266</v>
      </c>
      <c r="AO739" s="1">
        <v>502538</v>
      </c>
      <c r="AP739" s="1">
        <v>497188</v>
      </c>
      <c r="AQ739" s="24">
        <f t="shared" si="35"/>
        <v>5752252</v>
      </c>
    </row>
    <row r="740" spans="1:43" ht="17.25" customHeight="1" x14ac:dyDescent="0.45">
      <c r="A740" s="12" t="s">
        <v>149</v>
      </c>
      <c r="B740" s="12" t="s">
        <v>68</v>
      </c>
      <c r="C740" s="12" t="s">
        <v>12</v>
      </c>
      <c r="D740" s="12" t="s">
        <v>66</v>
      </c>
      <c r="E740" s="25">
        <v>128</v>
      </c>
      <c r="F740" s="10">
        <v>116</v>
      </c>
      <c r="G740" s="10">
        <v>124</v>
      </c>
      <c r="H740" s="10">
        <v>121</v>
      </c>
      <c r="I740" s="10">
        <v>124</v>
      </c>
      <c r="J740" s="10">
        <v>119</v>
      </c>
      <c r="K740" s="10">
        <v>122</v>
      </c>
      <c r="L740" s="10">
        <v>123</v>
      </c>
      <c r="M740" s="10">
        <v>118</v>
      </c>
      <c r="N740" s="10">
        <v>124</v>
      </c>
      <c r="O740" s="10">
        <v>120</v>
      </c>
      <c r="P740" s="10">
        <v>123</v>
      </c>
      <c r="Q740" s="26">
        <f t="shared" si="33"/>
        <v>1462</v>
      </c>
      <c r="R740" s="25">
        <v>12689</v>
      </c>
      <c r="S740" s="10">
        <v>10529</v>
      </c>
      <c r="T740" s="10">
        <v>12951</v>
      </c>
      <c r="U740" s="10">
        <v>12724</v>
      </c>
      <c r="V740" s="10">
        <v>13265</v>
      </c>
      <c r="W740" s="10">
        <v>13741</v>
      </c>
      <c r="X740" s="10">
        <v>16298</v>
      </c>
      <c r="Y740" s="10">
        <v>14436</v>
      </c>
      <c r="Z740" s="10">
        <v>10855</v>
      </c>
      <c r="AA740" s="10">
        <v>13291</v>
      </c>
      <c r="AB740" s="10">
        <v>14278</v>
      </c>
      <c r="AC740" s="10">
        <v>17817</v>
      </c>
      <c r="AD740" s="26">
        <f t="shared" si="34"/>
        <v>162874</v>
      </c>
      <c r="AE740" s="25">
        <v>0</v>
      </c>
      <c r="AF740" s="10">
        <v>0</v>
      </c>
      <c r="AG740" s="10">
        <v>0</v>
      </c>
      <c r="AH740" s="10">
        <v>0</v>
      </c>
      <c r="AI740" s="10">
        <v>0</v>
      </c>
      <c r="AJ740" s="10">
        <v>0</v>
      </c>
      <c r="AK740" s="10">
        <v>34</v>
      </c>
      <c r="AL740" s="10">
        <v>0</v>
      </c>
      <c r="AM740" s="10">
        <v>0</v>
      </c>
      <c r="AN740" s="10">
        <v>0</v>
      </c>
      <c r="AO740" s="10">
        <v>0</v>
      </c>
      <c r="AP740" s="10">
        <v>0</v>
      </c>
      <c r="AQ740" s="26">
        <f t="shared" si="35"/>
        <v>34</v>
      </c>
    </row>
    <row r="741" spans="1:43" ht="17.25" customHeight="1" x14ac:dyDescent="0.45">
      <c r="A741" s="2" t="s">
        <v>149</v>
      </c>
      <c r="B741" s="2" t="s">
        <v>68</v>
      </c>
      <c r="C741" s="2" t="s">
        <v>13</v>
      </c>
      <c r="D741" s="2" t="s">
        <v>66</v>
      </c>
      <c r="E741" s="23">
        <v>51</v>
      </c>
      <c r="F741" s="1">
        <v>41</v>
      </c>
      <c r="G741" s="1">
        <v>51</v>
      </c>
      <c r="H741" s="1">
        <v>60</v>
      </c>
      <c r="I741" s="1">
        <v>59</v>
      </c>
      <c r="J741" s="1">
        <v>47</v>
      </c>
      <c r="K741" s="1">
        <v>50</v>
      </c>
      <c r="L741" s="1">
        <v>55</v>
      </c>
      <c r="M741" s="1">
        <v>50</v>
      </c>
      <c r="N741" s="1">
        <v>57</v>
      </c>
      <c r="O741" s="1">
        <v>107</v>
      </c>
      <c r="P741" s="1">
        <v>114</v>
      </c>
      <c r="Q741" s="24">
        <f t="shared" si="33"/>
        <v>742</v>
      </c>
      <c r="R741" s="23">
        <v>5021</v>
      </c>
      <c r="S741" s="1">
        <v>4454</v>
      </c>
      <c r="T741" s="1">
        <v>6105</v>
      </c>
      <c r="U741" s="1">
        <v>5627</v>
      </c>
      <c r="V741" s="1">
        <v>6104</v>
      </c>
      <c r="W741" s="1">
        <v>5343</v>
      </c>
      <c r="X741" s="1">
        <v>5751</v>
      </c>
      <c r="Y741" s="1">
        <v>5615</v>
      </c>
      <c r="Z741" s="1">
        <v>4894</v>
      </c>
      <c r="AA741" s="1">
        <v>7471</v>
      </c>
      <c r="AB741" s="1">
        <v>10101</v>
      </c>
      <c r="AC741" s="1">
        <v>14311</v>
      </c>
      <c r="AD741" s="24">
        <f t="shared" si="34"/>
        <v>80797</v>
      </c>
      <c r="AE741" s="23">
        <v>0</v>
      </c>
      <c r="AF741" s="1">
        <v>0</v>
      </c>
      <c r="AG741" s="1">
        <v>0</v>
      </c>
      <c r="AH741" s="1">
        <v>0</v>
      </c>
      <c r="AI741" s="1">
        <v>0</v>
      </c>
      <c r="AJ741" s="1">
        <v>0</v>
      </c>
      <c r="AK741" s="1">
        <v>0</v>
      </c>
      <c r="AL741" s="1">
        <v>0</v>
      </c>
      <c r="AM741" s="1">
        <v>0</v>
      </c>
      <c r="AN741" s="1">
        <v>0</v>
      </c>
      <c r="AO741" s="1">
        <v>0</v>
      </c>
      <c r="AP741" s="1">
        <v>0</v>
      </c>
      <c r="AQ741" s="24">
        <f t="shared" si="35"/>
        <v>0</v>
      </c>
    </row>
    <row r="742" spans="1:43" ht="17.25" customHeight="1" x14ac:dyDescent="0.45">
      <c r="A742" s="12" t="s">
        <v>149</v>
      </c>
      <c r="B742" s="12" t="s">
        <v>68</v>
      </c>
      <c r="C742" s="12" t="s">
        <v>28</v>
      </c>
      <c r="D742" s="12" t="s">
        <v>66</v>
      </c>
      <c r="E742" s="25">
        <v>9</v>
      </c>
      <c r="F742" s="10">
        <v>8</v>
      </c>
      <c r="G742" s="10">
        <v>8</v>
      </c>
      <c r="H742" s="10">
        <v>9</v>
      </c>
      <c r="I742" s="10">
        <v>9</v>
      </c>
      <c r="J742" s="10">
        <v>7</v>
      </c>
      <c r="K742" s="10">
        <v>12</v>
      </c>
      <c r="L742" s="10">
        <v>10</v>
      </c>
      <c r="M742" s="10">
        <v>9</v>
      </c>
      <c r="N742" s="10">
        <v>8</v>
      </c>
      <c r="O742" s="10">
        <v>11</v>
      </c>
      <c r="P742" s="10">
        <v>12</v>
      </c>
      <c r="Q742" s="26">
        <f t="shared" si="33"/>
        <v>112</v>
      </c>
      <c r="R742" s="25">
        <v>813</v>
      </c>
      <c r="S742" s="10">
        <v>810</v>
      </c>
      <c r="T742" s="10">
        <v>924</v>
      </c>
      <c r="U742" s="10">
        <v>996</v>
      </c>
      <c r="V742" s="10">
        <v>1019</v>
      </c>
      <c r="W742" s="10">
        <v>989</v>
      </c>
      <c r="X742" s="10">
        <v>1552</v>
      </c>
      <c r="Y742" s="10">
        <v>1140</v>
      </c>
      <c r="Z742" s="10">
        <v>1061</v>
      </c>
      <c r="AA742" s="10">
        <v>1004</v>
      </c>
      <c r="AB742" s="10">
        <v>1335</v>
      </c>
      <c r="AC742" s="10">
        <v>1588</v>
      </c>
      <c r="AD742" s="26">
        <f t="shared" si="34"/>
        <v>13231</v>
      </c>
      <c r="AE742" s="25">
        <v>0</v>
      </c>
      <c r="AF742" s="10">
        <v>0</v>
      </c>
      <c r="AG742" s="10">
        <v>0</v>
      </c>
      <c r="AH742" s="10">
        <v>0</v>
      </c>
      <c r="AI742" s="10">
        <v>0</v>
      </c>
      <c r="AJ742" s="10">
        <v>0</v>
      </c>
      <c r="AK742" s="10">
        <v>0</v>
      </c>
      <c r="AL742" s="10">
        <v>0</v>
      </c>
      <c r="AM742" s="10">
        <v>0</v>
      </c>
      <c r="AN742" s="10">
        <v>0</v>
      </c>
      <c r="AO742" s="10">
        <v>0</v>
      </c>
      <c r="AP742" s="10">
        <v>0</v>
      </c>
      <c r="AQ742" s="26">
        <f t="shared" si="35"/>
        <v>0</v>
      </c>
    </row>
    <row r="743" spans="1:43" ht="17.25" customHeight="1" x14ac:dyDescent="0.45">
      <c r="A743" s="2" t="s">
        <v>149</v>
      </c>
      <c r="B743" s="2" t="s">
        <v>68</v>
      </c>
      <c r="C743" s="2" t="s">
        <v>33</v>
      </c>
      <c r="D743" s="2" t="s">
        <v>66</v>
      </c>
      <c r="E743" s="23">
        <v>0</v>
      </c>
      <c r="F743" s="1">
        <v>0</v>
      </c>
      <c r="G743" s="1">
        <v>0</v>
      </c>
      <c r="H743" s="1">
        <v>0</v>
      </c>
      <c r="I743" s="1">
        <v>0</v>
      </c>
      <c r="J743" s="1">
        <v>9</v>
      </c>
      <c r="K743" s="1">
        <v>9</v>
      </c>
      <c r="L743" s="1">
        <v>0</v>
      </c>
      <c r="M743" s="1">
        <v>0</v>
      </c>
      <c r="N743" s="1">
        <v>0</v>
      </c>
      <c r="O743" s="1">
        <v>0</v>
      </c>
      <c r="P743" s="1">
        <v>3</v>
      </c>
      <c r="Q743" s="24">
        <f t="shared" si="33"/>
        <v>21</v>
      </c>
      <c r="R743" s="23">
        <v>0</v>
      </c>
      <c r="S743" s="1">
        <v>0</v>
      </c>
      <c r="T743" s="1">
        <v>0</v>
      </c>
      <c r="U743" s="1">
        <v>0</v>
      </c>
      <c r="V743" s="1">
        <v>0</v>
      </c>
      <c r="W743" s="1">
        <v>715</v>
      </c>
      <c r="X743" s="1">
        <v>821</v>
      </c>
      <c r="Y743" s="1">
        <v>0</v>
      </c>
      <c r="Z743" s="1">
        <v>0</v>
      </c>
      <c r="AA743" s="1">
        <v>0</v>
      </c>
      <c r="AB743" s="1">
        <v>0</v>
      </c>
      <c r="AC743" s="1">
        <v>345</v>
      </c>
      <c r="AD743" s="24">
        <f t="shared" si="34"/>
        <v>1881</v>
      </c>
      <c r="AE743" s="23">
        <v>0</v>
      </c>
      <c r="AF743" s="1">
        <v>0</v>
      </c>
      <c r="AG743" s="1">
        <v>0</v>
      </c>
      <c r="AH743" s="1">
        <v>0</v>
      </c>
      <c r="AI743" s="1">
        <v>0</v>
      </c>
      <c r="AJ743" s="1">
        <v>0</v>
      </c>
      <c r="AK743" s="1">
        <v>0</v>
      </c>
      <c r="AL743" s="1">
        <v>0</v>
      </c>
      <c r="AM743" s="1">
        <v>0</v>
      </c>
      <c r="AN743" s="1">
        <v>0</v>
      </c>
      <c r="AO743" s="1">
        <v>0</v>
      </c>
      <c r="AP743" s="1">
        <v>0</v>
      </c>
      <c r="AQ743" s="24">
        <f t="shared" si="35"/>
        <v>0</v>
      </c>
    </row>
    <row r="744" spans="1:43" ht="17.25" customHeight="1" x14ac:dyDescent="0.45">
      <c r="A744" s="12" t="s">
        <v>150</v>
      </c>
      <c r="B744" s="12" t="s">
        <v>68</v>
      </c>
      <c r="C744" s="12" t="s">
        <v>10</v>
      </c>
      <c r="D744" s="12" t="s">
        <v>66</v>
      </c>
      <c r="E744" s="25">
        <v>4</v>
      </c>
      <c r="F744" s="10">
        <v>4</v>
      </c>
      <c r="G744" s="10">
        <v>5</v>
      </c>
      <c r="H744" s="10">
        <v>2</v>
      </c>
      <c r="I744" s="10">
        <v>0</v>
      </c>
      <c r="J744" s="10">
        <v>0</v>
      </c>
      <c r="K744" s="10">
        <v>0</v>
      </c>
      <c r="L744" s="10">
        <v>0</v>
      </c>
      <c r="M744" s="10">
        <v>0</v>
      </c>
      <c r="N744" s="10">
        <v>0</v>
      </c>
      <c r="O744" s="10">
        <v>0</v>
      </c>
      <c r="P744" s="10">
        <v>0</v>
      </c>
      <c r="Q744" s="26">
        <f t="shared" si="33"/>
        <v>15</v>
      </c>
      <c r="R744" s="25">
        <v>279</v>
      </c>
      <c r="S744" s="10">
        <v>330</v>
      </c>
      <c r="T744" s="10">
        <v>580</v>
      </c>
      <c r="U744" s="10">
        <v>221</v>
      </c>
      <c r="V744" s="10">
        <v>0</v>
      </c>
      <c r="W744" s="10">
        <v>0</v>
      </c>
      <c r="X744" s="10">
        <v>0</v>
      </c>
      <c r="Y744" s="10">
        <v>0</v>
      </c>
      <c r="Z744" s="10">
        <v>0</v>
      </c>
      <c r="AA744" s="10">
        <v>0</v>
      </c>
      <c r="AB744" s="10">
        <v>0</v>
      </c>
      <c r="AC744" s="10">
        <v>0</v>
      </c>
      <c r="AD744" s="26">
        <f t="shared" si="34"/>
        <v>1410</v>
      </c>
      <c r="AE744" s="25">
        <v>0</v>
      </c>
      <c r="AF744" s="10">
        <v>0</v>
      </c>
      <c r="AG744" s="10">
        <v>0</v>
      </c>
      <c r="AH744" s="10">
        <v>0</v>
      </c>
      <c r="AI744" s="10">
        <v>0</v>
      </c>
      <c r="AJ744" s="10">
        <v>0</v>
      </c>
      <c r="AK744" s="10">
        <v>0</v>
      </c>
      <c r="AL744" s="10">
        <v>0</v>
      </c>
      <c r="AM744" s="10">
        <v>0</v>
      </c>
      <c r="AN744" s="10">
        <v>0</v>
      </c>
      <c r="AO744" s="10">
        <v>0</v>
      </c>
      <c r="AP744" s="10">
        <v>0</v>
      </c>
      <c r="AQ744" s="26">
        <f t="shared" si="35"/>
        <v>0</v>
      </c>
    </row>
    <row r="745" spans="1:43" ht="17.25" customHeight="1" x14ac:dyDescent="0.45">
      <c r="A745" s="2" t="s">
        <v>150</v>
      </c>
      <c r="B745" s="2" t="s">
        <v>68</v>
      </c>
      <c r="C745" s="2" t="s">
        <v>52</v>
      </c>
      <c r="D745" s="2" t="s">
        <v>66</v>
      </c>
      <c r="E745" s="23">
        <v>4</v>
      </c>
      <c r="F745" s="1">
        <v>4</v>
      </c>
      <c r="G745" s="1">
        <v>5</v>
      </c>
      <c r="H745" s="1">
        <v>1</v>
      </c>
      <c r="I745" s="1">
        <v>0</v>
      </c>
      <c r="J745" s="1">
        <v>0</v>
      </c>
      <c r="K745" s="1">
        <v>0</v>
      </c>
      <c r="L745" s="1">
        <v>0</v>
      </c>
      <c r="M745" s="1">
        <v>0</v>
      </c>
      <c r="N745" s="1">
        <v>0</v>
      </c>
      <c r="O745" s="1">
        <v>0</v>
      </c>
      <c r="P745" s="1">
        <v>0</v>
      </c>
      <c r="Q745" s="24">
        <f t="shared" si="33"/>
        <v>14</v>
      </c>
      <c r="R745" s="23">
        <v>289</v>
      </c>
      <c r="S745" s="1">
        <v>254</v>
      </c>
      <c r="T745" s="1">
        <v>311</v>
      </c>
      <c r="U745" s="1">
        <v>38</v>
      </c>
      <c r="V745" s="1">
        <v>0</v>
      </c>
      <c r="W745" s="1">
        <v>0</v>
      </c>
      <c r="X745" s="1">
        <v>0</v>
      </c>
      <c r="Y745" s="1">
        <v>0</v>
      </c>
      <c r="Z745" s="1">
        <v>0</v>
      </c>
      <c r="AA745" s="1">
        <v>0</v>
      </c>
      <c r="AB745" s="1">
        <v>0</v>
      </c>
      <c r="AC745" s="1">
        <v>0</v>
      </c>
      <c r="AD745" s="24">
        <f t="shared" si="34"/>
        <v>892</v>
      </c>
      <c r="AE745" s="23">
        <v>0</v>
      </c>
      <c r="AF745" s="1">
        <v>0</v>
      </c>
      <c r="AG745" s="1">
        <v>18</v>
      </c>
      <c r="AH745" s="1">
        <v>0</v>
      </c>
      <c r="AI745" s="1">
        <v>0</v>
      </c>
      <c r="AJ745" s="1">
        <v>0</v>
      </c>
      <c r="AK745" s="1">
        <v>0</v>
      </c>
      <c r="AL745" s="1">
        <v>0</v>
      </c>
      <c r="AM745" s="1">
        <v>0</v>
      </c>
      <c r="AN745" s="1">
        <v>0</v>
      </c>
      <c r="AO745" s="1">
        <v>0</v>
      </c>
      <c r="AP745" s="1">
        <v>0</v>
      </c>
      <c r="AQ745" s="24">
        <f t="shared" si="35"/>
        <v>18</v>
      </c>
    </row>
    <row r="746" spans="1:43" ht="17.25" customHeight="1" x14ac:dyDescent="0.45">
      <c r="A746" s="12" t="s">
        <v>150</v>
      </c>
      <c r="B746" s="12" t="s">
        <v>68</v>
      </c>
      <c r="C746" s="12" t="s">
        <v>17</v>
      </c>
      <c r="D746" s="12" t="s">
        <v>66</v>
      </c>
      <c r="E746" s="25">
        <v>15</v>
      </c>
      <c r="F746" s="10">
        <v>12</v>
      </c>
      <c r="G746" s="10">
        <v>14</v>
      </c>
      <c r="H746" s="10">
        <v>17</v>
      </c>
      <c r="I746" s="10">
        <v>11</v>
      </c>
      <c r="J746" s="10">
        <v>9</v>
      </c>
      <c r="K746" s="10">
        <v>9</v>
      </c>
      <c r="L746" s="10">
        <v>5</v>
      </c>
      <c r="M746" s="10">
        <v>0</v>
      </c>
      <c r="N746" s="10">
        <v>10</v>
      </c>
      <c r="O746" s="10">
        <v>18</v>
      </c>
      <c r="P746" s="10">
        <v>17</v>
      </c>
      <c r="Q746" s="26">
        <f t="shared" si="33"/>
        <v>137</v>
      </c>
      <c r="R746" s="25">
        <v>1888</v>
      </c>
      <c r="S746" s="10">
        <v>1613</v>
      </c>
      <c r="T746" s="10">
        <v>2022</v>
      </c>
      <c r="U746" s="10">
        <v>2221</v>
      </c>
      <c r="V746" s="10">
        <v>1459</v>
      </c>
      <c r="W746" s="10">
        <v>1464</v>
      </c>
      <c r="X746" s="10">
        <v>1300</v>
      </c>
      <c r="Y746" s="10">
        <v>344</v>
      </c>
      <c r="Z746" s="10">
        <v>0</v>
      </c>
      <c r="AA746" s="10">
        <v>1603</v>
      </c>
      <c r="AB746" s="10">
        <v>2703</v>
      </c>
      <c r="AC746" s="10">
        <v>2567</v>
      </c>
      <c r="AD746" s="26">
        <f t="shared" si="34"/>
        <v>19184</v>
      </c>
      <c r="AE746" s="25">
        <v>72</v>
      </c>
      <c r="AF746" s="10">
        <v>53</v>
      </c>
      <c r="AG746" s="10">
        <v>167</v>
      </c>
      <c r="AH746" s="10">
        <v>83</v>
      </c>
      <c r="AI746" s="10">
        <v>50</v>
      </c>
      <c r="AJ746" s="10">
        <v>0</v>
      </c>
      <c r="AK746" s="10">
        <v>0</v>
      </c>
      <c r="AL746" s="10">
        <v>0</v>
      </c>
      <c r="AM746" s="10">
        <v>0</v>
      </c>
      <c r="AN746" s="10">
        <v>0</v>
      </c>
      <c r="AO746" s="10">
        <v>90</v>
      </c>
      <c r="AP746" s="10">
        <v>36</v>
      </c>
      <c r="AQ746" s="26">
        <f t="shared" si="35"/>
        <v>551</v>
      </c>
    </row>
    <row r="747" spans="1:43" ht="17.25" customHeight="1" x14ac:dyDescent="0.45">
      <c r="A747" s="2" t="s">
        <v>150</v>
      </c>
      <c r="B747" s="2" t="s">
        <v>68</v>
      </c>
      <c r="C747" s="2" t="s">
        <v>48</v>
      </c>
      <c r="D747" s="2" t="s">
        <v>66</v>
      </c>
      <c r="E747" s="23">
        <v>38</v>
      </c>
      <c r="F747" s="1">
        <v>33</v>
      </c>
      <c r="G747" s="1">
        <v>54</v>
      </c>
      <c r="H747" s="1">
        <v>54</v>
      </c>
      <c r="I747" s="1">
        <v>43</v>
      </c>
      <c r="J747" s="1">
        <v>48</v>
      </c>
      <c r="K747" s="1">
        <v>47</v>
      </c>
      <c r="L747" s="1">
        <v>35</v>
      </c>
      <c r="M747" s="1">
        <v>21</v>
      </c>
      <c r="N747" s="1">
        <v>32</v>
      </c>
      <c r="O747" s="1">
        <v>49</v>
      </c>
      <c r="P747" s="1">
        <v>50</v>
      </c>
      <c r="Q747" s="24">
        <f t="shared" si="33"/>
        <v>504</v>
      </c>
      <c r="R747" s="23">
        <v>4499</v>
      </c>
      <c r="S747" s="1">
        <v>4876</v>
      </c>
      <c r="T747" s="1">
        <v>7345</v>
      </c>
      <c r="U747" s="1">
        <v>6424</v>
      </c>
      <c r="V747" s="1">
        <v>5731</v>
      </c>
      <c r="W747" s="1">
        <v>7405</v>
      </c>
      <c r="X747" s="1">
        <v>6826</v>
      </c>
      <c r="Y747" s="1">
        <v>4348</v>
      </c>
      <c r="Z747" s="1">
        <v>3037</v>
      </c>
      <c r="AA747" s="1">
        <v>4965</v>
      </c>
      <c r="AB747" s="1">
        <v>6889</v>
      </c>
      <c r="AC747" s="1">
        <v>7094</v>
      </c>
      <c r="AD747" s="24">
        <f t="shared" si="34"/>
        <v>69439</v>
      </c>
      <c r="AE747" s="23">
        <v>153</v>
      </c>
      <c r="AF747" s="1">
        <v>45</v>
      </c>
      <c r="AG747" s="1">
        <v>168</v>
      </c>
      <c r="AH747" s="1">
        <v>74</v>
      </c>
      <c r="AI747" s="1">
        <v>71</v>
      </c>
      <c r="AJ747" s="1">
        <v>77</v>
      </c>
      <c r="AK747" s="1">
        <v>39</v>
      </c>
      <c r="AL747" s="1">
        <v>0</v>
      </c>
      <c r="AM747" s="1">
        <v>0</v>
      </c>
      <c r="AN747" s="1">
        <v>188</v>
      </c>
      <c r="AO747" s="1">
        <v>195</v>
      </c>
      <c r="AP747" s="1">
        <v>269</v>
      </c>
      <c r="AQ747" s="24">
        <f t="shared" si="35"/>
        <v>1279</v>
      </c>
    </row>
    <row r="748" spans="1:43" ht="17.25" customHeight="1" x14ac:dyDescent="0.45">
      <c r="A748" s="12" t="s">
        <v>151</v>
      </c>
      <c r="B748" s="12" t="s">
        <v>68</v>
      </c>
      <c r="C748" s="12" t="s">
        <v>10</v>
      </c>
      <c r="D748" s="12" t="s">
        <v>66</v>
      </c>
      <c r="E748" s="25">
        <v>98</v>
      </c>
      <c r="F748" s="10">
        <v>87</v>
      </c>
      <c r="G748" s="10">
        <v>93</v>
      </c>
      <c r="H748" s="10">
        <v>77</v>
      </c>
      <c r="I748" s="10">
        <v>68</v>
      </c>
      <c r="J748" s="10">
        <v>75</v>
      </c>
      <c r="K748" s="10">
        <v>72</v>
      </c>
      <c r="L748" s="10">
        <v>60</v>
      </c>
      <c r="M748" s="10">
        <v>34</v>
      </c>
      <c r="N748" s="10">
        <v>40</v>
      </c>
      <c r="O748" s="10">
        <v>77</v>
      </c>
      <c r="P748" s="10">
        <v>106</v>
      </c>
      <c r="Q748" s="26">
        <f t="shared" si="33"/>
        <v>887</v>
      </c>
      <c r="R748" s="25">
        <v>13270</v>
      </c>
      <c r="S748" s="10">
        <v>12359</v>
      </c>
      <c r="T748" s="10">
        <v>13886</v>
      </c>
      <c r="U748" s="10">
        <v>11431</v>
      </c>
      <c r="V748" s="10">
        <v>10932</v>
      </c>
      <c r="W748" s="10">
        <v>12291</v>
      </c>
      <c r="X748" s="10">
        <v>11606</v>
      </c>
      <c r="Y748" s="10">
        <v>8390</v>
      </c>
      <c r="Z748" s="10">
        <v>5448</v>
      </c>
      <c r="AA748" s="10">
        <v>6369</v>
      </c>
      <c r="AB748" s="10">
        <v>12431</v>
      </c>
      <c r="AC748" s="10">
        <v>17569</v>
      </c>
      <c r="AD748" s="26">
        <f t="shared" si="34"/>
        <v>135982</v>
      </c>
      <c r="AE748" s="25">
        <v>186</v>
      </c>
      <c r="AF748" s="10">
        <v>35</v>
      </c>
      <c r="AG748" s="10">
        <v>0</v>
      </c>
      <c r="AH748" s="10">
        <v>0</v>
      </c>
      <c r="AI748" s="10">
        <v>21</v>
      </c>
      <c r="AJ748" s="10">
        <v>0</v>
      </c>
      <c r="AK748" s="10">
        <v>0</v>
      </c>
      <c r="AL748" s="10">
        <v>0</v>
      </c>
      <c r="AM748" s="10">
        <v>0</v>
      </c>
      <c r="AN748" s="10">
        <v>0</v>
      </c>
      <c r="AO748" s="10">
        <v>27</v>
      </c>
      <c r="AP748" s="10">
        <v>36</v>
      </c>
      <c r="AQ748" s="26">
        <f t="shared" si="35"/>
        <v>305</v>
      </c>
    </row>
    <row r="749" spans="1:43" ht="17.25" customHeight="1" x14ac:dyDescent="0.45">
      <c r="A749" s="2" t="s">
        <v>151</v>
      </c>
      <c r="B749" s="2" t="s">
        <v>68</v>
      </c>
      <c r="C749" s="2" t="s">
        <v>11</v>
      </c>
      <c r="D749" s="2" t="s">
        <v>66</v>
      </c>
      <c r="E749" s="23">
        <v>25</v>
      </c>
      <c r="F749" s="1">
        <v>21</v>
      </c>
      <c r="G749" s="1">
        <v>31</v>
      </c>
      <c r="H749" s="1">
        <v>15</v>
      </c>
      <c r="I749" s="1">
        <v>15</v>
      </c>
      <c r="J749" s="1">
        <v>27</v>
      </c>
      <c r="K749" s="1">
        <v>43</v>
      </c>
      <c r="L749" s="1">
        <v>35</v>
      </c>
      <c r="M749" s="1">
        <v>2</v>
      </c>
      <c r="N749" s="1">
        <v>5</v>
      </c>
      <c r="O749" s="1">
        <v>30</v>
      </c>
      <c r="P749" s="1">
        <v>31</v>
      </c>
      <c r="Q749" s="24">
        <f t="shared" si="33"/>
        <v>280</v>
      </c>
      <c r="R749" s="23">
        <v>3027</v>
      </c>
      <c r="S749" s="1">
        <v>2269</v>
      </c>
      <c r="T749" s="1">
        <v>3499</v>
      </c>
      <c r="U749" s="1">
        <v>1916</v>
      </c>
      <c r="V749" s="1">
        <v>1935</v>
      </c>
      <c r="W749" s="1">
        <v>4023</v>
      </c>
      <c r="X749" s="1">
        <v>6016</v>
      </c>
      <c r="Y749" s="1">
        <v>3859</v>
      </c>
      <c r="Z749" s="1">
        <v>247</v>
      </c>
      <c r="AA749" s="1">
        <v>779</v>
      </c>
      <c r="AB749" s="1">
        <v>3371</v>
      </c>
      <c r="AC749" s="1">
        <v>4890</v>
      </c>
      <c r="AD749" s="24">
        <f t="shared" si="34"/>
        <v>35831</v>
      </c>
      <c r="AE749" s="23">
        <v>3714</v>
      </c>
      <c r="AF749" s="1">
        <v>3389</v>
      </c>
      <c r="AG749" s="1">
        <v>3128</v>
      </c>
      <c r="AH749" s="1">
        <v>1679</v>
      </c>
      <c r="AI749" s="1">
        <v>1050</v>
      </c>
      <c r="AJ749" s="1">
        <v>1390</v>
      </c>
      <c r="AK749" s="1">
        <v>996</v>
      </c>
      <c r="AL749" s="1">
        <v>1070</v>
      </c>
      <c r="AM749" s="1">
        <v>275</v>
      </c>
      <c r="AN749" s="1">
        <v>342</v>
      </c>
      <c r="AO749" s="1">
        <v>2251</v>
      </c>
      <c r="AP749" s="1">
        <v>1863</v>
      </c>
      <c r="AQ749" s="24">
        <f t="shared" si="35"/>
        <v>21147</v>
      </c>
    </row>
    <row r="750" spans="1:43" ht="17.25" customHeight="1" x14ac:dyDescent="0.45">
      <c r="A750" s="12" t="s">
        <v>151</v>
      </c>
      <c r="B750" s="12" t="s">
        <v>68</v>
      </c>
      <c r="C750" s="12" t="s">
        <v>52</v>
      </c>
      <c r="D750" s="12" t="s">
        <v>66</v>
      </c>
      <c r="E750" s="25">
        <v>4</v>
      </c>
      <c r="F750" s="10">
        <v>4</v>
      </c>
      <c r="G750" s="10">
        <v>7</v>
      </c>
      <c r="H750" s="10">
        <v>4</v>
      </c>
      <c r="I750" s="10">
        <v>0</v>
      </c>
      <c r="J750" s="10">
        <v>0</v>
      </c>
      <c r="K750" s="10">
        <v>0</v>
      </c>
      <c r="L750" s="10">
        <v>0</v>
      </c>
      <c r="M750" s="10">
        <v>0</v>
      </c>
      <c r="N750" s="10">
        <v>0</v>
      </c>
      <c r="O750" s="10">
        <v>5</v>
      </c>
      <c r="P750" s="10">
        <v>4</v>
      </c>
      <c r="Q750" s="26">
        <f t="shared" si="33"/>
        <v>28</v>
      </c>
      <c r="R750" s="25">
        <v>657</v>
      </c>
      <c r="S750" s="10">
        <v>638</v>
      </c>
      <c r="T750" s="10">
        <v>1008</v>
      </c>
      <c r="U750" s="10">
        <v>419</v>
      </c>
      <c r="V750" s="10">
        <v>0</v>
      </c>
      <c r="W750" s="10">
        <v>0</v>
      </c>
      <c r="X750" s="10">
        <v>0</v>
      </c>
      <c r="Y750" s="10">
        <v>0</v>
      </c>
      <c r="Z750" s="10">
        <v>0</v>
      </c>
      <c r="AA750" s="10">
        <v>0</v>
      </c>
      <c r="AB750" s="10">
        <v>818</v>
      </c>
      <c r="AC750" s="10">
        <v>638</v>
      </c>
      <c r="AD750" s="26">
        <f t="shared" si="34"/>
        <v>4178</v>
      </c>
      <c r="AE750" s="25">
        <v>110</v>
      </c>
      <c r="AF750" s="10">
        <v>0</v>
      </c>
      <c r="AG750" s="10">
        <v>0</v>
      </c>
      <c r="AH750" s="10">
        <v>0</v>
      </c>
      <c r="AI750" s="10">
        <v>0</v>
      </c>
      <c r="AJ750" s="10">
        <v>0</v>
      </c>
      <c r="AK750" s="10">
        <v>0</v>
      </c>
      <c r="AL750" s="10">
        <v>0</v>
      </c>
      <c r="AM750" s="10">
        <v>0</v>
      </c>
      <c r="AN750" s="10">
        <v>0</v>
      </c>
      <c r="AO750" s="10">
        <v>0</v>
      </c>
      <c r="AP750" s="10">
        <v>0</v>
      </c>
      <c r="AQ750" s="26">
        <f t="shared" si="35"/>
        <v>110</v>
      </c>
    </row>
    <row r="751" spans="1:43" ht="17.25" customHeight="1" x14ac:dyDescent="0.45">
      <c r="A751" s="2" t="s">
        <v>151</v>
      </c>
      <c r="B751" s="2" t="s">
        <v>68</v>
      </c>
      <c r="C751" s="2" t="s">
        <v>54</v>
      </c>
      <c r="D751" s="2" t="s">
        <v>66</v>
      </c>
      <c r="E751" s="23">
        <v>4</v>
      </c>
      <c r="F751" s="1">
        <v>4</v>
      </c>
      <c r="G751" s="1">
        <v>5</v>
      </c>
      <c r="H751" s="1">
        <v>2</v>
      </c>
      <c r="I751" s="1">
        <v>0</v>
      </c>
      <c r="J751" s="1">
        <v>0</v>
      </c>
      <c r="K751" s="1">
        <v>0</v>
      </c>
      <c r="L751" s="1">
        <v>0</v>
      </c>
      <c r="M751" s="1">
        <v>0</v>
      </c>
      <c r="N751" s="1">
        <v>0</v>
      </c>
      <c r="O751" s="1">
        <v>0</v>
      </c>
      <c r="P751" s="1">
        <v>0</v>
      </c>
      <c r="Q751" s="24">
        <f t="shared" si="33"/>
        <v>15</v>
      </c>
      <c r="R751" s="23">
        <v>280</v>
      </c>
      <c r="S751" s="1">
        <v>592</v>
      </c>
      <c r="T751" s="1">
        <v>682</v>
      </c>
      <c r="U751" s="1">
        <v>212</v>
      </c>
      <c r="V751" s="1">
        <v>0</v>
      </c>
      <c r="W751" s="1">
        <v>0</v>
      </c>
      <c r="X751" s="1">
        <v>0</v>
      </c>
      <c r="Y751" s="1">
        <v>0</v>
      </c>
      <c r="Z751" s="1">
        <v>0</v>
      </c>
      <c r="AA751" s="1">
        <v>0</v>
      </c>
      <c r="AB751" s="1">
        <v>0</v>
      </c>
      <c r="AC751" s="1">
        <v>0</v>
      </c>
      <c r="AD751" s="24">
        <f t="shared" si="34"/>
        <v>1766</v>
      </c>
      <c r="AE751" s="23">
        <v>22</v>
      </c>
      <c r="AF751" s="1">
        <v>21</v>
      </c>
      <c r="AG751" s="1">
        <v>28</v>
      </c>
      <c r="AH751" s="1">
        <v>0</v>
      </c>
      <c r="AI751" s="1">
        <v>0</v>
      </c>
      <c r="AJ751" s="1">
        <v>0</v>
      </c>
      <c r="AK751" s="1">
        <v>0</v>
      </c>
      <c r="AL751" s="1">
        <v>0</v>
      </c>
      <c r="AM751" s="1">
        <v>0</v>
      </c>
      <c r="AN751" s="1">
        <v>0</v>
      </c>
      <c r="AO751" s="1">
        <v>0</v>
      </c>
      <c r="AP751" s="1">
        <v>0</v>
      </c>
      <c r="AQ751" s="24">
        <f t="shared" si="35"/>
        <v>71</v>
      </c>
    </row>
    <row r="752" spans="1:43" ht="17.25" customHeight="1" x14ac:dyDescent="0.45">
      <c r="A752" s="12" t="s">
        <v>151</v>
      </c>
      <c r="B752" s="12" t="s">
        <v>68</v>
      </c>
      <c r="C752" s="12" t="s">
        <v>40</v>
      </c>
      <c r="D752" s="12" t="s">
        <v>66</v>
      </c>
      <c r="E752" s="25">
        <v>3</v>
      </c>
      <c r="F752" s="10">
        <v>4</v>
      </c>
      <c r="G752" s="10">
        <v>5</v>
      </c>
      <c r="H752" s="10">
        <v>2</v>
      </c>
      <c r="I752" s="10">
        <v>0</v>
      </c>
      <c r="J752" s="10">
        <v>0</v>
      </c>
      <c r="K752" s="10">
        <v>0</v>
      </c>
      <c r="L752" s="10">
        <v>0</v>
      </c>
      <c r="M752" s="10">
        <v>0</v>
      </c>
      <c r="N752" s="10">
        <v>0</v>
      </c>
      <c r="O752" s="10">
        <v>5</v>
      </c>
      <c r="P752" s="10">
        <v>4</v>
      </c>
      <c r="Q752" s="26">
        <f t="shared" si="33"/>
        <v>23</v>
      </c>
      <c r="R752" s="25">
        <v>365</v>
      </c>
      <c r="S752" s="10">
        <v>605</v>
      </c>
      <c r="T752" s="10">
        <v>830</v>
      </c>
      <c r="U752" s="10">
        <v>255</v>
      </c>
      <c r="V752" s="10">
        <v>0</v>
      </c>
      <c r="W752" s="10">
        <v>0</v>
      </c>
      <c r="X752" s="10">
        <v>0</v>
      </c>
      <c r="Y752" s="10">
        <v>0</v>
      </c>
      <c r="Z752" s="10">
        <v>0</v>
      </c>
      <c r="AA752" s="10">
        <v>0</v>
      </c>
      <c r="AB752" s="10">
        <v>580</v>
      </c>
      <c r="AC752" s="10">
        <v>655</v>
      </c>
      <c r="AD752" s="26">
        <f t="shared" si="34"/>
        <v>3290</v>
      </c>
      <c r="AE752" s="25">
        <v>51</v>
      </c>
      <c r="AF752" s="10">
        <v>20</v>
      </c>
      <c r="AG752" s="10">
        <v>13</v>
      </c>
      <c r="AH752" s="10">
        <v>18</v>
      </c>
      <c r="AI752" s="10">
        <v>0</v>
      </c>
      <c r="AJ752" s="10">
        <v>0</v>
      </c>
      <c r="AK752" s="10">
        <v>0</v>
      </c>
      <c r="AL752" s="10">
        <v>0</v>
      </c>
      <c r="AM752" s="10">
        <v>0</v>
      </c>
      <c r="AN752" s="10">
        <v>0</v>
      </c>
      <c r="AO752" s="10">
        <v>63</v>
      </c>
      <c r="AP752" s="10">
        <v>14</v>
      </c>
      <c r="AQ752" s="26">
        <f t="shared" si="35"/>
        <v>179</v>
      </c>
    </row>
    <row r="753" spans="1:43" ht="17.25" customHeight="1" x14ac:dyDescent="0.45">
      <c r="A753" s="2" t="s">
        <v>151</v>
      </c>
      <c r="B753" s="2" t="s">
        <v>68</v>
      </c>
      <c r="C753" s="2" t="s">
        <v>12</v>
      </c>
      <c r="D753" s="2" t="s">
        <v>66</v>
      </c>
      <c r="E753" s="23">
        <v>169</v>
      </c>
      <c r="F753" s="1">
        <v>144</v>
      </c>
      <c r="G753" s="1">
        <v>165</v>
      </c>
      <c r="H753" s="1">
        <v>152</v>
      </c>
      <c r="I753" s="1">
        <v>154</v>
      </c>
      <c r="J753" s="1">
        <v>169</v>
      </c>
      <c r="K753" s="1">
        <v>213</v>
      </c>
      <c r="L753" s="1">
        <v>192</v>
      </c>
      <c r="M753" s="1">
        <v>149</v>
      </c>
      <c r="N753" s="1">
        <v>155</v>
      </c>
      <c r="O753" s="1">
        <v>149</v>
      </c>
      <c r="P753" s="1">
        <v>167</v>
      </c>
      <c r="Q753" s="24">
        <f t="shared" si="33"/>
        <v>1978</v>
      </c>
      <c r="R753" s="23">
        <v>20277</v>
      </c>
      <c r="S753" s="1">
        <v>18181</v>
      </c>
      <c r="T753" s="1">
        <v>20930</v>
      </c>
      <c r="U753" s="1">
        <v>18461</v>
      </c>
      <c r="V753" s="1">
        <v>18951</v>
      </c>
      <c r="W753" s="1">
        <v>22498</v>
      </c>
      <c r="X753" s="1">
        <v>27564</v>
      </c>
      <c r="Y753" s="1">
        <v>21617</v>
      </c>
      <c r="Z753" s="1">
        <v>17238</v>
      </c>
      <c r="AA753" s="1">
        <v>20746</v>
      </c>
      <c r="AB753" s="1">
        <v>19567</v>
      </c>
      <c r="AC753" s="1">
        <v>23690</v>
      </c>
      <c r="AD753" s="24">
        <f t="shared" si="34"/>
        <v>249720</v>
      </c>
      <c r="AE753" s="23">
        <v>11199</v>
      </c>
      <c r="AF753" s="1">
        <v>8017</v>
      </c>
      <c r="AG753" s="1">
        <v>5797</v>
      </c>
      <c r="AH753" s="1">
        <v>23234</v>
      </c>
      <c r="AI753" s="1">
        <v>27436</v>
      </c>
      <c r="AJ753" s="1">
        <v>25866</v>
      </c>
      <c r="AK753" s="1">
        <v>23279</v>
      </c>
      <c r="AL753" s="1">
        <v>22250</v>
      </c>
      <c r="AM753" s="1">
        <v>24703</v>
      </c>
      <c r="AN753" s="1">
        <v>21607</v>
      </c>
      <c r="AO753" s="1">
        <v>12893</v>
      </c>
      <c r="AP753" s="1">
        <v>17602</v>
      </c>
      <c r="AQ753" s="24">
        <f t="shared" si="35"/>
        <v>223883</v>
      </c>
    </row>
    <row r="754" spans="1:43" ht="17.25" customHeight="1" x14ac:dyDescent="0.45">
      <c r="A754" s="12" t="s">
        <v>151</v>
      </c>
      <c r="B754" s="12" t="s">
        <v>68</v>
      </c>
      <c r="C754" s="12" t="s">
        <v>13</v>
      </c>
      <c r="D754" s="12" t="s">
        <v>66</v>
      </c>
      <c r="E754" s="25">
        <v>0</v>
      </c>
      <c r="F754" s="10">
        <v>0</v>
      </c>
      <c r="G754" s="10">
        <v>0</v>
      </c>
      <c r="H754" s="10">
        <v>0</v>
      </c>
      <c r="I754" s="10">
        <v>0</v>
      </c>
      <c r="J754" s="10">
        <v>0</v>
      </c>
      <c r="K754" s="10">
        <v>0</v>
      </c>
      <c r="L754" s="10">
        <v>0</v>
      </c>
      <c r="M754" s="10">
        <v>0</v>
      </c>
      <c r="N754" s="10">
        <v>8</v>
      </c>
      <c r="O754" s="10">
        <v>52</v>
      </c>
      <c r="P754" s="10">
        <v>62</v>
      </c>
      <c r="Q754" s="26">
        <f t="shared" si="33"/>
        <v>122</v>
      </c>
      <c r="R754" s="25">
        <v>0</v>
      </c>
      <c r="S754" s="10">
        <v>0</v>
      </c>
      <c r="T754" s="10">
        <v>0</v>
      </c>
      <c r="U754" s="10">
        <v>0</v>
      </c>
      <c r="V754" s="10">
        <v>0</v>
      </c>
      <c r="W754" s="10">
        <v>0</v>
      </c>
      <c r="X754" s="10">
        <v>0</v>
      </c>
      <c r="Y754" s="10">
        <v>0</v>
      </c>
      <c r="Z754" s="10">
        <v>0</v>
      </c>
      <c r="AA754" s="10">
        <v>465</v>
      </c>
      <c r="AB754" s="10">
        <v>2462</v>
      </c>
      <c r="AC754" s="10">
        <v>3236</v>
      </c>
      <c r="AD754" s="26">
        <f t="shared" si="34"/>
        <v>6163</v>
      </c>
      <c r="AE754" s="25">
        <v>0</v>
      </c>
      <c r="AF754" s="10">
        <v>0</v>
      </c>
      <c r="AG754" s="10">
        <v>0</v>
      </c>
      <c r="AH754" s="10">
        <v>0</v>
      </c>
      <c r="AI754" s="10">
        <v>0</v>
      </c>
      <c r="AJ754" s="10">
        <v>0</v>
      </c>
      <c r="AK754" s="10">
        <v>0</v>
      </c>
      <c r="AL754" s="10">
        <v>0</v>
      </c>
      <c r="AM754" s="10">
        <v>0</v>
      </c>
      <c r="AN754" s="10">
        <v>0</v>
      </c>
      <c r="AO754" s="10">
        <v>0</v>
      </c>
      <c r="AP754" s="10">
        <v>0</v>
      </c>
      <c r="AQ754" s="26">
        <f t="shared" si="35"/>
        <v>0</v>
      </c>
    </row>
    <row r="755" spans="1:43" ht="17.25" customHeight="1" x14ac:dyDescent="0.45">
      <c r="A755" s="2" t="s">
        <v>151</v>
      </c>
      <c r="B755" s="2" t="s">
        <v>68</v>
      </c>
      <c r="C755" s="2" t="s">
        <v>17</v>
      </c>
      <c r="D755" s="2" t="s">
        <v>66</v>
      </c>
      <c r="E755" s="23">
        <v>124</v>
      </c>
      <c r="F755" s="1">
        <v>119</v>
      </c>
      <c r="G755" s="1">
        <v>125</v>
      </c>
      <c r="H755" s="1">
        <v>83</v>
      </c>
      <c r="I755" s="1">
        <v>70</v>
      </c>
      <c r="J755" s="1">
        <v>76</v>
      </c>
      <c r="K755" s="1">
        <v>73</v>
      </c>
      <c r="L755" s="1">
        <v>51</v>
      </c>
      <c r="M755" s="1">
        <v>17</v>
      </c>
      <c r="N755" s="1">
        <v>65</v>
      </c>
      <c r="O755" s="1">
        <v>95</v>
      </c>
      <c r="P755" s="1">
        <v>106</v>
      </c>
      <c r="Q755" s="24">
        <f t="shared" si="33"/>
        <v>1004</v>
      </c>
      <c r="R755" s="23">
        <v>13735</v>
      </c>
      <c r="S755" s="1">
        <v>13893</v>
      </c>
      <c r="T755" s="1">
        <v>15538</v>
      </c>
      <c r="U755" s="1">
        <v>11292</v>
      </c>
      <c r="V755" s="1">
        <v>10437</v>
      </c>
      <c r="W755" s="1">
        <v>11793</v>
      </c>
      <c r="X755" s="1">
        <v>10848</v>
      </c>
      <c r="Y755" s="1">
        <v>6292</v>
      </c>
      <c r="Z755" s="1">
        <v>2502</v>
      </c>
      <c r="AA755" s="1">
        <v>10051</v>
      </c>
      <c r="AB755" s="1">
        <v>13542</v>
      </c>
      <c r="AC755" s="1">
        <v>16444</v>
      </c>
      <c r="AD755" s="24">
        <f t="shared" si="34"/>
        <v>136367</v>
      </c>
      <c r="AE755" s="23">
        <v>225</v>
      </c>
      <c r="AF755" s="1">
        <v>167</v>
      </c>
      <c r="AG755" s="1">
        <v>155</v>
      </c>
      <c r="AH755" s="1">
        <v>41</v>
      </c>
      <c r="AI755" s="1">
        <v>123</v>
      </c>
      <c r="AJ755" s="1">
        <v>44</v>
      </c>
      <c r="AK755" s="1">
        <v>33</v>
      </c>
      <c r="AL755" s="1">
        <v>55</v>
      </c>
      <c r="AM755" s="1">
        <v>95</v>
      </c>
      <c r="AN755" s="1">
        <v>148</v>
      </c>
      <c r="AO755" s="1">
        <v>130</v>
      </c>
      <c r="AP755" s="1">
        <v>301</v>
      </c>
      <c r="AQ755" s="24">
        <f t="shared" si="35"/>
        <v>1517</v>
      </c>
    </row>
    <row r="756" spans="1:43" ht="17.25" customHeight="1" x14ac:dyDescent="0.45">
      <c r="A756" s="12" t="s">
        <v>151</v>
      </c>
      <c r="B756" s="12" t="s">
        <v>68</v>
      </c>
      <c r="C756" s="12" t="s">
        <v>48</v>
      </c>
      <c r="D756" s="12" t="s">
        <v>66</v>
      </c>
      <c r="E756" s="25">
        <v>115</v>
      </c>
      <c r="F756" s="10">
        <v>115</v>
      </c>
      <c r="G756" s="10">
        <v>108</v>
      </c>
      <c r="H756" s="10">
        <v>96</v>
      </c>
      <c r="I756" s="10">
        <v>101</v>
      </c>
      <c r="J756" s="10">
        <v>100</v>
      </c>
      <c r="K756" s="10">
        <v>101</v>
      </c>
      <c r="L756" s="10">
        <v>82</v>
      </c>
      <c r="M756" s="10">
        <v>52</v>
      </c>
      <c r="N756" s="10">
        <v>79</v>
      </c>
      <c r="O756" s="10">
        <v>106</v>
      </c>
      <c r="P756" s="10">
        <v>112</v>
      </c>
      <c r="Q756" s="26">
        <f t="shared" si="33"/>
        <v>1167</v>
      </c>
      <c r="R756" s="25">
        <v>11990</v>
      </c>
      <c r="S756" s="10">
        <v>13883</v>
      </c>
      <c r="T756" s="10">
        <v>14215</v>
      </c>
      <c r="U756" s="10">
        <v>12570</v>
      </c>
      <c r="V756" s="10">
        <v>13832</v>
      </c>
      <c r="W756" s="10">
        <v>15936</v>
      </c>
      <c r="X756" s="10">
        <v>15608</v>
      </c>
      <c r="Y756" s="10">
        <v>10785</v>
      </c>
      <c r="Z756" s="10">
        <v>7638</v>
      </c>
      <c r="AA756" s="10">
        <v>11706</v>
      </c>
      <c r="AB756" s="10">
        <v>14408</v>
      </c>
      <c r="AC756" s="10">
        <v>16581</v>
      </c>
      <c r="AD756" s="26">
        <f t="shared" si="34"/>
        <v>159152</v>
      </c>
      <c r="AE756" s="25">
        <v>74</v>
      </c>
      <c r="AF756" s="10">
        <v>213</v>
      </c>
      <c r="AG756" s="10">
        <v>141</v>
      </c>
      <c r="AH756" s="10">
        <v>113</v>
      </c>
      <c r="AI756" s="10">
        <v>23</v>
      </c>
      <c r="AJ756" s="10">
        <v>66</v>
      </c>
      <c r="AK756" s="10">
        <v>159</v>
      </c>
      <c r="AL756" s="10">
        <v>49</v>
      </c>
      <c r="AM756" s="10">
        <v>0</v>
      </c>
      <c r="AN756" s="10">
        <v>115</v>
      </c>
      <c r="AO756" s="10">
        <v>124</v>
      </c>
      <c r="AP756" s="10">
        <v>505</v>
      </c>
      <c r="AQ756" s="26">
        <f t="shared" si="35"/>
        <v>1582</v>
      </c>
    </row>
    <row r="757" spans="1:43" ht="17.25" customHeight="1" x14ac:dyDescent="0.45">
      <c r="A757" s="2" t="s">
        <v>48</v>
      </c>
      <c r="B757" s="2" t="s">
        <v>66</v>
      </c>
      <c r="C757" s="2" t="s">
        <v>64</v>
      </c>
      <c r="D757" s="2" t="s">
        <v>65</v>
      </c>
      <c r="E757" s="23">
        <v>5</v>
      </c>
      <c r="F757" s="1">
        <v>4</v>
      </c>
      <c r="G757" s="1">
        <v>4</v>
      </c>
      <c r="H757" s="1">
        <v>1</v>
      </c>
      <c r="I757" s="1">
        <v>0</v>
      </c>
      <c r="J757" s="1">
        <v>0</v>
      </c>
      <c r="K757" s="1">
        <v>0</v>
      </c>
      <c r="L757" s="1">
        <v>0</v>
      </c>
      <c r="M757" s="1">
        <v>0</v>
      </c>
      <c r="N757" s="1">
        <v>0</v>
      </c>
      <c r="O757" s="1">
        <v>0</v>
      </c>
      <c r="P757" s="1">
        <v>0</v>
      </c>
      <c r="Q757" s="24">
        <f t="shared" si="33"/>
        <v>14</v>
      </c>
      <c r="R757" s="23">
        <v>595</v>
      </c>
      <c r="S757" s="1">
        <v>440</v>
      </c>
      <c r="T757" s="1">
        <v>449</v>
      </c>
      <c r="U757" s="1">
        <v>125</v>
      </c>
      <c r="V757" s="1">
        <v>0</v>
      </c>
      <c r="W757" s="1">
        <v>0</v>
      </c>
      <c r="X757" s="1">
        <v>0</v>
      </c>
      <c r="Y757" s="1">
        <v>0</v>
      </c>
      <c r="Z757" s="1">
        <v>0</v>
      </c>
      <c r="AA757" s="1">
        <v>0</v>
      </c>
      <c r="AB757" s="1">
        <v>0</v>
      </c>
      <c r="AC757" s="1">
        <v>0</v>
      </c>
      <c r="AD757" s="24">
        <f t="shared" si="34"/>
        <v>1609</v>
      </c>
      <c r="AE757" s="23">
        <v>0</v>
      </c>
      <c r="AF757" s="1">
        <v>0</v>
      </c>
      <c r="AG757" s="1">
        <v>0</v>
      </c>
      <c r="AH757" s="1">
        <v>0</v>
      </c>
      <c r="AI757" s="1">
        <v>0</v>
      </c>
      <c r="AJ757" s="1">
        <v>0</v>
      </c>
      <c r="AK757" s="1">
        <v>0</v>
      </c>
      <c r="AL757" s="1">
        <v>0</v>
      </c>
      <c r="AM757" s="1">
        <v>0</v>
      </c>
      <c r="AN757" s="1">
        <v>0</v>
      </c>
      <c r="AO757" s="1">
        <v>0</v>
      </c>
      <c r="AP757" s="1">
        <v>0</v>
      </c>
      <c r="AQ757" s="24">
        <f t="shared" si="35"/>
        <v>0</v>
      </c>
    </row>
    <row r="758" spans="1:43" ht="17.25" customHeight="1" x14ac:dyDescent="0.45">
      <c r="A758" s="12" t="s">
        <v>48</v>
      </c>
      <c r="B758" s="12" t="s">
        <v>66</v>
      </c>
      <c r="C758" s="12" t="s">
        <v>77</v>
      </c>
      <c r="D758" s="12" t="s">
        <v>68</v>
      </c>
      <c r="E758" s="25">
        <v>52</v>
      </c>
      <c r="F758" s="10">
        <v>48</v>
      </c>
      <c r="G758" s="10">
        <v>54</v>
      </c>
      <c r="H758" s="10">
        <v>52</v>
      </c>
      <c r="I758" s="10">
        <v>36</v>
      </c>
      <c r="J758" s="10">
        <v>35</v>
      </c>
      <c r="K758" s="10">
        <v>34</v>
      </c>
      <c r="L758" s="10">
        <v>32</v>
      </c>
      <c r="M758" s="10">
        <v>30</v>
      </c>
      <c r="N758" s="10">
        <v>34</v>
      </c>
      <c r="O758" s="10">
        <v>35</v>
      </c>
      <c r="P758" s="10">
        <v>46</v>
      </c>
      <c r="Q758" s="26">
        <f t="shared" si="33"/>
        <v>488</v>
      </c>
      <c r="R758" s="25">
        <v>7515</v>
      </c>
      <c r="S758" s="10">
        <v>7231</v>
      </c>
      <c r="T758" s="10">
        <v>8971</v>
      </c>
      <c r="U758" s="10">
        <v>8514</v>
      </c>
      <c r="V758" s="10">
        <v>6167</v>
      </c>
      <c r="W758" s="10">
        <v>6004</v>
      </c>
      <c r="X758" s="10">
        <v>5729</v>
      </c>
      <c r="Y758" s="10">
        <v>5405</v>
      </c>
      <c r="Z758" s="10">
        <v>5066</v>
      </c>
      <c r="AA758" s="10">
        <v>5766</v>
      </c>
      <c r="AB758" s="10">
        <v>5798</v>
      </c>
      <c r="AC758" s="10">
        <v>6505</v>
      </c>
      <c r="AD758" s="26">
        <f t="shared" si="34"/>
        <v>78671</v>
      </c>
      <c r="AE758" s="25">
        <v>0</v>
      </c>
      <c r="AF758" s="10">
        <v>0</v>
      </c>
      <c r="AG758" s="10">
        <v>0</v>
      </c>
      <c r="AH758" s="10">
        <v>0</v>
      </c>
      <c r="AI758" s="10">
        <v>0</v>
      </c>
      <c r="AJ758" s="10">
        <v>0</v>
      </c>
      <c r="AK758" s="10">
        <v>0</v>
      </c>
      <c r="AL758" s="10">
        <v>0</v>
      </c>
      <c r="AM758" s="10">
        <v>0</v>
      </c>
      <c r="AN758" s="10">
        <v>0</v>
      </c>
      <c r="AO758" s="10">
        <v>0</v>
      </c>
      <c r="AP758" s="10">
        <v>0</v>
      </c>
      <c r="AQ758" s="26">
        <f t="shared" si="35"/>
        <v>0</v>
      </c>
    </row>
    <row r="759" spans="1:43" ht="17.25" customHeight="1" x14ac:dyDescent="0.45">
      <c r="A759" s="2" t="s">
        <v>48</v>
      </c>
      <c r="B759" s="2" t="s">
        <v>66</v>
      </c>
      <c r="C759" s="2" t="s">
        <v>78</v>
      </c>
      <c r="D759" s="2" t="s">
        <v>68</v>
      </c>
      <c r="E759" s="23">
        <v>5</v>
      </c>
      <c r="F759" s="1">
        <v>4</v>
      </c>
      <c r="G759" s="1">
        <v>26</v>
      </c>
      <c r="H759" s="1">
        <v>11</v>
      </c>
      <c r="I759" s="1">
        <v>4</v>
      </c>
      <c r="J759" s="1">
        <v>28</v>
      </c>
      <c r="K759" s="1">
        <v>31</v>
      </c>
      <c r="L759" s="1">
        <v>4</v>
      </c>
      <c r="M759" s="1">
        <v>0</v>
      </c>
      <c r="N759" s="1">
        <v>8</v>
      </c>
      <c r="O759" s="1">
        <v>7</v>
      </c>
      <c r="P759" s="1">
        <v>13</v>
      </c>
      <c r="Q759" s="24">
        <f t="shared" si="33"/>
        <v>141</v>
      </c>
      <c r="R759" s="23">
        <v>524</v>
      </c>
      <c r="S759" s="1">
        <v>289</v>
      </c>
      <c r="T759" s="1">
        <v>3430</v>
      </c>
      <c r="U759" s="1">
        <v>1372</v>
      </c>
      <c r="V759" s="1">
        <v>432</v>
      </c>
      <c r="W759" s="1">
        <v>4142</v>
      </c>
      <c r="X759" s="1">
        <v>4699</v>
      </c>
      <c r="Y759" s="1">
        <v>577</v>
      </c>
      <c r="Z759" s="1">
        <v>0</v>
      </c>
      <c r="AA759" s="1">
        <v>876</v>
      </c>
      <c r="AB759" s="1">
        <v>587</v>
      </c>
      <c r="AC759" s="1">
        <v>1251</v>
      </c>
      <c r="AD759" s="24">
        <f t="shared" si="34"/>
        <v>18179</v>
      </c>
      <c r="AE759" s="23">
        <v>0</v>
      </c>
      <c r="AF759" s="1">
        <v>0</v>
      </c>
      <c r="AG759" s="1">
        <v>0</v>
      </c>
      <c r="AH759" s="1">
        <v>0</v>
      </c>
      <c r="AI759" s="1">
        <v>0</v>
      </c>
      <c r="AJ759" s="1">
        <v>0</v>
      </c>
      <c r="AK759" s="1">
        <v>0</v>
      </c>
      <c r="AL759" s="1">
        <v>0</v>
      </c>
      <c r="AM759" s="1">
        <v>0</v>
      </c>
      <c r="AN759" s="1">
        <v>0</v>
      </c>
      <c r="AO759" s="1">
        <v>0</v>
      </c>
      <c r="AP759" s="1">
        <v>0</v>
      </c>
      <c r="AQ759" s="24">
        <f t="shared" si="35"/>
        <v>0</v>
      </c>
    </row>
    <row r="760" spans="1:43" ht="17.25" customHeight="1" x14ac:dyDescent="0.45">
      <c r="A760" s="12" t="s">
        <v>48</v>
      </c>
      <c r="B760" s="12" t="s">
        <v>66</v>
      </c>
      <c r="C760" s="12" t="s">
        <v>79</v>
      </c>
      <c r="D760" s="12" t="s">
        <v>68</v>
      </c>
      <c r="E760" s="25">
        <v>0</v>
      </c>
      <c r="F760" s="10">
        <v>0</v>
      </c>
      <c r="G760" s="10">
        <v>4</v>
      </c>
      <c r="H760" s="10">
        <v>1</v>
      </c>
      <c r="I760" s="10">
        <v>0</v>
      </c>
      <c r="J760" s="10">
        <v>0</v>
      </c>
      <c r="K760" s="10">
        <v>0</v>
      </c>
      <c r="L760" s="10">
        <v>0</v>
      </c>
      <c r="M760" s="10">
        <v>0</v>
      </c>
      <c r="N760" s="10">
        <v>0</v>
      </c>
      <c r="O760" s="10">
        <v>2</v>
      </c>
      <c r="P760" s="10">
        <v>2</v>
      </c>
      <c r="Q760" s="26">
        <f t="shared" si="33"/>
        <v>9</v>
      </c>
      <c r="R760" s="25">
        <v>0</v>
      </c>
      <c r="S760" s="10">
        <v>0</v>
      </c>
      <c r="T760" s="10">
        <v>563</v>
      </c>
      <c r="U760" s="10">
        <v>143</v>
      </c>
      <c r="V760" s="10">
        <v>0</v>
      </c>
      <c r="W760" s="10">
        <v>0</v>
      </c>
      <c r="X760" s="10">
        <v>0</v>
      </c>
      <c r="Y760" s="10">
        <v>0</v>
      </c>
      <c r="Z760" s="10">
        <v>0</v>
      </c>
      <c r="AA760" s="10">
        <v>0</v>
      </c>
      <c r="AB760" s="10">
        <v>220</v>
      </c>
      <c r="AC760" s="10">
        <v>225</v>
      </c>
      <c r="AD760" s="26">
        <f t="shared" si="34"/>
        <v>1151</v>
      </c>
      <c r="AE760" s="25">
        <v>0</v>
      </c>
      <c r="AF760" s="10">
        <v>0</v>
      </c>
      <c r="AG760" s="10">
        <v>0</v>
      </c>
      <c r="AH760" s="10">
        <v>0</v>
      </c>
      <c r="AI760" s="10">
        <v>0</v>
      </c>
      <c r="AJ760" s="10">
        <v>0</v>
      </c>
      <c r="AK760" s="10">
        <v>0</v>
      </c>
      <c r="AL760" s="10">
        <v>0</v>
      </c>
      <c r="AM760" s="10">
        <v>0</v>
      </c>
      <c r="AN760" s="10">
        <v>0</v>
      </c>
      <c r="AO760" s="10">
        <v>0</v>
      </c>
      <c r="AP760" s="10">
        <v>0</v>
      </c>
      <c r="AQ760" s="26">
        <f t="shared" si="35"/>
        <v>0</v>
      </c>
    </row>
    <row r="761" spans="1:43" ht="17.25" customHeight="1" x14ac:dyDescent="0.45">
      <c r="A761" s="2" t="s">
        <v>48</v>
      </c>
      <c r="B761" s="2" t="s">
        <v>66</v>
      </c>
      <c r="C761" s="2" t="s">
        <v>94</v>
      </c>
      <c r="D761" s="2" t="s">
        <v>65</v>
      </c>
      <c r="E761" s="23">
        <v>42</v>
      </c>
      <c r="F761" s="1">
        <v>41</v>
      </c>
      <c r="G761" s="1">
        <v>45</v>
      </c>
      <c r="H761" s="1">
        <v>40</v>
      </c>
      <c r="I761" s="1">
        <v>17</v>
      </c>
      <c r="J761" s="1">
        <v>6</v>
      </c>
      <c r="K761" s="1">
        <v>8</v>
      </c>
      <c r="L761" s="1">
        <v>9</v>
      </c>
      <c r="M761" s="1">
        <v>9</v>
      </c>
      <c r="N761" s="1">
        <v>21</v>
      </c>
      <c r="O761" s="1">
        <v>42</v>
      </c>
      <c r="P761" s="1">
        <v>46</v>
      </c>
      <c r="Q761" s="24">
        <f t="shared" si="33"/>
        <v>326</v>
      </c>
      <c r="R761" s="23">
        <v>5944</v>
      </c>
      <c r="S761" s="1">
        <v>6130</v>
      </c>
      <c r="T761" s="1">
        <v>6260</v>
      </c>
      <c r="U761" s="1">
        <v>5930</v>
      </c>
      <c r="V761" s="1">
        <v>2606</v>
      </c>
      <c r="W761" s="1">
        <v>797</v>
      </c>
      <c r="X761" s="1">
        <v>931</v>
      </c>
      <c r="Y761" s="1">
        <v>1166</v>
      </c>
      <c r="Z761" s="1">
        <v>1145</v>
      </c>
      <c r="AA761" s="1">
        <v>2173</v>
      </c>
      <c r="AB761" s="1">
        <v>5726</v>
      </c>
      <c r="AC761" s="1">
        <v>6202</v>
      </c>
      <c r="AD761" s="24">
        <f t="shared" si="34"/>
        <v>45010</v>
      </c>
      <c r="AE761" s="23">
        <v>0</v>
      </c>
      <c r="AF761" s="1">
        <v>0</v>
      </c>
      <c r="AG761" s="1">
        <v>0</v>
      </c>
      <c r="AH761" s="1">
        <v>0</v>
      </c>
      <c r="AI761" s="1">
        <v>0</v>
      </c>
      <c r="AJ761" s="1">
        <v>0</v>
      </c>
      <c r="AK761" s="1">
        <v>0</v>
      </c>
      <c r="AL761" s="1">
        <v>0</v>
      </c>
      <c r="AM761" s="1">
        <v>0</v>
      </c>
      <c r="AN761" s="1">
        <v>0</v>
      </c>
      <c r="AO761" s="1">
        <v>0</v>
      </c>
      <c r="AP761" s="1">
        <v>0</v>
      </c>
      <c r="AQ761" s="24">
        <f t="shared" si="35"/>
        <v>0</v>
      </c>
    </row>
    <row r="762" spans="1:43" ht="17.25" customHeight="1" x14ac:dyDescent="0.45">
      <c r="A762" s="12" t="s">
        <v>48</v>
      </c>
      <c r="B762" s="12" t="s">
        <v>66</v>
      </c>
      <c r="C762" s="12" t="s">
        <v>97</v>
      </c>
      <c r="D762" s="12" t="s">
        <v>68</v>
      </c>
      <c r="E762" s="25">
        <v>30</v>
      </c>
      <c r="F762" s="10">
        <v>24</v>
      </c>
      <c r="G762" s="10">
        <v>21</v>
      </c>
      <c r="H762" s="10">
        <v>5</v>
      </c>
      <c r="I762" s="10">
        <v>4</v>
      </c>
      <c r="J762" s="10">
        <v>20</v>
      </c>
      <c r="K762" s="10">
        <v>18</v>
      </c>
      <c r="L762" s="10">
        <v>4</v>
      </c>
      <c r="M762" s="10">
        <v>0</v>
      </c>
      <c r="N762" s="10">
        <v>0</v>
      </c>
      <c r="O762" s="10">
        <v>4</v>
      </c>
      <c r="P762" s="10">
        <v>12</v>
      </c>
      <c r="Q762" s="26">
        <f t="shared" si="33"/>
        <v>142</v>
      </c>
      <c r="R762" s="25">
        <v>4307</v>
      </c>
      <c r="S762" s="10">
        <v>3573</v>
      </c>
      <c r="T762" s="10">
        <v>3888</v>
      </c>
      <c r="U762" s="10">
        <v>861</v>
      </c>
      <c r="V762" s="10">
        <v>706</v>
      </c>
      <c r="W762" s="10">
        <v>3625</v>
      </c>
      <c r="X762" s="10">
        <v>3221</v>
      </c>
      <c r="Y762" s="10">
        <v>733</v>
      </c>
      <c r="Z762" s="10">
        <v>0</v>
      </c>
      <c r="AA762" s="10">
        <v>0</v>
      </c>
      <c r="AB762" s="10">
        <v>713</v>
      </c>
      <c r="AC762" s="10">
        <v>1805</v>
      </c>
      <c r="AD762" s="26">
        <f t="shared" si="34"/>
        <v>23432</v>
      </c>
      <c r="AE762" s="25">
        <v>0</v>
      </c>
      <c r="AF762" s="10">
        <v>0</v>
      </c>
      <c r="AG762" s="10">
        <v>0</v>
      </c>
      <c r="AH762" s="10">
        <v>0</v>
      </c>
      <c r="AI762" s="10">
        <v>0</v>
      </c>
      <c r="AJ762" s="10">
        <v>0</v>
      </c>
      <c r="AK762" s="10">
        <v>14.06136347</v>
      </c>
      <c r="AL762" s="10">
        <v>0</v>
      </c>
      <c r="AM762" s="10">
        <v>0</v>
      </c>
      <c r="AN762" s="10">
        <v>0</v>
      </c>
      <c r="AO762" s="10">
        <v>0</v>
      </c>
      <c r="AP762" s="10">
        <v>0</v>
      </c>
      <c r="AQ762" s="26">
        <f t="shared" si="35"/>
        <v>14.06136347</v>
      </c>
    </row>
    <row r="763" spans="1:43" ht="17.25" customHeight="1" x14ac:dyDescent="0.45">
      <c r="A763" s="2" t="s">
        <v>48</v>
      </c>
      <c r="B763" s="2" t="s">
        <v>66</v>
      </c>
      <c r="C763" s="2" t="s">
        <v>72</v>
      </c>
      <c r="D763" s="2" t="s">
        <v>68</v>
      </c>
      <c r="E763" s="23">
        <v>73</v>
      </c>
      <c r="F763" s="1">
        <v>68</v>
      </c>
      <c r="G763" s="1">
        <v>85</v>
      </c>
      <c r="H763" s="1">
        <v>70</v>
      </c>
      <c r="I763" s="1">
        <v>40</v>
      </c>
      <c r="J763" s="1">
        <v>40</v>
      </c>
      <c r="K763" s="1">
        <v>39</v>
      </c>
      <c r="L763" s="1">
        <v>16</v>
      </c>
      <c r="M763" s="1">
        <v>8</v>
      </c>
      <c r="N763" s="1">
        <v>47</v>
      </c>
      <c r="O763" s="1">
        <v>65</v>
      </c>
      <c r="P763" s="1">
        <v>72</v>
      </c>
      <c r="Q763" s="24">
        <f t="shared" si="33"/>
        <v>623</v>
      </c>
      <c r="R763" s="23">
        <v>10244</v>
      </c>
      <c r="S763" s="1">
        <v>9662</v>
      </c>
      <c r="T763" s="1">
        <v>12504</v>
      </c>
      <c r="U763" s="1">
        <v>9755</v>
      </c>
      <c r="V763" s="1">
        <v>6217</v>
      </c>
      <c r="W763" s="1">
        <v>6370</v>
      </c>
      <c r="X763" s="1">
        <v>6352</v>
      </c>
      <c r="Y763" s="1">
        <v>2497</v>
      </c>
      <c r="Z763" s="1">
        <v>1097</v>
      </c>
      <c r="AA763" s="1">
        <v>6732</v>
      </c>
      <c r="AB763" s="1">
        <v>9549</v>
      </c>
      <c r="AC763" s="1">
        <v>9047</v>
      </c>
      <c r="AD763" s="24">
        <f t="shared" si="34"/>
        <v>90026</v>
      </c>
      <c r="AE763" s="23">
        <v>0</v>
      </c>
      <c r="AF763" s="1">
        <v>0</v>
      </c>
      <c r="AG763" s="1">
        <v>0</v>
      </c>
      <c r="AH763" s="1">
        <v>0</v>
      </c>
      <c r="AI763" s="1">
        <v>0</v>
      </c>
      <c r="AJ763" s="1">
        <v>0</v>
      </c>
      <c r="AK763" s="1">
        <v>0</v>
      </c>
      <c r="AL763" s="1">
        <v>0</v>
      </c>
      <c r="AM763" s="1">
        <v>0</v>
      </c>
      <c r="AN763" s="1">
        <v>0</v>
      </c>
      <c r="AO763" s="1">
        <v>0</v>
      </c>
      <c r="AP763" s="1">
        <v>210</v>
      </c>
      <c r="AQ763" s="24">
        <f t="shared" si="35"/>
        <v>210</v>
      </c>
    </row>
    <row r="764" spans="1:43" ht="17.25" customHeight="1" x14ac:dyDescent="0.45">
      <c r="A764" s="12" t="s">
        <v>48</v>
      </c>
      <c r="B764" s="12" t="s">
        <v>66</v>
      </c>
      <c r="C764" s="12" t="s">
        <v>99</v>
      </c>
      <c r="D764" s="12" t="s">
        <v>68</v>
      </c>
      <c r="E764" s="25">
        <v>0</v>
      </c>
      <c r="F764" s="10">
        <v>0</v>
      </c>
      <c r="G764" s="10">
        <v>0</v>
      </c>
      <c r="H764" s="10">
        <v>0</v>
      </c>
      <c r="I764" s="10">
        <v>0</v>
      </c>
      <c r="J764" s="10">
        <v>5</v>
      </c>
      <c r="K764" s="10">
        <v>1</v>
      </c>
      <c r="L764" s="10">
        <v>0</v>
      </c>
      <c r="M764" s="10">
        <v>0</v>
      </c>
      <c r="N764" s="10">
        <v>0</v>
      </c>
      <c r="O764" s="10">
        <v>0</v>
      </c>
      <c r="P764" s="10">
        <v>0</v>
      </c>
      <c r="Q764" s="26">
        <f t="shared" si="33"/>
        <v>6</v>
      </c>
      <c r="R764" s="25">
        <v>0</v>
      </c>
      <c r="S764" s="10">
        <v>0</v>
      </c>
      <c r="T764" s="10">
        <v>0</v>
      </c>
      <c r="U764" s="10">
        <v>0</v>
      </c>
      <c r="V764" s="10">
        <v>0</v>
      </c>
      <c r="W764" s="10">
        <v>628</v>
      </c>
      <c r="X764" s="10">
        <v>74</v>
      </c>
      <c r="Y764" s="10">
        <v>0</v>
      </c>
      <c r="Z764" s="10">
        <v>0</v>
      </c>
      <c r="AA764" s="10">
        <v>0</v>
      </c>
      <c r="AB764" s="10">
        <v>0</v>
      </c>
      <c r="AC764" s="10">
        <v>0</v>
      </c>
      <c r="AD764" s="26">
        <f t="shared" si="34"/>
        <v>702</v>
      </c>
      <c r="AE764" s="25">
        <v>0</v>
      </c>
      <c r="AF764" s="10">
        <v>0</v>
      </c>
      <c r="AG764" s="10">
        <v>0</v>
      </c>
      <c r="AH764" s="10">
        <v>0</v>
      </c>
      <c r="AI764" s="10">
        <v>0</v>
      </c>
      <c r="AJ764" s="10">
        <v>0</v>
      </c>
      <c r="AK764" s="10">
        <v>0</v>
      </c>
      <c r="AL764" s="10">
        <v>0</v>
      </c>
      <c r="AM764" s="10">
        <v>0</v>
      </c>
      <c r="AN764" s="10">
        <v>0</v>
      </c>
      <c r="AO764" s="10">
        <v>0</v>
      </c>
      <c r="AP764" s="10">
        <v>0</v>
      </c>
      <c r="AQ764" s="26">
        <f t="shared" si="35"/>
        <v>0</v>
      </c>
    </row>
    <row r="765" spans="1:43" ht="17.25" customHeight="1" x14ac:dyDescent="0.45">
      <c r="A765" s="2" t="s">
        <v>48</v>
      </c>
      <c r="B765" s="2" t="s">
        <v>66</v>
      </c>
      <c r="C765" s="2" t="s">
        <v>67</v>
      </c>
      <c r="D765" s="2" t="s">
        <v>68</v>
      </c>
      <c r="E765" s="23">
        <v>137</v>
      </c>
      <c r="F765" s="1">
        <v>138</v>
      </c>
      <c r="G765" s="1">
        <v>156</v>
      </c>
      <c r="H765" s="1">
        <v>150</v>
      </c>
      <c r="I765" s="1">
        <v>152</v>
      </c>
      <c r="J765" s="1">
        <v>149</v>
      </c>
      <c r="K765" s="1">
        <v>151</v>
      </c>
      <c r="L765" s="1">
        <v>102</v>
      </c>
      <c r="M765" s="1">
        <v>74</v>
      </c>
      <c r="N765" s="1">
        <v>103</v>
      </c>
      <c r="O765" s="1">
        <v>127</v>
      </c>
      <c r="P765" s="1">
        <v>133</v>
      </c>
      <c r="Q765" s="24">
        <f t="shared" si="33"/>
        <v>1572</v>
      </c>
      <c r="R765" s="23">
        <v>20917</v>
      </c>
      <c r="S765" s="1">
        <v>20573</v>
      </c>
      <c r="T765" s="1">
        <v>25890</v>
      </c>
      <c r="U765" s="1">
        <v>23131</v>
      </c>
      <c r="V765" s="1">
        <v>23130</v>
      </c>
      <c r="W765" s="1">
        <v>26533</v>
      </c>
      <c r="X765" s="1">
        <v>27205</v>
      </c>
      <c r="Y765" s="1">
        <v>18180</v>
      </c>
      <c r="Z765" s="1">
        <v>13106</v>
      </c>
      <c r="AA765" s="1">
        <v>17492</v>
      </c>
      <c r="AB765" s="1">
        <v>18803</v>
      </c>
      <c r="AC765" s="1">
        <v>18520</v>
      </c>
      <c r="AD765" s="24">
        <f t="shared" si="34"/>
        <v>253480</v>
      </c>
      <c r="AE765" s="23">
        <v>524.35277972000006</v>
      </c>
      <c r="AF765" s="1">
        <v>8.1646626599999994</v>
      </c>
      <c r="AG765" s="1">
        <v>68.946040240000002</v>
      </c>
      <c r="AH765" s="1">
        <v>243.12551034999998</v>
      </c>
      <c r="AI765" s="1">
        <v>233.14647818000003</v>
      </c>
      <c r="AJ765" s="1">
        <v>14.061363470000002</v>
      </c>
      <c r="AK765" s="1">
        <v>310.25718107999995</v>
      </c>
      <c r="AL765" s="1">
        <v>223.16744604000002</v>
      </c>
      <c r="AM765" s="1">
        <v>34.926612490000004</v>
      </c>
      <c r="AN765" s="1">
        <v>64.863708910000014</v>
      </c>
      <c r="AO765" s="1">
        <v>11.793401620000001</v>
      </c>
      <c r="AP765" s="1">
        <v>150.13907447</v>
      </c>
      <c r="AQ765" s="24">
        <f t="shared" si="35"/>
        <v>1886.9442592300002</v>
      </c>
    </row>
    <row r="766" spans="1:43" ht="17.25" customHeight="1" x14ac:dyDescent="0.45">
      <c r="A766" s="12" t="s">
        <v>48</v>
      </c>
      <c r="B766" s="12" t="s">
        <v>66</v>
      </c>
      <c r="C766" s="12" t="s">
        <v>100</v>
      </c>
      <c r="D766" s="12" t="s">
        <v>68</v>
      </c>
      <c r="E766" s="25">
        <v>89</v>
      </c>
      <c r="F766" s="10">
        <v>82</v>
      </c>
      <c r="G766" s="10">
        <v>101</v>
      </c>
      <c r="H766" s="10">
        <v>98</v>
      </c>
      <c r="I766" s="10">
        <v>71</v>
      </c>
      <c r="J766" s="10">
        <v>69</v>
      </c>
      <c r="K766" s="10">
        <v>69</v>
      </c>
      <c r="L766" s="10">
        <v>41</v>
      </c>
      <c r="M766" s="10">
        <v>38</v>
      </c>
      <c r="N766" s="10">
        <v>70</v>
      </c>
      <c r="O766" s="10">
        <v>96</v>
      </c>
      <c r="P766" s="10">
        <v>100</v>
      </c>
      <c r="Q766" s="26">
        <f t="shared" si="33"/>
        <v>924</v>
      </c>
      <c r="R766" s="25">
        <v>11934</v>
      </c>
      <c r="S766" s="10">
        <v>10908</v>
      </c>
      <c r="T766" s="10">
        <v>14290</v>
      </c>
      <c r="U766" s="10">
        <v>13873</v>
      </c>
      <c r="V766" s="10">
        <v>10567</v>
      </c>
      <c r="W766" s="10">
        <v>10291</v>
      </c>
      <c r="X766" s="10">
        <v>9848</v>
      </c>
      <c r="Y766" s="10">
        <v>5770</v>
      </c>
      <c r="Z766" s="10">
        <v>5223</v>
      </c>
      <c r="AA766" s="10">
        <v>8978</v>
      </c>
      <c r="AB766" s="10">
        <v>11901</v>
      </c>
      <c r="AC766" s="10">
        <v>11810</v>
      </c>
      <c r="AD766" s="26">
        <f t="shared" si="34"/>
        <v>125393</v>
      </c>
      <c r="AE766" s="25">
        <v>0</v>
      </c>
      <c r="AF766" s="10">
        <v>0</v>
      </c>
      <c r="AG766" s="10">
        <v>0</v>
      </c>
      <c r="AH766" s="10">
        <v>0</v>
      </c>
      <c r="AI766" s="10">
        <v>0</v>
      </c>
      <c r="AJ766" s="10">
        <v>35</v>
      </c>
      <c r="AK766" s="10">
        <v>0</v>
      </c>
      <c r="AL766" s="10">
        <v>0</v>
      </c>
      <c r="AM766" s="10">
        <v>0</v>
      </c>
      <c r="AN766" s="10">
        <v>0</v>
      </c>
      <c r="AO766" s="10">
        <v>0</v>
      </c>
      <c r="AP766" s="10">
        <v>0</v>
      </c>
      <c r="AQ766" s="26">
        <f t="shared" si="35"/>
        <v>35</v>
      </c>
    </row>
    <row r="767" spans="1:43" ht="17.25" customHeight="1" x14ac:dyDescent="0.45">
      <c r="A767" s="2" t="s">
        <v>48</v>
      </c>
      <c r="B767" s="2" t="s">
        <v>66</v>
      </c>
      <c r="C767" s="2" t="s">
        <v>101</v>
      </c>
      <c r="D767" s="2" t="s">
        <v>68</v>
      </c>
      <c r="E767" s="23">
        <v>31</v>
      </c>
      <c r="F767" s="1">
        <v>29</v>
      </c>
      <c r="G767" s="1">
        <v>31</v>
      </c>
      <c r="H767" s="1">
        <v>8</v>
      </c>
      <c r="I767" s="1">
        <v>0</v>
      </c>
      <c r="J767" s="1">
        <v>0</v>
      </c>
      <c r="K767" s="1">
        <v>0</v>
      </c>
      <c r="L767" s="1">
        <v>0</v>
      </c>
      <c r="M767" s="1">
        <v>0</v>
      </c>
      <c r="N767" s="1">
        <v>0</v>
      </c>
      <c r="O767" s="1">
        <v>0</v>
      </c>
      <c r="P767" s="1">
        <v>15</v>
      </c>
      <c r="Q767" s="24">
        <f t="shared" si="33"/>
        <v>114</v>
      </c>
      <c r="R767" s="23">
        <v>4749</v>
      </c>
      <c r="S767" s="1">
        <v>4669</v>
      </c>
      <c r="T767" s="1">
        <v>5341</v>
      </c>
      <c r="U767" s="1">
        <v>1389</v>
      </c>
      <c r="V767" s="1">
        <v>0</v>
      </c>
      <c r="W767" s="1">
        <v>0</v>
      </c>
      <c r="X767" s="1">
        <v>0</v>
      </c>
      <c r="Y767" s="1">
        <v>0</v>
      </c>
      <c r="Z767" s="1">
        <v>0</v>
      </c>
      <c r="AA767" s="1">
        <v>0</v>
      </c>
      <c r="AB767" s="1">
        <v>0</v>
      </c>
      <c r="AC767" s="1">
        <v>1746</v>
      </c>
      <c r="AD767" s="24">
        <f t="shared" si="34"/>
        <v>17894</v>
      </c>
      <c r="AE767" s="23">
        <v>0</v>
      </c>
      <c r="AF767" s="1">
        <v>0</v>
      </c>
      <c r="AG767" s="1">
        <v>0</v>
      </c>
      <c r="AH767" s="1">
        <v>0</v>
      </c>
      <c r="AI767" s="1">
        <v>0</v>
      </c>
      <c r="AJ767" s="1">
        <v>0</v>
      </c>
      <c r="AK767" s="1">
        <v>0</v>
      </c>
      <c r="AL767" s="1">
        <v>0</v>
      </c>
      <c r="AM767" s="1">
        <v>0</v>
      </c>
      <c r="AN767" s="1">
        <v>0</v>
      </c>
      <c r="AO767" s="1">
        <v>0</v>
      </c>
      <c r="AP767" s="1">
        <v>0</v>
      </c>
      <c r="AQ767" s="24">
        <f t="shared" si="35"/>
        <v>0</v>
      </c>
    </row>
    <row r="768" spans="1:43" ht="17.25" customHeight="1" x14ac:dyDescent="0.45">
      <c r="A768" s="12" t="s">
        <v>48</v>
      </c>
      <c r="B768" s="12" t="s">
        <v>66</v>
      </c>
      <c r="C768" s="12" t="s">
        <v>102</v>
      </c>
      <c r="D768" s="12" t="s">
        <v>65</v>
      </c>
      <c r="E768" s="25">
        <v>17</v>
      </c>
      <c r="F768" s="10">
        <v>16</v>
      </c>
      <c r="G768" s="10">
        <v>19</v>
      </c>
      <c r="H768" s="10">
        <v>16</v>
      </c>
      <c r="I768" s="10">
        <v>2</v>
      </c>
      <c r="J768" s="10">
        <v>0</v>
      </c>
      <c r="K768" s="10">
        <v>0</v>
      </c>
      <c r="L768" s="10">
        <v>0</v>
      </c>
      <c r="M768" s="10">
        <v>0</v>
      </c>
      <c r="N768" s="10">
        <v>1</v>
      </c>
      <c r="O768" s="10">
        <v>13</v>
      </c>
      <c r="P768" s="10">
        <v>14</v>
      </c>
      <c r="Q768" s="26">
        <f t="shared" si="33"/>
        <v>98</v>
      </c>
      <c r="R768" s="25">
        <v>2386</v>
      </c>
      <c r="S768" s="10">
        <v>2428</v>
      </c>
      <c r="T768" s="10">
        <v>2502</v>
      </c>
      <c r="U768" s="10">
        <v>2262</v>
      </c>
      <c r="V768" s="10">
        <v>370</v>
      </c>
      <c r="W768" s="10">
        <v>0</v>
      </c>
      <c r="X768" s="10">
        <v>0</v>
      </c>
      <c r="Y768" s="10">
        <v>0</v>
      </c>
      <c r="Z768" s="10">
        <v>0</v>
      </c>
      <c r="AA768" s="10">
        <v>70</v>
      </c>
      <c r="AB768" s="10">
        <v>1637</v>
      </c>
      <c r="AC768" s="10">
        <v>1793</v>
      </c>
      <c r="AD768" s="26">
        <f t="shared" si="34"/>
        <v>13448</v>
      </c>
      <c r="AE768" s="25">
        <v>0</v>
      </c>
      <c r="AF768" s="10">
        <v>0</v>
      </c>
      <c r="AG768" s="10">
        <v>0</v>
      </c>
      <c r="AH768" s="10">
        <v>0</v>
      </c>
      <c r="AI768" s="10">
        <v>0</v>
      </c>
      <c r="AJ768" s="10">
        <v>0</v>
      </c>
      <c r="AK768" s="10">
        <v>0</v>
      </c>
      <c r="AL768" s="10">
        <v>0</v>
      </c>
      <c r="AM768" s="10">
        <v>0</v>
      </c>
      <c r="AN768" s="10">
        <v>0</v>
      </c>
      <c r="AO768" s="10">
        <v>0</v>
      </c>
      <c r="AP768" s="10">
        <v>0</v>
      </c>
      <c r="AQ768" s="26">
        <f t="shared" si="35"/>
        <v>0</v>
      </c>
    </row>
    <row r="769" spans="1:43" ht="17.25" customHeight="1" x14ac:dyDescent="0.45">
      <c r="A769" s="2" t="s">
        <v>48</v>
      </c>
      <c r="B769" s="2" t="s">
        <v>66</v>
      </c>
      <c r="C769" s="2" t="s">
        <v>106</v>
      </c>
      <c r="D769" s="2" t="s">
        <v>107</v>
      </c>
      <c r="E769" s="23">
        <v>0</v>
      </c>
      <c r="F769" s="1">
        <v>0</v>
      </c>
      <c r="G769" s="1">
        <v>0</v>
      </c>
      <c r="H769" s="1">
        <v>0</v>
      </c>
      <c r="I769" s="1">
        <v>0</v>
      </c>
      <c r="J769" s="1">
        <v>0</v>
      </c>
      <c r="K769" s="1">
        <v>0</v>
      </c>
      <c r="L769" s="1">
        <v>0</v>
      </c>
      <c r="M769" s="1">
        <v>0</v>
      </c>
      <c r="N769" s="1">
        <v>0</v>
      </c>
      <c r="O769" s="1">
        <v>7</v>
      </c>
      <c r="P769" s="1">
        <v>9</v>
      </c>
      <c r="Q769" s="24">
        <f t="shared" si="33"/>
        <v>16</v>
      </c>
      <c r="R769" s="23">
        <v>0</v>
      </c>
      <c r="S769" s="1">
        <v>0</v>
      </c>
      <c r="T769" s="1">
        <v>0</v>
      </c>
      <c r="U769" s="1">
        <v>0</v>
      </c>
      <c r="V769" s="1">
        <v>0</v>
      </c>
      <c r="W769" s="1">
        <v>0</v>
      </c>
      <c r="X769" s="1">
        <v>0</v>
      </c>
      <c r="Y769" s="1">
        <v>0</v>
      </c>
      <c r="Z769" s="1">
        <v>0</v>
      </c>
      <c r="AA769" s="1">
        <v>0</v>
      </c>
      <c r="AB769" s="1">
        <v>569</v>
      </c>
      <c r="AC769" s="1">
        <v>1273</v>
      </c>
      <c r="AD769" s="24">
        <f t="shared" si="34"/>
        <v>1842</v>
      </c>
      <c r="AE769" s="23">
        <v>0</v>
      </c>
      <c r="AF769" s="1">
        <v>0</v>
      </c>
      <c r="AG769" s="1">
        <v>0</v>
      </c>
      <c r="AH769" s="1">
        <v>0</v>
      </c>
      <c r="AI769" s="1">
        <v>0</v>
      </c>
      <c r="AJ769" s="1">
        <v>0</v>
      </c>
      <c r="AK769" s="1">
        <v>0</v>
      </c>
      <c r="AL769" s="1">
        <v>0</v>
      </c>
      <c r="AM769" s="1">
        <v>0</v>
      </c>
      <c r="AN769" s="1">
        <v>0</v>
      </c>
      <c r="AO769" s="1">
        <v>0</v>
      </c>
      <c r="AP769" s="1">
        <v>0</v>
      </c>
      <c r="AQ769" s="24">
        <f t="shared" si="35"/>
        <v>0</v>
      </c>
    </row>
    <row r="770" spans="1:43" ht="17.25" customHeight="1" x14ac:dyDescent="0.45">
      <c r="A770" s="12" t="s">
        <v>48</v>
      </c>
      <c r="B770" s="12" t="s">
        <v>66</v>
      </c>
      <c r="C770" s="12" t="s">
        <v>69</v>
      </c>
      <c r="D770" s="12" t="s">
        <v>68</v>
      </c>
      <c r="E770" s="25">
        <v>151</v>
      </c>
      <c r="F770" s="10">
        <v>144</v>
      </c>
      <c r="G770" s="10">
        <v>165</v>
      </c>
      <c r="H770" s="10">
        <v>126</v>
      </c>
      <c r="I770" s="10">
        <v>149</v>
      </c>
      <c r="J770" s="10">
        <v>169</v>
      </c>
      <c r="K770" s="10">
        <v>167</v>
      </c>
      <c r="L770" s="10">
        <v>146</v>
      </c>
      <c r="M770" s="10">
        <v>120</v>
      </c>
      <c r="N770" s="10">
        <v>128</v>
      </c>
      <c r="O770" s="10">
        <v>126</v>
      </c>
      <c r="P770" s="10">
        <v>126</v>
      </c>
      <c r="Q770" s="26">
        <f t="shared" si="33"/>
        <v>1717</v>
      </c>
      <c r="R770" s="25">
        <v>16749</v>
      </c>
      <c r="S770" s="10">
        <v>15688</v>
      </c>
      <c r="T770" s="10">
        <v>19450</v>
      </c>
      <c r="U770" s="10">
        <v>14230</v>
      </c>
      <c r="V770" s="10">
        <v>17858</v>
      </c>
      <c r="W770" s="10">
        <v>22831</v>
      </c>
      <c r="X770" s="10">
        <v>22615</v>
      </c>
      <c r="Y770" s="10">
        <v>18210</v>
      </c>
      <c r="Z770" s="10">
        <v>14865</v>
      </c>
      <c r="AA770" s="10">
        <v>16150</v>
      </c>
      <c r="AB770" s="10">
        <v>14910</v>
      </c>
      <c r="AC770" s="10">
        <v>13205</v>
      </c>
      <c r="AD770" s="26">
        <f t="shared" si="34"/>
        <v>206761</v>
      </c>
      <c r="AE770" s="25">
        <v>0</v>
      </c>
      <c r="AF770" s="10">
        <v>0</v>
      </c>
      <c r="AG770" s="10">
        <v>0</v>
      </c>
      <c r="AH770" s="10">
        <v>0</v>
      </c>
      <c r="AI770" s="10">
        <v>0</v>
      </c>
      <c r="AJ770" s="10">
        <v>0</v>
      </c>
      <c r="AK770" s="10">
        <v>0</v>
      </c>
      <c r="AL770" s="10">
        <v>0</v>
      </c>
      <c r="AM770" s="10">
        <v>1257</v>
      </c>
      <c r="AN770" s="10">
        <v>991</v>
      </c>
      <c r="AO770" s="10">
        <v>2059</v>
      </c>
      <c r="AP770" s="10">
        <v>1599</v>
      </c>
      <c r="AQ770" s="26">
        <f t="shared" si="35"/>
        <v>5906</v>
      </c>
    </row>
    <row r="771" spans="1:43" ht="17.25" customHeight="1" x14ac:dyDescent="0.45">
      <c r="A771" s="2" t="s">
        <v>48</v>
      </c>
      <c r="B771" s="2" t="s">
        <v>66</v>
      </c>
      <c r="C771" s="2" t="s">
        <v>113</v>
      </c>
      <c r="D771" s="2" t="s">
        <v>68</v>
      </c>
      <c r="E771" s="23">
        <v>4</v>
      </c>
      <c r="F771" s="1">
        <v>4</v>
      </c>
      <c r="G771" s="1">
        <v>5</v>
      </c>
      <c r="H771" s="1">
        <v>4</v>
      </c>
      <c r="I771" s="1">
        <v>4</v>
      </c>
      <c r="J771" s="1">
        <v>16</v>
      </c>
      <c r="K771" s="1">
        <v>15</v>
      </c>
      <c r="L771" s="1">
        <v>3</v>
      </c>
      <c r="M771" s="1">
        <v>0</v>
      </c>
      <c r="N771" s="1">
        <v>4</v>
      </c>
      <c r="O771" s="1">
        <v>5</v>
      </c>
      <c r="P771" s="1">
        <v>4</v>
      </c>
      <c r="Q771" s="24">
        <f t="shared" si="33"/>
        <v>68</v>
      </c>
      <c r="R771" s="23">
        <v>560</v>
      </c>
      <c r="S771" s="1">
        <v>566</v>
      </c>
      <c r="T771" s="1">
        <v>811</v>
      </c>
      <c r="U771" s="1">
        <v>488</v>
      </c>
      <c r="V771" s="1">
        <v>399</v>
      </c>
      <c r="W771" s="1">
        <v>1664</v>
      </c>
      <c r="X771" s="1">
        <v>1671</v>
      </c>
      <c r="Y771" s="1">
        <v>279</v>
      </c>
      <c r="Z771" s="1">
        <v>0</v>
      </c>
      <c r="AA771" s="1">
        <v>553</v>
      </c>
      <c r="AB771" s="1">
        <v>669</v>
      </c>
      <c r="AC771" s="1">
        <v>511</v>
      </c>
      <c r="AD771" s="24">
        <f t="shared" si="34"/>
        <v>8171</v>
      </c>
      <c r="AE771" s="23">
        <v>0</v>
      </c>
      <c r="AF771" s="1">
        <v>0</v>
      </c>
      <c r="AG771" s="1">
        <v>0</v>
      </c>
      <c r="AH771" s="1">
        <v>0</v>
      </c>
      <c r="AI771" s="1">
        <v>0</v>
      </c>
      <c r="AJ771" s="1">
        <v>0</v>
      </c>
      <c r="AK771" s="1">
        <v>0</v>
      </c>
      <c r="AL771" s="1">
        <v>0</v>
      </c>
      <c r="AM771" s="1">
        <v>0</v>
      </c>
      <c r="AN771" s="1">
        <v>0</v>
      </c>
      <c r="AO771" s="1">
        <v>0</v>
      </c>
      <c r="AP771" s="1">
        <v>0</v>
      </c>
      <c r="AQ771" s="24">
        <f t="shared" si="35"/>
        <v>0</v>
      </c>
    </row>
    <row r="772" spans="1:43" ht="17.25" customHeight="1" x14ac:dyDescent="0.45">
      <c r="A772" s="12" t="s">
        <v>48</v>
      </c>
      <c r="B772" s="12" t="s">
        <v>66</v>
      </c>
      <c r="C772" s="12" t="s">
        <v>114</v>
      </c>
      <c r="D772" s="12" t="s">
        <v>65</v>
      </c>
      <c r="E772" s="25">
        <v>4</v>
      </c>
      <c r="F772" s="10">
        <v>4</v>
      </c>
      <c r="G772" s="10">
        <v>5</v>
      </c>
      <c r="H772" s="10">
        <v>4</v>
      </c>
      <c r="I772" s="10">
        <v>1</v>
      </c>
      <c r="J772" s="10">
        <v>0</v>
      </c>
      <c r="K772" s="10">
        <v>0</v>
      </c>
      <c r="L772" s="10">
        <v>0</v>
      </c>
      <c r="M772" s="10">
        <v>0</v>
      </c>
      <c r="N772" s="10">
        <v>1</v>
      </c>
      <c r="O772" s="10">
        <v>5</v>
      </c>
      <c r="P772" s="10">
        <v>7</v>
      </c>
      <c r="Q772" s="26">
        <f t="shared" si="33"/>
        <v>31</v>
      </c>
      <c r="R772" s="25">
        <v>624</v>
      </c>
      <c r="S772" s="10">
        <v>652</v>
      </c>
      <c r="T772" s="10">
        <v>783</v>
      </c>
      <c r="U772" s="10">
        <v>568</v>
      </c>
      <c r="V772" s="10">
        <v>113</v>
      </c>
      <c r="W772" s="10">
        <v>0</v>
      </c>
      <c r="X772" s="10">
        <v>0</v>
      </c>
      <c r="Y772" s="10">
        <v>0</v>
      </c>
      <c r="Z772" s="10">
        <v>0</v>
      </c>
      <c r="AA772" s="10">
        <v>57</v>
      </c>
      <c r="AB772" s="10">
        <v>566</v>
      </c>
      <c r="AC772" s="10">
        <v>739</v>
      </c>
      <c r="AD772" s="26">
        <f t="shared" si="34"/>
        <v>4102</v>
      </c>
      <c r="AE772" s="25">
        <v>0</v>
      </c>
      <c r="AF772" s="10">
        <v>0</v>
      </c>
      <c r="AG772" s="10">
        <v>0</v>
      </c>
      <c r="AH772" s="10">
        <v>0</v>
      </c>
      <c r="AI772" s="10">
        <v>0</v>
      </c>
      <c r="AJ772" s="10">
        <v>0</v>
      </c>
      <c r="AK772" s="10">
        <v>0</v>
      </c>
      <c r="AL772" s="10">
        <v>0</v>
      </c>
      <c r="AM772" s="10">
        <v>0</v>
      </c>
      <c r="AN772" s="10">
        <v>0</v>
      </c>
      <c r="AO772" s="10">
        <v>0</v>
      </c>
      <c r="AP772" s="10">
        <v>0</v>
      </c>
      <c r="AQ772" s="26">
        <f t="shared" si="35"/>
        <v>0</v>
      </c>
    </row>
    <row r="773" spans="1:43" ht="17.25" customHeight="1" x14ac:dyDescent="0.45">
      <c r="A773" s="2" t="s">
        <v>48</v>
      </c>
      <c r="B773" s="2" t="s">
        <v>66</v>
      </c>
      <c r="C773" s="2" t="s">
        <v>184</v>
      </c>
      <c r="D773" s="2" t="s">
        <v>68</v>
      </c>
      <c r="E773" s="23">
        <v>17</v>
      </c>
      <c r="F773" s="1">
        <v>15</v>
      </c>
      <c r="G773" s="1">
        <v>18</v>
      </c>
      <c r="H773" s="1">
        <v>9</v>
      </c>
      <c r="I773" s="1">
        <v>0</v>
      </c>
      <c r="J773" s="1">
        <v>0</v>
      </c>
      <c r="K773" s="1">
        <v>0</v>
      </c>
      <c r="L773" s="1">
        <v>0</v>
      </c>
      <c r="M773" s="1">
        <v>0</v>
      </c>
      <c r="N773" s="1">
        <v>5</v>
      </c>
      <c r="O773" s="1">
        <v>29</v>
      </c>
      <c r="P773" s="1">
        <v>25</v>
      </c>
      <c r="Q773" s="24">
        <f t="shared" si="33"/>
        <v>118</v>
      </c>
      <c r="R773" s="23">
        <v>1202</v>
      </c>
      <c r="S773" s="1">
        <v>1051</v>
      </c>
      <c r="T773" s="1">
        <v>1211</v>
      </c>
      <c r="U773" s="1">
        <v>650</v>
      </c>
      <c r="V773" s="1">
        <v>0</v>
      </c>
      <c r="W773" s="1">
        <v>0</v>
      </c>
      <c r="X773" s="1">
        <v>0</v>
      </c>
      <c r="Y773" s="1">
        <v>0</v>
      </c>
      <c r="Z773" s="1">
        <v>0</v>
      </c>
      <c r="AA773" s="1">
        <v>279</v>
      </c>
      <c r="AB773" s="1">
        <v>2261</v>
      </c>
      <c r="AC773" s="1">
        <v>2942</v>
      </c>
      <c r="AD773" s="24">
        <f t="shared" si="34"/>
        <v>9596</v>
      </c>
      <c r="AE773" s="23">
        <v>0</v>
      </c>
      <c r="AF773" s="1">
        <v>0</v>
      </c>
      <c r="AG773" s="1">
        <v>0</v>
      </c>
      <c r="AH773" s="1">
        <v>0</v>
      </c>
      <c r="AI773" s="1">
        <v>0</v>
      </c>
      <c r="AJ773" s="1">
        <v>0</v>
      </c>
      <c r="AK773" s="1">
        <v>0</v>
      </c>
      <c r="AL773" s="1">
        <v>0</v>
      </c>
      <c r="AM773" s="1">
        <v>0</v>
      </c>
      <c r="AN773" s="1">
        <v>0</v>
      </c>
      <c r="AO773" s="1">
        <v>73</v>
      </c>
      <c r="AP773" s="1">
        <v>0</v>
      </c>
      <c r="AQ773" s="24">
        <f t="shared" si="35"/>
        <v>73</v>
      </c>
    </row>
    <row r="774" spans="1:43" ht="17.25" customHeight="1" x14ac:dyDescent="0.45">
      <c r="A774" s="12" t="s">
        <v>48</v>
      </c>
      <c r="B774" s="12" t="s">
        <v>66</v>
      </c>
      <c r="C774" s="12" t="s">
        <v>73</v>
      </c>
      <c r="D774" s="12" t="s">
        <v>68</v>
      </c>
      <c r="E774" s="25">
        <v>201</v>
      </c>
      <c r="F774" s="10">
        <v>175</v>
      </c>
      <c r="G774" s="10">
        <v>211</v>
      </c>
      <c r="H774" s="10">
        <v>187</v>
      </c>
      <c r="I774" s="10">
        <v>183</v>
      </c>
      <c r="J774" s="10">
        <v>190</v>
      </c>
      <c r="K774" s="10">
        <v>191</v>
      </c>
      <c r="L774" s="10">
        <v>179</v>
      </c>
      <c r="M774" s="10">
        <v>141</v>
      </c>
      <c r="N774" s="10">
        <v>164</v>
      </c>
      <c r="O774" s="10">
        <v>160</v>
      </c>
      <c r="P774" s="10">
        <v>189</v>
      </c>
      <c r="Q774" s="26">
        <f t="shared" si="33"/>
        <v>2171</v>
      </c>
      <c r="R774" s="25">
        <v>27301</v>
      </c>
      <c r="S774" s="10">
        <v>20547</v>
      </c>
      <c r="T774" s="10">
        <v>29617</v>
      </c>
      <c r="U774" s="10">
        <v>28947</v>
      </c>
      <c r="V774" s="10">
        <v>27536</v>
      </c>
      <c r="W774" s="10">
        <v>30947</v>
      </c>
      <c r="X774" s="10">
        <v>31405</v>
      </c>
      <c r="Y774" s="10">
        <v>28813</v>
      </c>
      <c r="Z774" s="10">
        <v>20306</v>
      </c>
      <c r="AA774" s="10">
        <v>22677</v>
      </c>
      <c r="AB774" s="10">
        <v>23332</v>
      </c>
      <c r="AC774" s="10">
        <v>26549</v>
      </c>
      <c r="AD774" s="26">
        <f t="shared" si="34"/>
        <v>317977</v>
      </c>
      <c r="AE774" s="25">
        <v>758</v>
      </c>
      <c r="AF774" s="10">
        <v>5659</v>
      </c>
      <c r="AG774" s="10">
        <v>7028</v>
      </c>
      <c r="AH774" s="10">
        <v>215</v>
      </c>
      <c r="AI774" s="10">
        <v>1440</v>
      </c>
      <c r="AJ774" s="10">
        <v>4369</v>
      </c>
      <c r="AK774" s="10">
        <v>8346</v>
      </c>
      <c r="AL774" s="10">
        <v>3261</v>
      </c>
      <c r="AM774" s="10">
        <v>5545</v>
      </c>
      <c r="AN774" s="10">
        <v>7120</v>
      </c>
      <c r="AO774" s="10">
        <v>9523</v>
      </c>
      <c r="AP774" s="10">
        <v>2841</v>
      </c>
      <c r="AQ774" s="26">
        <f t="shared" si="35"/>
        <v>56105</v>
      </c>
    </row>
    <row r="775" spans="1:43" ht="17.25" customHeight="1" x14ac:dyDescent="0.45">
      <c r="A775" s="2" t="s">
        <v>48</v>
      </c>
      <c r="B775" s="2" t="s">
        <v>66</v>
      </c>
      <c r="C775" s="2" t="s">
        <v>130</v>
      </c>
      <c r="D775" s="2" t="s">
        <v>68</v>
      </c>
      <c r="E775" s="23">
        <v>63</v>
      </c>
      <c r="F775" s="1">
        <v>74</v>
      </c>
      <c r="G775" s="1">
        <v>87</v>
      </c>
      <c r="H775" s="1">
        <v>31</v>
      </c>
      <c r="I775" s="1">
        <v>2</v>
      </c>
      <c r="J775" s="1">
        <v>0</v>
      </c>
      <c r="K775" s="1">
        <v>0</v>
      </c>
      <c r="L775" s="1">
        <v>0</v>
      </c>
      <c r="M775" s="1">
        <v>0</v>
      </c>
      <c r="N775" s="1">
        <v>0</v>
      </c>
      <c r="O775" s="1">
        <v>4</v>
      </c>
      <c r="P775" s="1">
        <v>23</v>
      </c>
      <c r="Q775" s="24">
        <f t="shared" si="33"/>
        <v>284</v>
      </c>
      <c r="R775" s="23">
        <v>7834</v>
      </c>
      <c r="S775" s="1">
        <v>9794</v>
      </c>
      <c r="T775" s="1">
        <v>13245</v>
      </c>
      <c r="U775" s="1">
        <v>5147</v>
      </c>
      <c r="V775" s="1">
        <v>354</v>
      </c>
      <c r="W775" s="1">
        <v>0</v>
      </c>
      <c r="X775" s="1">
        <v>0</v>
      </c>
      <c r="Y775" s="1">
        <v>0</v>
      </c>
      <c r="Z775" s="1">
        <v>0</v>
      </c>
      <c r="AA775" s="1">
        <v>0</v>
      </c>
      <c r="AB775" s="1">
        <v>703</v>
      </c>
      <c r="AC775" s="1">
        <v>2265</v>
      </c>
      <c r="AD775" s="24">
        <f t="shared" si="34"/>
        <v>39342</v>
      </c>
      <c r="AE775" s="23">
        <v>0</v>
      </c>
      <c r="AF775" s="1">
        <v>0</v>
      </c>
      <c r="AG775" s="1">
        <v>0</v>
      </c>
      <c r="AH775" s="1">
        <v>0</v>
      </c>
      <c r="AI775" s="1">
        <v>0</v>
      </c>
      <c r="AJ775" s="1">
        <v>0</v>
      </c>
      <c r="AK775" s="1">
        <v>0</v>
      </c>
      <c r="AL775" s="1">
        <v>0</v>
      </c>
      <c r="AM775" s="1">
        <v>0</v>
      </c>
      <c r="AN775" s="1">
        <v>0</v>
      </c>
      <c r="AO775" s="1">
        <v>0</v>
      </c>
      <c r="AP775" s="1">
        <v>0</v>
      </c>
      <c r="AQ775" s="24">
        <f t="shared" si="35"/>
        <v>0</v>
      </c>
    </row>
    <row r="776" spans="1:43" ht="17.25" customHeight="1" x14ac:dyDescent="0.45">
      <c r="A776" s="12" t="s">
        <v>48</v>
      </c>
      <c r="B776" s="12" t="s">
        <v>66</v>
      </c>
      <c r="C776" s="12" t="s">
        <v>70</v>
      </c>
      <c r="D776" s="12" t="s">
        <v>65</v>
      </c>
      <c r="E776" s="25">
        <v>4</v>
      </c>
      <c r="F776" s="10">
        <v>5</v>
      </c>
      <c r="G776" s="10">
        <v>4</v>
      </c>
      <c r="H776" s="10">
        <v>2</v>
      </c>
      <c r="I776" s="10">
        <v>0</v>
      </c>
      <c r="J776" s="10">
        <v>0</v>
      </c>
      <c r="K776" s="10">
        <v>0</v>
      </c>
      <c r="L776" s="10">
        <v>0</v>
      </c>
      <c r="M776" s="10">
        <v>0</v>
      </c>
      <c r="N776" s="10">
        <v>0</v>
      </c>
      <c r="O776" s="10">
        <v>3</v>
      </c>
      <c r="P776" s="10">
        <v>6</v>
      </c>
      <c r="Q776" s="26">
        <f t="shared" ref="Q776:Q839" si="36">SUM(E776:P776)</f>
        <v>24</v>
      </c>
      <c r="R776" s="25">
        <v>670</v>
      </c>
      <c r="S776" s="10">
        <v>781</v>
      </c>
      <c r="T776" s="10">
        <v>661</v>
      </c>
      <c r="U776" s="10">
        <v>351</v>
      </c>
      <c r="V776" s="10">
        <v>0</v>
      </c>
      <c r="W776" s="10">
        <v>0</v>
      </c>
      <c r="X776" s="10">
        <v>0</v>
      </c>
      <c r="Y776" s="10">
        <v>0</v>
      </c>
      <c r="Z776" s="10">
        <v>0</v>
      </c>
      <c r="AA776" s="10">
        <v>0</v>
      </c>
      <c r="AB776" s="10">
        <v>493</v>
      </c>
      <c r="AC776" s="10">
        <v>789</v>
      </c>
      <c r="AD776" s="26">
        <f t="shared" ref="AD776:AD839" si="37">SUM(R776:AC776)</f>
        <v>3745</v>
      </c>
      <c r="AE776" s="25">
        <v>0</v>
      </c>
      <c r="AF776" s="10">
        <v>0</v>
      </c>
      <c r="AG776" s="10">
        <v>0</v>
      </c>
      <c r="AH776" s="10">
        <v>0</v>
      </c>
      <c r="AI776" s="10">
        <v>0</v>
      </c>
      <c r="AJ776" s="10">
        <v>0</v>
      </c>
      <c r="AK776" s="10">
        <v>0</v>
      </c>
      <c r="AL776" s="10">
        <v>0</v>
      </c>
      <c r="AM776" s="10">
        <v>0</v>
      </c>
      <c r="AN776" s="10">
        <v>0</v>
      </c>
      <c r="AO776" s="10">
        <v>0</v>
      </c>
      <c r="AP776" s="10">
        <v>0</v>
      </c>
      <c r="AQ776" s="26">
        <f t="shared" ref="AQ776:AQ839" si="38">SUM(AE776:AP776)</f>
        <v>0</v>
      </c>
    </row>
    <row r="777" spans="1:43" ht="17.25" customHeight="1" x14ac:dyDescent="0.45">
      <c r="A777" s="2" t="s">
        <v>48</v>
      </c>
      <c r="B777" s="2" t="s">
        <v>66</v>
      </c>
      <c r="C777" s="2" t="s">
        <v>132</v>
      </c>
      <c r="D777" s="2" t="s">
        <v>68</v>
      </c>
      <c r="E777" s="23">
        <v>11</v>
      </c>
      <c r="F777" s="1">
        <v>6</v>
      </c>
      <c r="G777" s="1">
        <v>10</v>
      </c>
      <c r="H777" s="1">
        <v>8</v>
      </c>
      <c r="I777" s="1">
        <v>8</v>
      </c>
      <c r="J777" s="1">
        <v>10</v>
      </c>
      <c r="K777" s="1">
        <v>8</v>
      </c>
      <c r="L777" s="1">
        <v>8</v>
      </c>
      <c r="M777" s="1">
        <v>4</v>
      </c>
      <c r="N777" s="1">
        <v>5</v>
      </c>
      <c r="O777" s="1">
        <v>9</v>
      </c>
      <c r="P777" s="1">
        <v>16</v>
      </c>
      <c r="Q777" s="24">
        <f t="shared" si="36"/>
        <v>103</v>
      </c>
      <c r="R777" s="23">
        <v>1884</v>
      </c>
      <c r="S777" s="1">
        <v>954</v>
      </c>
      <c r="T777" s="1">
        <v>1644</v>
      </c>
      <c r="U777" s="1">
        <v>1244</v>
      </c>
      <c r="V777" s="1">
        <v>1313</v>
      </c>
      <c r="W777" s="1">
        <v>1675</v>
      </c>
      <c r="X777" s="1">
        <v>1370</v>
      </c>
      <c r="Y777" s="1">
        <v>1354</v>
      </c>
      <c r="Z777" s="1">
        <v>695</v>
      </c>
      <c r="AA777" s="1">
        <v>838</v>
      </c>
      <c r="AB777" s="1">
        <v>1545</v>
      </c>
      <c r="AC777" s="1">
        <v>2062</v>
      </c>
      <c r="AD777" s="24">
        <f t="shared" si="37"/>
        <v>16578</v>
      </c>
      <c r="AE777" s="23">
        <v>0</v>
      </c>
      <c r="AF777" s="1">
        <v>0</v>
      </c>
      <c r="AG777" s="1">
        <v>0</v>
      </c>
      <c r="AH777" s="1">
        <v>0</v>
      </c>
      <c r="AI777" s="1">
        <v>0</v>
      </c>
      <c r="AJ777" s="1">
        <v>0</v>
      </c>
      <c r="AK777" s="1">
        <v>0</v>
      </c>
      <c r="AL777" s="1">
        <v>0</v>
      </c>
      <c r="AM777" s="1">
        <v>0</v>
      </c>
      <c r="AN777" s="1">
        <v>0</v>
      </c>
      <c r="AO777" s="1">
        <v>0</v>
      </c>
      <c r="AP777" s="1">
        <v>320</v>
      </c>
      <c r="AQ777" s="24">
        <f t="shared" si="38"/>
        <v>320</v>
      </c>
    </row>
    <row r="778" spans="1:43" ht="17.25" customHeight="1" x14ac:dyDescent="0.45">
      <c r="A778" s="12" t="s">
        <v>48</v>
      </c>
      <c r="B778" s="12" t="s">
        <v>66</v>
      </c>
      <c r="C778" s="12" t="s">
        <v>134</v>
      </c>
      <c r="D778" s="12" t="s">
        <v>68</v>
      </c>
      <c r="E778" s="25">
        <v>33</v>
      </c>
      <c r="F778" s="10">
        <v>33</v>
      </c>
      <c r="G778" s="10">
        <v>44</v>
      </c>
      <c r="H778" s="10">
        <v>33</v>
      </c>
      <c r="I778" s="10">
        <v>31</v>
      </c>
      <c r="J778" s="10">
        <v>30</v>
      </c>
      <c r="K778" s="10">
        <v>31</v>
      </c>
      <c r="L778" s="10">
        <v>31</v>
      </c>
      <c r="M778" s="10">
        <v>3</v>
      </c>
      <c r="N778" s="10">
        <v>31</v>
      </c>
      <c r="O778" s="10">
        <v>29</v>
      </c>
      <c r="P778" s="10">
        <v>33</v>
      </c>
      <c r="Q778" s="26">
        <f t="shared" si="36"/>
        <v>362</v>
      </c>
      <c r="R778" s="25">
        <v>5324</v>
      </c>
      <c r="S778" s="10">
        <v>4743</v>
      </c>
      <c r="T778" s="10">
        <v>7052</v>
      </c>
      <c r="U778" s="10">
        <v>5662</v>
      </c>
      <c r="V778" s="10">
        <v>5574</v>
      </c>
      <c r="W778" s="10">
        <v>4770</v>
      </c>
      <c r="X778" s="10">
        <v>4787</v>
      </c>
      <c r="Y778" s="10">
        <v>4769</v>
      </c>
      <c r="Z778" s="10">
        <v>481</v>
      </c>
      <c r="AA778" s="10">
        <v>4024</v>
      </c>
      <c r="AB778" s="10">
        <v>4851</v>
      </c>
      <c r="AC778" s="10">
        <v>4573</v>
      </c>
      <c r="AD778" s="26">
        <f t="shared" si="37"/>
        <v>56610</v>
      </c>
      <c r="AE778" s="25">
        <v>0</v>
      </c>
      <c r="AF778" s="10">
        <v>0</v>
      </c>
      <c r="AG778" s="10">
        <v>0</v>
      </c>
      <c r="AH778" s="10">
        <v>0</v>
      </c>
      <c r="AI778" s="10">
        <v>0</v>
      </c>
      <c r="AJ778" s="10">
        <v>0</v>
      </c>
      <c r="AK778" s="10">
        <v>0</v>
      </c>
      <c r="AL778" s="10">
        <v>0</v>
      </c>
      <c r="AM778" s="10">
        <v>0</v>
      </c>
      <c r="AN778" s="10">
        <v>0</v>
      </c>
      <c r="AO778" s="10">
        <v>0</v>
      </c>
      <c r="AP778" s="10">
        <v>0</v>
      </c>
      <c r="AQ778" s="26">
        <f t="shared" si="38"/>
        <v>0</v>
      </c>
    </row>
    <row r="779" spans="1:43" ht="17.25" customHeight="1" x14ac:dyDescent="0.45">
      <c r="A779" s="2" t="s">
        <v>48</v>
      </c>
      <c r="B779" s="2" t="s">
        <v>66</v>
      </c>
      <c r="C779" s="2" t="s">
        <v>175</v>
      </c>
      <c r="D779" s="2" t="s">
        <v>68</v>
      </c>
      <c r="E779" s="23">
        <v>4</v>
      </c>
      <c r="F779" s="1">
        <v>4</v>
      </c>
      <c r="G779" s="1">
        <v>5</v>
      </c>
      <c r="H779" s="1">
        <v>4</v>
      </c>
      <c r="I779" s="1">
        <v>4</v>
      </c>
      <c r="J779" s="1">
        <v>9</v>
      </c>
      <c r="K779" s="1">
        <v>8</v>
      </c>
      <c r="L779" s="1">
        <v>2</v>
      </c>
      <c r="M779" s="1">
        <v>0</v>
      </c>
      <c r="N779" s="1">
        <v>0</v>
      </c>
      <c r="O779" s="1">
        <v>4</v>
      </c>
      <c r="P779" s="1">
        <v>4</v>
      </c>
      <c r="Q779" s="24">
        <f t="shared" si="36"/>
        <v>48</v>
      </c>
      <c r="R779" s="23">
        <v>481</v>
      </c>
      <c r="S779" s="1">
        <v>515</v>
      </c>
      <c r="T779" s="1">
        <v>737</v>
      </c>
      <c r="U779" s="1">
        <v>572</v>
      </c>
      <c r="V779" s="1">
        <v>438</v>
      </c>
      <c r="W779" s="1">
        <v>1280</v>
      </c>
      <c r="X779" s="1">
        <v>1196</v>
      </c>
      <c r="Y779" s="1">
        <v>311</v>
      </c>
      <c r="Z779" s="1">
        <v>0</v>
      </c>
      <c r="AA779" s="1">
        <v>0</v>
      </c>
      <c r="AB779" s="1">
        <v>425</v>
      </c>
      <c r="AC779" s="1">
        <v>444</v>
      </c>
      <c r="AD779" s="24">
        <f t="shared" si="37"/>
        <v>6399</v>
      </c>
      <c r="AE779" s="23">
        <v>0</v>
      </c>
      <c r="AF779" s="1">
        <v>0</v>
      </c>
      <c r="AG779" s="1">
        <v>0</v>
      </c>
      <c r="AH779" s="1">
        <v>0</v>
      </c>
      <c r="AI779" s="1">
        <v>0</v>
      </c>
      <c r="AJ779" s="1">
        <v>0</v>
      </c>
      <c r="AK779" s="1">
        <v>0</v>
      </c>
      <c r="AL779" s="1">
        <v>0</v>
      </c>
      <c r="AM779" s="1">
        <v>0</v>
      </c>
      <c r="AN779" s="1">
        <v>0</v>
      </c>
      <c r="AO779" s="1">
        <v>0</v>
      </c>
      <c r="AP779" s="1">
        <v>0</v>
      </c>
      <c r="AQ779" s="24">
        <f t="shared" si="38"/>
        <v>0</v>
      </c>
    </row>
    <row r="780" spans="1:43" ht="17.25" customHeight="1" x14ac:dyDescent="0.45">
      <c r="A780" s="12" t="s">
        <v>48</v>
      </c>
      <c r="B780" s="12" t="s">
        <v>66</v>
      </c>
      <c r="C780" s="12" t="s">
        <v>142</v>
      </c>
      <c r="D780" s="12" t="s">
        <v>68</v>
      </c>
      <c r="E780" s="25">
        <v>155</v>
      </c>
      <c r="F780" s="10">
        <v>145</v>
      </c>
      <c r="G780" s="10">
        <v>156</v>
      </c>
      <c r="H780" s="10">
        <v>150</v>
      </c>
      <c r="I780" s="10">
        <v>134</v>
      </c>
      <c r="J780" s="10">
        <v>131</v>
      </c>
      <c r="K780" s="10">
        <v>137</v>
      </c>
      <c r="L780" s="10">
        <v>101</v>
      </c>
      <c r="M780" s="10">
        <v>84</v>
      </c>
      <c r="N780" s="10">
        <v>143</v>
      </c>
      <c r="O780" s="10">
        <v>141</v>
      </c>
      <c r="P780" s="10">
        <v>146</v>
      </c>
      <c r="Q780" s="26">
        <f t="shared" si="36"/>
        <v>1623</v>
      </c>
      <c r="R780" s="25">
        <v>21122</v>
      </c>
      <c r="S780" s="10">
        <v>19836</v>
      </c>
      <c r="T780" s="10">
        <v>24435</v>
      </c>
      <c r="U780" s="10">
        <v>21714</v>
      </c>
      <c r="V780" s="10">
        <v>19183</v>
      </c>
      <c r="W780" s="10">
        <v>19733</v>
      </c>
      <c r="X780" s="10">
        <v>20543</v>
      </c>
      <c r="Y780" s="10">
        <v>15063</v>
      </c>
      <c r="Z780" s="10">
        <v>12268</v>
      </c>
      <c r="AA780" s="10">
        <v>20222</v>
      </c>
      <c r="AB780" s="10">
        <v>19331</v>
      </c>
      <c r="AC780" s="10">
        <v>18472</v>
      </c>
      <c r="AD780" s="26">
        <f t="shared" si="37"/>
        <v>231922</v>
      </c>
      <c r="AE780" s="25">
        <v>48.98797596</v>
      </c>
      <c r="AF780" s="10">
        <v>0</v>
      </c>
      <c r="AG780" s="10">
        <v>0</v>
      </c>
      <c r="AH780" s="10">
        <v>0</v>
      </c>
      <c r="AI780" s="10">
        <v>25.854765090000001</v>
      </c>
      <c r="AJ780" s="10">
        <v>0</v>
      </c>
      <c r="AK780" s="10">
        <v>0</v>
      </c>
      <c r="AL780" s="10">
        <v>0</v>
      </c>
      <c r="AM780" s="10">
        <v>10.886216880000001</v>
      </c>
      <c r="AN780" s="10">
        <v>0</v>
      </c>
      <c r="AO780" s="10">
        <v>0</v>
      </c>
      <c r="AP780" s="10">
        <v>0</v>
      </c>
      <c r="AQ780" s="26">
        <f t="shared" si="38"/>
        <v>85.728957930000007</v>
      </c>
    </row>
    <row r="781" spans="1:43" ht="17.25" customHeight="1" x14ac:dyDescent="0.45">
      <c r="A781" s="2" t="s">
        <v>48</v>
      </c>
      <c r="B781" s="2" t="s">
        <v>66</v>
      </c>
      <c r="C781" s="2" t="s">
        <v>143</v>
      </c>
      <c r="D781" s="2" t="s">
        <v>68</v>
      </c>
      <c r="E781" s="23">
        <v>23</v>
      </c>
      <c r="F781" s="1">
        <v>29</v>
      </c>
      <c r="G781" s="1">
        <v>31</v>
      </c>
      <c r="H781" s="1">
        <v>12</v>
      </c>
      <c r="I781" s="1">
        <v>6</v>
      </c>
      <c r="J781" s="1">
        <v>5</v>
      </c>
      <c r="K781" s="1">
        <v>4</v>
      </c>
      <c r="L781" s="1">
        <v>3</v>
      </c>
      <c r="M781" s="1">
        <v>0</v>
      </c>
      <c r="N781" s="1">
        <v>10</v>
      </c>
      <c r="O781" s="1">
        <v>21</v>
      </c>
      <c r="P781" s="1">
        <v>30</v>
      </c>
      <c r="Q781" s="24">
        <f t="shared" si="36"/>
        <v>174</v>
      </c>
      <c r="R781" s="23">
        <v>3445</v>
      </c>
      <c r="S781" s="1">
        <v>4242</v>
      </c>
      <c r="T781" s="1">
        <v>4370</v>
      </c>
      <c r="U781" s="1">
        <v>1905</v>
      </c>
      <c r="V781" s="1">
        <v>974</v>
      </c>
      <c r="W781" s="1">
        <v>819</v>
      </c>
      <c r="X781" s="1">
        <v>634</v>
      </c>
      <c r="Y781" s="1">
        <v>522</v>
      </c>
      <c r="Z781" s="1">
        <v>0</v>
      </c>
      <c r="AA781" s="1">
        <v>1307</v>
      </c>
      <c r="AB781" s="1">
        <v>3039</v>
      </c>
      <c r="AC781" s="1">
        <v>4466</v>
      </c>
      <c r="AD781" s="24">
        <f t="shared" si="37"/>
        <v>25723</v>
      </c>
      <c r="AE781" s="23">
        <v>315</v>
      </c>
      <c r="AF781" s="1">
        <v>484</v>
      </c>
      <c r="AG781" s="1">
        <v>692</v>
      </c>
      <c r="AH781" s="1">
        <v>401</v>
      </c>
      <c r="AI781" s="1">
        <v>214</v>
      </c>
      <c r="AJ781" s="1">
        <v>346</v>
      </c>
      <c r="AK781" s="1">
        <v>0</v>
      </c>
      <c r="AL781" s="1">
        <v>102</v>
      </c>
      <c r="AM781" s="1">
        <v>0</v>
      </c>
      <c r="AN781" s="1">
        <v>160</v>
      </c>
      <c r="AO781" s="1">
        <v>151</v>
      </c>
      <c r="AP781" s="1">
        <v>484</v>
      </c>
      <c r="AQ781" s="24">
        <f t="shared" si="38"/>
        <v>3349</v>
      </c>
    </row>
    <row r="782" spans="1:43" ht="17.25" customHeight="1" x14ac:dyDescent="0.45">
      <c r="A782" s="12" t="s">
        <v>48</v>
      </c>
      <c r="B782" s="12" t="s">
        <v>66</v>
      </c>
      <c r="C782" s="12" t="s">
        <v>176</v>
      </c>
      <c r="D782" s="12" t="s">
        <v>68</v>
      </c>
      <c r="E782" s="25">
        <v>7</v>
      </c>
      <c r="F782" s="10">
        <v>8</v>
      </c>
      <c r="G782" s="10">
        <v>10</v>
      </c>
      <c r="H782" s="10">
        <v>8</v>
      </c>
      <c r="I782" s="10">
        <v>8</v>
      </c>
      <c r="J782" s="10">
        <v>10</v>
      </c>
      <c r="K782" s="10">
        <v>8</v>
      </c>
      <c r="L782" s="10">
        <v>2</v>
      </c>
      <c r="M782" s="10">
        <v>0</v>
      </c>
      <c r="N782" s="10">
        <v>9</v>
      </c>
      <c r="O782" s="10">
        <v>5</v>
      </c>
      <c r="P782" s="10">
        <v>4</v>
      </c>
      <c r="Q782" s="26">
        <f t="shared" si="36"/>
        <v>79</v>
      </c>
      <c r="R782" s="25">
        <v>1025</v>
      </c>
      <c r="S782" s="10">
        <v>1243</v>
      </c>
      <c r="T782" s="10">
        <v>1645</v>
      </c>
      <c r="U782" s="10">
        <v>1364</v>
      </c>
      <c r="V782" s="10">
        <v>1292</v>
      </c>
      <c r="W782" s="10">
        <v>1733</v>
      </c>
      <c r="X782" s="10">
        <v>1346</v>
      </c>
      <c r="Y782" s="10">
        <v>349</v>
      </c>
      <c r="Z782" s="10">
        <v>0</v>
      </c>
      <c r="AA782" s="10">
        <v>1501</v>
      </c>
      <c r="AB782" s="10">
        <v>724</v>
      </c>
      <c r="AC782" s="10">
        <v>564</v>
      </c>
      <c r="AD782" s="26">
        <f t="shared" si="37"/>
        <v>12786</v>
      </c>
      <c r="AE782" s="25">
        <v>0</v>
      </c>
      <c r="AF782" s="10">
        <v>0</v>
      </c>
      <c r="AG782" s="10">
        <v>0</v>
      </c>
      <c r="AH782" s="10">
        <v>0</v>
      </c>
      <c r="AI782" s="10">
        <v>0</v>
      </c>
      <c r="AJ782" s="10">
        <v>0</v>
      </c>
      <c r="AK782" s="10">
        <v>0</v>
      </c>
      <c r="AL782" s="10">
        <v>0</v>
      </c>
      <c r="AM782" s="10">
        <v>0</v>
      </c>
      <c r="AN782" s="10">
        <v>0</v>
      </c>
      <c r="AO782" s="10">
        <v>0</v>
      </c>
      <c r="AP782" s="10">
        <v>0</v>
      </c>
      <c r="AQ782" s="26">
        <f t="shared" si="38"/>
        <v>0</v>
      </c>
    </row>
    <row r="783" spans="1:43" ht="17.25" customHeight="1" x14ac:dyDescent="0.45">
      <c r="A783" s="2" t="s">
        <v>48</v>
      </c>
      <c r="B783" s="2" t="s">
        <v>66</v>
      </c>
      <c r="C783" s="2" t="s">
        <v>148</v>
      </c>
      <c r="D783" s="2" t="s">
        <v>68</v>
      </c>
      <c r="E783" s="23">
        <v>50</v>
      </c>
      <c r="F783" s="1">
        <v>45</v>
      </c>
      <c r="G783" s="1">
        <v>55</v>
      </c>
      <c r="H783" s="1">
        <v>38</v>
      </c>
      <c r="I783" s="1">
        <v>31</v>
      </c>
      <c r="J783" s="1">
        <v>30</v>
      </c>
      <c r="K783" s="1">
        <v>31</v>
      </c>
      <c r="L783" s="1">
        <v>22</v>
      </c>
      <c r="M783" s="1">
        <v>22</v>
      </c>
      <c r="N783" s="1">
        <v>22</v>
      </c>
      <c r="O783" s="1">
        <v>27</v>
      </c>
      <c r="P783" s="1">
        <v>44</v>
      </c>
      <c r="Q783" s="24">
        <f t="shared" si="36"/>
        <v>417</v>
      </c>
      <c r="R783" s="23">
        <v>6925</v>
      </c>
      <c r="S783" s="1">
        <v>6233</v>
      </c>
      <c r="T783" s="1">
        <v>8699</v>
      </c>
      <c r="U783" s="1">
        <v>6303</v>
      </c>
      <c r="V783" s="1">
        <v>4342</v>
      </c>
      <c r="W783" s="1">
        <v>4553</v>
      </c>
      <c r="X783" s="1">
        <v>4471</v>
      </c>
      <c r="Y783" s="1">
        <v>2924</v>
      </c>
      <c r="Z783" s="1">
        <v>2852</v>
      </c>
      <c r="AA783" s="1">
        <v>2933</v>
      </c>
      <c r="AB783" s="1">
        <v>3793</v>
      </c>
      <c r="AC783" s="1">
        <v>5945</v>
      </c>
      <c r="AD783" s="24">
        <f t="shared" si="37"/>
        <v>59973</v>
      </c>
      <c r="AE783" s="23">
        <v>0</v>
      </c>
      <c r="AF783" s="1">
        <v>0</v>
      </c>
      <c r="AG783" s="1">
        <v>0</v>
      </c>
      <c r="AH783" s="1">
        <v>0</v>
      </c>
      <c r="AI783" s="1">
        <v>0</v>
      </c>
      <c r="AJ783" s="1">
        <v>0</v>
      </c>
      <c r="AK783" s="1">
        <v>0</v>
      </c>
      <c r="AL783" s="1">
        <v>0</v>
      </c>
      <c r="AM783" s="1">
        <v>0</v>
      </c>
      <c r="AN783" s="1">
        <v>0</v>
      </c>
      <c r="AO783" s="1">
        <v>0</v>
      </c>
      <c r="AP783" s="1">
        <v>0</v>
      </c>
      <c r="AQ783" s="24">
        <f t="shared" si="38"/>
        <v>0</v>
      </c>
    </row>
    <row r="784" spans="1:43" ht="17.25" customHeight="1" x14ac:dyDescent="0.45">
      <c r="A784" s="12" t="s">
        <v>48</v>
      </c>
      <c r="B784" s="12" t="s">
        <v>66</v>
      </c>
      <c r="C784" s="12" t="s">
        <v>150</v>
      </c>
      <c r="D784" s="12" t="s">
        <v>68</v>
      </c>
      <c r="E784" s="25">
        <v>37</v>
      </c>
      <c r="F784" s="10">
        <v>33</v>
      </c>
      <c r="G784" s="10">
        <v>54</v>
      </c>
      <c r="H784" s="10">
        <v>54</v>
      </c>
      <c r="I784" s="10">
        <v>44</v>
      </c>
      <c r="J784" s="10">
        <v>46</v>
      </c>
      <c r="K784" s="10">
        <v>47</v>
      </c>
      <c r="L784" s="10">
        <v>35</v>
      </c>
      <c r="M784" s="10">
        <v>21</v>
      </c>
      <c r="N784" s="10">
        <v>30</v>
      </c>
      <c r="O784" s="10">
        <v>49</v>
      </c>
      <c r="P784" s="10">
        <v>49</v>
      </c>
      <c r="Q784" s="26">
        <f t="shared" si="36"/>
        <v>499</v>
      </c>
      <c r="R784" s="25">
        <v>5347</v>
      </c>
      <c r="S784" s="10">
        <v>4441</v>
      </c>
      <c r="T784" s="10">
        <v>6407</v>
      </c>
      <c r="U784" s="10">
        <v>7894</v>
      </c>
      <c r="V784" s="10">
        <v>5938</v>
      </c>
      <c r="W784" s="10">
        <v>7001</v>
      </c>
      <c r="X784" s="10">
        <v>7111</v>
      </c>
      <c r="Y784" s="10">
        <v>5100</v>
      </c>
      <c r="Z784" s="10">
        <v>2876</v>
      </c>
      <c r="AA784" s="10">
        <v>4252</v>
      </c>
      <c r="AB784" s="10">
        <v>6903</v>
      </c>
      <c r="AC784" s="10">
        <v>5957</v>
      </c>
      <c r="AD784" s="26">
        <f t="shared" si="37"/>
        <v>69227</v>
      </c>
      <c r="AE784" s="25">
        <v>261</v>
      </c>
      <c r="AF784" s="10">
        <v>296</v>
      </c>
      <c r="AG784" s="10">
        <v>110</v>
      </c>
      <c r="AH784" s="10">
        <v>166</v>
      </c>
      <c r="AI784" s="10">
        <v>64</v>
      </c>
      <c r="AJ784" s="10">
        <v>109</v>
      </c>
      <c r="AK784" s="10">
        <v>140</v>
      </c>
      <c r="AL784" s="10">
        <v>13</v>
      </c>
      <c r="AM784" s="10">
        <v>36</v>
      </c>
      <c r="AN784" s="10">
        <v>485</v>
      </c>
      <c r="AO784" s="10">
        <v>51</v>
      </c>
      <c r="AP784" s="10">
        <v>240</v>
      </c>
      <c r="AQ784" s="26">
        <f t="shared" si="38"/>
        <v>1971</v>
      </c>
    </row>
    <row r="785" spans="1:43" ht="17.25" customHeight="1" x14ac:dyDescent="0.45">
      <c r="A785" s="2" t="s">
        <v>48</v>
      </c>
      <c r="B785" s="2" t="s">
        <v>66</v>
      </c>
      <c r="C785" s="2" t="s">
        <v>151</v>
      </c>
      <c r="D785" s="2" t="s">
        <v>68</v>
      </c>
      <c r="E785" s="23">
        <v>115</v>
      </c>
      <c r="F785" s="1">
        <v>115</v>
      </c>
      <c r="G785" s="1">
        <v>109</v>
      </c>
      <c r="H785" s="1">
        <v>96</v>
      </c>
      <c r="I785" s="1">
        <v>101</v>
      </c>
      <c r="J785" s="1">
        <v>100</v>
      </c>
      <c r="K785" s="1">
        <v>101</v>
      </c>
      <c r="L785" s="1">
        <v>83</v>
      </c>
      <c r="M785" s="1">
        <v>52</v>
      </c>
      <c r="N785" s="1">
        <v>80</v>
      </c>
      <c r="O785" s="1">
        <v>106</v>
      </c>
      <c r="P785" s="1">
        <v>112</v>
      </c>
      <c r="Q785" s="24">
        <f t="shared" si="36"/>
        <v>1170</v>
      </c>
      <c r="R785" s="23">
        <v>14588</v>
      </c>
      <c r="S785" s="1">
        <v>12966</v>
      </c>
      <c r="T785" s="1">
        <v>13621</v>
      </c>
      <c r="U785" s="1">
        <v>14364</v>
      </c>
      <c r="V785" s="1">
        <v>13932</v>
      </c>
      <c r="W785" s="1">
        <v>15999</v>
      </c>
      <c r="X785" s="1">
        <v>16004</v>
      </c>
      <c r="Y785" s="1">
        <v>12579</v>
      </c>
      <c r="Z785" s="1">
        <v>7437</v>
      </c>
      <c r="AA785" s="1">
        <v>11295</v>
      </c>
      <c r="AB785" s="1">
        <v>13661</v>
      </c>
      <c r="AC785" s="1">
        <v>15495</v>
      </c>
      <c r="AD785" s="24">
        <f t="shared" si="37"/>
        <v>161941</v>
      </c>
      <c r="AE785" s="23">
        <v>356</v>
      </c>
      <c r="AF785" s="1">
        <v>332</v>
      </c>
      <c r="AG785" s="1">
        <v>89</v>
      </c>
      <c r="AH785" s="1">
        <v>223</v>
      </c>
      <c r="AI785" s="1">
        <v>357</v>
      </c>
      <c r="AJ785" s="1">
        <v>145</v>
      </c>
      <c r="AK785" s="1">
        <v>155</v>
      </c>
      <c r="AL785" s="1">
        <v>42</v>
      </c>
      <c r="AM785" s="1">
        <v>137</v>
      </c>
      <c r="AN785" s="1">
        <v>663</v>
      </c>
      <c r="AO785" s="1">
        <v>73</v>
      </c>
      <c r="AP785" s="1">
        <v>203</v>
      </c>
      <c r="AQ785" s="24">
        <f t="shared" si="38"/>
        <v>2775</v>
      </c>
    </row>
    <row r="786" spans="1:43" ht="17.25" customHeight="1" x14ac:dyDescent="0.45">
      <c r="A786" s="12" t="s">
        <v>48</v>
      </c>
      <c r="B786" s="12" t="s">
        <v>66</v>
      </c>
      <c r="C786" s="12" t="s">
        <v>177</v>
      </c>
      <c r="D786" s="12" t="s">
        <v>68</v>
      </c>
      <c r="E786" s="25">
        <v>21</v>
      </c>
      <c r="F786" s="10">
        <v>21</v>
      </c>
      <c r="G786" s="10">
        <v>26</v>
      </c>
      <c r="H786" s="10">
        <v>30</v>
      </c>
      <c r="I786" s="10">
        <v>31</v>
      </c>
      <c r="J786" s="10">
        <v>30</v>
      </c>
      <c r="K786" s="10">
        <v>31</v>
      </c>
      <c r="L786" s="10">
        <v>21</v>
      </c>
      <c r="M786" s="10">
        <v>4</v>
      </c>
      <c r="N786" s="10">
        <v>30</v>
      </c>
      <c r="O786" s="10">
        <v>37</v>
      </c>
      <c r="P786" s="10">
        <v>28</v>
      </c>
      <c r="Q786" s="26">
        <f t="shared" si="36"/>
        <v>310</v>
      </c>
      <c r="R786" s="25">
        <v>3007</v>
      </c>
      <c r="S786" s="10">
        <v>2676</v>
      </c>
      <c r="T786" s="10">
        <v>3143</v>
      </c>
      <c r="U786" s="10">
        <v>4742</v>
      </c>
      <c r="V786" s="10">
        <v>3193</v>
      </c>
      <c r="W786" s="10">
        <v>2151</v>
      </c>
      <c r="X786" s="10">
        <v>2132</v>
      </c>
      <c r="Y786" s="10">
        <v>1439</v>
      </c>
      <c r="Z786" s="10">
        <v>284</v>
      </c>
      <c r="AA786" s="10">
        <v>4030</v>
      </c>
      <c r="AB786" s="10">
        <v>4923</v>
      </c>
      <c r="AC786" s="10">
        <v>4022</v>
      </c>
      <c r="AD786" s="26">
        <f t="shared" si="37"/>
        <v>35742</v>
      </c>
      <c r="AE786" s="25">
        <v>218</v>
      </c>
      <c r="AF786" s="10">
        <v>149</v>
      </c>
      <c r="AG786" s="10">
        <v>39</v>
      </c>
      <c r="AH786" s="10">
        <v>125</v>
      </c>
      <c r="AI786" s="10">
        <v>86</v>
      </c>
      <c r="AJ786" s="10">
        <v>0</v>
      </c>
      <c r="AK786" s="10">
        <v>0</v>
      </c>
      <c r="AL786" s="10">
        <v>0</v>
      </c>
      <c r="AM786" s="10">
        <v>0</v>
      </c>
      <c r="AN786" s="10">
        <v>113</v>
      </c>
      <c r="AO786" s="10">
        <v>92</v>
      </c>
      <c r="AP786" s="10">
        <v>54</v>
      </c>
      <c r="AQ786" s="26">
        <f t="shared" si="38"/>
        <v>876</v>
      </c>
    </row>
    <row r="787" spans="1:43" ht="17.25" customHeight="1" x14ac:dyDescent="0.45">
      <c r="A787" s="2" t="s">
        <v>48</v>
      </c>
      <c r="B787" s="2" t="s">
        <v>66</v>
      </c>
      <c r="C787" s="2" t="s">
        <v>204</v>
      </c>
      <c r="D787" s="2" t="s">
        <v>68</v>
      </c>
      <c r="E787" s="23">
        <v>31</v>
      </c>
      <c r="F787" s="1">
        <v>29</v>
      </c>
      <c r="G787" s="1">
        <v>31</v>
      </c>
      <c r="H787" s="1">
        <v>30</v>
      </c>
      <c r="I787" s="1">
        <v>31</v>
      </c>
      <c r="J787" s="1">
        <v>30</v>
      </c>
      <c r="K787" s="1">
        <v>31</v>
      </c>
      <c r="L787" s="1">
        <v>31</v>
      </c>
      <c r="M787" s="1">
        <v>30</v>
      </c>
      <c r="N787" s="1">
        <v>31</v>
      </c>
      <c r="O787" s="1">
        <v>30</v>
      </c>
      <c r="P787" s="1">
        <v>31</v>
      </c>
      <c r="Q787" s="24">
        <f t="shared" si="36"/>
        <v>366</v>
      </c>
      <c r="R787" s="23">
        <v>4248</v>
      </c>
      <c r="S787" s="1">
        <v>3724</v>
      </c>
      <c r="T787" s="1">
        <v>3923</v>
      </c>
      <c r="U787" s="1">
        <v>3986</v>
      </c>
      <c r="V787" s="1">
        <v>3774</v>
      </c>
      <c r="W787" s="1">
        <v>4078</v>
      </c>
      <c r="X787" s="1">
        <v>4357</v>
      </c>
      <c r="Y787" s="1">
        <v>4054</v>
      </c>
      <c r="Z787" s="1">
        <v>3582</v>
      </c>
      <c r="AA787" s="1">
        <v>3622</v>
      </c>
      <c r="AB787" s="1">
        <v>3705</v>
      </c>
      <c r="AC787" s="1">
        <v>3667</v>
      </c>
      <c r="AD787" s="24">
        <f t="shared" si="37"/>
        <v>46720</v>
      </c>
      <c r="AE787" s="23">
        <v>0</v>
      </c>
      <c r="AF787" s="1">
        <v>0</v>
      </c>
      <c r="AG787" s="1">
        <v>0</v>
      </c>
      <c r="AH787" s="1">
        <v>0</v>
      </c>
      <c r="AI787" s="1">
        <v>0</v>
      </c>
      <c r="AJ787" s="1">
        <v>0</v>
      </c>
      <c r="AK787" s="1">
        <v>0</v>
      </c>
      <c r="AL787" s="1">
        <v>0</v>
      </c>
      <c r="AM787" s="1">
        <v>0</v>
      </c>
      <c r="AN787" s="1">
        <v>0</v>
      </c>
      <c r="AO787" s="1">
        <v>0</v>
      </c>
      <c r="AP787" s="1">
        <v>0</v>
      </c>
      <c r="AQ787" s="24">
        <f t="shared" si="38"/>
        <v>0</v>
      </c>
    </row>
    <row r="788" spans="1:43" ht="17.25" customHeight="1" x14ac:dyDescent="0.45">
      <c r="A788" s="12" t="s">
        <v>48</v>
      </c>
      <c r="B788" s="12" t="s">
        <v>66</v>
      </c>
      <c r="C788" s="12" t="s">
        <v>161</v>
      </c>
      <c r="D788" s="12" t="s">
        <v>68</v>
      </c>
      <c r="E788" s="25">
        <v>84</v>
      </c>
      <c r="F788" s="10">
        <v>87</v>
      </c>
      <c r="G788" s="10">
        <v>91</v>
      </c>
      <c r="H788" s="10">
        <v>75</v>
      </c>
      <c r="I788" s="10">
        <v>63</v>
      </c>
      <c r="J788" s="10">
        <v>54</v>
      </c>
      <c r="K788" s="10">
        <v>52</v>
      </c>
      <c r="L788" s="10">
        <v>51</v>
      </c>
      <c r="M788" s="10">
        <v>35</v>
      </c>
      <c r="N788" s="10">
        <v>47</v>
      </c>
      <c r="O788" s="10">
        <v>79</v>
      </c>
      <c r="P788" s="10">
        <v>74</v>
      </c>
      <c r="Q788" s="26">
        <f t="shared" si="36"/>
        <v>792</v>
      </c>
      <c r="R788" s="25">
        <v>11981</v>
      </c>
      <c r="S788" s="10">
        <v>12135</v>
      </c>
      <c r="T788" s="10">
        <v>13667</v>
      </c>
      <c r="U788" s="10">
        <v>12210</v>
      </c>
      <c r="V788" s="10">
        <v>9570</v>
      </c>
      <c r="W788" s="10">
        <v>8294</v>
      </c>
      <c r="X788" s="10">
        <v>8180</v>
      </c>
      <c r="Y788" s="10">
        <v>7700</v>
      </c>
      <c r="Z788" s="10">
        <v>5018</v>
      </c>
      <c r="AA788" s="10">
        <v>6996</v>
      </c>
      <c r="AB788" s="10">
        <v>11274</v>
      </c>
      <c r="AC788" s="10">
        <v>10956</v>
      </c>
      <c r="AD788" s="26">
        <f t="shared" si="37"/>
        <v>117981</v>
      </c>
      <c r="AE788" s="25">
        <v>684</v>
      </c>
      <c r="AF788" s="10">
        <v>684</v>
      </c>
      <c r="AG788" s="10">
        <v>1086</v>
      </c>
      <c r="AH788" s="10">
        <v>574</v>
      </c>
      <c r="AI788" s="10">
        <v>1030</v>
      </c>
      <c r="AJ788" s="10">
        <v>805</v>
      </c>
      <c r="AK788" s="10">
        <v>597</v>
      </c>
      <c r="AL788" s="10">
        <v>653</v>
      </c>
      <c r="AM788" s="10">
        <v>365</v>
      </c>
      <c r="AN788" s="10">
        <v>288</v>
      </c>
      <c r="AO788" s="10">
        <v>307</v>
      </c>
      <c r="AP788" s="10">
        <v>295</v>
      </c>
      <c r="AQ788" s="26">
        <f t="shared" si="38"/>
        <v>7368</v>
      </c>
    </row>
    <row r="789" spans="1:43" ht="17.25" customHeight="1" x14ac:dyDescent="0.45">
      <c r="A789" s="2" t="s">
        <v>48</v>
      </c>
      <c r="B789" s="2" t="s">
        <v>66</v>
      </c>
      <c r="C789" s="2" t="s">
        <v>162</v>
      </c>
      <c r="D789" s="2" t="s">
        <v>68</v>
      </c>
      <c r="E789" s="23">
        <v>0</v>
      </c>
      <c r="F789" s="1">
        <v>0</v>
      </c>
      <c r="G789" s="1">
        <v>4</v>
      </c>
      <c r="H789" s="1">
        <v>4</v>
      </c>
      <c r="I789" s="1">
        <v>4</v>
      </c>
      <c r="J789" s="1">
        <v>5</v>
      </c>
      <c r="K789" s="1">
        <v>4</v>
      </c>
      <c r="L789" s="1">
        <v>1</v>
      </c>
      <c r="M789" s="1">
        <v>0</v>
      </c>
      <c r="N789" s="1">
        <v>0</v>
      </c>
      <c r="O789" s="1">
        <v>4</v>
      </c>
      <c r="P789" s="1">
        <v>4</v>
      </c>
      <c r="Q789" s="24">
        <f t="shared" si="36"/>
        <v>30</v>
      </c>
      <c r="R789" s="23">
        <v>0</v>
      </c>
      <c r="S789" s="1">
        <v>0</v>
      </c>
      <c r="T789" s="1">
        <v>506</v>
      </c>
      <c r="U789" s="1">
        <v>410</v>
      </c>
      <c r="V789" s="1">
        <v>298</v>
      </c>
      <c r="W789" s="1">
        <v>659</v>
      </c>
      <c r="X789" s="1">
        <v>564</v>
      </c>
      <c r="Y789" s="1">
        <v>143</v>
      </c>
      <c r="Z789" s="1">
        <v>0</v>
      </c>
      <c r="AA789" s="1">
        <v>0</v>
      </c>
      <c r="AB789" s="1">
        <v>400</v>
      </c>
      <c r="AC789" s="1">
        <v>354</v>
      </c>
      <c r="AD789" s="24">
        <f t="shared" si="37"/>
        <v>3334</v>
      </c>
      <c r="AE789" s="23">
        <v>0</v>
      </c>
      <c r="AF789" s="1">
        <v>0</v>
      </c>
      <c r="AG789" s="1">
        <v>0</v>
      </c>
      <c r="AH789" s="1">
        <v>0</v>
      </c>
      <c r="AI789" s="1">
        <v>0</v>
      </c>
      <c r="AJ789" s="1">
        <v>0</v>
      </c>
      <c r="AK789" s="1">
        <v>0</v>
      </c>
      <c r="AL789" s="1">
        <v>0</v>
      </c>
      <c r="AM789" s="1">
        <v>0</v>
      </c>
      <c r="AN789" s="1">
        <v>0</v>
      </c>
      <c r="AO789" s="1">
        <v>0</v>
      </c>
      <c r="AP789" s="1">
        <v>0</v>
      </c>
      <c r="AQ789" s="24">
        <f t="shared" si="38"/>
        <v>0</v>
      </c>
    </row>
    <row r="790" spans="1:43" ht="17.25" customHeight="1" x14ac:dyDescent="0.45">
      <c r="A790" s="12" t="s">
        <v>48</v>
      </c>
      <c r="B790" s="12" t="s">
        <v>66</v>
      </c>
      <c r="C790" s="12" t="s">
        <v>71</v>
      </c>
      <c r="D790" s="12" t="s">
        <v>65</v>
      </c>
      <c r="E790" s="25">
        <v>8</v>
      </c>
      <c r="F790" s="10">
        <v>8</v>
      </c>
      <c r="G790" s="10">
        <v>10</v>
      </c>
      <c r="H790" s="10">
        <v>8</v>
      </c>
      <c r="I790" s="10">
        <v>9</v>
      </c>
      <c r="J790" s="10">
        <v>4</v>
      </c>
      <c r="K790" s="10">
        <v>4</v>
      </c>
      <c r="L790" s="10">
        <v>5</v>
      </c>
      <c r="M790" s="10">
        <v>4</v>
      </c>
      <c r="N790" s="10">
        <v>5</v>
      </c>
      <c r="O790" s="10">
        <v>7</v>
      </c>
      <c r="P790" s="10">
        <v>27</v>
      </c>
      <c r="Q790" s="26">
        <f t="shared" si="36"/>
        <v>99</v>
      </c>
      <c r="R790" s="25">
        <v>1424</v>
      </c>
      <c r="S790" s="10">
        <v>1417</v>
      </c>
      <c r="T790" s="10">
        <v>1684</v>
      </c>
      <c r="U790" s="10">
        <v>1441</v>
      </c>
      <c r="V790" s="10">
        <v>1630</v>
      </c>
      <c r="W790" s="10">
        <v>630</v>
      </c>
      <c r="X790" s="10">
        <v>720</v>
      </c>
      <c r="Y790" s="10">
        <v>925</v>
      </c>
      <c r="Z790" s="10">
        <v>723</v>
      </c>
      <c r="AA790" s="10">
        <v>920</v>
      </c>
      <c r="AB790" s="10">
        <v>1183</v>
      </c>
      <c r="AC790" s="10">
        <v>3849</v>
      </c>
      <c r="AD790" s="26">
        <f t="shared" si="37"/>
        <v>16546</v>
      </c>
      <c r="AE790" s="25">
        <v>0</v>
      </c>
      <c r="AF790" s="10">
        <v>0</v>
      </c>
      <c r="AG790" s="10">
        <v>0</v>
      </c>
      <c r="AH790" s="10">
        <v>0</v>
      </c>
      <c r="AI790" s="10">
        <v>0</v>
      </c>
      <c r="AJ790" s="10">
        <v>0</v>
      </c>
      <c r="AK790" s="10">
        <v>0</v>
      </c>
      <c r="AL790" s="10">
        <v>0</v>
      </c>
      <c r="AM790" s="10">
        <v>0</v>
      </c>
      <c r="AN790" s="10">
        <v>0</v>
      </c>
      <c r="AO790" s="10">
        <v>0</v>
      </c>
      <c r="AP790" s="10">
        <v>0</v>
      </c>
      <c r="AQ790" s="26">
        <f t="shared" si="38"/>
        <v>0</v>
      </c>
    </row>
    <row r="791" spans="1:43" ht="17.25" customHeight="1" x14ac:dyDescent="0.45">
      <c r="A791" s="2" t="s">
        <v>48</v>
      </c>
      <c r="B791" s="2" t="s">
        <v>66</v>
      </c>
      <c r="C791" s="2" t="s">
        <v>165</v>
      </c>
      <c r="D791" s="2" t="s">
        <v>65</v>
      </c>
      <c r="E791" s="23">
        <v>49</v>
      </c>
      <c r="F791" s="1">
        <v>47</v>
      </c>
      <c r="G791" s="1">
        <v>67</v>
      </c>
      <c r="H791" s="1">
        <v>52</v>
      </c>
      <c r="I791" s="1">
        <v>34</v>
      </c>
      <c r="J791" s="1">
        <v>18</v>
      </c>
      <c r="K791" s="1">
        <v>21</v>
      </c>
      <c r="L791" s="1">
        <v>22</v>
      </c>
      <c r="M791" s="1">
        <v>17</v>
      </c>
      <c r="N791" s="1">
        <v>28</v>
      </c>
      <c r="O791" s="1">
        <v>51</v>
      </c>
      <c r="P791" s="1">
        <v>69</v>
      </c>
      <c r="Q791" s="24">
        <f t="shared" si="36"/>
        <v>475</v>
      </c>
      <c r="R791" s="23">
        <v>6725</v>
      </c>
      <c r="S791" s="1">
        <v>6285</v>
      </c>
      <c r="T791" s="1">
        <v>8637</v>
      </c>
      <c r="U791" s="1">
        <v>7398</v>
      </c>
      <c r="V791" s="1">
        <v>5438</v>
      </c>
      <c r="W791" s="1">
        <v>2704</v>
      </c>
      <c r="X791" s="1">
        <v>2910</v>
      </c>
      <c r="Y791" s="1">
        <v>3009</v>
      </c>
      <c r="Z791" s="1">
        <v>2352</v>
      </c>
      <c r="AA791" s="1">
        <v>3780</v>
      </c>
      <c r="AB791" s="1">
        <v>7049</v>
      </c>
      <c r="AC791" s="1">
        <v>9443</v>
      </c>
      <c r="AD791" s="24">
        <f t="shared" si="37"/>
        <v>65730</v>
      </c>
      <c r="AE791" s="23">
        <v>0</v>
      </c>
      <c r="AF791" s="1">
        <v>0</v>
      </c>
      <c r="AG791" s="1">
        <v>0</v>
      </c>
      <c r="AH791" s="1">
        <v>0</v>
      </c>
      <c r="AI791" s="1">
        <v>0</v>
      </c>
      <c r="AJ791" s="1">
        <v>0</v>
      </c>
      <c r="AK791" s="1">
        <v>0</v>
      </c>
      <c r="AL791" s="1">
        <v>0</v>
      </c>
      <c r="AM791" s="1">
        <v>0</v>
      </c>
      <c r="AN791" s="1">
        <v>0</v>
      </c>
      <c r="AO791" s="1">
        <v>0</v>
      </c>
      <c r="AP791" s="1">
        <v>0</v>
      </c>
      <c r="AQ791" s="24">
        <f t="shared" si="38"/>
        <v>0</v>
      </c>
    </row>
    <row r="792" spans="1:43" ht="17.25" customHeight="1" x14ac:dyDescent="0.45">
      <c r="A792" s="12" t="s">
        <v>48</v>
      </c>
      <c r="B792" s="12" t="s">
        <v>66</v>
      </c>
      <c r="C792" s="12" t="s">
        <v>166</v>
      </c>
      <c r="D792" s="12" t="s">
        <v>65</v>
      </c>
      <c r="E792" s="25">
        <v>4</v>
      </c>
      <c r="F792" s="10">
        <v>5</v>
      </c>
      <c r="G792" s="10">
        <v>4</v>
      </c>
      <c r="H792" s="10">
        <v>3</v>
      </c>
      <c r="I792" s="10">
        <v>0</v>
      </c>
      <c r="J792" s="10">
        <v>0</v>
      </c>
      <c r="K792" s="10">
        <v>0</v>
      </c>
      <c r="L792" s="10">
        <v>0</v>
      </c>
      <c r="M792" s="10">
        <v>0</v>
      </c>
      <c r="N792" s="10">
        <v>1</v>
      </c>
      <c r="O792" s="10">
        <v>4</v>
      </c>
      <c r="P792" s="10">
        <v>5</v>
      </c>
      <c r="Q792" s="26">
        <f t="shared" si="36"/>
        <v>26</v>
      </c>
      <c r="R792" s="25">
        <v>487</v>
      </c>
      <c r="S792" s="10">
        <v>674</v>
      </c>
      <c r="T792" s="10">
        <v>559</v>
      </c>
      <c r="U792" s="10">
        <v>426</v>
      </c>
      <c r="V792" s="10">
        <v>0</v>
      </c>
      <c r="W792" s="10">
        <v>0</v>
      </c>
      <c r="X792" s="10">
        <v>0</v>
      </c>
      <c r="Y792" s="10">
        <v>0</v>
      </c>
      <c r="Z792" s="10">
        <v>0</v>
      </c>
      <c r="AA792" s="10">
        <v>30</v>
      </c>
      <c r="AB792" s="10">
        <v>456</v>
      </c>
      <c r="AC792" s="10">
        <v>623</v>
      </c>
      <c r="AD792" s="26">
        <f t="shared" si="37"/>
        <v>3255</v>
      </c>
      <c r="AE792" s="25">
        <v>0</v>
      </c>
      <c r="AF792" s="10">
        <v>0</v>
      </c>
      <c r="AG792" s="10">
        <v>0</v>
      </c>
      <c r="AH792" s="10">
        <v>0</v>
      </c>
      <c r="AI792" s="10">
        <v>0</v>
      </c>
      <c r="AJ792" s="10">
        <v>0</v>
      </c>
      <c r="AK792" s="10">
        <v>0</v>
      </c>
      <c r="AL792" s="10">
        <v>0</v>
      </c>
      <c r="AM792" s="10">
        <v>0</v>
      </c>
      <c r="AN792" s="10">
        <v>0</v>
      </c>
      <c r="AO792" s="10">
        <v>0</v>
      </c>
      <c r="AP792" s="10">
        <v>0</v>
      </c>
      <c r="AQ792" s="26">
        <f t="shared" si="38"/>
        <v>0</v>
      </c>
    </row>
    <row r="793" spans="1:43" ht="17.25" customHeight="1" x14ac:dyDescent="0.45">
      <c r="A793" s="2" t="s">
        <v>48</v>
      </c>
      <c r="B793" s="2" t="s">
        <v>66</v>
      </c>
      <c r="C793" s="2" t="s">
        <v>171</v>
      </c>
      <c r="D793" s="2" t="s">
        <v>65</v>
      </c>
      <c r="E793" s="23">
        <v>0</v>
      </c>
      <c r="F793" s="1">
        <v>0</v>
      </c>
      <c r="G793" s="1">
        <v>0</v>
      </c>
      <c r="H793" s="1">
        <v>0</v>
      </c>
      <c r="I793" s="1">
        <v>0</v>
      </c>
      <c r="J793" s="1">
        <v>0</v>
      </c>
      <c r="K793" s="1">
        <v>0</v>
      </c>
      <c r="L793" s="1">
        <v>0</v>
      </c>
      <c r="M793" s="1">
        <v>0</v>
      </c>
      <c r="N793" s="1">
        <v>0</v>
      </c>
      <c r="O793" s="1">
        <v>2</v>
      </c>
      <c r="P793" s="1">
        <v>4</v>
      </c>
      <c r="Q793" s="24">
        <f t="shared" si="36"/>
        <v>6</v>
      </c>
      <c r="R793" s="23">
        <v>0</v>
      </c>
      <c r="S793" s="1">
        <v>0</v>
      </c>
      <c r="T793" s="1">
        <v>0</v>
      </c>
      <c r="U793" s="1">
        <v>0</v>
      </c>
      <c r="V793" s="1">
        <v>0</v>
      </c>
      <c r="W793" s="1">
        <v>0</v>
      </c>
      <c r="X793" s="1">
        <v>0</v>
      </c>
      <c r="Y793" s="1">
        <v>0</v>
      </c>
      <c r="Z793" s="1">
        <v>0</v>
      </c>
      <c r="AA793" s="1">
        <v>0</v>
      </c>
      <c r="AB793" s="1">
        <v>126</v>
      </c>
      <c r="AC793" s="1">
        <v>342</v>
      </c>
      <c r="AD793" s="24">
        <f t="shared" si="37"/>
        <v>468</v>
      </c>
      <c r="AE793" s="23">
        <v>0</v>
      </c>
      <c r="AF793" s="1">
        <v>0</v>
      </c>
      <c r="AG793" s="1">
        <v>0</v>
      </c>
      <c r="AH793" s="1">
        <v>0</v>
      </c>
      <c r="AI793" s="1">
        <v>0</v>
      </c>
      <c r="AJ793" s="1">
        <v>0</v>
      </c>
      <c r="AK793" s="1">
        <v>0</v>
      </c>
      <c r="AL793" s="1">
        <v>0</v>
      </c>
      <c r="AM793" s="1">
        <v>0</v>
      </c>
      <c r="AN793" s="1">
        <v>0</v>
      </c>
      <c r="AO793" s="1">
        <v>0</v>
      </c>
      <c r="AP793" s="1">
        <v>0</v>
      </c>
      <c r="AQ793" s="24">
        <f t="shared" si="38"/>
        <v>0</v>
      </c>
    </row>
    <row r="794" spans="1:43" ht="17.25" customHeight="1" x14ac:dyDescent="0.45">
      <c r="A794" s="12" t="s">
        <v>177</v>
      </c>
      <c r="B794" s="12" t="s">
        <v>68</v>
      </c>
      <c r="C794" s="12" t="s">
        <v>22</v>
      </c>
      <c r="D794" s="12" t="s">
        <v>66</v>
      </c>
      <c r="E794" s="25">
        <v>9</v>
      </c>
      <c r="F794" s="10">
        <v>8</v>
      </c>
      <c r="G794" s="10">
        <v>9</v>
      </c>
      <c r="H794" s="10">
        <v>9</v>
      </c>
      <c r="I794" s="10">
        <v>9</v>
      </c>
      <c r="J794" s="10">
        <v>12</v>
      </c>
      <c r="K794" s="10">
        <v>14</v>
      </c>
      <c r="L794" s="10">
        <v>13</v>
      </c>
      <c r="M794" s="10">
        <v>11</v>
      </c>
      <c r="N794" s="10">
        <v>14</v>
      </c>
      <c r="O794" s="10">
        <v>13</v>
      </c>
      <c r="P794" s="10">
        <v>15</v>
      </c>
      <c r="Q794" s="26">
        <f t="shared" si="36"/>
        <v>136</v>
      </c>
      <c r="R794" s="25">
        <v>1369</v>
      </c>
      <c r="S794" s="10">
        <v>1046</v>
      </c>
      <c r="T794" s="10">
        <v>1158</v>
      </c>
      <c r="U794" s="10">
        <v>991</v>
      </c>
      <c r="V794" s="10">
        <v>1084</v>
      </c>
      <c r="W794" s="10">
        <v>1513</v>
      </c>
      <c r="X794" s="10">
        <v>1830</v>
      </c>
      <c r="Y794" s="10">
        <v>1181</v>
      </c>
      <c r="Z794" s="10">
        <v>1117</v>
      </c>
      <c r="AA794" s="10">
        <v>1499</v>
      </c>
      <c r="AB794" s="10">
        <v>1668</v>
      </c>
      <c r="AC794" s="10">
        <v>2570</v>
      </c>
      <c r="AD794" s="26">
        <f t="shared" si="37"/>
        <v>17026</v>
      </c>
      <c r="AE794" s="25">
        <v>0</v>
      </c>
      <c r="AF794" s="10">
        <v>0</v>
      </c>
      <c r="AG794" s="10">
        <v>0</v>
      </c>
      <c r="AH794" s="10">
        <v>0</v>
      </c>
      <c r="AI794" s="10">
        <v>0</v>
      </c>
      <c r="AJ794" s="10">
        <v>0</v>
      </c>
      <c r="AK794" s="10">
        <v>0</v>
      </c>
      <c r="AL794" s="10">
        <v>0</v>
      </c>
      <c r="AM794" s="10">
        <v>0</v>
      </c>
      <c r="AN794" s="10">
        <v>0</v>
      </c>
      <c r="AO794" s="10">
        <v>0</v>
      </c>
      <c r="AP794" s="10">
        <v>0</v>
      </c>
      <c r="AQ794" s="26">
        <f t="shared" si="38"/>
        <v>0</v>
      </c>
    </row>
    <row r="795" spans="1:43" ht="17.25" customHeight="1" x14ac:dyDescent="0.45">
      <c r="A795" s="2" t="s">
        <v>177</v>
      </c>
      <c r="B795" s="2" t="s">
        <v>68</v>
      </c>
      <c r="C795" s="2" t="s">
        <v>11</v>
      </c>
      <c r="D795" s="2" t="s">
        <v>66</v>
      </c>
      <c r="E795" s="23">
        <v>108</v>
      </c>
      <c r="F795" s="1">
        <v>96</v>
      </c>
      <c r="G795" s="1">
        <v>86</v>
      </c>
      <c r="H795" s="1">
        <v>74</v>
      </c>
      <c r="I795" s="1">
        <v>85</v>
      </c>
      <c r="J795" s="1">
        <v>85</v>
      </c>
      <c r="K795" s="1">
        <v>88</v>
      </c>
      <c r="L795" s="1">
        <v>79</v>
      </c>
      <c r="M795" s="1">
        <v>59</v>
      </c>
      <c r="N795" s="1">
        <v>71</v>
      </c>
      <c r="O795" s="1">
        <v>85</v>
      </c>
      <c r="P795" s="1">
        <v>87</v>
      </c>
      <c r="Q795" s="24">
        <f t="shared" si="36"/>
        <v>1003</v>
      </c>
      <c r="R795" s="23">
        <v>15249</v>
      </c>
      <c r="S795" s="1">
        <v>11937</v>
      </c>
      <c r="T795" s="1">
        <v>11760</v>
      </c>
      <c r="U795" s="1">
        <v>9893</v>
      </c>
      <c r="V795" s="1">
        <v>12525</v>
      </c>
      <c r="W795" s="1">
        <v>14265</v>
      </c>
      <c r="X795" s="1">
        <v>14330</v>
      </c>
      <c r="Y795" s="1">
        <v>10761</v>
      </c>
      <c r="Z795" s="1">
        <v>9206</v>
      </c>
      <c r="AA795" s="1">
        <v>11661</v>
      </c>
      <c r="AB795" s="1">
        <v>13784</v>
      </c>
      <c r="AC795" s="1">
        <v>15125</v>
      </c>
      <c r="AD795" s="24">
        <f t="shared" si="37"/>
        <v>150496</v>
      </c>
      <c r="AE795" s="23">
        <v>2145</v>
      </c>
      <c r="AF795" s="1">
        <v>2300</v>
      </c>
      <c r="AG795" s="1">
        <v>1503</v>
      </c>
      <c r="AH795" s="1">
        <v>1930</v>
      </c>
      <c r="AI795" s="1">
        <v>1728</v>
      </c>
      <c r="AJ795" s="1">
        <v>2348</v>
      </c>
      <c r="AK795" s="1">
        <v>2206</v>
      </c>
      <c r="AL795" s="1">
        <v>1358</v>
      </c>
      <c r="AM795" s="1">
        <v>0</v>
      </c>
      <c r="AN795" s="1">
        <v>688</v>
      </c>
      <c r="AO795" s="1">
        <v>1241</v>
      </c>
      <c r="AP795" s="1">
        <v>1556</v>
      </c>
      <c r="AQ795" s="24">
        <f t="shared" si="38"/>
        <v>19003</v>
      </c>
    </row>
    <row r="796" spans="1:43" ht="17.25" customHeight="1" x14ac:dyDescent="0.45">
      <c r="A796" s="12" t="s">
        <v>177</v>
      </c>
      <c r="B796" s="12" t="s">
        <v>68</v>
      </c>
      <c r="C796" s="12" t="s">
        <v>25</v>
      </c>
      <c r="D796" s="12" t="s">
        <v>66</v>
      </c>
      <c r="E796" s="25">
        <v>13</v>
      </c>
      <c r="F796" s="10">
        <v>13</v>
      </c>
      <c r="G796" s="10">
        <v>13</v>
      </c>
      <c r="H796" s="10">
        <v>17</v>
      </c>
      <c r="I796" s="10">
        <v>18</v>
      </c>
      <c r="J796" s="10">
        <v>17</v>
      </c>
      <c r="K796" s="10">
        <v>16</v>
      </c>
      <c r="L796" s="10">
        <v>19</v>
      </c>
      <c r="M796" s="10">
        <v>16</v>
      </c>
      <c r="N796" s="10">
        <v>18</v>
      </c>
      <c r="O796" s="10">
        <v>18</v>
      </c>
      <c r="P796" s="10">
        <v>17</v>
      </c>
      <c r="Q796" s="26">
        <f t="shared" si="36"/>
        <v>195</v>
      </c>
      <c r="R796" s="25">
        <v>2220</v>
      </c>
      <c r="S796" s="10">
        <v>2192</v>
      </c>
      <c r="T796" s="10">
        <v>2101</v>
      </c>
      <c r="U796" s="10">
        <v>2059</v>
      </c>
      <c r="V796" s="10">
        <v>2401</v>
      </c>
      <c r="W796" s="10">
        <v>2641</v>
      </c>
      <c r="X796" s="10">
        <v>2433</v>
      </c>
      <c r="Y796" s="10">
        <v>2535</v>
      </c>
      <c r="Z796" s="10">
        <v>2062</v>
      </c>
      <c r="AA796" s="10">
        <v>2597</v>
      </c>
      <c r="AB796" s="10">
        <v>2850</v>
      </c>
      <c r="AC796" s="10">
        <v>3003</v>
      </c>
      <c r="AD796" s="26">
        <f t="shared" si="37"/>
        <v>29094</v>
      </c>
      <c r="AE796" s="25">
        <v>0</v>
      </c>
      <c r="AF796" s="10">
        <v>0</v>
      </c>
      <c r="AG796" s="10">
        <v>0</v>
      </c>
      <c r="AH796" s="10">
        <v>0</v>
      </c>
      <c r="AI796" s="10">
        <v>0</v>
      </c>
      <c r="AJ796" s="10">
        <v>0</v>
      </c>
      <c r="AK796" s="10">
        <v>0</v>
      </c>
      <c r="AL796" s="10">
        <v>0</v>
      </c>
      <c r="AM796" s="10">
        <v>0</v>
      </c>
      <c r="AN796" s="10">
        <v>0</v>
      </c>
      <c r="AO796" s="10">
        <v>0</v>
      </c>
      <c r="AP796" s="10">
        <v>0</v>
      </c>
      <c r="AQ796" s="26">
        <f t="shared" si="38"/>
        <v>0</v>
      </c>
    </row>
    <row r="797" spans="1:43" ht="17.25" customHeight="1" x14ac:dyDescent="0.45">
      <c r="A797" s="2" t="s">
        <v>177</v>
      </c>
      <c r="B797" s="2" t="s">
        <v>68</v>
      </c>
      <c r="C797" s="2" t="s">
        <v>17</v>
      </c>
      <c r="D797" s="2" t="s">
        <v>66</v>
      </c>
      <c r="E797" s="23">
        <v>18</v>
      </c>
      <c r="F797" s="1">
        <v>21</v>
      </c>
      <c r="G797" s="1">
        <v>23</v>
      </c>
      <c r="H797" s="1">
        <v>13</v>
      </c>
      <c r="I797" s="1">
        <v>6</v>
      </c>
      <c r="J797" s="1">
        <v>10</v>
      </c>
      <c r="K797" s="1">
        <v>8</v>
      </c>
      <c r="L797" s="1">
        <v>6</v>
      </c>
      <c r="M797" s="1">
        <v>0</v>
      </c>
      <c r="N797" s="1">
        <v>4</v>
      </c>
      <c r="O797" s="1">
        <v>11</v>
      </c>
      <c r="P797" s="1">
        <v>17</v>
      </c>
      <c r="Q797" s="24">
        <f t="shared" si="36"/>
        <v>137</v>
      </c>
      <c r="R797" s="23">
        <v>2135</v>
      </c>
      <c r="S797" s="1">
        <v>2600</v>
      </c>
      <c r="T797" s="1">
        <v>2937</v>
      </c>
      <c r="U797" s="1">
        <v>1751</v>
      </c>
      <c r="V797" s="1">
        <v>809</v>
      </c>
      <c r="W797" s="1">
        <v>1611</v>
      </c>
      <c r="X797" s="1">
        <v>1338</v>
      </c>
      <c r="Y797" s="1">
        <v>472</v>
      </c>
      <c r="Z797" s="1">
        <v>0</v>
      </c>
      <c r="AA797" s="1">
        <v>674</v>
      </c>
      <c r="AB797" s="1">
        <v>1733</v>
      </c>
      <c r="AC797" s="1">
        <v>2510</v>
      </c>
      <c r="AD797" s="24">
        <f t="shared" si="37"/>
        <v>18570</v>
      </c>
      <c r="AE797" s="23">
        <v>16</v>
      </c>
      <c r="AF797" s="1">
        <v>0</v>
      </c>
      <c r="AG797" s="1">
        <v>0</v>
      </c>
      <c r="AH797" s="1">
        <v>33</v>
      </c>
      <c r="AI797" s="1">
        <v>0</v>
      </c>
      <c r="AJ797" s="1">
        <v>33</v>
      </c>
      <c r="AK797" s="1">
        <v>0</v>
      </c>
      <c r="AL797" s="1">
        <v>0</v>
      </c>
      <c r="AM797" s="1">
        <v>0</v>
      </c>
      <c r="AN797" s="1">
        <v>0</v>
      </c>
      <c r="AO797" s="1">
        <v>67</v>
      </c>
      <c r="AP797" s="1">
        <v>121</v>
      </c>
      <c r="AQ797" s="24">
        <f t="shared" si="38"/>
        <v>270</v>
      </c>
    </row>
    <row r="798" spans="1:43" ht="17.25" customHeight="1" x14ac:dyDescent="0.45">
      <c r="A798" s="12" t="s">
        <v>177</v>
      </c>
      <c r="B798" s="12" t="s">
        <v>68</v>
      </c>
      <c r="C798" s="12" t="s">
        <v>48</v>
      </c>
      <c r="D798" s="12" t="s">
        <v>66</v>
      </c>
      <c r="E798" s="25">
        <v>22</v>
      </c>
      <c r="F798" s="10">
        <v>21</v>
      </c>
      <c r="G798" s="10">
        <v>27</v>
      </c>
      <c r="H798" s="10">
        <v>30</v>
      </c>
      <c r="I798" s="10">
        <v>31</v>
      </c>
      <c r="J798" s="10">
        <v>30</v>
      </c>
      <c r="K798" s="10">
        <v>31</v>
      </c>
      <c r="L798" s="10">
        <v>21</v>
      </c>
      <c r="M798" s="10">
        <v>4</v>
      </c>
      <c r="N798" s="10">
        <v>31</v>
      </c>
      <c r="O798" s="10">
        <v>37</v>
      </c>
      <c r="P798" s="10">
        <v>29</v>
      </c>
      <c r="Q798" s="26">
        <f t="shared" si="36"/>
        <v>314</v>
      </c>
      <c r="R798" s="25">
        <v>2487</v>
      </c>
      <c r="S798" s="10">
        <v>2745</v>
      </c>
      <c r="T798" s="10">
        <v>3756</v>
      </c>
      <c r="U798" s="10">
        <v>4390</v>
      </c>
      <c r="V798" s="10">
        <v>3086</v>
      </c>
      <c r="W798" s="10">
        <v>2158</v>
      </c>
      <c r="X798" s="10">
        <v>2159</v>
      </c>
      <c r="Y798" s="10">
        <v>1262</v>
      </c>
      <c r="Z798" s="10">
        <v>274</v>
      </c>
      <c r="AA798" s="10">
        <v>4591</v>
      </c>
      <c r="AB798" s="10">
        <v>5306</v>
      </c>
      <c r="AC798" s="10">
        <v>4098</v>
      </c>
      <c r="AD798" s="26">
        <f t="shared" si="37"/>
        <v>36312</v>
      </c>
      <c r="AE798" s="25">
        <v>80</v>
      </c>
      <c r="AF798" s="10">
        <v>41</v>
      </c>
      <c r="AG798" s="10">
        <v>0</v>
      </c>
      <c r="AH798" s="10">
        <v>41</v>
      </c>
      <c r="AI798" s="10">
        <v>0</v>
      </c>
      <c r="AJ798" s="10">
        <v>0</v>
      </c>
      <c r="AK798" s="10">
        <v>0</v>
      </c>
      <c r="AL798" s="10">
        <v>0</v>
      </c>
      <c r="AM798" s="10">
        <v>0</v>
      </c>
      <c r="AN798" s="10">
        <v>55</v>
      </c>
      <c r="AO798" s="10">
        <v>146</v>
      </c>
      <c r="AP798" s="10">
        <v>77</v>
      </c>
      <c r="AQ798" s="26">
        <f t="shared" si="38"/>
        <v>440</v>
      </c>
    </row>
    <row r="799" spans="1:43" ht="17.25" customHeight="1" x14ac:dyDescent="0.45">
      <c r="A799" s="2" t="s">
        <v>177</v>
      </c>
      <c r="B799" s="2" t="s">
        <v>68</v>
      </c>
      <c r="C799" s="2" t="s">
        <v>62</v>
      </c>
      <c r="D799" s="2" t="s">
        <v>66</v>
      </c>
      <c r="E799" s="23">
        <v>9</v>
      </c>
      <c r="F799" s="1">
        <v>8</v>
      </c>
      <c r="G799" s="1">
        <v>9</v>
      </c>
      <c r="H799" s="1">
        <v>8</v>
      </c>
      <c r="I799" s="1">
        <v>9</v>
      </c>
      <c r="J799" s="1">
        <v>9</v>
      </c>
      <c r="K799" s="1">
        <v>9</v>
      </c>
      <c r="L799" s="1">
        <v>8</v>
      </c>
      <c r="M799" s="1">
        <v>9</v>
      </c>
      <c r="N799" s="1">
        <v>9</v>
      </c>
      <c r="O799" s="1">
        <v>8</v>
      </c>
      <c r="P799" s="1">
        <v>9</v>
      </c>
      <c r="Q799" s="24">
        <f t="shared" si="36"/>
        <v>104</v>
      </c>
      <c r="R799" s="23">
        <v>1145</v>
      </c>
      <c r="S799" s="1">
        <v>683</v>
      </c>
      <c r="T799" s="1">
        <v>1026</v>
      </c>
      <c r="U799" s="1">
        <v>840</v>
      </c>
      <c r="V799" s="1">
        <v>1045</v>
      </c>
      <c r="W799" s="1">
        <v>1500</v>
      </c>
      <c r="X799" s="1">
        <v>1477</v>
      </c>
      <c r="Y799" s="1">
        <v>963</v>
      </c>
      <c r="Z799" s="1">
        <v>1256</v>
      </c>
      <c r="AA799" s="1">
        <v>1329</v>
      </c>
      <c r="AB799" s="1">
        <v>828</v>
      </c>
      <c r="AC799" s="1">
        <v>1431</v>
      </c>
      <c r="AD799" s="24">
        <f t="shared" si="37"/>
        <v>13523</v>
      </c>
      <c r="AE799" s="23">
        <v>0</v>
      </c>
      <c r="AF799" s="1">
        <v>0</v>
      </c>
      <c r="AG799" s="1">
        <v>0</v>
      </c>
      <c r="AH799" s="1">
        <v>0</v>
      </c>
      <c r="AI799" s="1">
        <v>0</v>
      </c>
      <c r="AJ799" s="1">
        <v>0</v>
      </c>
      <c r="AK799" s="1">
        <v>0</v>
      </c>
      <c r="AL799" s="1">
        <v>0</v>
      </c>
      <c r="AM799" s="1">
        <v>0</v>
      </c>
      <c r="AN799" s="1">
        <v>0</v>
      </c>
      <c r="AO799" s="1">
        <v>0</v>
      </c>
      <c r="AP799" s="1">
        <v>0</v>
      </c>
      <c r="AQ799" s="24">
        <f t="shared" si="38"/>
        <v>0</v>
      </c>
    </row>
    <row r="800" spans="1:43" ht="17.25" customHeight="1" x14ac:dyDescent="0.45">
      <c r="A800" s="12" t="s">
        <v>152</v>
      </c>
      <c r="B800" s="12" t="s">
        <v>153</v>
      </c>
      <c r="C800" s="12" t="s">
        <v>10</v>
      </c>
      <c r="D800" s="12" t="s">
        <v>66</v>
      </c>
      <c r="E800" s="25">
        <v>83</v>
      </c>
      <c r="F800" s="10">
        <v>64</v>
      </c>
      <c r="G800" s="10">
        <v>72</v>
      </c>
      <c r="H800" s="10">
        <v>64</v>
      </c>
      <c r="I800" s="10">
        <v>66</v>
      </c>
      <c r="J800" s="10">
        <v>65</v>
      </c>
      <c r="K800" s="10">
        <v>81</v>
      </c>
      <c r="L800" s="10">
        <v>83</v>
      </c>
      <c r="M800" s="10">
        <v>80</v>
      </c>
      <c r="N800" s="10">
        <v>84</v>
      </c>
      <c r="O800" s="10">
        <v>87</v>
      </c>
      <c r="P800" s="10">
        <v>92</v>
      </c>
      <c r="Q800" s="26">
        <f t="shared" si="36"/>
        <v>921</v>
      </c>
      <c r="R800" s="25">
        <v>11944</v>
      </c>
      <c r="S800" s="10">
        <v>7494</v>
      </c>
      <c r="T800" s="10">
        <v>8319</v>
      </c>
      <c r="U800" s="10">
        <v>7395</v>
      </c>
      <c r="V800" s="10">
        <v>6359</v>
      </c>
      <c r="W800" s="10">
        <v>7137</v>
      </c>
      <c r="X800" s="10">
        <v>8190</v>
      </c>
      <c r="Y800" s="10">
        <v>7722</v>
      </c>
      <c r="Z800" s="10">
        <v>7646</v>
      </c>
      <c r="AA800" s="10">
        <v>7767</v>
      </c>
      <c r="AB800" s="10">
        <v>8195</v>
      </c>
      <c r="AC800" s="10">
        <v>10430</v>
      </c>
      <c r="AD800" s="26">
        <f t="shared" si="37"/>
        <v>98598</v>
      </c>
      <c r="AE800" s="25">
        <v>1893</v>
      </c>
      <c r="AF800" s="10">
        <v>0</v>
      </c>
      <c r="AG800" s="10">
        <v>0</v>
      </c>
      <c r="AH800" s="10">
        <v>74</v>
      </c>
      <c r="AI800" s="10">
        <v>2346</v>
      </c>
      <c r="AJ800" s="10">
        <v>0</v>
      </c>
      <c r="AK800" s="10">
        <v>0</v>
      </c>
      <c r="AL800" s="10">
        <v>0</v>
      </c>
      <c r="AM800" s="10">
        <v>57</v>
      </c>
      <c r="AN800" s="10">
        <v>0</v>
      </c>
      <c r="AO800" s="10">
        <v>0</v>
      </c>
      <c r="AP800" s="10">
        <v>0</v>
      </c>
      <c r="AQ800" s="26">
        <f t="shared" si="38"/>
        <v>4370</v>
      </c>
    </row>
    <row r="801" spans="1:43" ht="17.25" customHeight="1" x14ac:dyDescent="0.45">
      <c r="A801" s="2" t="s">
        <v>152</v>
      </c>
      <c r="B801" s="2" t="s">
        <v>153</v>
      </c>
      <c r="C801" s="2" t="s">
        <v>11</v>
      </c>
      <c r="D801" s="2" t="s">
        <v>66</v>
      </c>
      <c r="E801" s="23">
        <v>0</v>
      </c>
      <c r="F801" s="1">
        <v>0</v>
      </c>
      <c r="G801" s="1">
        <v>0</v>
      </c>
      <c r="H801" s="1">
        <v>0</v>
      </c>
      <c r="I801" s="1">
        <v>0</v>
      </c>
      <c r="J801" s="1">
        <v>0</v>
      </c>
      <c r="K801" s="1">
        <v>0</v>
      </c>
      <c r="L801" s="1">
        <v>0</v>
      </c>
      <c r="M801" s="1">
        <v>0</v>
      </c>
      <c r="N801" s="1">
        <v>1</v>
      </c>
      <c r="O801" s="1">
        <v>9</v>
      </c>
      <c r="P801" s="1">
        <v>9</v>
      </c>
      <c r="Q801" s="24">
        <f t="shared" si="36"/>
        <v>19</v>
      </c>
      <c r="R801" s="23">
        <v>0</v>
      </c>
      <c r="S801" s="1">
        <v>0</v>
      </c>
      <c r="T801" s="1">
        <v>0</v>
      </c>
      <c r="U801" s="1">
        <v>0</v>
      </c>
      <c r="V801" s="1">
        <v>0</v>
      </c>
      <c r="W801" s="1">
        <v>0</v>
      </c>
      <c r="X801" s="1">
        <v>0</v>
      </c>
      <c r="Y801" s="1">
        <v>0</v>
      </c>
      <c r="Z801" s="1">
        <v>0</v>
      </c>
      <c r="AA801" s="1">
        <v>178</v>
      </c>
      <c r="AB801" s="1">
        <v>1028</v>
      </c>
      <c r="AC801" s="1">
        <v>920</v>
      </c>
      <c r="AD801" s="24">
        <f t="shared" si="37"/>
        <v>2126</v>
      </c>
      <c r="AE801" s="23">
        <v>0</v>
      </c>
      <c r="AF801" s="1">
        <v>0</v>
      </c>
      <c r="AG801" s="1">
        <v>0</v>
      </c>
      <c r="AH801" s="1">
        <v>0</v>
      </c>
      <c r="AI801" s="1">
        <v>0</v>
      </c>
      <c r="AJ801" s="1">
        <v>0</v>
      </c>
      <c r="AK801" s="1">
        <v>0</v>
      </c>
      <c r="AL801" s="1">
        <v>0</v>
      </c>
      <c r="AM801" s="1">
        <v>0</v>
      </c>
      <c r="AN801" s="1">
        <v>0</v>
      </c>
      <c r="AO801" s="1">
        <v>0</v>
      </c>
      <c r="AP801" s="1">
        <v>0</v>
      </c>
      <c r="AQ801" s="24">
        <f t="shared" si="38"/>
        <v>0</v>
      </c>
    </row>
    <row r="802" spans="1:43" ht="17.25" customHeight="1" x14ac:dyDescent="0.45">
      <c r="A802" s="12" t="s">
        <v>152</v>
      </c>
      <c r="B802" s="12" t="s">
        <v>153</v>
      </c>
      <c r="C802" s="12" t="s">
        <v>12</v>
      </c>
      <c r="D802" s="12" t="s">
        <v>66</v>
      </c>
      <c r="E802" s="25">
        <v>123</v>
      </c>
      <c r="F802" s="10">
        <v>116</v>
      </c>
      <c r="G802" s="10">
        <v>123</v>
      </c>
      <c r="H802" s="10">
        <v>117</v>
      </c>
      <c r="I802" s="10">
        <v>120</v>
      </c>
      <c r="J802" s="10">
        <v>119</v>
      </c>
      <c r="K802" s="10">
        <v>133</v>
      </c>
      <c r="L802" s="10">
        <v>127</v>
      </c>
      <c r="M802" s="10">
        <v>115</v>
      </c>
      <c r="N802" s="10">
        <v>120</v>
      </c>
      <c r="O802" s="10">
        <v>114</v>
      </c>
      <c r="P802" s="10">
        <v>120</v>
      </c>
      <c r="Q802" s="26">
        <f t="shared" si="36"/>
        <v>1447</v>
      </c>
      <c r="R802" s="25">
        <v>19478</v>
      </c>
      <c r="S802" s="10">
        <v>15880</v>
      </c>
      <c r="T802" s="10">
        <v>18198</v>
      </c>
      <c r="U802" s="10">
        <v>17558</v>
      </c>
      <c r="V802" s="10">
        <v>15226</v>
      </c>
      <c r="W802" s="10">
        <v>15995</v>
      </c>
      <c r="X802" s="10">
        <v>17892</v>
      </c>
      <c r="Y802" s="10">
        <v>18318</v>
      </c>
      <c r="Z802" s="10">
        <v>15794</v>
      </c>
      <c r="AA802" s="10">
        <v>17408</v>
      </c>
      <c r="AB802" s="10">
        <v>15931</v>
      </c>
      <c r="AC802" s="10">
        <v>16638</v>
      </c>
      <c r="AD802" s="26">
        <f t="shared" si="37"/>
        <v>204316</v>
      </c>
      <c r="AE802" s="25">
        <v>99583</v>
      </c>
      <c r="AF802" s="10">
        <v>98943</v>
      </c>
      <c r="AG802" s="10">
        <v>89773</v>
      </c>
      <c r="AH802" s="10">
        <v>104306</v>
      </c>
      <c r="AI802" s="10">
        <v>138749</v>
      </c>
      <c r="AJ802" s="10">
        <v>119841</v>
      </c>
      <c r="AK802" s="10">
        <v>125606</v>
      </c>
      <c r="AL802" s="10">
        <v>137895.22</v>
      </c>
      <c r="AM802" s="10">
        <v>130527</v>
      </c>
      <c r="AN802" s="10">
        <v>129658</v>
      </c>
      <c r="AO802" s="10">
        <v>144094</v>
      </c>
      <c r="AP802" s="10">
        <v>132405</v>
      </c>
      <c r="AQ802" s="26">
        <f t="shared" si="38"/>
        <v>1451380.22</v>
      </c>
    </row>
    <row r="803" spans="1:43" ht="17.25" customHeight="1" x14ac:dyDescent="0.45">
      <c r="A803" s="2" t="s">
        <v>298</v>
      </c>
      <c r="B803" s="2" t="s">
        <v>299</v>
      </c>
      <c r="C803" s="2" t="s">
        <v>10</v>
      </c>
      <c r="D803" s="2" t="s">
        <v>66</v>
      </c>
      <c r="E803" s="23">
        <v>0</v>
      </c>
      <c r="F803" s="1">
        <v>0</v>
      </c>
      <c r="G803" s="1">
        <v>0</v>
      </c>
      <c r="H803" s="1">
        <v>0</v>
      </c>
      <c r="I803" s="1">
        <v>0</v>
      </c>
      <c r="J803" s="1">
        <v>5</v>
      </c>
      <c r="K803" s="1">
        <v>0</v>
      </c>
      <c r="L803" s="1">
        <v>0</v>
      </c>
      <c r="M803" s="1">
        <v>0</v>
      </c>
      <c r="N803" s="1">
        <v>2</v>
      </c>
      <c r="O803" s="1">
        <v>0</v>
      </c>
      <c r="P803" s="1">
        <v>13</v>
      </c>
      <c r="Q803" s="24">
        <f t="shared" si="36"/>
        <v>20</v>
      </c>
      <c r="R803" s="23">
        <v>0</v>
      </c>
      <c r="S803" s="1">
        <v>0</v>
      </c>
      <c r="T803" s="1">
        <v>0</v>
      </c>
      <c r="U803" s="1">
        <v>0</v>
      </c>
      <c r="V803" s="1">
        <v>0</v>
      </c>
      <c r="W803" s="1">
        <v>738</v>
      </c>
      <c r="X803" s="1">
        <v>0</v>
      </c>
      <c r="Y803" s="1">
        <v>0</v>
      </c>
      <c r="Z803" s="1">
        <v>0</v>
      </c>
      <c r="AA803" s="1">
        <v>216</v>
      </c>
      <c r="AB803" s="1">
        <v>0</v>
      </c>
      <c r="AC803" s="1">
        <v>1029</v>
      </c>
      <c r="AD803" s="24">
        <f t="shared" si="37"/>
        <v>1983</v>
      </c>
      <c r="AE803" s="23">
        <v>0</v>
      </c>
      <c r="AF803" s="1">
        <v>0</v>
      </c>
      <c r="AG803" s="1">
        <v>0</v>
      </c>
      <c r="AH803" s="1">
        <v>0</v>
      </c>
      <c r="AI803" s="1">
        <v>0</v>
      </c>
      <c r="AJ803" s="1">
        <v>0</v>
      </c>
      <c r="AK803" s="1">
        <v>0</v>
      </c>
      <c r="AL803" s="1">
        <v>0</v>
      </c>
      <c r="AM803" s="1">
        <v>0</v>
      </c>
      <c r="AN803" s="1">
        <v>0</v>
      </c>
      <c r="AO803" s="1">
        <v>0</v>
      </c>
      <c r="AP803" s="1">
        <v>0</v>
      </c>
      <c r="AQ803" s="24">
        <f t="shared" si="38"/>
        <v>0</v>
      </c>
    </row>
    <row r="804" spans="1:43" ht="17.25" customHeight="1" x14ac:dyDescent="0.45">
      <c r="A804" s="12" t="s">
        <v>30</v>
      </c>
      <c r="B804" s="12" t="s">
        <v>66</v>
      </c>
      <c r="C804" s="12" t="s">
        <v>67</v>
      </c>
      <c r="D804" s="12" t="s">
        <v>68</v>
      </c>
      <c r="E804" s="25">
        <v>61</v>
      </c>
      <c r="F804" s="10">
        <v>58</v>
      </c>
      <c r="G804" s="10">
        <v>59</v>
      </c>
      <c r="H804" s="10">
        <v>57</v>
      </c>
      <c r="I804" s="10">
        <v>59</v>
      </c>
      <c r="J804" s="10">
        <v>59</v>
      </c>
      <c r="K804" s="10">
        <v>61</v>
      </c>
      <c r="L804" s="10">
        <v>62</v>
      </c>
      <c r="M804" s="10">
        <v>34</v>
      </c>
      <c r="N804" s="10">
        <v>31</v>
      </c>
      <c r="O804" s="10">
        <v>52</v>
      </c>
      <c r="P804" s="10">
        <v>60</v>
      </c>
      <c r="Q804" s="26">
        <f t="shared" si="36"/>
        <v>653</v>
      </c>
      <c r="R804" s="25">
        <v>5664</v>
      </c>
      <c r="S804" s="10">
        <v>4464</v>
      </c>
      <c r="T804" s="10">
        <v>5811</v>
      </c>
      <c r="U804" s="10">
        <v>5121</v>
      </c>
      <c r="V804" s="10">
        <v>5491</v>
      </c>
      <c r="W804" s="10">
        <v>5544</v>
      </c>
      <c r="X804" s="10">
        <v>7343</v>
      </c>
      <c r="Y804" s="10">
        <v>6965</v>
      </c>
      <c r="Z804" s="10">
        <v>3912</v>
      </c>
      <c r="AA804" s="10">
        <v>3565</v>
      </c>
      <c r="AB804" s="10">
        <v>5109</v>
      </c>
      <c r="AC804" s="10">
        <v>5736</v>
      </c>
      <c r="AD804" s="26">
        <f t="shared" si="37"/>
        <v>64725</v>
      </c>
      <c r="AE804" s="25">
        <v>0</v>
      </c>
      <c r="AF804" s="10">
        <v>0</v>
      </c>
      <c r="AG804" s="10">
        <v>3.1751465900000002</v>
      </c>
      <c r="AH804" s="10">
        <v>0</v>
      </c>
      <c r="AI804" s="10">
        <v>0</v>
      </c>
      <c r="AJ804" s="10">
        <v>52.616714920000007</v>
      </c>
      <c r="AK804" s="10">
        <v>0</v>
      </c>
      <c r="AL804" s="10">
        <v>150.59266683999999</v>
      </c>
      <c r="AM804" s="10">
        <v>39.916128560000004</v>
      </c>
      <c r="AN804" s="10">
        <v>0</v>
      </c>
      <c r="AO804" s="10">
        <v>28.576319310000002</v>
      </c>
      <c r="AP804" s="10">
        <v>0</v>
      </c>
      <c r="AQ804" s="26">
        <f t="shared" si="38"/>
        <v>274.87697621999996</v>
      </c>
    </row>
    <row r="805" spans="1:43" ht="17.25" customHeight="1" x14ac:dyDescent="0.45">
      <c r="A805" s="2" t="s">
        <v>30</v>
      </c>
      <c r="B805" s="2" t="s">
        <v>66</v>
      </c>
      <c r="C805" s="2" t="s">
        <v>69</v>
      </c>
      <c r="D805" s="2" t="s">
        <v>68</v>
      </c>
      <c r="E805" s="23">
        <v>58</v>
      </c>
      <c r="F805" s="1">
        <v>58</v>
      </c>
      <c r="G805" s="1">
        <v>62</v>
      </c>
      <c r="H805" s="1">
        <v>60</v>
      </c>
      <c r="I805" s="1">
        <v>58</v>
      </c>
      <c r="J805" s="1">
        <v>58</v>
      </c>
      <c r="K805" s="1">
        <v>55</v>
      </c>
      <c r="L805" s="1">
        <v>62</v>
      </c>
      <c r="M805" s="1">
        <v>60</v>
      </c>
      <c r="N805" s="1">
        <v>62</v>
      </c>
      <c r="O805" s="1">
        <v>60</v>
      </c>
      <c r="P805" s="1">
        <v>61</v>
      </c>
      <c r="Q805" s="24">
        <f t="shared" si="36"/>
        <v>714</v>
      </c>
      <c r="R805" s="23">
        <v>3430</v>
      </c>
      <c r="S805" s="1">
        <v>2941</v>
      </c>
      <c r="T805" s="1">
        <v>4582</v>
      </c>
      <c r="U805" s="1">
        <v>3792</v>
      </c>
      <c r="V805" s="1">
        <v>3344</v>
      </c>
      <c r="W805" s="1">
        <v>4064</v>
      </c>
      <c r="X805" s="1">
        <v>4945</v>
      </c>
      <c r="Y805" s="1">
        <v>4636</v>
      </c>
      <c r="Z805" s="1">
        <v>3928</v>
      </c>
      <c r="AA805" s="1">
        <v>4253</v>
      </c>
      <c r="AB805" s="1">
        <v>4524</v>
      </c>
      <c r="AC805" s="1">
        <v>4442</v>
      </c>
      <c r="AD805" s="24">
        <f t="shared" si="37"/>
        <v>48881</v>
      </c>
      <c r="AE805" s="23">
        <v>0</v>
      </c>
      <c r="AF805" s="1">
        <v>0</v>
      </c>
      <c r="AG805" s="1">
        <v>0</v>
      </c>
      <c r="AH805" s="1">
        <v>0</v>
      </c>
      <c r="AI805" s="1">
        <v>0</v>
      </c>
      <c r="AJ805" s="1">
        <v>0</v>
      </c>
      <c r="AK805" s="1">
        <v>0</v>
      </c>
      <c r="AL805" s="1">
        <v>0</v>
      </c>
      <c r="AM805" s="1">
        <v>0</v>
      </c>
      <c r="AN805" s="1">
        <v>0</v>
      </c>
      <c r="AO805" s="1">
        <v>0</v>
      </c>
      <c r="AP805" s="1">
        <v>0</v>
      </c>
      <c r="AQ805" s="24">
        <f t="shared" si="38"/>
        <v>0</v>
      </c>
    </row>
    <row r="806" spans="1:43" ht="17.25" customHeight="1" x14ac:dyDescent="0.45">
      <c r="A806" s="12" t="s">
        <v>200</v>
      </c>
      <c r="B806" s="12" t="s">
        <v>172</v>
      </c>
      <c r="C806" s="12" t="s">
        <v>12</v>
      </c>
      <c r="D806" s="12" t="s">
        <v>66</v>
      </c>
      <c r="E806" s="25">
        <v>29</v>
      </c>
      <c r="F806" s="10">
        <v>29</v>
      </c>
      <c r="G806" s="10">
        <v>30</v>
      </c>
      <c r="H806" s="10">
        <v>14</v>
      </c>
      <c r="I806" s="10">
        <v>13</v>
      </c>
      <c r="J806" s="10">
        <v>13</v>
      </c>
      <c r="K806" s="10">
        <v>13</v>
      </c>
      <c r="L806" s="10">
        <v>14</v>
      </c>
      <c r="M806" s="10">
        <v>12</v>
      </c>
      <c r="N806" s="10">
        <v>14</v>
      </c>
      <c r="O806" s="10">
        <v>13</v>
      </c>
      <c r="P806" s="10">
        <v>13</v>
      </c>
      <c r="Q806" s="26">
        <f t="shared" si="36"/>
        <v>207</v>
      </c>
      <c r="R806" s="25">
        <v>2249</v>
      </c>
      <c r="S806" s="10">
        <v>1753</v>
      </c>
      <c r="T806" s="10">
        <v>1999</v>
      </c>
      <c r="U806" s="10">
        <v>1249</v>
      </c>
      <c r="V806" s="10">
        <v>974</v>
      </c>
      <c r="W806" s="10">
        <v>1092</v>
      </c>
      <c r="X806" s="10">
        <v>1083</v>
      </c>
      <c r="Y806" s="10">
        <v>1186</v>
      </c>
      <c r="Z806" s="10">
        <v>1024</v>
      </c>
      <c r="AA806" s="10">
        <v>1041</v>
      </c>
      <c r="AB806" s="10">
        <v>1066</v>
      </c>
      <c r="AC806" s="10">
        <v>953</v>
      </c>
      <c r="AD806" s="26">
        <f t="shared" si="37"/>
        <v>15669</v>
      </c>
      <c r="AE806" s="25">
        <v>13</v>
      </c>
      <c r="AF806" s="10">
        <v>0</v>
      </c>
      <c r="AG806" s="10">
        <v>0</v>
      </c>
      <c r="AH806" s="10">
        <v>13</v>
      </c>
      <c r="AI806" s="10">
        <v>0</v>
      </c>
      <c r="AJ806" s="10">
        <v>0</v>
      </c>
      <c r="AK806" s="10">
        <v>0</v>
      </c>
      <c r="AL806" s="10">
        <v>0</v>
      </c>
      <c r="AM806" s="10">
        <v>0</v>
      </c>
      <c r="AN806" s="10">
        <v>0</v>
      </c>
      <c r="AO806" s="10">
        <v>0</v>
      </c>
      <c r="AP806" s="10">
        <v>0</v>
      </c>
      <c r="AQ806" s="26">
        <f t="shared" si="38"/>
        <v>26</v>
      </c>
    </row>
    <row r="807" spans="1:43" ht="17.25" customHeight="1" x14ac:dyDescent="0.45">
      <c r="A807" s="2" t="s">
        <v>154</v>
      </c>
      <c r="B807" s="2" t="s">
        <v>155</v>
      </c>
      <c r="C807" s="2" t="s">
        <v>10</v>
      </c>
      <c r="D807" s="2" t="s">
        <v>66</v>
      </c>
      <c r="E807" s="23">
        <v>8</v>
      </c>
      <c r="F807" s="1">
        <v>2</v>
      </c>
      <c r="G807" s="1">
        <v>3</v>
      </c>
      <c r="H807" s="1">
        <v>0</v>
      </c>
      <c r="I807" s="1">
        <v>0</v>
      </c>
      <c r="J807" s="1">
        <v>0</v>
      </c>
      <c r="K807" s="1">
        <v>0</v>
      </c>
      <c r="L807" s="1">
        <v>0</v>
      </c>
      <c r="M807" s="1">
        <v>0</v>
      </c>
      <c r="N807" s="1">
        <v>0</v>
      </c>
      <c r="O807" s="1">
        <v>0</v>
      </c>
      <c r="P807" s="1">
        <v>0</v>
      </c>
      <c r="Q807" s="24">
        <f t="shared" si="36"/>
        <v>13</v>
      </c>
      <c r="R807" s="23">
        <v>737</v>
      </c>
      <c r="S807" s="1">
        <v>68</v>
      </c>
      <c r="T807" s="1">
        <v>377</v>
      </c>
      <c r="U807" s="1">
        <v>0</v>
      </c>
      <c r="V807" s="1">
        <v>0</v>
      </c>
      <c r="W807" s="1">
        <v>0</v>
      </c>
      <c r="X807" s="1">
        <v>0</v>
      </c>
      <c r="Y807" s="1">
        <v>0</v>
      </c>
      <c r="Z807" s="1">
        <v>0</v>
      </c>
      <c r="AA807" s="1">
        <v>0</v>
      </c>
      <c r="AB807" s="1">
        <v>0</v>
      </c>
      <c r="AC807" s="1">
        <v>0</v>
      </c>
      <c r="AD807" s="24">
        <f t="shared" si="37"/>
        <v>1182</v>
      </c>
      <c r="AE807" s="23">
        <v>0</v>
      </c>
      <c r="AF807" s="1">
        <v>0</v>
      </c>
      <c r="AG807" s="1">
        <v>0</v>
      </c>
      <c r="AH807" s="1">
        <v>0</v>
      </c>
      <c r="AI807" s="1">
        <v>0</v>
      </c>
      <c r="AJ807" s="1">
        <v>0</v>
      </c>
      <c r="AK807" s="1">
        <v>0</v>
      </c>
      <c r="AL807" s="1">
        <v>0</v>
      </c>
      <c r="AM807" s="1">
        <v>0</v>
      </c>
      <c r="AN807" s="1">
        <v>0</v>
      </c>
      <c r="AO807" s="1">
        <v>0</v>
      </c>
      <c r="AP807" s="1">
        <v>0</v>
      </c>
      <c r="AQ807" s="24">
        <f t="shared" si="38"/>
        <v>0</v>
      </c>
    </row>
    <row r="808" spans="1:43" ht="17.25" customHeight="1" x14ac:dyDescent="0.45">
      <c r="A808" s="12" t="s">
        <v>154</v>
      </c>
      <c r="B808" s="12" t="s">
        <v>155</v>
      </c>
      <c r="C808" s="12" t="s">
        <v>12</v>
      </c>
      <c r="D808" s="12" t="s">
        <v>66</v>
      </c>
      <c r="E808" s="25">
        <v>78</v>
      </c>
      <c r="F808" s="10">
        <v>74</v>
      </c>
      <c r="G808" s="10">
        <v>79</v>
      </c>
      <c r="H808" s="10">
        <v>65</v>
      </c>
      <c r="I808" s="10">
        <v>67</v>
      </c>
      <c r="J808" s="10">
        <v>64</v>
      </c>
      <c r="K808" s="10">
        <v>68</v>
      </c>
      <c r="L808" s="10">
        <v>66</v>
      </c>
      <c r="M808" s="10">
        <v>63</v>
      </c>
      <c r="N808" s="10">
        <v>71</v>
      </c>
      <c r="O808" s="10">
        <v>64</v>
      </c>
      <c r="P808" s="10">
        <v>67</v>
      </c>
      <c r="Q808" s="26">
        <f t="shared" si="36"/>
        <v>826</v>
      </c>
      <c r="R808" s="25">
        <v>9963</v>
      </c>
      <c r="S808" s="10">
        <v>7973</v>
      </c>
      <c r="T808" s="10">
        <v>8599</v>
      </c>
      <c r="U808" s="10">
        <v>7914</v>
      </c>
      <c r="V808" s="10">
        <v>7595</v>
      </c>
      <c r="W808" s="10">
        <v>7381</v>
      </c>
      <c r="X808" s="10">
        <v>8123</v>
      </c>
      <c r="Y808" s="10">
        <v>8267</v>
      </c>
      <c r="Z808" s="10">
        <v>7470</v>
      </c>
      <c r="AA808" s="10">
        <v>8197</v>
      </c>
      <c r="AB808" s="10">
        <v>7876</v>
      </c>
      <c r="AC808" s="10">
        <v>7235</v>
      </c>
      <c r="AD808" s="26">
        <f t="shared" si="37"/>
        <v>96593</v>
      </c>
      <c r="AE808" s="25">
        <v>20271</v>
      </c>
      <c r="AF808" s="10">
        <v>17609</v>
      </c>
      <c r="AG808" s="10">
        <v>13664</v>
      </c>
      <c r="AH808" s="10">
        <v>16198</v>
      </c>
      <c r="AI808" s="10">
        <v>26231</v>
      </c>
      <c r="AJ808" s="10">
        <v>34350</v>
      </c>
      <c r="AK808" s="10">
        <v>34121</v>
      </c>
      <c r="AL808" s="10">
        <v>35091</v>
      </c>
      <c r="AM808" s="10">
        <v>35310</v>
      </c>
      <c r="AN808" s="10">
        <v>29779</v>
      </c>
      <c r="AO808" s="10">
        <v>31624</v>
      </c>
      <c r="AP808" s="10">
        <v>26802</v>
      </c>
      <c r="AQ808" s="26">
        <f t="shared" si="38"/>
        <v>321050</v>
      </c>
    </row>
    <row r="809" spans="1:43" ht="17.25" customHeight="1" x14ac:dyDescent="0.45">
      <c r="A809" s="2" t="s">
        <v>204</v>
      </c>
      <c r="B809" s="2" t="s">
        <v>68</v>
      </c>
      <c r="C809" s="2" t="s">
        <v>17</v>
      </c>
      <c r="D809" s="2" t="s">
        <v>66</v>
      </c>
      <c r="E809" s="23">
        <v>17</v>
      </c>
      <c r="F809" s="1">
        <v>27</v>
      </c>
      <c r="G809" s="1">
        <v>31</v>
      </c>
      <c r="H809" s="1">
        <v>30</v>
      </c>
      <c r="I809" s="1">
        <v>31</v>
      </c>
      <c r="J809" s="1">
        <v>30</v>
      </c>
      <c r="K809" s="1">
        <v>31</v>
      </c>
      <c r="L809" s="1">
        <v>23</v>
      </c>
      <c r="M809" s="1">
        <v>22</v>
      </c>
      <c r="N809" s="1">
        <v>21</v>
      </c>
      <c r="O809" s="1">
        <v>29</v>
      </c>
      <c r="P809" s="1">
        <v>30</v>
      </c>
      <c r="Q809" s="24">
        <f t="shared" si="36"/>
        <v>322</v>
      </c>
      <c r="R809" s="23">
        <v>1799</v>
      </c>
      <c r="S809" s="1">
        <v>3290</v>
      </c>
      <c r="T809" s="1">
        <v>3880</v>
      </c>
      <c r="U809" s="1">
        <v>3448</v>
      </c>
      <c r="V809" s="1">
        <v>3703</v>
      </c>
      <c r="W809" s="1">
        <v>4161</v>
      </c>
      <c r="X809" s="1">
        <v>4113</v>
      </c>
      <c r="Y809" s="1">
        <v>2468</v>
      </c>
      <c r="Z809" s="1">
        <v>2140</v>
      </c>
      <c r="AA809" s="1">
        <v>2665</v>
      </c>
      <c r="AB809" s="1">
        <v>3299</v>
      </c>
      <c r="AC809" s="1">
        <v>3542</v>
      </c>
      <c r="AD809" s="24">
        <f t="shared" si="37"/>
        <v>38508</v>
      </c>
      <c r="AE809" s="23">
        <v>0</v>
      </c>
      <c r="AF809" s="1">
        <v>0</v>
      </c>
      <c r="AG809" s="1">
        <v>0</v>
      </c>
      <c r="AH809" s="1">
        <v>0</v>
      </c>
      <c r="AI809" s="1">
        <v>0</v>
      </c>
      <c r="AJ809" s="1">
        <v>0</v>
      </c>
      <c r="AK809" s="1">
        <v>0</v>
      </c>
      <c r="AL809" s="1">
        <v>0</v>
      </c>
      <c r="AM809" s="1">
        <v>0</v>
      </c>
      <c r="AN809" s="1">
        <v>0</v>
      </c>
      <c r="AO809" s="1">
        <v>0</v>
      </c>
      <c r="AP809" s="1">
        <v>0</v>
      </c>
      <c r="AQ809" s="24">
        <f t="shared" si="38"/>
        <v>0</v>
      </c>
    </row>
    <row r="810" spans="1:43" ht="17.25" customHeight="1" x14ac:dyDescent="0.45">
      <c r="A810" s="12" t="s">
        <v>204</v>
      </c>
      <c r="B810" s="12" t="s">
        <v>68</v>
      </c>
      <c r="C810" s="12" t="s">
        <v>48</v>
      </c>
      <c r="D810" s="12" t="s">
        <v>66</v>
      </c>
      <c r="E810" s="25">
        <v>31</v>
      </c>
      <c r="F810" s="10">
        <v>29</v>
      </c>
      <c r="G810" s="10">
        <v>31</v>
      </c>
      <c r="H810" s="10">
        <v>30</v>
      </c>
      <c r="I810" s="10">
        <v>31</v>
      </c>
      <c r="J810" s="10">
        <v>29</v>
      </c>
      <c r="K810" s="10">
        <v>31</v>
      </c>
      <c r="L810" s="10">
        <v>31</v>
      </c>
      <c r="M810" s="10">
        <v>30</v>
      </c>
      <c r="N810" s="10">
        <v>31</v>
      </c>
      <c r="O810" s="10">
        <v>30</v>
      </c>
      <c r="P810" s="10">
        <v>31</v>
      </c>
      <c r="Q810" s="26">
        <f t="shared" si="36"/>
        <v>365</v>
      </c>
      <c r="R810" s="25">
        <v>4101</v>
      </c>
      <c r="S810" s="10">
        <v>3843</v>
      </c>
      <c r="T810" s="10">
        <v>4196</v>
      </c>
      <c r="U810" s="10">
        <v>3889</v>
      </c>
      <c r="V810" s="10">
        <v>4119</v>
      </c>
      <c r="W810" s="10">
        <v>4053</v>
      </c>
      <c r="X810" s="10">
        <v>4221</v>
      </c>
      <c r="Y810" s="10">
        <v>3910</v>
      </c>
      <c r="Z810" s="10">
        <v>3585</v>
      </c>
      <c r="AA810" s="10">
        <v>3962</v>
      </c>
      <c r="AB810" s="10">
        <v>3684</v>
      </c>
      <c r="AC810" s="10">
        <v>3728</v>
      </c>
      <c r="AD810" s="26">
        <f t="shared" si="37"/>
        <v>47291</v>
      </c>
      <c r="AE810" s="25">
        <v>0</v>
      </c>
      <c r="AF810" s="10">
        <v>0</v>
      </c>
      <c r="AG810" s="10">
        <v>0</v>
      </c>
      <c r="AH810" s="10">
        <v>0</v>
      </c>
      <c r="AI810" s="10">
        <v>0</v>
      </c>
      <c r="AJ810" s="10">
        <v>0</v>
      </c>
      <c r="AK810" s="10">
        <v>0</v>
      </c>
      <c r="AL810" s="10">
        <v>0</v>
      </c>
      <c r="AM810" s="10">
        <v>0</v>
      </c>
      <c r="AN810" s="10">
        <v>0</v>
      </c>
      <c r="AO810" s="10">
        <v>0</v>
      </c>
      <c r="AP810" s="10">
        <v>0</v>
      </c>
      <c r="AQ810" s="26">
        <f t="shared" si="38"/>
        <v>0</v>
      </c>
    </row>
    <row r="811" spans="1:43" ht="17.25" customHeight="1" x14ac:dyDescent="0.45">
      <c r="A811" s="2" t="s">
        <v>217</v>
      </c>
      <c r="B811" s="2" t="s">
        <v>96</v>
      </c>
      <c r="C811" s="2" t="s">
        <v>10</v>
      </c>
      <c r="D811" s="2" t="s">
        <v>66</v>
      </c>
      <c r="E811" s="23">
        <v>5</v>
      </c>
      <c r="F811" s="1">
        <v>4</v>
      </c>
      <c r="G811" s="1">
        <v>4</v>
      </c>
      <c r="H811" s="1">
        <v>4</v>
      </c>
      <c r="I811" s="1">
        <v>2</v>
      </c>
      <c r="J811" s="1">
        <v>0</v>
      </c>
      <c r="K811" s="1">
        <v>0</v>
      </c>
      <c r="L811" s="1">
        <v>0</v>
      </c>
      <c r="M811" s="1">
        <v>0</v>
      </c>
      <c r="N811" s="1">
        <v>0</v>
      </c>
      <c r="O811" s="1">
        <v>0</v>
      </c>
      <c r="P811" s="1">
        <v>0</v>
      </c>
      <c r="Q811" s="24">
        <f t="shared" si="36"/>
        <v>19</v>
      </c>
      <c r="R811" s="23">
        <v>317</v>
      </c>
      <c r="S811" s="1">
        <v>169</v>
      </c>
      <c r="T811" s="1">
        <v>208</v>
      </c>
      <c r="U811" s="1">
        <v>209</v>
      </c>
      <c r="V811" s="1">
        <v>99</v>
      </c>
      <c r="W811" s="1">
        <v>0</v>
      </c>
      <c r="X811" s="1">
        <v>0</v>
      </c>
      <c r="Y811" s="1">
        <v>0</v>
      </c>
      <c r="Z811" s="1">
        <v>0</v>
      </c>
      <c r="AA811" s="1">
        <v>0</v>
      </c>
      <c r="AB811" s="1">
        <v>0</v>
      </c>
      <c r="AC811" s="1">
        <v>0</v>
      </c>
      <c r="AD811" s="24">
        <f t="shared" si="37"/>
        <v>1002</v>
      </c>
      <c r="AE811" s="23">
        <v>0</v>
      </c>
      <c r="AF811" s="1">
        <v>0</v>
      </c>
      <c r="AG811" s="1">
        <v>0</v>
      </c>
      <c r="AH811" s="1">
        <v>0</v>
      </c>
      <c r="AI811" s="1">
        <v>0</v>
      </c>
      <c r="AJ811" s="1">
        <v>0</v>
      </c>
      <c r="AK811" s="1">
        <v>0</v>
      </c>
      <c r="AL811" s="1">
        <v>0</v>
      </c>
      <c r="AM811" s="1">
        <v>0</v>
      </c>
      <c r="AN811" s="1">
        <v>0</v>
      </c>
      <c r="AO811" s="1">
        <v>0</v>
      </c>
      <c r="AP811" s="1">
        <v>0</v>
      </c>
      <c r="AQ811" s="24">
        <f t="shared" si="38"/>
        <v>0</v>
      </c>
    </row>
    <row r="812" spans="1:43" ht="17.25" customHeight="1" x14ac:dyDescent="0.45">
      <c r="A812" s="12" t="s">
        <v>14</v>
      </c>
      <c r="B812" s="12" t="s">
        <v>66</v>
      </c>
      <c r="C812" s="12" t="s">
        <v>86</v>
      </c>
      <c r="D812" s="12" t="s">
        <v>87</v>
      </c>
      <c r="E812" s="25">
        <v>6</v>
      </c>
      <c r="F812" s="10">
        <v>8</v>
      </c>
      <c r="G812" s="10">
        <v>11</v>
      </c>
      <c r="H812" s="10">
        <v>37</v>
      </c>
      <c r="I812" s="10">
        <v>36</v>
      </c>
      <c r="J812" s="10">
        <v>34</v>
      </c>
      <c r="K812" s="10">
        <v>43</v>
      </c>
      <c r="L812" s="10">
        <v>49</v>
      </c>
      <c r="M812" s="10">
        <v>39</v>
      </c>
      <c r="N812" s="10">
        <v>39</v>
      </c>
      <c r="O812" s="10">
        <v>42</v>
      </c>
      <c r="P812" s="10">
        <v>43</v>
      </c>
      <c r="Q812" s="26">
        <f t="shared" si="36"/>
        <v>387</v>
      </c>
      <c r="R812" s="25">
        <v>0</v>
      </c>
      <c r="S812" s="10">
        <v>0</v>
      </c>
      <c r="T812" s="10">
        <v>338</v>
      </c>
      <c r="U812" s="10">
        <v>3659</v>
      </c>
      <c r="V812" s="10">
        <v>3710</v>
      </c>
      <c r="W812" s="10">
        <v>4406</v>
      </c>
      <c r="X812" s="10">
        <v>5163</v>
      </c>
      <c r="Y812" s="10">
        <v>4162</v>
      </c>
      <c r="Z812" s="10">
        <v>4476</v>
      </c>
      <c r="AA812" s="10">
        <v>4309</v>
      </c>
      <c r="AB812" s="10">
        <v>5051</v>
      </c>
      <c r="AC812" s="10">
        <v>4910</v>
      </c>
      <c r="AD812" s="26">
        <f t="shared" si="37"/>
        <v>40184</v>
      </c>
      <c r="AE812" s="25">
        <v>139313</v>
      </c>
      <c r="AF812" s="10">
        <v>175331.08000000002</v>
      </c>
      <c r="AG812" s="10">
        <v>181400.23</v>
      </c>
      <c r="AH812" s="10">
        <v>167856.59</v>
      </c>
      <c r="AI812" s="10">
        <v>206057</v>
      </c>
      <c r="AJ812" s="10">
        <v>127415</v>
      </c>
      <c r="AK812" s="10">
        <v>339040.6</v>
      </c>
      <c r="AL812" s="10">
        <v>341116.66633329797</v>
      </c>
      <c r="AM812" s="10">
        <v>425743.8</v>
      </c>
      <c r="AN812" s="10">
        <v>334268.5</v>
      </c>
      <c r="AO812" s="10">
        <v>585168.86499999999</v>
      </c>
      <c r="AP812" s="10">
        <v>486239</v>
      </c>
      <c r="AQ812" s="26">
        <f t="shared" si="38"/>
        <v>3508950.3313332982</v>
      </c>
    </row>
    <row r="813" spans="1:43" ht="17.25" customHeight="1" x14ac:dyDescent="0.45">
      <c r="A813" s="2" t="s">
        <v>14</v>
      </c>
      <c r="B813" s="2" t="s">
        <v>66</v>
      </c>
      <c r="C813" s="2" t="s">
        <v>197</v>
      </c>
      <c r="D813" s="2" t="s">
        <v>89</v>
      </c>
      <c r="E813" s="23">
        <v>5</v>
      </c>
      <c r="F813" s="1">
        <v>6</v>
      </c>
      <c r="G813" s="1">
        <v>4</v>
      </c>
      <c r="H813" s="1">
        <v>8</v>
      </c>
      <c r="I813" s="1">
        <v>5</v>
      </c>
      <c r="J813" s="1">
        <v>3</v>
      </c>
      <c r="K813" s="1">
        <v>8</v>
      </c>
      <c r="L813" s="1">
        <v>6</v>
      </c>
      <c r="M813" s="1">
        <v>11</v>
      </c>
      <c r="N813" s="1">
        <v>2</v>
      </c>
      <c r="O813" s="1">
        <v>2</v>
      </c>
      <c r="P813" s="1">
        <v>9</v>
      </c>
      <c r="Q813" s="24">
        <f t="shared" si="36"/>
        <v>69</v>
      </c>
      <c r="R813" s="23">
        <v>0</v>
      </c>
      <c r="S813" s="1">
        <v>0</v>
      </c>
      <c r="T813" s="1">
        <v>0</v>
      </c>
      <c r="U813" s="1">
        <v>0</v>
      </c>
      <c r="V813" s="1">
        <v>0</v>
      </c>
      <c r="W813" s="1">
        <v>0</v>
      </c>
      <c r="X813" s="1">
        <v>0</v>
      </c>
      <c r="Y813" s="1">
        <v>0</v>
      </c>
      <c r="Z813" s="1">
        <v>0</v>
      </c>
      <c r="AA813" s="1">
        <v>0</v>
      </c>
      <c r="AB813" s="1">
        <v>0</v>
      </c>
      <c r="AC813" s="1">
        <v>0</v>
      </c>
      <c r="AD813" s="24">
        <f t="shared" si="37"/>
        <v>0</v>
      </c>
      <c r="AE813" s="23">
        <v>131872</v>
      </c>
      <c r="AF813" s="1">
        <v>113774</v>
      </c>
      <c r="AG813" s="1">
        <v>112803</v>
      </c>
      <c r="AH813" s="1">
        <v>235040</v>
      </c>
      <c r="AI813" s="1">
        <v>130265</v>
      </c>
      <c r="AJ813" s="1">
        <v>86038</v>
      </c>
      <c r="AK813" s="1">
        <v>234971</v>
      </c>
      <c r="AL813" s="1">
        <v>175194</v>
      </c>
      <c r="AM813" s="1">
        <v>351727</v>
      </c>
      <c r="AN813" s="1">
        <v>60011</v>
      </c>
      <c r="AO813" s="1">
        <v>78698</v>
      </c>
      <c r="AP813" s="1">
        <v>417651</v>
      </c>
      <c r="AQ813" s="24">
        <f t="shared" si="38"/>
        <v>2128044</v>
      </c>
    </row>
    <row r="814" spans="1:43" ht="17.25" customHeight="1" x14ac:dyDescent="0.45">
      <c r="A814" s="12" t="s">
        <v>14</v>
      </c>
      <c r="B814" s="12" t="s">
        <v>66</v>
      </c>
      <c r="C814" s="12" t="s">
        <v>219</v>
      </c>
      <c r="D814" s="12" t="s">
        <v>220</v>
      </c>
      <c r="E814" s="25">
        <v>6</v>
      </c>
      <c r="F814" s="10">
        <v>4</v>
      </c>
      <c r="G814" s="10">
        <v>5</v>
      </c>
      <c r="H814" s="10">
        <v>5</v>
      </c>
      <c r="I814" s="10">
        <v>4</v>
      </c>
      <c r="J814" s="10">
        <v>4</v>
      </c>
      <c r="K814" s="10">
        <v>6</v>
      </c>
      <c r="L814" s="10">
        <v>4</v>
      </c>
      <c r="M814" s="10">
        <v>4</v>
      </c>
      <c r="N814" s="10">
        <v>5</v>
      </c>
      <c r="O814" s="10">
        <v>4</v>
      </c>
      <c r="P814" s="10">
        <v>5</v>
      </c>
      <c r="Q814" s="26">
        <f t="shared" si="36"/>
        <v>56</v>
      </c>
      <c r="R814" s="25">
        <v>803</v>
      </c>
      <c r="S814" s="10">
        <v>553</v>
      </c>
      <c r="T814" s="10">
        <v>744</v>
      </c>
      <c r="U814" s="10">
        <v>778</v>
      </c>
      <c r="V814" s="10">
        <v>653</v>
      </c>
      <c r="W814" s="10">
        <v>830</v>
      </c>
      <c r="X814" s="10">
        <v>1234</v>
      </c>
      <c r="Y814" s="10">
        <v>645</v>
      </c>
      <c r="Z814" s="10">
        <v>898</v>
      </c>
      <c r="AA814" s="10">
        <v>893</v>
      </c>
      <c r="AB814" s="10">
        <v>1062</v>
      </c>
      <c r="AC814" s="10">
        <v>1154</v>
      </c>
      <c r="AD814" s="26">
        <f t="shared" si="37"/>
        <v>10247</v>
      </c>
      <c r="AE814" s="25">
        <v>0</v>
      </c>
      <c r="AF814" s="10">
        <v>0</v>
      </c>
      <c r="AG814" s="10">
        <v>0</v>
      </c>
      <c r="AH814" s="10">
        <v>0</v>
      </c>
      <c r="AI814" s="10">
        <v>0</v>
      </c>
      <c r="AJ814" s="10">
        <v>0</v>
      </c>
      <c r="AK814" s="10">
        <v>0</v>
      </c>
      <c r="AL814" s="10">
        <v>0</v>
      </c>
      <c r="AM814" s="10">
        <v>0</v>
      </c>
      <c r="AN814" s="10">
        <v>0</v>
      </c>
      <c r="AO814" s="10">
        <v>0</v>
      </c>
      <c r="AP814" s="10">
        <v>0</v>
      </c>
      <c r="AQ814" s="26">
        <f t="shared" si="38"/>
        <v>0</v>
      </c>
    </row>
    <row r="815" spans="1:43" ht="17.25" customHeight="1" x14ac:dyDescent="0.45">
      <c r="A815" s="2" t="s">
        <v>14</v>
      </c>
      <c r="B815" s="2" t="s">
        <v>66</v>
      </c>
      <c r="C815" s="2" t="s">
        <v>178</v>
      </c>
      <c r="D815" s="2" t="s">
        <v>179</v>
      </c>
      <c r="E815" s="23">
        <v>31</v>
      </c>
      <c r="F815" s="1">
        <v>27</v>
      </c>
      <c r="G815" s="1">
        <v>31</v>
      </c>
      <c r="H815" s="1">
        <v>29</v>
      </c>
      <c r="I815" s="1">
        <v>30</v>
      </c>
      <c r="J815" s="1">
        <v>28</v>
      </c>
      <c r="K815" s="1">
        <v>27</v>
      </c>
      <c r="L815" s="1">
        <v>25</v>
      </c>
      <c r="M815" s="1">
        <v>15</v>
      </c>
      <c r="N815" s="1">
        <v>16</v>
      </c>
      <c r="O815" s="1">
        <v>15</v>
      </c>
      <c r="P815" s="1">
        <v>17</v>
      </c>
      <c r="Q815" s="24">
        <f t="shared" si="36"/>
        <v>291</v>
      </c>
      <c r="R815" s="23">
        <v>0</v>
      </c>
      <c r="S815" s="1">
        <v>0</v>
      </c>
      <c r="T815" s="1">
        <v>0</v>
      </c>
      <c r="U815" s="1">
        <v>0</v>
      </c>
      <c r="V815" s="1">
        <v>0</v>
      </c>
      <c r="W815" s="1">
        <v>0</v>
      </c>
      <c r="X815" s="1">
        <v>0</v>
      </c>
      <c r="Y815" s="1">
        <v>0</v>
      </c>
      <c r="Z815" s="1">
        <v>0</v>
      </c>
      <c r="AA815" s="1">
        <v>0</v>
      </c>
      <c r="AB815" s="1">
        <v>0</v>
      </c>
      <c r="AC815" s="1">
        <v>0</v>
      </c>
      <c r="AD815" s="24">
        <f t="shared" si="37"/>
        <v>0</v>
      </c>
      <c r="AE815" s="23">
        <v>574847.18999999994</v>
      </c>
      <c r="AF815" s="1">
        <v>508444</v>
      </c>
      <c r="AG815" s="1">
        <v>537581</v>
      </c>
      <c r="AH815" s="1">
        <v>523228.5799999999</v>
      </c>
      <c r="AI815" s="1">
        <v>679281.83000000007</v>
      </c>
      <c r="AJ815" s="1">
        <v>515267.22000000015</v>
      </c>
      <c r="AK815" s="1">
        <v>443867.92</v>
      </c>
      <c r="AL815" s="1">
        <v>400963.07999999996</v>
      </c>
      <c r="AM815" s="1">
        <v>478250.40999999992</v>
      </c>
      <c r="AN815" s="1">
        <v>405877.26</v>
      </c>
      <c r="AO815" s="1">
        <v>314494.27</v>
      </c>
      <c r="AP815" s="1">
        <v>315936.77</v>
      </c>
      <c r="AQ815" s="24">
        <f t="shared" si="38"/>
        <v>5698039.5299999993</v>
      </c>
    </row>
    <row r="816" spans="1:43" ht="17.25" customHeight="1" x14ac:dyDescent="0.45">
      <c r="A816" s="12" t="s">
        <v>14</v>
      </c>
      <c r="B816" s="12" t="s">
        <v>66</v>
      </c>
      <c r="C816" s="12" t="s">
        <v>253</v>
      </c>
      <c r="D816" s="12" t="s">
        <v>254</v>
      </c>
      <c r="E816" s="25">
        <v>10</v>
      </c>
      <c r="F816" s="10">
        <v>8</v>
      </c>
      <c r="G816" s="10">
        <v>8</v>
      </c>
      <c r="H816" s="10">
        <v>9</v>
      </c>
      <c r="I816" s="10">
        <v>8</v>
      </c>
      <c r="J816" s="10">
        <v>4</v>
      </c>
      <c r="K816" s="10">
        <v>5</v>
      </c>
      <c r="L816" s="10">
        <v>4</v>
      </c>
      <c r="M816" s="10">
        <v>5</v>
      </c>
      <c r="N816" s="10">
        <v>4</v>
      </c>
      <c r="O816" s="10">
        <v>4</v>
      </c>
      <c r="P816" s="10">
        <v>5</v>
      </c>
      <c r="Q816" s="26">
        <f t="shared" si="36"/>
        <v>74</v>
      </c>
      <c r="R816" s="25">
        <v>0</v>
      </c>
      <c r="S816" s="10">
        <v>0</v>
      </c>
      <c r="T816" s="10">
        <v>0</v>
      </c>
      <c r="U816" s="10">
        <v>0</v>
      </c>
      <c r="V816" s="10">
        <v>0</v>
      </c>
      <c r="W816" s="10">
        <v>0</v>
      </c>
      <c r="X816" s="10">
        <v>0</v>
      </c>
      <c r="Y816" s="10">
        <v>0</v>
      </c>
      <c r="Z816" s="10">
        <v>0</v>
      </c>
      <c r="AA816" s="10">
        <v>0</v>
      </c>
      <c r="AB816" s="10">
        <v>0</v>
      </c>
      <c r="AC816" s="10">
        <v>0</v>
      </c>
      <c r="AD816" s="26">
        <f t="shared" si="37"/>
        <v>0</v>
      </c>
      <c r="AE816" s="25">
        <v>126688.26999999999</v>
      </c>
      <c r="AF816" s="10">
        <v>87671.32</v>
      </c>
      <c r="AG816" s="10">
        <v>85936</v>
      </c>
      <c r="AH816" s="10">
        <v>77472</v>
      </c>
      <c r="AI816" s="10">
        <v>101156</v>
      </c>
      <c r="AJ816" s="10">
        <v>41816</v>
      </c>
      <c r="AK816" s="10">
        <v>64566</v>
      </c>
      <c r="AL816" s="10">
        <v>38508</v>
      </c>
      <c r="AM816" s="10">
        <v>61074</v>
      </c>
      <c r="AN816" s="10">
        <v>21560</v>
      </c>
      <c r="AO816" s="10">
        <v>46284</v>
      </c>
      <c r="AP816" s="10">
        <v>112123</v>
      </c>
      <c r="AQ816" s="26">
        <f t="shared" si="38"/>
        <v>864854.59</v>
      </c>
    </row>
    <row r="817" spans="1:43" ht="17.25" customHeight="1" x14ac:dyDescent="0.45">
      <c r="A817" s="2" t="s">
        <v>14</v>
      </c>
      <c r="B817" s="2" t="s">
        <v>66</v>
      </c>
      <c r="C817" s="2" t="s">
        <v>106</v>
      </c>
      <c r="D817" s="2" t="s">
        <v>107</v>
      </c>
      <c r="E817" s="23">
        <v>33</v>
      </c>
      <c r="F817" s="1">
        <v>28</v>
      </c>
      <c r="G817" s="1">
        <v>30</v>
      </c>
      <c r="H817" s="1">
        <v>34</v>
      </c>
      <c r="I817" s="1">
        <v>31</v>
      </c>
      <c r="J817" s="1">
        <v>32</v>
      </c>
      <c r="K817" s="1">
        <v>31</v>
      </c>
      <c r="L817" s="1">
        <v>37</v>
      </c>
      <c r="M817" s="1">
        <v>37</v>
      </c>
      <c r="N817" s="1">
        <v>35</v>
      </c>
      <c r="O817" s="1">
        <v>23</v>
      </c>
      <c r="P817" s="1">
        <v>23</v>
      </c>
      <c r="Q817" s="24">
        <f t="shared" si="36"/>
        <v>374</v>
      </c>
      <c r="R817" s="23">
        <v>0</v>
      </c>
      <c r="S817" s="1">
        <v>0</v>
      </c>
      <c r="T817" s="1">
        <v>0</v>
      </c>
      <c r="U817" s="1">
        <v>0</v>
      </c>
      <c r="V817" s="1">
        <v>0</v>
      </c>
      <c r="W817" s="1">
        <v>0</v>
      </c>
      <c r="X817" s="1">
        <v>0</v>
      </c>
      <c r="Y817" s="1">
        <v>0</v>
      </c>
      <c r="Z817" s="1">
        <v>0</v>
      </c>
      <c r="AA817" s="1">
        <v>0</v>
      </c>
      <c r="AB817" s="1">
        <v>0</v>
      </c>
      <c r="AC817" s="1">
        <v>0</v>
      </c>
      <c r="AD817" s="24">
        <f t="shared" si="37"/>
        <v>0</v>
      </c>
      <c r="AE817" s="23">
        <v>535829</v>
      </c>
      <c r="AF817" s="1">
        <v>744274.25</v>
      </c>
      <c r="AG817" s="1">
        <v>786159.7</v>
      </c>
      <c r="AH817" s="1">
        <v>761330</v>
      </c>
      <c r="AI817" s="1">
        <v>826008.2</v>
      </c>
      <c r="AJ817" s="1">
        <v>751909.7</v>
      </c>
      <c r="AK817" s="1">
        <v>722279.71</v>
      </c>
      <c r="AL817" s="1">
        <v>803487.65</v>
      </c>
      <c r="AM817" s="1">
        <v>821669</v>
      </c>
      <c r="AN817" s="1">
        <v>725428</v>
      </c>
      <c r="AO817" s="1">
        <v>608944</v>
      </c>
      <c r="AP817" s="1">
        <v>373756</v>
      </c>
      <c r="AQ817" s="24">
        <f t="shared" si="38"/>
        <v>8461075.2100000009</v>
      </c>
    </row>
    <row r="818" spans="1:43" ht="17.25" customHeight="1" x14ac:dyDescent="0.45">
      <c r="A818" s="12" t="s">
        <v>14</v>
      </c>
      <c r="B818" s="12" t="s">
        <v>66</v>
      </c>
      <c r="C818" s="12" t="s">
        <v>108</v>
      </c>
      <c r="D818" s="12" t="s">
        <v>104</v>
      </c>
      <c r="E818" s="25">
        <v>14</v>
      </c>
      <c r="F818" s="10">
        <v>14</v>
      </c>
      <c r="G818" s="10">
        <v>13</v>
      </c>
      <c r="H818" s="10">
        <v>12</v>
      </c>
      <c r="I818" s="10">
        <v>13</v>
      </c>
      <c r="J818" s="10">
        <v>16</v>
      </c>
      <c r="K818" s="10">
        <v>12</v>
      </c>
      <c r="L818" s="10">
        <v>16</v>
      </c>
      <c r="M818" s="10">
        <v>17</v>
      </c>
      <c r="N818" s="10">
        <v>16</v>
      </c>
      <c r="O818" s="10">
        <v>16</v>
      </c>
      <c r="P818" s="10">
        <v>14</v>
      </c>
      <c r="Q818" s="26">
        <f t="shared" si="36"/>
        <v>173</v>
      </c>
      <c r="R818" s="25">
        <v>0</v>
      </c>
      <c r="S818" s="10">
        <v>0</v>
      </c>
      <c r="T818" s="10">
        <v>0</v>
      </c>
      <c r="U818" s="10">
        <v>0</v>
      </c>
      <c r="V818" s="10">
        <v>0</v>
      </c>
      <c r="W818" s="10">
        <v>0</v>
      </c>
      <c r="X818" s="10">
        <v>0</v>
      </c>
      <c r="Y818" s="10">
        <v>0</v>
      </c>
      <c r="Z818" s="10">
        <v>0</v>
      </c>
      <c r="AA818" s="10">
        <v>0</v>
      </c>
      <c r="AB818" s="10">
        <v>0</v>
      </c>
      <c r="AC818" s="10">
        <v>0</v>
      </c>
      <c r="AD818" s="26">
        <f t="shared" si="37"/>
        <v>0</v>
      </c>
      <c r="AE818" s="25">
        <v>186961</v>
      </c>
      <c r="AF818" s="10">
        <v>173489</v>
      </c>
      <c r="AG818" s="10">
        <v>176451</v>
      </c>
      <c r="AH818" s="10">
        <v>182094</v>
      </c>
      <c r="AI818" s="10">
        <v>198673</v>
      </c>
      <c r="AJ818" s="10">
        <v>221174</v>
      </c>
      <c r="AK818" s="10">
        <v>188143</v>
      </c>
      <c r="AL818" s="10">
        <v>229038</v>
      </c>
      <c r="AM818" s="10">
        <v>236947</v>
      </c>
      <c r="AN818" s="10">
        <v>244663</v>
      </c>
      <c r="AO818" s="10">
        <v>307938</v>
      </c>
      <c r="AP818" s="10">
        <v>276454</v>
      </c>
      <c r="AQ818" s="26">
        <f t="shared" si="38"/>
        <v>2622025</v>
      </c>
    </row>
    <row r="819" spans="1:43" ht="17.25" customHeight="1" x14ac:dyDescent="0.45">
      <c r="A819" s="2" t="s">
        <v>14</v>
      </c>
      <c r="B819" s="2" t="s">
        <v>66</v>
      </c>
      <c r="C819" s="2" t="s">
        <v>290</v>
      </c>
      <c r="D819" s="2" t="s">
        <v>199</v>
      </c>
      <c r="E819" s="23">
        <v>0</v>
      </c>
      <c r="F819" s="1">
        <v>0</v>
      </c>
      <c r="G819" s="1">
        <v>0</v>
      </c>
      <c r="H819" s="1">
        <v>0</v>
      </c>
      <c r="I819" s="1">
        <v>2</v>
      </c>
      <c r="J819" s="1">
        <v>1</v>
      </c>
      <c r="K819" s="1">
        <v>0</v>
      </c>
      <c r="L819" s="1">
        <v>0</v>
      </c>
      <c r="M819" s="1">
        <v>0</v>
      </c>
      <c r="N819" s="1">
        <v>0</v>
      </c>
      <c r="O819" s="1">
        <v>0</v>
      </c>
      <c r="P819" s="1">
        <v>0</v>
      </c>
      <c r="Q819" s="24">
        <f t="shared" si="36"/>
        <v>3</v>
      </c>
      <c r="R819" s="23">
        <v>0</v>
      </c>
      <c r="S819" s="1">
        <v>0</v>
      </c>
      <c r="T819" s="1">
        <v>0</v>
      </c>
      <c r="U819" s="1">
        <v>0</v>
      </c>
      <c r="V819" s="1">
        <v>0</v>
      </c>
      <c r="W819" s="1">
        <v>0</v>
      </c>
      <c r="X819" s="1">
        <v>0</v>
      </c>
      <c r="Y819" s="1">
        <v>0</v>
      </c>
      <c r="Z819" s="1">
        <v>0</v>
      </c>
      <c r="AA819" s="1">
        <v>0</v>
      </c>
      <c r="AB819" s="1">
        <v>0</v>
      </c>
      <c r="AC819" s="1">
        <v>0</v>
      </c>
      <c r="AD819" s="24">
        <f t="shared" si="37"/>
        <v>0</v>
      </c>
      <c r="AE819" s="23">
        <v>0</v>
      </c>
      <c r="AF819" s="1">
        <v>0</v>
      </c>
      <c r="AG819" s="1">
        <v>0</v>
      </c>
      <c r="AH819" s="1">
        <v>0</v>
      </c>
      <c r="AI819" s="1">
        <v>113991</v>
      </c>
      <c r="AJ819" s="1">
        <v>54488</v>
      </c>
      <c r="AK819" s="1">
        <v>0</v>
      </c>
      <c r="AL819" s="1">
        <v>0</v>
      </c>
      <c r="AM819" s="1">
        <v>0</v>
      </c>
      <c r="AN819" s="1">
        <v>0</v>
      </c>
      <c r="AO819" s="1">
        <v>0</v>
      </c>
      <c r="AP819" s="1">
        <v>0</v>
      </c>
      <c r="AQ819" s="24">
        <f t="shared" si="38"/>
        <v>168479</v>
      </c>
    </row>
    <row r="820" spans="1:43" ht="17.25" customHeight="1" x14ac:dyDescent="0.45">
      <c r="A820" s="12" t="s">
        <v>14</v>
      </c>
      <c r="B820" s="12" t="s">
        <v>66</v>
      </c>
      <c r="C820" s="12" t="s">
        <v>379</v>
      </c>
      <c r="D820" s="12" t="s">
        <v>237</v>
      </c>
      <c r="E820" s="25">
        <v>0</v>
      </c>
      <c r="F820" s="10">
        <v>0</v>
      </c>
      <c r="G820" s="10">
        <v>0</v>
      </c>
      <c r="H820" s="10">
        <v>0</v>
      </c>
      <c r="I820" s="10">
        <v>1</v>
      </c>
      <c r="J820" s="10">
        <v>13</v>
      </c>
      <c r="K820" s="10">
        <v>13</v>
      </c>
      <c r="L820" s="10">
        <v>14</v>
      </c>
      <c r="M820" s="10">
        <v>13</v>
      </c>
      <c r="N820" s="10">
        <v>13</v>
      </c>
      <c r="O820" s="10">
        <v>13</v>
      </c>
      <c r="P820" s="10">
        <v>15</v>
      </c>
      <c r="Q820" s="26">
        <f t="shared" si="36"/>
        <v>95</v>
      </c>
      <c r="R820" s="25">
        <v>0</v>
      </c>
      <c r="S820" s="10">
        <v>0</v>
      </c>
      <c r="T820" s="10">
        <v>0</v>
      </c>
      <c r="U820" s="10">
        <v>0</v>
      </c>
      <c r="V820" s="10">
        <v>0</v>
      </c>
      <c r="W820" s="10">
        <v>0</v>
      </c>
      <c r="X820" s="10">
        <v>0</v>
      </c>
      <c r="Y820" s="10">
        <v>0</v>
      </c>
      <c r="Z820" s="10">
        <v>0</v>
      </c>
      <c r="AA820" s="10">
        <v>0</v>
      </c>
      <c r="AB820" s="10">
        <v>0</v>
      </c>
      <c r="AC820" s="10">
        <v>0</v>
      </c>
      <c r="AD820" s="26">
        <f t="shared" si="37"/>
        <v>0</v>
      </c>
      <c r="AE820" s="25">
        <v>0</v>
      </c>
      <c r="AF820" s="10">
        <v>0</v>
      </c>
      <c r="AG820" s="10">
        <v>0</v>
      </c>
      <c r="AH820" s="10">
        <v>0</v>
      </c>
      <c r="AI820" s="10">
        <v>3531</v>
      </c>
      <c r="AJ820" s="10">
        <v>50884</v>
      </c>
      <c r="AK820" s="10">
        <v>64702</v>
      </c>
      <c r="AL820" s="10">
        <v>53896</v>
      </c>
      <c r="AM820" s="10">
        <v>64807</v>
      </c>
      <c r="AN820" s="10">
        <v>55122</v>
      </c>
      <c r="AO820" s="10">
        <v>57149</v>
      </c>
      <c r="AP820" s="10">
        <v>105636</v>
      </c>
      <c r="AQ820" s="26">
        <f t="shared" si="38"/>
        <v>455727</v>
      </c>
    </row>
    <row r="821" spans="1:43" ht="17.25" customHeight="1" x14ac:dyDescent="0.45">
      <c r="A821" s="2" t="s">
        <v>14</v>
      </c>
      <c r="B821" s="2" t="s">
        <v>66</v>
      </c>
      <c r="C821" s="2" t="s">
        <v>182</v>
      </c>
      <c r="D821" s="2" t="s">
        <v>183</v>
      </c>
      <c r="E821" s="23">
        <v>26</v>
      </c>
      <c r="F821" s="1">
        <v>26</v>
      </c>
      <c r="G821" s="1">
        <v>28</v>
      </c>
      <c r="H821" s="1">
        <v>29</v>
      </c>
      <c r="I821" s="1">
        <v>27</v>
      </c>
      <c r="J821" s="1">
        <v>27</v>
      </c>
      <c r="K821" s="1">
        <v>26</v>
      </c>
      <c r="L821" s="1">
        <v>26</v>
      </c>
      <c r="M821" s="1">
        <v>26</v>
      </c>
      <c r="N821" s="1">
        <v>28</v>
      </c>
      <c r="O821" s="1">
        <v>26</v>
      </c>
      <c r="P821" s="1">
        <v>29</v>
      </c>
      <c r="Q821" s="24">
        <f t="shared" si="36"/>
        <v>324</v>
      </c>
      <c r="R821" s="23">
        <v>0</v>
      </c>
      <c r="S821" s="1">
        <v>0</v>
      </c>
      <c r="T821" s="1">
        <v>0</v>
      </c>
      <c r="U821" s="1">
        <v>0</v>
      </c>
      <c r="V821" s="1">
        <v>0</v>
      </c>
      <c r="W821" s="1">
        <v>0</v>
      </c>
      <c r="X821" s="1">
        <v>0</v>
      </c>
      <c r="Y821" s="1">
        <v>0</v>
      </c>
      <c r="Z821" s="1">
        <v>0</v>
      </c>
      <c r="AA821" s="1">
        <v>0</v>
      </c>
      <c r="AB821" s="1">
        <v>0</v>
      </c>
      <c r="AC821" s="1">
        <v>0</v>
      </c>
      <c r="AD821" s="24">
        <f t="shared" si="37"/>
        <v>0</v>
      </c>
      <c r="AE821" s="23">
        <v>600462.20000000007</v>
      </c>
      <c r="AF821" s="1">
        <v>422222.89999999997</v>
      </c>
      <c r="AG821" s="1">
        <v>411401.40000000014</v>
      </c>
      <c r="AH821" s="1">
        <v>385619.1</v>
      </c>
      <c r="AI821" s="1">
        <v>355677.69999999995</v>
      </c>
      <c r="AJ821" s="1">
        <v>372429.5</v>
      </c>
      <c r="AK821" s="1">
        <v>242633.59999999998</v>
      </c>
      <c r="AL821" s="1">
        <v>267357.40000000002</v>
      </c>
      <c r="AM821" s="1">
        <v>438082.10000000003</v>
      </c>
      <c r="AN821" s="1">
        <v>386050</v>
      </c>
      <c r="AO821" s="1">
        <v>308321.3</v>
      </c>
      <c r="AP821" s="1">
        <v>302473.3</v>
      </c>
      <c r="AQ821" s="24">
        <f t="shared" si="38"/>
        <v>4492730.5</v>
      </c>
    </row>
    <row r="822" spans="1:43" ht="17.25" customHeight="1" x14ac:dyDescent="0.45">
      <c r="A822" s="12" t="s">
        <v>14</v>
      </c>
      <c r="B822" s="12" t="s">
        <v>66</v>
      </c>
      <c r="C822" s="12" t="s">
        <v>69</v>
      </c>
      <c r="D822" s="12" t="s">
        <v>68</v>
      </c>
      <c r="E822" s="25">
        <v>32</v>
      </c>
      <c r="F822" s="10">
        <v>32</v>
      </c>
      <c r="G822" s="10">
        <v>35</v>
      </c>
      <c r="H822" s="10">
        <v>35</v>
      </c>
      <c r="I822" s="10">
        <v>37</v>
      </c>
      <c r="J822" s="10">
        <v>32</v>
      </c>
      <c r="K822" s="10">
        <v>34</v>
      </c>
      <c r="L822" s="10">
        <v>36</v>
      </c>
      <c r="M822" s="10">
        <v>33</v>
      </c>
      <c r="N822" s="10">
        <v>35</v>
      </c>
      <c r="O822" s="10">
        <v>34</v>
      </c>
      <c r="P822" s="10">
        <v>34</v>
      </c>
      <c r="Q822" s="26">
        <f t="shared" si="36"/>
        <v>409</v>
      </c>
      <c r="R822" s="25">
        <v>1896</v>
      </c>
      <c r="S822" s="10">
        <v>2021</v>
      </c>
      <c r="T822" s="10">
        <v>2478</v>
      </c>
      <c r="U822" s="10">
        <v>2559</v>
      </c>
      <c r="V822" s="10">
        <v>2698</v>
      </c>
      <c r="W822" s="10">
        <v>2353</v>
      </c>
      <c r="X822" s="10">
        <v>2720</v>
      </c>
      <c r="Y822" s="10">
        <v>2352</v>
      </c>
      <c r="Z822" s="10">
        <v>1942</v>
      </c>
      <c r="AA822" s="10">
        <v>2473</v>
      </c>
      <c r="AB822" s="10">
        <v>2638</v>
      </c>
      <c r="AC822" s="10">
        <v>2617</v>
      </c>
      <c r="AD822" s="26">
        <f t="shared" si="37"/>
        <v>28747</v>
      </c>
      <c r="AE822" s="25">
        <v>688</v>
      </c>
      <c r="AF822" s="10">
        <v>2611</v>
      </c>
      <c r="AG822" s="10">
        <v>1434.95</v>
      </c>
      <c r="AH822" s="10">
        <v>3629</v>
      </c>
      <c r="AI822" s="10">
        <v>4020.7</v>
      </c>
      <c r="AJ822" s="10">
        <v>7108.2</v>
      </c>
      <c r="AK822" s="10">
        <v>7852.5</v>
      </c>
      <c r="AL822" s="10">
        <v>6453.22</v>
      </c>
      <c r="AM822" s="10">
        <v>951</v>
      </c>
      <c r="AN822" s="10">
        <v>5896</v>
      </c>
      <c r="AO822" s="10">
        <v>3016</v>
      </c>
      <c r="AP822" s="10">
        <v>3840</v>
      </c>
      <c r="AQ822" s="26">
        <f t="shared" si="38"/>
        <v>47500.57</v>
      </c>
    </row>
    <row r="823" spans="1:43" ht="17.25" customHeight="1" x14ac:dyDescent="0.45">
      <c r="A823" s="2" t="s">
        <v>14</v>
      </c>
      <c r="B823" s="2" t="s">
        <v>66</v>
      </c>
      <c r="C823" s="2" t="s">
        <v>193</v>
      </c>
      <c r="D823" s="2" t="s">
        <v>181</v>
      </c>
      <c r="E823" s="23">
        <v>5</v>
      </c>
      <c r="F823" s="1">
        <v>4</v>
      </c>
      <c r="G823" s="1">
        <v>9</v>
      </c>
      <c r="H823" s="1">
        <v>8</v>
      </c>
      <c r="I823" s="1">
        <v>8</v>
      </c>
      <c r="J823" s="1">
        <v>8</v>
      </c>
      <c r="K823" s="1">
        <v>9</v>
      </c>
      <c r="L823" s="1">
        <v>9</v>
      </c>
      <c r="M823" s="1">
        <v>8</v>
      </c>
      <c r="N823" s="1">
        <v>5</v>
      </c>
      <c r="O823" s="1">
        <v>4</v>
      </c>
      <c r="P823" s="1">
        <v>3</v>
      </c>
      <c r="Q823" s="24">
        <f t="shared" si="36"/>
        <v>80</v>
      </c>
      <c r="R823" s="23">
        <v>0</v>
      </c>
      <c r="S823" s="1">
        <v>0</v>
      </c>
      <c r="T823" s="1">
        <v>0</v>
      </c>
      <c r="U823" s="1">
        <v>0</v>
      </c>
      <c r="V823" s="1">
        <v>0</v>
      </c>
      <c r="W823" s="1">
        <v>0</v>
      </c>
      <c r="X823" s="1">
        <v>0</v>
      </c>
      <c r="Y823" s="1">
        <v>0</v>
      </c>
      <c r="Z823" s="1">
        <v>0</v>
      </c>
      <c r="AA823" s="1">
        <v>0</v>
      </c>
      <c r="AB823" s="1">
        <v>0</v>
      </c>
      <c r="AC823" s="1">
        <v>0</v>
      </c>
      <c r="AD823" s="24">
        <f t="shared" si="37"/>
        <v>0</v>
      </c>
      <c r="AE823" s="23">
        <v>44875.14</v>
      </c>
      <c r="AF823" s="1">
        <v>41795.1</v>
      </c>
      <c r="AG823" s="1">
        <v>54597.97</v>
      </c>
      <c r="AH823" s="1">
        <v>38305</v>
      </c>
      <c r="AI823" s="1">
        <v>62416.799999999996</v>
      </c>
      <c r="AJ823" s="1">
        <v>37448.340000000004</v>
      </c>
      <c r="AK823" s="1">
        <v>33486.399999999994</v>
      </c>
      <c r="AL823" s="1">
        <v>28815.800000000003</v>
      </c>
      <c r="AM823" s="1">
        <v>45474</v>
      </c>
      <c r="AN823" s="1">
        <v>50064</v>
      </c>
      <c r="AO823" s="1">
        <v>34188</v>
      </c>
      <c r="AP823" s="1">
        <v>25455</v>
      </c>
      <c r="AQ823" s="24">
        <f t="shared" si="38"/>
        <v>496921.55</v>
      </c>
    </row>
    <row r="824" spans="1:43" ht="17.25" customHeight="1" x14ac:dyDescent="0.45">
      <c r="A824" s="12" t="s">
        <v>14</v>
      </c>
      <c r="B824" s="12" t="s">
        <v>66</v>
      </c>
      <c r="C824" s="12" t="s">
        <v>116</v>
      </c>
      <c r="D824" s="12" t="s">
        <v>96</v>
      </c>
      <c r="E824" s="25">
        <v>16</v>
      </c>
      <c r="F824" s="10">
        <v>13</v>
      </c>
      <c r="G824" s="10">
        <v>13</v>
      </c>
      <c r="H824" s="10">
        <v>13</v>
      </c>
      <c r="I824" s="10">
        <v>13</v>
      </c>
      <c r="J824" s="10">
        <v>13</v>
      </c>
      <c r="K824" s="10">
        <v>13</v>
      </c>
      <c r="L824" s="10">
        <v>14</v>
      </c>
      <c r="M824" s="10">
        <v>12</v>
      </c>
      <c r="N824" s="10">
        <v>14</v>
      </c>
      <c r="O824" s="10">
        <v>12</v>
      </c>
      <c r="P824" s="10">
        <v>13</v>
      </c>
      <c r="Q824" s="26">
        <f t="shared" si="36"/>
        <v>159</v>
      </c>
      <c r="R824" s="25">
        <v>1663</v>
      </c>
      <c r="S824" s="10">
        <v>1194</v>
      </c>
      <c r="T824" s="10">
        <v>1538</v>
      </c>
      <c r="U824" s="10">
        <v>1279</v>
      </c>
      <c r="V824" s="10">
        <v>1115</v>
      </c>
      <c r="W824" s="10">
        <v>1139</v>
      </c>
      <c r="X824" s="10">
        <v>1557</v>
      </c>
      <c r="Y824" s="10">
        <v>1601</v>
      </c>
      <c r="Z824" s="10">
        <v>1292</v>
      </c>
      <c r="AA824" s="10">
        <v>1565</v>
      </c>
      <c r="AB824" s="10">
        <v>1346</v>
      </c>
      <c r="AC824" s="10">
        <v>1816</v>
      </c>
      <c r="AD824" s="26">
        <f t="shared" si="37"/>
        <v>17105</v>
      </c>
      <c r="AE824" s="25">
        <v>270</v>
      </c>
      <c r="AF824" s="10">
        <v>310</v>
      </c>
      <c r="AG824" s="10">
        <v>0</v>
      </c>
      <c r="AH824" s="10">
        <v>0</v>
      </c>
      <c r="AI824" s="10">
        <v>0</v>
      </c>
      <c r="AJ824" s="10">
        <v>4080.3999999999996</v>
      </c>
      <c r="AK824" s="10">
        <v>350</v>
      </c>
      <c r="AL824" s="10">
        <v>282</v>
      </c>
      <c r="AM824" s="10">
        <v>0</v>
      </c>
      <c r="AN824" s="10">
        <v>188</v>
      </c>
      <c r="AO824" s="10">
        <v>0</v>
      </c>
      <c r="AP824" s="10">
        <v>5</v>
      </c>
      <c r="AQ824" s="26">
        <f t="shared" si="38"/>
        <v>5485.4</v>
      </c>
    </row>
    <row r="825" spans="1:43" ht="17.25" customHeight="1" x14ac:dyDescent="0.45">
      <c r="A825" s="2" t="s">
        <v>14</v>
      </c>
      <c r="B825" s="2" t="s">
        <v>66</v>
      </c>
      <c r="C825" s="2" t="s">
        <v>117</v>
      </c>
      <c r="D825" s="2" t="s">
        <v>118</v>
      </c>
      <c r="E825" s="23">
        <v>0</v>
      </c>
      <c r="F825" s="1">
        <v>0</v>
      </c>
      <c r="G825" s="1">
        <v>0</v>
      </c>
      <c r="H825" s="1">
        <v>0</v>
      </c>
      <c r="I825" s="1">
        <v>0</v>
      </c>
      <c r="J825" s="1">
        <v>0</v>
      </c>
      <c r="K825" s="1">
        <v>0</v>
      </c>
      <c r="L825" s="1">
        <v>1</v>
      </c>
      <c r="M825" s="1">
        <v>2</v>
      </c>
      <c r="N825" s="1">
        <v>1</v>
      </c>
      <c r="O825" s="1">
        <v>0</v>
      </c>
      <c r="P825" s="1">
        <v>0</v>
      </c>
      <c r="Q825" s="24">
        <f t="shared" si="36"/>
        <v>4</v>
      </c>
      <c r="R825" s="23">
        <v>0</v>
      </c>
      <c r="S825" s="1">
        <v>0</v>
      </c>
      <c r="T825" s="1">
        <v>0</v>
      </c>
      <c r="U825" s="1">
        <v>0</v>
      </c>
      <c r="V825" s="1">
        <v>0</v>
      </c>
      <c r="W825" s="1">
        <v>0</v>
      </c>
      <c r="X825" s="1">
        <v>0</v>
      </c>
      <c r="Y825" s="1">
        <v>0</v>
      </c>
      <c r="Z825" s="1">
        <v>0</v>
      </c>
      <c r="AA825" s="1">
        <v>0</v>
      </c>
      <c r="AB825" s="1">
        <v>0</v>
      </c>
      <c r="AC825" s="1">
        <v>0</v>
      </c>
      <c r="AD825" s="24">
        <f t="shared" si="37"/>
        <v>0</v>
      </c>
      <c r="AE825" s="23">
        <v>0</v>
      </c>
      <c r="AF825" s="1">
        <v>0</v>
      </c>
      <c r="AG825" s="1">
        <v>0</v>
      </c>
      <c r="AH825" s="1">
        <v>0</v>
      </c>
      <c r="AI825" s="1">
        <v>0</v>
      </c>
      <c r="AJ825" s="1">
        <v>0</v>
      </c>
      <c r="AK825" s="1">
        <v>0</v>
      </c>
      <c r="AL825" s="1">
        <v>48730</v>
      </c>
      <c r="AM825" s="1">
        <v>117413</v>
      </c>
      <c r="AN825" s="1">
        <v>29134</v>
      </c>
      <c r="AO825" s="1">
        <v>0</v>
      </c>
      <c r="AP825" s="1">
        <v>0</v>
      </c>
      <c r="AQ825" s="24">
        <f t="shared" si="38"/>
        <v>195277</v>
      </c>
    </row>
    <row r="826" spans="1:43" ht="17.25" customHeight="1" x14ac:dyDescent="0.45">
      <c r="A826" s="12" t="s">
        <v>14</v>
      </c>
      <c r="B826" s="12" t="s">
        <v>66</v>
      </c>
      <c r="C826" s="12" t="s">
        <v>73</v>
      </c>
      <c r="D826" s="12" t="s">
        <v>68</v>
      </c>
      <c r="E826" s="25">
        <v>24</v>
      </c>
      <c r="F826" s="10">
        <v>29</v>
      </c>
      <c r="G826" s="10">
        <v>21</v>
      </c>
      <c r="H826" s="10">
        <v>27</v>
      </c>
      <c r="I826" s="10">
        <v>28</v>
      </c>
      <c r="J826" s="10">
        <v>19</v>
      </c>
      <c r="K826" s="10">
        <v>17</v>
      </c>
      <c r="L826" s="10">
        <v>19</v>
      </c>
      <c r="M826" s="10">
        <v>16</v>
      </c>
      <c r="N826" s="10">
        <v>14</v>
      </c>
      <c r="O826" s="10">
        <v>13</v>
      </c>
      <c r="P826" s="10">
        <v>13</v>
      </c>
      <c r="Q826" s="26">
        <f t="shared" si="36"/>
        <v>240</v>
      </c>
      <c r="R826" s="25">
        <v>0</v>
      </c>
      <c r="S826" s="10">
        <v>0</v>
      </c>
      <c r="T826" s="10">
        <v>0</v>
      </c>
      <c r="U826" s="10">
        <v>0</v>
      </c>
      <c r="V826" s="10">
        <v>0</v>
      </c>
      <c r="W826" s="10">
        <v>0</v>
      </c>
      <c r="X826" s="10">
        <v>0</v>
      </c>
      <c r="Y826" s="10">
        <v>0</v>
      </c>
      <c r="Z826" s="10">
        <v>0</v>
      </c>
      <c r="AA826" s="10">
        <v>0</v>
      </c>
      <c r="AB826" s="10">
        <v>0</v>
      </c>
      <c r="AC826" s="10">
        <v>0</v>
      </c>
      <c r="AD826" s="26">
        <f t="shared" si="37"/>
        <v>0</v>
      </c>
      <c r="AE826" s="25">
        <v>651236.56999999995</v>
      </c>
      <c r="AF826" s="10">
        <v>863726.26</v>
      </c>
      <c r="AG826" s="10">
        <v>653116.18999999994</v>
      </c>
      <c r="AH826" s="10">
        <v>939471.59</v>
      </c>
      <c r="AI826" s="10">
        <v>943401.42999999993</v>
      </c>
      <c r="AJ826" s="10">
        <v>614523</v>
      </c>
      <c r="AK826" s="10">
        <v>514124</v>
      </c>
      <c r="AL826" s="10">
        <v>631145</v>
      </c>
      <c r="AM826" s="10">
        <v>634550</v>
      </c>
      <c r="AN826" s="10">
        <v>750207</v>
      </c>
      <c r="AO826" s="10">
        <v>519515</v>
      </c>
      <c r="AP826" s="10">
        <v>683657</v>
      </c>
      <c r="AQ826" s="26">
        <f t="shared" si="38"/>
        <v>8398673.0399999991</v>
      </c>
    </row>
    <row r="827" spans="1:43" ht="17.25" customHeight="1" x14ac:dyDescent="0.45">
      <c r="A827" s="2" t="s">
        <v>14</v>
      </c>
      <c r="B827" s="2" t="s">
        <v>66</v>
      </c>
      <c r="C827" s="2" t="s">
        <v>185</v>
      </c>
      <c r="D827" s="2" t="s">
        <v>68</v>
      </c>
      <c r="E827" s="23">
        <v>22</v>
      </c>
      <c r="F827" s="1">
        <v>21</v>
      </c>
      <c r="G827" s="1">
        <v>21</v>
      </c>
      <c r="H827" s="1">
        <v>22</v>
      </c>
      <c r="I827" s="1">
        <v>23</v>
      </c>
      <c r="J827" s="1">
        <v>20</v>
      </c>
      <c r="K827" s="1">
        <v>23</v>
      </c>
      <c r="L827" s="1">
        <v>22</v>
      </c>
      <c r="M827" s="1">
        <v>21</v>
      </c>
      <c r="N827" s="1">
        <v>23</v>
      </c>
      <c r="O827" s="1">
        <v>21</v>
      </c>
      <c r="P827" s="1">
        <v>21</v>
      </c>
      <c r="Q827" s="24">
        <f t="shared" si="36"/>
        <v>260</v>
      </c>
      <c r="R827" s="23">
        <v>0</v>
      </c>
      <c r="S827" s="1">
        <v>0</v>
      </c>
      <c r="T827" s="1">
        <v>0</v>
      </c>
      <c r="U827" s="1">
        <v>0</v>
      </c>
      <c r="V827" s="1">
        <v>0</v>
      </c>
      <c r="W827" s="1">
        <v>0</v>
      </c>
      <c r="X827" s="1">
        <v>0</v>
      </c>
      <c r="Y827" s="1">
        <v>0</v>
      </c>
      <c r="Z827" s="1">
        <v>0</v>
      </c>
      <c r="AA827" s="1">
        <v>0</v>
      </c>
      <c r="AB827" s="1">
        <v>0</v>
      </c>
      <c r="AC827" s="1">
        <v>0</v>
      </c>
      <c r="AD827" s="24">
        <f t="shared" si="37"/>
        <v>0</v>
      </c>
      <c r="AE827" s="23">
        <v>562400</v>
      </c>
      <c r="AF827" s="1">
        <v>448154</v>
      </c>
      <c r="AG827" s="1">
        <v>403053</v>
      </c>
      <c r="AH827" s="1">
        <v>402130</v>
      </c>
      <c r="AI827" s="1">
        <v>408212</v>
      </c>
      <c r="AJ827" s="1">
        <v>415102</v>
      </c>
      <c r="AK827" s="1">
        <v>450054</v>
      </c>
      <c r="AL827" s="1">
        <v>376525</v>
      </c>
      <c r="AM827" s="1">
        <v>383680</v>
      </c>
      <c r="AN827" s="1">
        <v>479489</v>
      </c>
      <c r="AO827" s="1">
        <v>414856</v>
      </c>
      <c r="AP827" s="1">
        <v>479256</v>
      </c>
      <c r="AQ827" s="24">
        <f t="shared" si="38"/>
        <v>5222911</v>
      </c>
    </row>
    <row r="828" spans="1:43" ht="17.25" customHeight="1" x14ac:dyDescent="0.45">
      <c r="A828" s="12" t="s">
        <v>14</v>
      </c>
      <c r="B828" s="12" t="s">
        <v>66</v>
      </c>
      <c r="C828" s="12" t="s">
        <v>186</v>
      </c>
      <c r="D828" s="12" t="s">
        <v>187</v>
      </c>
      <c r="E828" s="25">
        <v>20</v>
      </c>
      <c r="F828" s="10">
        <v>19</v>
      </c>
      <c r="G828" s="10">
        <v>25</v>
      </c>
      <c r="H828" s="10">
        <v>24</v>
      </c>
      <c r="I828" s="10">
        <v>28</v>
      </c>
      <c r="J828" s="10">
        <v>30</v>
      </c>
      <c r="K828" s="10">
        <v>24</v>
      </c>
      <c r="L828" s="10">
        <v>26</v>
      </c>
      <c r="M828" s="10">
        <v>24</v>
      </c>
      <c r="N828" s="10">
        <v>28</v>
      </c>
      <c r="O828" s="10">
        <v>26</v>
      </c>
      <c r="P828" s="10">
        <v>22</v>
      </c>
      <c r="Q828" s="26">
        <f t="shared" si="36"/>
        <v>296</v>
      </c>
      <c r="R828" s="25">
        <v>0</v>
      </c>
      <c r="S828" s="10">
        <v>0</v>
      </c>
      <c r="T828" s="10">
        <v>0</v>
      </c>
      <c r="U828" s="10">
        <v>0</v>
      </c>
      <c r="V828" s="10">
        <v>0</v>
      </c>
      <c r="W828" s="10">
        <v>0</v>
      </c>
      <c r="X828" s="10">
        <v>0</v>
      </c>
      <c r="Y828" s="10">
        <v>0</v>
      </c>
      <c r="Z828" s="10">
        <v>0</v>
      </c>
      <c r="AA828" s="10">
        <v>0</v>
      </c>
      <c r="AB828" s="10">
        <v>0</v>
      </c>
      <c r="AC828" s="10">
        <v>0</v>
      </c>
      <c r="AD828" s="26">
        <f t="shared" si="37"/>
        <v>0</v>
      </c>
      <c r="AE828" s="25">
        <v>430015.09999999992</v>
      </c>
      <c r="AF828" s="10">
        <v>581450</v>
      </c>
      <c r="AG828" s="10">
        <v>730766.2</v>
      </c>
      <c r="AH828" s="10">
        <v>653074.20000000007</v>
      </c>
      <c r="AI828" s="10">
        <v>635433.89</v>
      </c>
      <c r="AJ828" s="10">
        <v>656653.14</v>
      </c>
      <c r="AK828" s="10">
        <v>430349.10000000009</v>
      </c>
      <c r="AL828" s="10">
        <v>590902.4</v>
      </c>
      <c r="AM828" s="10">
        <v>515630.60999999993</v>
      </c>
      <c r="AN828" s="10">
        <v>972172.50000000012</v>
      </c>
      <c r="AO828" s="10">
        <v>607567.1</v>
      </c>
      <c r="AP828" s="10">
        <v>410625.60000000003</v>
      </c>
      <c r="AQ828" s="26">
        <f t="shared" si="38"/>
        <v>7214639.8399999999</v>
      </c>
    </row>
    <row r="829" spans="1:43" ht="17.25" customHeight="1" x14ac:dyDescent="0.45">
      <c r="A829" s="2" t="s">
        <v>14</v>
      </c>
      <c r="B829" s="2" t="s">
        <v>66</v>
      </c>
      <c r="C829" s="2" t="s">
        <v>256</v>
      </c>
      <c r="D829" s="2" t="s">
        <v>68</v>
      </c>
      <c r="E829" s="23">
        <v>0</v>
      </c>
      <c r="F829" s="1">
        <v>29</v>
      </c>
      <c r="G829" s="1">
        <v>31</v>
      </c>
      <c r="H829" s="1">
        <v>30</v>
      </c>
      <c r="I829" s="1">
        <v>31</v>
      </c>
      <c r="J829" s="1">
        <v>30</v>
      </c>
      <c r="K829" s="1">
        <v>31</v>
      </c>
      <c r="L829" s="1">
        <v>31</v>
      </c>
      <c r="M829" s="1">
        <v>30</v>
      </c>
      <c r="N829" s="1">
        <v>31</v>
      </c>
      <c r="O829" s="1">
        <v>30</v>
      </c>
      <c r="P829" s="1">
        <v>31</v>
      </c>
      <c r="Q829" s="24">
        <f t="shared" si="36"/>
        <v>335</v>
      </c>
      <c r="R829" s="23">
        <v>0</v>
      </c>
      <c r="S829" s="1">
        <v>1452</v>
      </c>
      <c r="T829" s="1">
        <v>2331</v>
      </c>
      <c r="U829" s="1">
        <v>1643</v>
      </c>
      <c r="V829" s="1">
        <v>1738</v>
      </c>
      <c r="W829" s="1">
        <v>2157</v>
      </c>
      <c r="X829" s="1">
        <v>2743</v>
      </c>
      <c r="Y829" s="1">
        <v>2258</v>
      </c>
      <c r="Z829" s="1">
        <v>2062</v>
      </c>
      <c r="AA829" s="1">
        <v>2197</v>
      </c>
      <c r="AB829" s="1">
        <v>2333</v>
      </c>
      <c r="AC829" s="1">
        <v>2674</v>
      </c>
      <c r="AD829" s="24">
        <f t="shared" si="37"/>
        <v>23588</v>
      </c>
      <c r="AE829" s="23">
        <v>0</v>
      </c>
      <c r="AF829" s="1">
        <v>0</v>
      </c>
      <c r="AG829" s="1">
        <v>0</v>
      </c>
      <c r="AH829" s="1">
        <v>0</v>
      </c>
      <c r="AI829" s="1">
        <v>0</v>
      </c>
      <c r="AJ829" s="1">
        <v>0</v>
      </c>
      <c r="AK829" s="1">
        <v>0</v>
      </c>
      <c r="AL829" s="1">
        <v>0</v>
      </c>
      <c r="AM829" s="1">
        <v>0</v>
      </c>
      <c r="AN829" s="1">
        <v>0</v>
      </c>
      <c r="AO829" s="1">
        <v>0</v>
      </c>
      <c r="AP829" s="1">
        <v>0</v>
      </c>
      <c r="AQ829" s="24">
        <f t="shared" si="38"/>
        <v>0</v>
      </c>
    </row>
    <row r="830" spans="1:43" ht="17.25" customHeight="1" x14ac:dyDescent="0.45">
      <c r="A830" s="12" t="s">
        <v>14</v>
      </c>
      <c r="B830" s="12" t="s">
        <v>66</v>
      </c>
      <c r="C830" s="12" t="s">
        <v>126</v>
      </c>
      <c r="D830" s="12" t="s">
        <v>68</v>
      </c>
      <c r="E830" s="25">
        <v>8</v>
      </c>
      <c r="F830" s="10">
        <v>10</v>
      </c>
      <c r="G830" s="10">
        <v>12</v>
      </c>
      <c r="H830" s="10">
        <v>8</v>
      </c>
      <c r="I830" s="10">
        <v>4</v>
      </c>
      <c r="J830" s="10">
        <v>9</v>
      </c>
      <c r="K830" s="10">
        <v>22</v>
      </c>
      <c r="L830" s="10">
        <v>5</v>
      </c>
      <c r="M830" s="10">
        <v>8</v>
      </c>
      <c r="N830" s="10">
        <v>9</v>
      </c>
      <c r="O830" s="10">
        <v>11</v>
      </c>
      <c r="P830" s="10">
        <v>13</v>
      </c>
      <c r="Q830" s="26">
        <f t="shared" si="36"/>
        <v>119</v>
      </c>
      <c r="R830" s="25">
        <v>0</v>
      </c>
      <c r="S830" s="10">
        <v>0</v>
      </c>
      <c r="T830" s="10">
        <v>0</v>
      </c>
      <c r="U830" s="10">
        <v>0</v>
      </c>
      <c r="V830" s="10">
        <v>0</v>
      </c>
      <c r="W830" s="10">
        <v>0</v>
      </c>
      <c r="X830" s="10">
        <v>0</v>
      </c>
      <c r="Y830" s="10">
        <v>0</v>
      </c>
      <c r="Z830" s="10">
        <v>0</v>
      </c>
      <c r="AA830" s="10">
        <v>0</v>
      </c>
      <c r="AB830" s="10">
        <v>0</v>
      </c>
      <c r="AC830" s="10">
        <v>0</v>
      </c>
      <c r="AD830" s="26">
        <f t="shared" si="37"/>
        <v>0</v>
      </c>
      <c r="AE830" s="25">
        <v>181614.15</v>
      </c>
      <c r="AF830" s="10">
        <v>216073.69</v>
      </c>
      <c r="AG830" s="10">
        <v>229939.72</v>
      </c>
      <c r="AH830" s="10">
        <v>245678.82</v>
      </c>
      <c r="AI830" s="10">
        <v>42051</v>
      </c>
      <c r="AJ830" s="10">
        <v>85010.89</v>
      </c>
      <c r="AK830" s="10">
        <v>258068</v>
      </c>
      <c r="AL830" s="10">
        <v>97248.5</v>
      </c>
      <c r="AM830" s="10">
        <v>225150</v>
      </c>
      <c r="AN830" s="10">
        <v>366891.5</v>
      </c>
      <c r="AO830" s="10">
        <v>388884.5</v>
      </c>
      <c r="AP830" s="10">
        <v>347402</v>
      </c>
      <c r="AQ830" s="26">
        <f t="shared" si="38"/>
        <v>2684012.77</v>
      </c>
    </row>
    <row r="831" spans="1:43" ht="17.25" customHeight="1" x14ac:dyDescent="0.45">
      <c r="A831" s="2" t="s">
        <v>14</v>
      </c>
      <c r="B831" s="2" t="s">
        <v>66</v>
      </c>
      <c r="C831" s="2" t="s">
        <v>137</v>
      </c>
      <c r="D831" s="2" t="s">
        <v>138</v>
      </c>
      <c r="E831" s="23">
        <v>16</v>
      </c>
      <c r="F831" s="1">
        <v>17</v>
      </c>
      <c r="G831" s="1">
        <v>18</v>
      </c>
      <c r="H831" s="1">
        <v>17</v>
      </c>
      <c r="I831" s="1">
        <v>17</v>
      </c>
      <c r="J831" s="1">
        <v>19</v>
      </c>
      <c r="K831" s="1">
        <v>17</v>
      </c>
      <c r="L831" s="1">
        <v>19</v>
      </c>
      <c r="M831" s="1">
        <v>16</v>
      </c>
      <c r="N831" s="1">
        <v>22</v>
      </c>
      <c r="O831" s="1">
        <v>22</v>
      </c>
      <c r="P831" s="1">
        <v>22</v>
      </c>
      <c r="Q831" s="24">
        <f t="shared" si="36"/>
        <v>222</v>
      </c>
      <c r="R831" s="23">
        <v>1060</v>
      </c>
      <c r="S831" s="1">
        <v>1244</v>
      </c>
      <c r="T831" s="1">
        <v>1422</v>
      </c>
      <c r="U831" s="1">
        <v>1281</v>
      </c>
      <c r="V831" s="1">
        <v>1255</v>
      </c>
      <c r="W831" s="1">
        <v>1365</v>
      </c>
      <c r="X831" s="1">
        <v>1516</v>
      </c>
      <c r="Y831" s="1">
        <v>1498</v>
      </c>
      <c r="Z831" s="1">
        <v>1312</v>
      </c>
      <c r="AA831" s="1">
        <v>1301</v>
      </c>
      <c r="AB831" s="1">
        <v>1703</v>
      </c>
      <c r="AC831" s="1">
        <v>1897</v>
      </c>
      <c r="AD831" s="24">
        <f t="shared" si="37"/>
        <v>16854</v>
      </c>
      <c r="AE831" s="23">
        <v>172201</v>
      </c>
      <c r="AF831" s="1">
        <v>140650</v>
      </c>
      <c r="AG831" s="1">
        <v>145344</v>
      </c>
      <c r="AH831" s="1">
        <v>124760</v>
      </c>
      <c r="AI831" s="1">
        <v>130351</v>
      </c>
      <c r="AJ831" s="1">
        <v>169186</v>
      </c>
      <c r="AK831" s="1">
        <v>152523</v>
      </c>
      <c r="AL831" s="1">
        <v>153690</v>
      </c>
      <c r="AM831" s="1">
        <v>156112</v>
      </c>
      <c r="AN831" s="1">
        <v>496594</v>
      </c>
      <c r="AO831" s="1">
        <v>527547</v>
      </c>
      <c r="AP831" s="1">
        <v>100408</v>
      </c>
      <c r="AQ831" s="24">
        <f t="shared" si="38"/>
        <v>2469366</v>
      </c>
    </row>
    <row r="832" spans="1:43" ht="17.25" customHeight="1" x14ac:dyDescent="0.45">
      <c r="A832" s="12" t="s">
        <v>14</v>
      </c>
      <c r="B832" s="12" t="s">
        <v>66</v>
      </c>
      <c r="C832" s="12" t="s">
        <v>139</v>
      </c>
      <c r="D832" s="12" t="s">
        <v>140</v>
      </c>
      <c r="E832" s="25">
        <v>6</v>
      </c>
      <c r="F832" s="10">
        <v>8</v>
      </c>
      <c r="G832" s="10">
        <v>8</v>
      </c>
      <c r="H832" s="10">
        <v>8</v>
      </c>
      <c r="I832" s="10">
        <v>10</v>
      </c>
      <c r="J832" s="10">
        <v>8</v>
      </c>
      <c r="K832" s="10">
        <v>9</v>
      </c>
      <c r="L832" s="10">
        <v>4</v>
      </c>
      <c r="M832" s="10">
        <v>7</v>
      </c>
      <c r="N832" s="10">
        <v>8</v>
      </c>
      <c r="O832" s="10">
        <v>9</v>
      </c>
      <c r="P832" s="10">
        <v>7</v>
      </c>
      <c r="Q832" s="26">
        <f t="shared" si="36"/>
        <v>92</v>
      </c>
      <c r="R832" s="25">
        <v>0</v>
      </c>
      <c r="S832" s="10">
        <v>0</v>
      </c>
      <c r="T832" s="10">
        <v>0</v>
      </c>
      <c r="U832" s="10">
        <v>0</v>
      </c>
      <c r="V832" s="10">
        <v>0</v>
      </c>
      <c r="W832" s="10">
        <v>0</v>
      </c>
      <c r="X832" s="10">
        <v>0</v>
      </c>
      <c r="Y832" s="10">
        <v>0</v>
      </c>
      <c r="Z832" s="10">
        <v>0</v>
      </c>
      <c r="AA832" s="10">
        <v>0</v>
      </c>
      <c r="AB832" s="10">
        <v>0</v>
      </c>
      <c r="AC832" s="10">
        <v>0</v>
      </c>
      <c r="AD832" s="26">
        <f t="shared" si="37"/>
        <v>0</v>
      </c>
      <c r="AE832" s="25">
        <v>171382</v>
      </c>
      <c r="AF832" s="10">
        <v>486340</v>
      </c>
      <c r="AG832" s="10">
        <v>387269</v>
      </c>
      <c r="AH832" s="10">
        <v>250139</v>
      </c>
      <c r="AI832" s="10">
        <v>409088</v>
      </c>
      <c r="AJ832" s="10">
        <v>309135</v>
      </c>
      <c r="AK832" s="10">
        <v>298894</v>
      </c>
      <c r="AL832" s="10">
        <v>154287</v>
      </c>
      <c r="AM832" s="10">
        <v>223695</v>
      </c>
      <c r="AN832" s="10">
        <v>232082</v>
      </c>
      <c r="AO832" s="10">
        <v>231629</v>
      </c>
      <c r="AP832" s="10">
        <v>166565</v>
      </c>
      <c r="AQ832" s="26">
        <f t="shared" si="38"/>
        <v>3320505</v>
      </c>
    </row>
    <row r="833" spans="1:43" ht="17.25" customHeight="1" x14ac:dyDescent="0.45">
      <c r="A833" s="2" t="s">
        <v>14</v>
      </c>
      <c r="B833" s="2" t="s">
        <v>66</v>
      </c>
      <c r="C833" s="2" t="s">
        <v>271</v>
      </c>
      <c r="D833" s="2" t="s">
        <v>159</v>
      </c>
      <c r="E833" s="23">
        <v>0</v>
      </c>
      <c r="F833" s="1">
        <v>0</v>
      </c>
      <c r="G833" s="1">
        <v>0</v>
      </c>
      <c r="H833" s="1">
        <v>0</v>
      </c>
      <c r="I833" s="1">
        <v>0</v>
      </c>
      <c r="J833" s="1">
        <v>0</v>
      </c>
      <c r="K833" s="1">
        <v>0</v>
      </c>
      <c r="L833" s="1">
        <v>0</v>
      </c>
      <c r="M833" s="1">
        <v>0</v>
      </c>
      <c r="N833" s="1">
        <v>4</v>
      </c>
      <c r="O833" s="1">
        <v>21</v>
      </c>
      <c r="P833" s="1">
        <v>22</v>
      </c>
      <c r="Q833" s="24">
        <f t="shared" si="36"/>
        <v>47</v>
      </c>
      <c r="R833" s="23">
        <v>0</v>
      </c>
      <c r="S833" s="1">
        <v>0</v>
      </c>
      <c r="T833" s="1">
        <v>0</v>
      </c>
      <c r="U833" s="1">
        <v>0</v>
      </c>
      <c r="V833" s="1">
        <v>0</v>
      </c>
      <c r="W833" s="1">
        <v>0</v>
      </c>
      <c r="X833" s="1">
        <v>0</v>
      </c>
      <c r="Y833" s="1">
        <v>0</v>
      </c>
      <c r="Z833" s="1">
        <v>0</v>
      </c>
      <c r="AA833" s="1">
        <v>553</v>
      </c>
      <c r="AB833" s="1">
        <v>3216</v>
      </c>
      <c r="AC833" s="1">
        <v>3413</v>
      </c>
      <c r="AD833" s="24">
        <f t="shared" si="37"/>
        <v>7182</v>
      </c>
      <c r="AE833" s="23">
        <v>0</v>
      </c>
      <c r="AF833" s="1">
        <v>0</v>
      </c>
      <c r="AG833" s="1">
        <v>0</v>
      </c>
      <c r="AH833" s="1">
        <v>0</v>
      </c>
      <c r="AI833" s="1">
        <v>0</v>
      </c>
      <c r="AJ833" s="1">
        <v>0</v>
      </c>
      <c r="AK833" s="1">
        <v>0</v>
      </c>
      <c r="AL833" s="1">
        <v>0</v>
      </c>
      <c r="AM833" s="1">
        <v>0</v>
      </c>
      <c r="AN833" s="1">
        <v>0</v>
      </c>
      <c r="AO833" s="1">
        <v>0</v>
      </c>
      <c r="AP833" s="1">
        <v>0</v>
      </c>
      <c r="AQ833" s="24">
        <f t="shared" si="38"/>
        <v>0</v>
      </c>
    </row>
    <row r="834" spans="1:43" ht="17.25" customHeight="1" x14ac:dyDescent="0.45">
      <c r="A834" s="12" t="s">
        <v>14</v>
      </c>
      <c r="B834" s="12" t="s">
        <v>66</v>
      </c>
      <c r="C834" s="12" t="s">
        <v>198</v>
      </c>
      <c r="D834" s="12" t="s">
        <v>199</v>
      </c>
      <c r="E834" s="25">
        <v>3</v>
      </c>
      <c r="F834" s="10">
        <v>11</v>
      </c>
      <c r="G834" s="10">
        <v>6</v>
      </c>
      <c r="H834" s="10">
        <v>4</v>
      </c>
      <c r="I834" s="10">
        <v>7</v>
      </c>
      <c r="J834" s="10">
        <v>4</v>
      </c>
      <c r="K834" s="10">
        <v>1</v>
      </c>
      <c r="L834" s="10">
        <v>3</v>
      </c>
      <c r="M834" s="10">
        <v>3</v>
      </c>
      <c r="N834" s="10">
        <v>7</v>
      </c>
      <c r="O834" s="10">
        <v>4</v>
      </c>
      <c r="P834" s="10">
        <v>8</v>
      </c>
      <c r="Q834" s="26">
        <f t="shared" si="36"/>
        <v>61</v>
      </c>
      <c r="R834" s="25">
        <v>0</v>
      </c>
      <c r="S834" s="10">
        <v>0</v>
      </c>
      <c r="T834" s="10">
        <v>0</v>
      </c>
      <c r="U834" s="10">
        <v>0</v>
      </c>
      <c r="V834" s="10">
        <v>0</v>
      </c>
      <c r="W834" s="10">
        <v>0</v>
      </c>
      <c r="X834" s="10">
        <v>0</v>
      </c>
      <c r="Y834" s="10">
        <v>0</v>
      </c>
      <c r="Z834" s="10">
        <v>0</v>
      </c>
      <c r="AA834" s="10">
        <v>0</v>
      </c>
      <c r="AB834" s="10">
        <v>0</v>
      </c>
      <c r="AC834" s="10">
        <v>0</v>
      </c>
      <c r="AD834" s="26">
        <f t="shared" si="37"/>
        <v>0</v>
      </c>
      <c r="AE834" s="25">
        <v>71566</v>
      </c>
      <c r="AF834" s="10">
        <v>53730</v>
      </c>
      <c r="AG834" s="10">
        <v>133354</v>
      </c>
      <c r="AH834" s="10">
        <v>17312</v>
      </c>
      <c r="AI834" s="10">
        <v>143307</v>
      </c>
      <c r="AJ834" s="10">
        <v>183027</v>
      </c>
      <c r="AK834" s="10">
        <v>1791.1</v>
      </c>
      <c r="AL834" s="10">
        <v>100707</v>
      </c>
      <c r="AM834" s="10">
        <v>105893</v>
      </c>
      <c r="AN834" s="10">
        <v>185100</v>
      </c>
      <c r="AO834" s="10">
        <v>32941</v>
      </c>
      <c r="AP834" s="10">
        <v>58212</v>
      </c>
      <c r="AQ834" s="26">
        <f t="shared" si="38"/>
        <v>1086940.1000000001</v>
      </c>
    </row>
    <row r="835" spans="1:43" ht="17.25" customHeight="1" x14ac:dyDescent="0.45">
      <c r="A835" s="2" t="s">
        <v>14</v>
      </c>
      <c r="B835" s="2" t="s">
        <v>66</v>
      </c>
      <c r="C835" s="2" t="s">
        <v>152</v>
      </c>
      <c r="D835" s="2" t="s">
        <v>153</v>
      </c>
      <c r="E835" s="23">
        <v>4</v>
      </c>
      <c r="F835" s="1">
        <v>4</v>
      </c>
      <c r="G835" s="1">
        <v>1</v>
      </c>
      <c r="H835" s="1">
        <v>0</v>
      </c>
      <c r="I835" s="1">
        <v>0</v>
      </c>
      <c r="J835" s="1">
        <v>0</v>
      </c>
      <c r="K835" s="1">
        <v>0</v>
      </c>
      <c r="L835" s="1">
        <v>0</v>
      </c>
      <c r="M835" s="1">
        <v>0</v>
      </c>
      <c r="N835" s="1">
        <v>3</v>
      </c>
      <c r="O835" s="1">
        <v>4</v>
      </c>
      <c r="P835" s="1">
        <v>3</v>
      </c>
      <c r="Q835" s="24">
        <f t="shared" si="36"/>
        <v>19</v>
      </c>
      <c r="R835" s="23">
        <v>0</v>
      </c>
      <c r="S835" s="1">
        <v>0</v>
      </c>
      <c r="T835" s="1">
        <v>0</v>
      </c>
      <c r="U835" s="1">
        <v>0</v>
      </c>
      <c r="V835" s="1">
        <v>0</v>
      </c>
      <c r="W835" s="1">
        <v>0</v>
      </c>
      <c r="X835" s="1">
        <v>0</v>
      </c>
      <c r="Y835" s="1">
        <v>0</v>
      </c>
      <c r="Z835" s="1">
        <v>0</v>
      </c>
      <c r="AA835" s="1">
        <v>0</v>
      </c>
      <c r="AB835" s="1">
        <v>0</v>
      </c>
      <c r="AC835" s="1">
        <v>0</v>
      </c>
      <c r="AD835" s="24">
        <f t="shared" si="37"/>
        <v>0</v>
      </c>
      <c r="AE835" s="23">
        <v>9936.630000000001</v>
      </c>
      <c r="AF835" s="1">
        <v>36338.5</v>
      </c>
      <c r="AG835" s="1">
        <v>19592</v>
      </c>
      <c r="AH835" s="1">
        <v>0</v>
      </c>
      <c r="AI835" s="1">
        <v>0</v>
      </c>
      <c r="AJ835" s="1">
        <v>0</v>
      </c>
      <c r="AK835" s="1">
        <v>0</v>
      </c>
      <c r="AL835" s="1">
        <v>0</v>
      </c>
      <c r="AM835" s="1">
        <v>0</v>
      </c>
      <c r="AN835" s="1">
        <v>7746</v>
      </c>
      <c r="AO835" s="1">
        <v>28353.5</v>
      </c>
      <c r="AP835" s="1">
        <v>38549</v>
      </c>
      <c r="AQ835" s="24">
        <f t="shared" si="38"/>
        <v>140515.63</v>
      </c>
    </row>
    <row r="836" spans="1:43" ht="17.25" customHeight="1" x14ac:dyDescent="0.45">
      <c r="A836" s="12" t="s">
        <v>14</v>
      </c>
      <c r="B836" s="12" t="s">
        <v>66</v>
      </c>
      <c r="C836" s="12" t="s">
        <v>156</v>
      </c>
      <c r="D836" s="12" t="s">
        <v>157</v>
      </c>
      <c r="E836" s="25">
        <v>0</v>
      </c>
      <c r="F836" s="10">
        <v>1</v>
      </c>
      <c r="G836" s="10">
        <v>0</v>
      </c>
      <c r="H836" s="10">
        <v>0</v>
      </c>
      <c r="I836" s="10">
        <v>0</v>
      </c>
      <c r="J836" s="10">
        <v>0</v>
      </c>
      <c r="K836" s="10">
        <v>0</v>
      </c>
      <c r="L836" s="10">
        <v>0</v>
      </c>
      <c r="M836" s="10">
        <v>0</v>
      </c>
      <c r="N836" s="10">
        <v>0</v>
      </c>
      <c r="O836" s="10">
        <v>0</v>
      </c>
      <c r="P836" s="10">
        <v>0</v>
      </c>
      <c r="Q836" s="26">
        <f t="shared" si="36"/>
        <v>1</v>
      </c>
      <c r="R836" s="25">
        <v>0</v>
      </c>
      <c r="S836" s="10">
        <v>0</v>
      </c>
      <c r="T836" s="10">
        <v>0</v>
      </c>
      <c r="U836" s="10">
        <v>0</v>
      </c>
      <c r="V836" s="10">
        <v>0</v>
      </c>
      <c r="W836" s="10">
        <v>0</v>
      </c>
      <c r="X836" s="10">
        <v>0</v>
      </c>
      <c r="Y836" s="10">
        <v>0</v>
      </c>
      <c r="Z836" s="10">
        <v>0</v>
      </c>
      <c r="AA836" s="10">
        <v>0</v>
      </c>
      <c r="AB836" s="10">
        <v>0</v>
      </c>
      <c r="AC836" s="10">
        <v>0</v>
      </c>
      <c r="AD836" s="26">
        <f t="shared" si="37"/>
        <v>0</v>
      </c>
      <c r="AE836" s="25">
        <v>0</v>
      </c>
      <c r="AF836" s="10">
        <v>26767</v>
      </c>
      <c r="AG836" s="10">
        <v>0</v>
      </c>
      <c r="AH836" s="10">
        <v>0</v>
      </c>
      <c r="AI836" s="10">
        <v>0</v>
      </c>
      <c r="AJ836" s="10">
        <v>0</v>
      </c>
      <c r="AK836" s="10">
        <v>0</v>
      </c>
      <c r="AL836" s="10">
        <v>0</v>
      </c>
      <c r="AM836" s="10">
        <v>0</v>
      </c>
      <c r="AN836" s="10">
        <v>0</v>
      </c>
      <c r="AO836" s="10">
        <v>0</v>
      </c>
      <c r="AP836" s="10">
        <v>0</v>
      </c>
      <c r="AQ836" s="26">
        <f t="shared" si="38"/>
        <v>26767</v>
      </c>
    </row>
    <row r="837" spans="1:43" ht="17.25" customHeight="1" x14ac:dyDescent="0.45">
      <c r="A837" s="2" t="s">
        <v>14</v>
      </c>
      <c r="B837" s="2" t="s">
        <v>66</v>
      </c>
      <c r="C837" s="2" t="s">
        <v>158</v>
      </c>
      <c r="D837" s="2" t="s">
        <v>159</v>
      </c>
      <c r="E837" s="23">
        <v>31</v>
      </c>
      <c r="F837" s="1">
        <v>29</v>
      </c>
      <c r="G837" s="1">
        <v>31</v>
      </c>
      <c r="H837" s="1">
        <v>30</v>
      </c>
      <c r="I837" s="1">
        <v>31</v>
      </c>
      <c r="J837" s="1">
        <v>30</v>
      </c>
      <c r="K837" s="1">
        <v>30</v>
      </c>
      <c r="L837" s="1">
        <v>30</v>
      </c>
      <c r="M837" s="1">
        <v>31</v>
      </c>
      <c r="N837" s="1">
        <v>29</v>
      </c>
      <c r="O837" s="1">
        <v>17</v>
      </c>
      <c r="P837" s="1">
        <v>17</v>
      </c>
      <c r="Q837" s="24">
        <f t="shared" si="36"/>
        <v>336</v>
      </c>
      <c r="R837" s="23">
        <v>3483</v>
      </c>
      <c r="S837" s="1">
        <v>3272</v>
      </c>
      <c r="T837" s="1">
        <v>4211</v>
      </c>
      <c r="U837" s="1">
        <v>3921</v>
      </c>
      <c r="V837" s="1">
        <v>4305</v>
      </c>
      <c r="W837" s="1">
        <v>4195</v>
      </c>
      <c r="X837" s="1">
        <v>4662</v>
      </c>
      <c r="Y837" s="1">
        <v>4563</v>
      </c>
      <c r="Z837" s="1">
        <v>4709</v>
      </c>
      <c r="AA837" s="1">
        <v>4218</v>
      </c>
      <c r="AB837" s="1">
        <v>2491</v>
      </c>
      <c r="AC837" s="1">
        <v>2378</v>
      </c>
      <c r="AD837" s="24">
        <f t="shared" si="37"/>
        <v>46408</v>
      </c>
      <c r="AE837" s="23">
        <v>0</v>
      </c>
      <c r="AF837" s="1">
        <v>0</v>
      </c>
      <c r="AG837" s="1">
        <v>0</v>
      </c>
      <c r="AH837" s="1">
        <v>0</v>
      </c>
      <c r="AI837" s="1">
        <v>0</v>
      </c>
      <c r="AJ837" s="1">
        <v>0</v>
      </c>
      <c r="AK837" s="1">
        <v>0</v>
      </c>
      <c r="AL837" s="1">
        <v>0</v>
      </c>
      <c r="AM837" s="1">
        <v>0</v>
      </c>
      <c r="AN837" s="1">
        <v>0</v>
      </c>
      <c r="AO837" s="1">
        <v>0</v>
      </c>
      <c r="AP837" s="1">
        <v>0</v>
      </c>
      <c r="AQ837" s="24">
        <f t="shared" si="38"/>
        <v>0</v>
      </c>
    </row>
    <row r="838" spans="1:43" ht="17.25" customHeight="1" x14ac:dyDescent="0.45">
      <c r="A838" s="12" t="s">
        <v>14</v>
      </c>
      <c r="B838" s="12" t="s">
        <v>66</v>
      </c>
      <c r="C838" s="12" t="s">
        <v>236</v>
      </c>
      <c r="D838" s="12" t="s">
        <v>237</v>
      </c>
      <c r="E838" s="25">
        <v>23</v>
      </c>
      <c r="F838" s="10">
        <v>24</v>
      </c>
      <c r="G838" s="10">
        <v>27</v>
      </c>
      <c r="H838" s="10">
        <v>25</v>
      </c>
      <c r="I838" s="10">
        <v>27</v>
      </c>
      <c r="J838" s="10">
        <v>26</v>
      </c>
      <c r="K838" s="10">
        <v>27</v>
      </c>
      <c r="L838" s="10">
        <v>28</v>
      </c>
      <c r="M838" s="10">
        <v>25</v>
      </c>
      <c r="N838" s="10">
        <v>27</v>
      </c>
      <c r="O838" s="10">
        <v>27</v>
      </c>
      <c r="P838" s="10">
        <v>22</v>
      </c>
      <c r="Q838" s="26">
        <f t="shared" si="36"/>
        <v>308</v>
      </c>
      <c r="R838" s="25">
        <v>0</v>
      </c>
      <c r="S838" s="10">
        <v>0</v>
      </c>
      <c r="T838" s="10">
        <v>0</v>
      </c>
      <c r="U838" s="10">
        <v>0</v>
      </c>
      <c r="V838" s="10">
        <v>0</v>
      </c>
      <c r="W838" s="10">
        <v>0</v>
      </c>
      <c r="X838" s="10">
        <v>0</v>
      </c>
      <c r="Y838" s="10">
        <v>0</v>
      </c>
      <c r="Z838" s="10">
        <v>0</v>
      </c>
      <c r="AA838" s="10">
        <v>0</v>
      </c>
      <c r="AB838" s="10">
        <v>0</v>
      </c>
      <c r="AC838" s="10">
        <v>0</v>
      </c>
      <c r="AD838" s="26">
        <f t="shared" si="37"/>
        <v>0</v>
      </c>
      <c r="AE838" s="25">
        <v>598724</v>
      </c>
      <c r="AF838" s="10">
        <v>368993</v>
      </c>
      <c r="AG838" s="10">
        <v>650338</v>
      </c>
      <c r="AH838" s="10">
        <v>603753</v>
      </c>
      <c r="AI838" s="10">
        <v>1807838</v>
      </c>
      <c r="AJ838" s="10">
        <v>1702996</v>
      </c>
      <c r="AK838" s="10">
        <v>669946</v>
      </c>
      <c r="AL838" s="10">
        <v>694216</v>
      </c>
      <c r="AM838" s="10">
        <v>519498</v>
      </c>
      <c r="AN838" s="10">
        <v>677365</v>
      </c>
      <c r="AO838" s="10">
        <v>942471</v>
      </c>
      <c r="AP838" s="10">
        <v>845194</v>
      </c>
      <c r="AQ838" s="26">
        <f t="shared" si="38"/>
        <v>10081332</v>
      </c>
    </row>
    <row r="839" spans="1:43" ht="17.25" customHeight="1" x14ac:dyDescent="0.45">
      <c r="A839" s="2" t="s">
        <v>14</v>
      </c>
      <c r="B839" s="2" t="s">
        <v>66</v>
      </c>
      <c r="C839" s="2" t="s">
        <v>380</v>
      </c>
      <c r="D839" s="2" t="s">
        <v>237</v>
      </c>
      <c r="E839" s="23">
        <v>0</v>
      </c>
      <c r="F839" s="1">
        <v>0</v>
      </c>
      <c r="G839" s="1">
        <v>0</v>
      </c>
      <c r="H839" s="1">
        <v>7</v>
      </c>
      <c r="I839" s="1">
        <v>19</v>
      </c>
      <c r="J839" s="1">
        <v>12</v>
      </c>
      <c r="K839" s="1">
        <v>13</v>
      </c>
      <c r="L839" s="1">
        <v>12</v>
      </c>
      <c r="M839" s="1">
        <v>13</v>
      </c>
      <c r="N839" s="1">
        <v>14</v>
      </c>
      <c r="O839" s="1">
        <v>13</v>
      </c>
      <c r="P839" s="1">
        <v>13</v>
      </c>
      <c r="Q839" s="24">
        <f t="shared" si="36"/>
        <v>116</v>
      </c>
      <c r="R839" s="23">
        <v>0</v>
      </c>
      <c r="S839" s="1">
        <v>0</v>
      </c>
      <c r="T839" s="1">
        <v>0</v>
      </c>
      <c r="U839" s="1">
        <v>0</v>
      </c>
      <c r="V839" s="1">
        <v>0</v>
      </c>
      <c r="W839" s="1">
        <v>0</v>
      </c>
      <c r="X839" s="1">
        <v>0</v>
      </c>
      <c r="Y839" s="1">
        <v>0</v>
      </c>
      <c r="Z839" s="1">
        <v>0</v>
      </c>
      <c r="AA839" s="1">
        <v>0</v>
      </c>
      <c r="AB839" s="1">
        <v>0</v>
      </c>
      <c r="AC839" s="1">
        <v>0</v>
      </c>
      <c r="AD839" s="24">
        <f t="shared" si="37"/>
        <v>0</v>
      </c>
      <c r="AE839" s="23">
        <v>0</v>
      </c>
      <c r="AF839" s="1">
        <v>0</v>
      </c>
      <c r="AG839" s="1">
        <v>0</v>
      </c>
      <c r="AH839" s="1">
        <v>64660</v>
      </c>
      <c r="AI839" s="1">
        <v>134061</v>
      </c>
      <c r="AJ839" s="1">
        <v>64194</v>
      </c>
      <c r="AK839" s="1">
        <v>60422</v>
      </c>
      <c r="AL839" s="1">
        <v>47897</v>
      </c>
      <c r="AM839" s="1">
        <v>48942</v>
      </c>
      <c r="AN839" s="1">
        <v>47261</v>
      </c>
      <c r="AO839" s="1">
        <v>58398</v>
      </c>
      <c r="AP839" s="1">
        <v>73289</v>
      </c>
      <c r="AQ839" s="24">
        <f t="shared" si="38"/>
        <v>599124</v>
      </c>
    </row>
    <row r="840" spans="1:43" ht="17.25" customHeight="1" x14ac:dyDescent="0.45">
      <c r="A840" s="12" t="s">
        <v>14</v>
      </c>
      <c r="B840" s="12" t="s">
        <v>66</v>
      </c>
      <c r="C840" s="12" t="s">
        <v>246</v>
      </c>
      <c r="D840" s="12" t="s">
        <v>237</v>
      </c>
      <c r="E840" s="25">
        <v>12</v>
      </c>
      <c r="F840" s="10">
        <v>12</v>
      </c>
      <c r="G840" s="10">
        <v>13</v>
      </c>
      <c r="H840" s="10">
        <v>5</v>
      </c>
      <c r="I840" s="10">
        <v>0</v>
      </c>
      <c r="J840" s="10">
        <v>0</v>
      </c>
      <c r="K840" s="10">
        <v>0</v>
      </c>
      <c r="L840" s="10">
        <v>0</v>
      </c>
      <c r="M840" s="10">
        <v>0</v>
      </c>
      <c r="N840" s="10">
        <v>0</v>
      </c>
      <c r="O840" s="10">
        <v>0</v>
      </c>
      <c r="P840" s="10">
        <v>0</v>
      </c>
      <c r="Q840" s="26">
        <f t="shared" ref="Q840:Q903" si="39">SUM(E840:P840)</f>
        <v>42</v>
      </c>
      <c r="R840" s="25">
        <v>0</v>
      </c>
      <c r="S840" s="10">
        <v>0</v>
      </c>
      <c r="T840" s="10">
        <v>0</v>
      </c>
      <c r="U840" s="10">
        <v>0</v>
      </c>
      <c r="V840" s="10">
        <v>0</v>
      </c>
      <c r="W840" s="10">
        <v>0</v>
      </c>
      <c r="X840" s="10">
        <v>0</v>
      </c>
      <c r="Y840" s="10">
        <v>0</v>
      </c>
      <c r="Z840" s="10">
        <v>0</v>
      </c>
      <c r="AA840" s="10">
        <v>0</v>
      </c>
      <c r="AB840" s="10">
        <v>0</v>
      </c>
      <c r="AC840" s="10">
        <v>0</v>
      </c>
      <c r="AD840" s="26">
        <f t="shared" ref="AD840:AD903" si="40">SUM(R840:AC840)</f>
        <v>0</v>
      </c>
      <c r="AE840" s="25">
        <v>127709</v>
      </c>
      <c r="AF840" s="10">
        <v>67849</v>
      </c>
      <c r="AG840" s="10">
        <v>66552</v>
      </c>
      <c r="AH840" s="10">
        <v>115224</v>
      </c>
      <c r="AI840" s="10">
        <v>0</v>
      </c>
      <c r="AJ840" s="10">
        <v>0</v>
      </c>
      <c r="AK840" s="10">
        <v>0</v>
      </c>
      <c r="AL840" s="10">
        <v>0</v>
      </c>
      <c r="AM840" s="10">
        <v>0</v>
      </c>
      <c r="AN840" s="10">
        <v>0</v>
      </c>
      <c r="AO840" s="10">
        <v>0</v>
      </c>
      <c r="AP840" s="10">
        <v>0</v>
      </c>
      <c r="AQ840" s="26">
        <f t="shared" ref="AQ840:AQ903" si="41">SUM(AE840:AP840)</f>
        <v>377334</v>
      </c>
    </row>
    <row r="841" spans="1:43" ht="17.25" customHeight="1" x14ac:dyDescent="0.45">
      <c r="A841" s="2" t="s">
        <v>156</v>
      </c>
      <c r="B841" s="2" t="s">
        <v>157</v>
      </c>
      <c r="C841" s="2" t="s">
        <v>10</v>
      </c>
      <c r="D841" s="2" t="s">
        <v>66</v>
      </c>
      <c r="E841" s="23">
        <v>4</v>
      </c>
      <c r="F841" s="1">
        <v>4</v>
      </c>
      <c r="G841" s="1">
        <v>5</v>
      </c>
      <c r="H841" s="1">
        <v>5</v>
      </c>
      <c r="I841" s="1">
        <v>4</v>
      </c>
      <c r="J841" s="1">
        <v>5</v>
      </c>
      <c r="K841" s="1">
        <v>4</v>
      </c>
      <c r="L841" s="1">
        <v>4</v>
      </c>
      <c r="M841" s="1">
        <v>5</v>
      </c>
      <c r="N841" s="1">
        <v>4</v>
      </c>
      <c r="O841" s="1">
        <v>4</v>
      </c>
      <c r="P841" s="1">
        <v>9</v>
      </c>
      <c r="Q841" s="24">
        <f t="shared" si="39"/>
        <v>57</v>
      </c>
      <c r="R841" s="23">
        <v>1210</v>
      </c>
      <c r="S841" s="1">
        <v>1042</v>
      </c>
      <c r="T841" s="1">
        <v>1306</v>
      </c>
      <c r="U841" s="1">
        <v>1413</v>
      </c>
      <c r="V841" s="1">
        <v>1001</v>
      </c>
      <c r="W841" s="1">
        <v>1457</v>
      </c>
      <c r="X841" s="1">
        <v>945</v>
      </c>
      <c r="Y841" s="1">
        <v>1083</v>
      </c>
      <c r="Z841" s="1">
        <v>1390</v>
      </c>
      <c r="AA841" s="1">
        <v>1206</v>
      </c>
      <c r="AB841" s="1">
        <v>944</v>
      </c>
      <c r="AC841" s="1">
        <v>2172</v>
      </c>
      <c r="AD841" s="24">
        <f t="shared" si="40"/>
        <v>15169</v>
      </c>
      <c r="AE841" s="23">
        <v>0</v>
      </c>
      <c r="AF841" s="1">
        <v>0</v>
      </c>
      <c r="AG841" s="1">
        <v>0</v>
      </c>
      <c r="AH841" s="1">
        <v>0</v>
      </c>
      <c r="AI841" s="1">
        <v>0</v>
      </c>
      <c r="AJ841" s="1">
        <v>0</v>
      </c>
      <c r="AK841" s="1">
        <v>0</v>
      </c>
      <c r="AL841" s="1">
        <v>0</v>
      </c>
      <c r="AM841" s="1">
        <v>0</v>
      </c>
      <c r="AN841" s="1">
        <v>0</v>
      </c>
      <c r="AO841" s="1">
        <v>0</v>
      </c>
      <c r="AP841" s="1">
        <v>0</v>
      </c>
      <c r="AQ841" s="24">
        <f t="shared" si="41"/>
        <v>0</v>
      </c>
    </row>
    <row r="842" spans="1:43" ht="17.25" customHeight="1" x14ac:dyDescent="0.45">
      <c r="A842" s="12" t="s">
        <v>156</v>
      </c>
      <c r="B842" s="12" t="s">
        <v>157</v>
      </c>
      <c r="C842" s="12" t="s">
        <v>12</v>
      </c>
      <c r="D842" s="12" t="s">
        <v>66</v>
      </c>
      <c r="E842" s="25">
        <v>58</v>
      </c>
      <c r="F842" s="10">
        <v>54</v>
      </c>
      <c r="G842" s="10">
        <v>47</v>
      </c>
      <c r="H842" s="10">
        <v>43</v>
      </c>
      <c r="I842" s="10">
        <v>31</v>
      </c>
      <c r="J842" s="10">
        <v>30</v>
      </c>
      <c r="K842" s="10">
        <v>31</v>
      </c>
      <c r="L842" s="10">
        <v>31</v>
      </c>
      <c r="M842" s="10">
        <v>30</v>
      </c>
      <c r="N842" s="10">
        <v>36</v>
      </c>
      <c r="O842" s="10">
        <v>55</v>
      </c>
      <c r="P842" s="10">
        <v>57</v>
      </c>
      <c r="Q842" s="26">
        <f t="shared" si="39"/>
        <v>503</v>
      </c>
      <c r="R842" s="25">
        <v>14207</v>
      </c>
      <c r="S842" s="10">
        <v>11113</v>
      </c>
      <c r="T842" s="10">
        <v>8370</v>
      </c>
      <c r="U842" s="10">
        <v>9371</v>
      </c>
      <c r="V842" s="10">
        <v>5525</v>
      </c>
      <c r="W842" s="10">
        <v>6286</v>
      </c>
      <c r="X842" s="10">
        <v>6094</v>
      </c>
      <c r="Y842" s="10">
        <v>6553</v>
      </c>
      <c r="Z842" s="10">
        <v>6344</v>
      </c>
      <c r="AA842" s="10">
        <v>7882</v>
      </c>
      <c r="AB842" s="10">
        <v>9562</v>
      </c>
      <c r="AC842" s="10">
        <v>9899</v>
      </c>
      <c r="AD842" s="26">
        <f t="shared" si="40"/>
        <v>101206</v>
      </c>
      <c r="AE842" s="25">
        <v>853538</v>
      </c>
      <c r="AF842" s="10">
        <v>795007</v>
      </c>
      <c r="AG842" s="10">
        <v>671400</v>
      </c>
      <c r="AH842" s="10">
        <v>590073</v>
      </c>
      <c r="AI842" s="10">
        <v>457588</v>
      </c>
      <c r="AJ842" s="10">
        <v>436636</v>
      </c>
      <c r="AK842" s="10">
        <v>327459</v>
      </c>
      <c r="AL842" s="10">
        <v>341401</v>
      </c>
      <c r="AM842" s="10">
        <v>421808</v>
      </c>
      <c r="AN842" s="10">
        <v>466742</v>
      </c>
      <c r="AO842" s="10">
        <v>866153</v>
      </c>
      <c r="AP842" s="10">
        <v>751485</v>
      </c>
      <c r="AQ842" s="26">
        <f t="shared" si="41"/>
        <v>6979290</v>
      </c>
    </row>
    <row r="843" spans="1:43" ht="17.25" customHeight="1" x14ac:dyDescent="0.45">
      <c r="A843" s="2" t="s">
        <v>156</v>
      </c>
      <c r="B843" s="2" t="s">
        <v>157</v>
      </c>
      <c r="C843" s="2" t="s">
        <v>14</v>
      </c>
      <c r="D843" s="2" t="s">
        <v>66</v>
      </c>
      <c r="E843" s="23">
        <v>0</v>
      </c>
      <c r="F843" s="1">
        <v>1</v>
      </c>
      <c r="G843" s="1">
        <v>0</v>
      </c>
      <c r="H843" s="1">
        <v>0</v>
      </c>
      <c r="I843" s="1">
        <v>0</v>
      </c>
      <c r="J843" s="1">
        <v>0</v>
      </c>
      <c r="K843" s="1">
        <v>0</v>
      </c>
      <c r="L843" s="1">
        <v>0</v>
      </c>
      <c r="M843" s="1">
        <v>0</v>
      </c>
      <c r="N843" s="1">
        <v>0</v>
      </c>
      <c r="O843" s="1">
        <v>0</v>
      </c>
      <c r="P843" s="1">
        <v>0</v>
      </c>
      <c r="Q843" s="24">
        <f t="shared" si="39"/>
        <v>1</v>
      </c>
      <c r="R843" s="23">
        <v>0</v>
      </c>
      <c r="S843" s="1">
        <v>0</v>
      </c>
      <c r="T843" s="1">
        <v>0</v>
      </c>
      <c r="U843" s="1">
        <v>0</v>
      </c>
      <c r="V843" s="1">
        <v>0</v>
      </c>
      <c r="W843" s="1">
        <v>0</v>
      </c>
      <c r="X843" s="1">
        <v>0</v>
      </c>
      <c r="Y843" s="1">
        <v>0</v>
      </c>
      <c r="Z843" s="1">
        <v>0</v>
      </c>
      <c r="AA843" s="1">
        <v>0</v>
      </c>
      <c r="AB843" s="1">
        <v>0</v>
      </c>
      <c r="AC843" s="1">
        <v>0</v>
      </c>
      <c r="AD843" s="24">
        <f t="shared" si="40"/>
        <v>0</v>
      </c>
      <c r="AE843" s="23">
        <v>0</v>
      </c>
      <c r="AF843" s="1">
        <v>54627</v>
      </c>
      <c r="AG843" s="1">
        <v>0</v>
      </c>
      <c r="AH843" s="1">
        <v>0</v>
      </c>
      <c r="AI843" s="1">
        <v>0</v>
      </c>
      <c r="AJ843" s="1">
        <v>0</v>
      </c>
      <c r="AK843" s="1">
        <v>0</v>
      </c>
      <c r="AL843" s="1">
        <v>0</v>
      </c>
      <c r="AM843" s="1">
        <v>0</v>
      </c>
      <c r="AN843" s="1">
        <v>0</v>
      </c>
      <c r="AO843" s="1">
        <v>0</v>
      </c>
      <c r="AP843" s="1">
        <v>0</v>
      </c>
      <c r="AQ843" s="24">
        <f t="shared" si="41"/>
        <v>54627</v>
      </c>
    </row>
    <row r="844" spans="1:43" ht="17.25" customHeight="1" x14ac:dyDescent="0.45">
      <c r="A844" s="12" t="s">
        <v>158</v>
      </c>
      <c r="B844" s="12" t="s">
        <v>159</v>
      </c>
      <c r="C844" s="12" t="s">
        <v>10</v>
      </c>
      <c r="D844" s="12" t="s">
        <v>66</v>
      </c>
      <c r="E844" s="25">
        <v>31</v>
      </c>
      <c r="F844" s="10">
        <v>29</v>
      </c>
      <c r="G844" s="10">
        <v>30</v>
      </c>
      <c r="H844" s="10">
        <v>30</v>
      </c>
      <c r="I844" s="10">
        <v>31</v>
      </c>
      <c r="J844" s="10">
        <v>30</v>
      </c>
      <c r="K844" s="10">
        <v>31</v>
      </c>
      <c r="L844" s="10">
        <v>31</v>
      </c>
      <c r="M844" s="10">
        <v>30</v>
      </c>
      <c r="N844" s="10">
        <v>28</v>
      </c>
      <c r="O844" s="10">
        <v>13</v>
      </c>
      <c r="P844" s="10">
        <v>11</v>
      </c>
      <c r="Q844" s="26">
        <f t="shared" si="39"/>
        <v>325</v>
      </c>
      <c r="R844" s="25">
        <v>3904</v>
      </c>
      <c r="S844" s="10">
        <v>3022</v>
      </c>
      <c r="T844" s="10">
        <v>3379</v>
      </c>
      <c r="U844" s="10">
        <v>3503</v>
      </c>
      <c r="V844" s="10">
        <v>3262</v>
      </c>
      <c r="W844" s="10">
        <v>3386</v>
      </c>
      <c r="X844" s="10">
        <v>4161</v>
      </c>
      <c r="Y844" s="10">
        <v>4007</v>
      </c>
      <c r="Z844" s="10">
        <v>3374</v>
      </c>
      <c r="AA844" s="10">
        <v>3751</v>
      </c>
      <c r="AB844" s="10">
        <v>1219</v>
      </c>
      <c r="AC844" s="10">
        <v>949</v>
      </c>
      <c r="AD844" s="26">
        <f t="shared" si="40"/>
        <v>37917</v>
      </c>
      <c r="AE844" s="25">
        <v>0</v>
      </c>
      <c r="AF844" s="10">
        <v>0</v>
      </c>
      <c r="AG844" s="10">
        <v>0</v>
      </c>
      <c r="AH844" s="10">
        <v>0</v>
      </c>
      <c r="AI844" s="10">
        <v>0</v>
      </c>
      <c r="AJ844" s="10">
        <v>0</v>
      </c>
      <c r="AK844" s="10">
        <v>0</v>
      </c>
      <c r="AL844" s="10">
        <v>0</v>
      </c>
      <c r="AM844" s="10">
        <v>0</v>
      </c>
      <c r="AN844" s="10">
        <v>0</v>
      </c>
      <c r="AO844" s="10">
        <v>0</v>
      </c>
      <c r="AP844" s="10">
        <v>0</v>
      </c>
      <c r="AQ844" s="26">
        <f t="shared" si="41"/>
        <v>0</v>
      </c>
    </row>
    <row r="845" spans="1:43" ht="17.25" customHeight="1" x14ac:dyDescent="0.45">
      <c r="A845" s="2" t="s">
        <v>158</v>
      </c>
      <c r="B845" s="2" t="s">
        <v>159</v>
      </c>
      <c r="C845" s="2" t="s">
        <v>12</v>
      </c>
      <c r="D845" s="2" t="s">
        <v>66</v>
      </c>
      <c r="E845" s="23">
        <v>30</v>
      </c>
      <c r="F845" s="1">
        <v>29</v>
      </c>
      <c r="G845" s="1">
        <v>31</v>
      </c>
      <c r="H845" s="1">
        <v>30</v>
      </c>
      <c r="I845" s="1">
        <v>31</v>
      </c>
      <c r="J845" s="1">
        <v>30</v>
      </c>
      <c r="K845" s="1">
        <v>31</v>
      </c>
      <c r="L845" s="1">
        <v>31</v>
      </c>
      <c r="M845" s="1">
        <v>30</v>
      </c>
      <c r="N845" s="1">
        <v>31</v>
      </c>
      <c r="O845" s="1">
        <v>30</v>
      </c>
      <c r="P845" s="1">
        <v>31</v>
      </c>
      <c r="Q845" s="24">
        <f t="shared" si="39"/>
        <v>365</v>
      </c>
      <c r="R845" s="23">
        <v>2433</v>
      </c>
      <c r="S845" s="1">
        <v>2328</v>
      </c>
      <c r="T845" s="1">
        <v>2521</v>
      </c>
      <c r="U845" s="1">
        <v>2569</v>
      </c>
      <c r="V845" s="1">
        <v>2714</v>
      </c>
      <c r="W845" s="1">
        <v>2916</v>
      </c>
      <c r="X845" s="1">
        <v>3941</v>
      </c>
      <c r="Y845" s="1">
        <v>3916</v>
      </c>
      <c r="Z845" s="1">
        <v>2498</v>
      </c>
      <c r="AA845" s="1">
        <v>2879</v>
      </c>
      <c r="AB845" s="1">
        <v>3769</v>
      </c>
      <c r="AC845" s="1">
        <v>3725</v>
      </c>
      <c r="AD845" s="24">
        <f t="shared" si="40"/>
        <v>36209</v>
      </c>
      <c r="AE845" s="23">
        <v>3380</v>
      </c>
      <c r="AF845" s="1">
        <v>2373</v>
      </c>
      <c r="AG845" s="1">
        <v>4184</v>
      </c>
      <c r="AH845" s="1">
        <v>5632</v>
      </c>
      <c r="AI845" s="1">
        <v>1223</v>
      </c>
      <c r="AJ845" s="1">
        <v>1474</v>
      </c>
      <c r="AK845" s="1">
        <v>2762</v>
      </c>
      <c r="AL845" s="1">
        <v>328</v>
      </c>
      <c r="AM845" s="1">
        <v>96</v>
      </c>
      <c r="AN845" s="1">
        <v>8</v>
      </c>
      <c r="AO845" s="1">
        <v>1910</v>
      </c>
      <c r="AP845" s="1">
        <v>3053</v>
      </c>
      <c r="AQ845" s="24">
        <f t="shared" si="41"/>
        <v>26423</v>
      </c>
    </row>
    <row r="846" spans="1:43" ht="17.25" customHeight="1" x14ac:dyDescent="0.45">
      <c r="A846" s="12" t="s">
        <v>158</v>
      </c>
      <c r="B846" s="12" t="s">
        <v>159</v>
      </c>
      <c r="C846" s="12" t="s">
        <v>14</v>
      </c>
      <c r="D846" s="12" t="s">
        <v>66</v>
      </c>
      <c r="E846" s="25">
        <v>31</v>
      </c>
      <c r="F846" s="10">
        <v>29</v>
      </c>
      <c r="G846" s="10">
        <v>31</v>
      </c>
      <c r="H846" s="10">
        <v>30</v>
      </c>
      <c r="I846" s="10">
        <v>31</v>
      </c>
      <c r="J846" s="10">
        <v>30</v>
      </c>
      <c r="K846" s="10">
        <v>31</v>
      </c>
      <c r="L846" s="10">
        <v>31</v>
      </c>
      <c r="M846" s="10">
        <v>30</v>
      </c>
      <c r="N846" s="10">
        <v>29</v>
      </c>
      <c r="O846" s="10">
        <v>17</v>
      </c>
      <c r="P846" s="10">
        <v>17</v>
      </c>
      <c r="Q846" s="26">
        <f t="shared" si="39"/>
        <v>337</v>
      </c>
      <c r="R846" s="25">
        <v>4186</v>
      </c>
      <c r="S846" s="10">
        <v>3422</v>
      </c>
      <c r="T846" s="10">
        <v>3998</v>
      </c>
      <c r="U846" s="10">
        <v>4269</v>
      </c>
      <c r="V846" s="10">
        <v>4102</v>
      </c>
      <c r="W846" s="10">
        <v>4272</v>
      </c>
      <c r="X846" s="10">
        <v>4756</v>
      </c>
      <c r="Y846" s="10">
        <v>5154</v>
      </c>
      <c r="Z846" s="10">
        <v>4794</v>
      </c>
      <c r="AA846" s="10">
        <v>4814</v>
      </c>
      <c r="AB846" s="10">
        <v>2443</v>
      </c>
      <c r="AC846" s="10">
        <v>2441</v>
      </c>
      <c r="AD846" s="26">
        <f t="shared" si="40"/>
        <v>48651</v>
      </c>
      <c r="AE846" s="25">
        <v>0</v>
      </c>
      <c r="AF846" s="10">
        <v>0</v>
      </c>
      <c r="AG846" s="10">
        <v>0</v>
      </c>
      <c r="AH846" s="10">
        <v>0</v>
      </c>
      <c r="AI846" s="10">
        <v>0</v>
      </c>
      <c r="AJ846" s="10">
        <v>0</v>
      </c>
      <c r="AK846" s="10">
        <v>0</v>
      </c>
      <c r="AL846" s="10">
        <v>0</v>
      </c>
      <c r="AM846" s="10">
        <v>0</v>
      </c>
      <c r="AN846" s="10">
        <v>0</v>
      </c>
      <c r="AO846" s="10">
        <v>0</v>
      </c>
      <c r="AP846" s="10">
        <v>0</v>
      </c>
      <c r="AQ846" s="26">
        <f t="shared" si="41"/>
        <v>0</v>
      </c>
    </row>
    <row r="847" spans="1:43" ht="17.25" customHeight="1" x14ac:dyDescent="0.45">
      <c r="A847" s="2" t="s">
        <v>201</v>
      </c>
      <c r="B847" s="2" t="s">
        <v>89</v>
      </c>
      <c r="C847" s="2" t="s">
        <v>12</v>
      </c>
      <c r="D847" s="2" t="s">
        <v>66</v>
      </c>
      <c r="E847" s="23">
        <v>54</v>
      </c>
      <c r="F847" s="1">
        <v>58</v>
      </c>
      <c r="G847" s="1">
        <v>61</v>
      </c>
      <c r="H847" s="1">
        <v>59</v>
      </c>
      <c r="I847" s="1">
        <v>62</v>
      </c>
      <c r="J847" s="1">
        <v>61</v>
      </c>
      <c r="K847" s="1">
        <v>62</v>
      </c>
      <c r="L847" s="1">
        <v>62</v>
      </c>
      <c r="M847" s="1">
        <v>60</v>
      </c>
      <c r="N847" s="1">
        <v>64</v>
      </c>
      <c r="O847" s="1">
        <v>72</v>
      </c>
      <c r="P847" s="1">
        <v>61</v>
      </c>
      <c r="Q847" s="24">
        <f t="shared" si="39"/>
        <v>736</v>
      </c>
      <c r="R847" s="23">
        <v>14042</v>
      </c>
      <c r="S847" s="1">
        <v>11936</v>
      </c>
      <c r="T847" s="1">
        <v>12415</v>
      </c>
      <c r="U847" s="1">
        <v>11722</v>
      </c>
      <c r="V847" s="1">
        <v>11351</v>
      </c>
      <c r="W847" s="1">
        <v>11257</v>
      </c>
      <c r="X847" s="1">
        <v>12641</v>
      </c>
      <c r="Y847" s="1">
        <v>12669</v>
      </c>
      <c r="Z847" s="1">
        <v>11489</v>
      </c>
      <c r="AA847" s="1">
        <v>13656</v>
      </c>
      <c r="AB847" s="1">
        <v>14290</v>
      </c>
      <c r="AC847" s="1">
        <v>12446</v>
      </c>
      <c r="AD847" s="24">
        <f t="shared" si="40"/>
        <v>149914</v>
      </c>
      <c r="AE847" s="23">
        <v>1006757</v>
      </c>
      <c r="AF847" s="1">
        <v>1031241</v>
      </c>
      <c r="AG847" s="1">
        <v>1245780</v>
      </c>
      <c r="AH847" s="1">
        <v>1119173</v>
      </c>
      <c r="AI847" s="1">
        <v>1177720</v>
      </c>
      <c r="AJ847" s="1">
        <v>1123147</v>
      </c>
      <c r="AK847" s="1">
        <v>924132</v>
      </c>
      <c r="AL847" s="1">
        <v>851481</v>
      </c>
      <c r="AM847" s="1">
        <v>961271</v>
      </c>
      <c r="AN847" s="1">
        <v>1135535</v>
      </c>
      <c r="AO847" s="1">
        <v>1193325</v>
      </c>
      <c r="AP847" s="1">
        <v>1054845</v>
      </c>
      <c r="AQ847" s="24">
        <f t="shared" si="41"/>
        <v>12824407</v>
      </c>
    </row>
    <row r="848" spans="1:43" ht="17.25" customHeight="1" x14ac:dyDescent="0.45">
      <c r="A848" s="12" t="s">
        <v>160</v>
      </c>
      <c r="B848" s="12" t="s">
        <v>65</v>
      </c>
      <c r="C848" s="12" t="s">
        <v>10</v>
      </c>
      <c r="D848" s="12" t="s">
        <v>66</v>
      </c>
      <c r="E848" s="25">
        <v>18</v>
      </c>
      <c r="F848" s="10">
        <v>16</v>
      </c>
      <c r="G848" s="10">
        <v>16</v>
      </c>
      <c r="H848" s="10">
        <v>9</v>
      </c>
      <c r="I848" s="10">
        <v>3</v>
      </c>
      <c r="J848" s="10">
        <v>0</v>
      </c>
      <c r="K848" s="10">
        <v>0</v>
      </c>
      <c r="L848" s="10">
        <v>0</v>
      </c>
      <c r="M848" s="10">
        <v>0</v>
      </c>
      <c r="N848" s="10">
        <v>0</v>
      </c>
      <c r="O848" s="10">
        <v>8</v>
      </c>
      <c r="P848" s="10">
        <v>16</v>
      </c>
      <c r="Q848" s="26">
        <f t="shared" si="39"/>
        <v>86</v>
      </c>
      <c r="R848" s="25">
        <v>3007</v>
      </c>
      <c r="S848" s="10">
        <v>2479</v>
      </c>
      <c r="T848" s="10">
        <v>2161</v>
      </c>
      <c r="U848" s="10">
        <v>1261</v>
      </c>
      <c r="V848" s="10">
        <v>329</v>
      </c>
      <c r="W848" s="10">
        <v>0</v>
      </c>
      <c r="X848" s="10">
        <v>0</v>
      </c>
      <c r="Y848" s="10">
        <v>0</v>
      </c>
      <c r="Z848" s="10">
        <v>0</v>
      </c>
      <c r="AA848" s="10">
        <v>0</v>
      </c>
      <c r="AB848" s="10">
        <v>1424</v>
      </c>
      <c r="AC848" s="10">
        <v>2614</v>
      </c>
      <c r="AD848" s="26">
        <f t="shared" si="40"/>
        <v>13275</v>
      </c>
      <c r="AE848" s="25">
        <v>0</v>
      </c>
      <c r="AF848" s="10">
        <v>0</v>
      </c>
      <c r="AG848" s="10">
        <v>0</v>
      </c>
      <c r="AH848" s="10">
        <v>0</v>
      </c>
      <c r="AI848" s="10">
        <v>0</v>
      </c>
      <c r="AJ848" s="10">
        <v>0</v>
      </c>
      <c r="AK848" s="10">
        <v>0</v>
      </c>
      <c r="AL848" s="10">
        <v>0</v>
      </c>
      <c r="AM848" s="10">
        <v>0</v>
      </c>
      <c r="AN848" s="10">
        <v>0</v>
      </c>
      <c r="AO848" s="10">
        <v>0</v>
      </c>
      <c r="AP848" s="10">
        <v>0</v>
      </c>
      <c r="AQ848" s="26">
        <f t="shared" si="41"/>
        <v>0</v>
      </c>
    </row>
    <row r="849" spans="1:43" ht="17.25" customHeight="1" x14ac:dyDescent="0.45">
      <c r="A849" s="2" t="s">
        <v>160</v>
      </c>
      <c r="B849" s="2" t="s">
        <v>65</v>
      </c>
      <c r="C849" s="2" t="s">
        <v>40</v>
      </c>
      <c r="D849" s="2" t="s">
        <v>66</v>
      </c>
      <c r="E849" s="23">
        <v>4</v>
      </c>
      <c r="F849" s="1">
        <v>4</v>
      </c>
      <c r="G849" s="1">
        <v>5</v>
      </c>
      <c r="H849" s="1">
        <v>1</v>
      </c>
      <c r="I849" s="1">
        <v>0</v>
      </c>
      <c r="J849" s="1">
        <v>0</v>
      </c>
      <c r="K849" s="1">
        <v>0</v>
      </c>
      <c r="L849" s="1">
        <v>0</v>
      </c>
      <c r="M849" s="1">
        <v>0</v>
      </c>
      <c r="N849" s="1">
        <v>0</v>
      </c>
      <c r="O849" s="1">
        <v>0</v>
      </c>
      <c r="P849" s="1">
        <v>4</v>
      </c>
      <c r="Q849" s="24">
        <f t="shared" si="39"/>
        <v>18</v>
      </c>
      <c r="R849" s="23">
        <v>714</v>
      </c>
      <c r="S849" s="1">
        <v>727</v>
      </c>
      <c r="T849" s="1">
        <v>844</v>
      </c>
      <c r="U849" s="1">
        <v>187</v>
      </c>
      <c r="V849" s="1">
        <v>0</v>
      </c>
      <c r="W849" s="1">
        <v>0</v>
      </c>
      <c r="X849" s="1">
        <v>0</v>
      </c>
      <c r="Y849" s="1">
        <v>0</v>
      </c>
      <c r="Z849" s="1">
        <v>0</v>
      </c>
      <c r="AA849" s="1">
        <v>0</v>
      </c>
      <c r="AB849" s="1">
        <v>0</v>
      </c>
      <c r="AC849" s="1">
        <v>673</v>
      </c>
      <c r="AD849" s="24">
        <f t="shared" si="40"/>
        <v>3145</v>
      </c>
      <c r="AE849" s="23">
        <v>0</v>
      </c>
      <c r="AF849" s="1">
        <v>0</v>
      </c>
      <c r="AG849" s="1">
        <v>0</v>
      </c>
      <c r="AH849" s="1">
        <v>0</v>
      </c>
      <c r="AI849" s="1">
        <v>0</v>
      </c>
      <c r="AJ849" s="1">
        <v>0</v>
      </c>
      <c r="AK849" s="1">
        <v>0</v>
      </c>
      <c r="AL849" s="1">
        <v>0</v>
      </c>
      <c r="AM849" s="1">
        <v>0</v>
      </c>
      <c r="AN849" s="1">
        <v>0</v>
      </c>
      <c r="AO849" s="1">
        <v>0</v>
      </c>
      <c r="AP849" s="1">
        <v>0</v>
      </c>
      <c r="AQ849" s="24">
        <f t="shared" si="41"/>
        <v>0</v>
      </c>
    </row>
    <row r="850" spans="1:43" ht="17.25" customHeight="1" x14ac:dyDescent="0.45">
      <c r="A850" s="12" t="s">
        <v>160</v>
      </c>
      <c r="B850" s="12" t="s">
        <v>65</v>
      </c>
      <c r="C850" s="12" t="s">
        <v>17</v>
      </c>
      <c r="D850" s="12" t="s">
        <v>66</v>
      </c>
      <c r="E850" s="25">
        <v>11</v>
      </c>
      <c r="F850" s="10">
        <v>13</v>
      </c>
      <c r="G850" s="10">
        <v>12</v>
      </c>
      <c r="H850" s="10">
        <v>7</v>
      </c>
      <c r="I850" s="10">
        <v>0</v>
      </c>
      <c r="J850" s="10">
        <v>0</v>
      </c>
      <c r="K850" s="10">
        <v>0</v>
      </c>
      <c r="L850" s="10">
        <v>0</v>
      </c>
      <c r="M850" s="10">
        <v>0</v>
      </c>
      <c r="N850" s="10">
        <v>0</v>
      </c>
      <c r="O850" s="10">
        <v>9</v>
      </c>
      <c r="P850" s="10">
        <v>13</v>
      </c>
      <c r="Q850" s="26">
        <f t="shared" si="39"/>
        <v>65</v>
      </c>
      <c r="R850" s="25">
        <v>1835</v>
      </c>
      <c r="S850" s="10">
        <v>2107</v>
      </c>
      <c r="T850" s="10">
        <v>1419</v>
      </c>
      <c r="U850" s="10">
        <v>559</v>
      </c>
      <c r="V850" s="10">
        <v>0</v>
      </c>
      <c r="W850" s="10">
        <v>0</v>
      </c>
      <c r="X850" s="10">
        <v>0</v>
      </c>
      <c r="Y850" s="10">
        <v>0</v>
      </c>
      <c r="Z850" s="10">
        <v>0</v>
      </c>
      <c r="AA850" s="10">
        <v>0</v>
      </c>
      <c r="AB850" s="10">
        <v>1554</v>
      </c>
      <c r="AC850" s="10">
        <v>1803</v>
      </c>
      <c r="AD850" s="26">
        <f t="shared" si="40"/>
        <v>9277</v>
      </c>
      <c r="AE850" s="25">
        <v>0</v>
      </c>
      <c r="AF850" s="10">
        <v>0</v>
      </c>
      <c r="AG850" s="10">
        <v>0</v>
      </c>
      <c r="AH850" s="10">
        <v>0</v>
      </c>
      <c r="AI850" s="10">
        <v>0</v>
      </c>
      <c r="AJ850" s="10">
        <v>0</v>
      </c>
      <c r="AK850" s="10">
        <v>0</v>
      </c>
      <c r="AL850" s="10">
        <v>0</v>
      </c>
      <c r="AM850" s="10">
        <v>0</v>
      </c>
      <c r="AN850" s="10">
        <v>0</v>
      </c>
      <c r="AO850" s="10">
        <v>0</v>
      </c>
      <c r="AP850" s="10">
        <v>0</v>
      </c>
      <c r="AQ850" s="26">
        <f t="shared" si="41"/>
        <v>0</v>
      </c>
    </row>
    <row r="851" spans="1:43" ht="17.25" customHeight="1" x14ac:dyDescent="0.45">
      <c r="A851" s="2" t="s">
        <v>161</v>
      </c>
      <c r="B851" s="2" t="s">
        <v>68</v>
      </c>
      <c r="C851" s="2" t="s">
        <v>10</v>
      </c>
      <c r="D851" s="2" t="s">
        <v>66</v>
      </c>
      <c r="E851" s="23">
        <v>82</v>
      </c>
      <c r="F851" s="1">
        <v>79</v>
      </c>
      <c r="G851" s="1">
        <v>85</v>
      </c>
      <c r="H851" s="1">
        <v>71</v>
      </c>
      <c r="I851" s="1">
        <v>62</v>
      </c>
      <c r="J851" s="1">
        <v>60</v>
      </c>
      <c r="K851" s="1">
        <v>62</v>
      </c>
      <c r="L851" s="1">
        <v>60</v>
      </c>
      <c r="M851" s="1">
        <v>49</v>
      </c>
      <c r="N851" s="1">
        <v>52</v>
      </c>
      <c r="O851" s="1">
        <v>68</v>
      </c>
      <c r="P851" s="1">
        <v>77</v>
      </c>
      <c r="Q851" s="24">
        <f t="shared" si="39"/>
        <v>807</v>
      </c>
      <c r="R851" s="23">
        <v>11942</v>
      </c>
      <c r="S851" s="1">
        <v>12815</v>
      </c>
      <c r="T851" s="1">
        <v>13880</v>
      </c>
      <c r="U851" s="1">
        <v>11516</v>
      </c>
      <c r="V851" s="1">
        <v>10187</v>
      </c>
      <c r="W851" s="1">
        <v>9239</v>
      </c>
      <c r="X851" s="1">
        <v>8894</v>
      </c>
      <c r="Y851" s="1">
        <v>9243</v>
      </c>
      <c r="Z851" s="1">
        <v>6639</v>
      </c>
      <c r="AA851" s="1">
        <v>8046</v>
      </c>
      <c r="AB851" s="1">
        <v>10913</v>
      </c>
      <c r="AC851" s="1">
        <v>12864</v>
      </c>
      <c r="AD851" s="24">
        <f t="shared" si="40"/>
        <v>126178</v>
      </c>
      <c r="AE851" s="23">
        <v>106</v>
      </c>
      <c r="AF851" s="1">
        <v>187</v>
      </c>
      <c r="AG851" s="1">
        <v>70</v>
      </c>
      <c r="AH851" s="1">
        <v>59</v>
      </c>
      <c r="AI851" s="1">
        <v>97</v>
      </c>
      <c r="AJ851" s="1">
        <v>16</v>
      </c>
      <c r="AK851" s="1">
        <v>0</v>
      </c>
      <c r="AL851" s="1">
        <v>29</v>
      </c>
      <c r="AM851" s="1">
        <v>0</v>
      </c>
      <c r="AN851" s="1">
        <v>227</v>
      </c>
      <c r="AO851" s="1">
        <v>85</v>
      </c>
      <c r="AP851" s="1">
        <v>309</v>
      </c>
      <c r="AQ851" s="24">
        <f t="shared" si="41"/>
        <v>1185</v>
      </c>
    </row>
    <row r="852" spans="1:43" ht="17.25" customHeight="1" x14ac:dyDescent="0.45">
      <c r="A852" s="12" t="s">
        <v>161</v>
      </c>
      <c r="B852" s="12" t="s">
        <v>68</v>
      </c>
      <c r="C852" s="12" t="s">
        <v>11</v>
      </c>
      <c r="D852" s="12" t="s">
        <v>66</v>
      </c>
      <c r="E852" s="25">
        <v>49</v>
      </c>
      <c r="F852" s="10">
        <v>45</v>
      </c>
      <c r="G852" s="10">
        <v>49</v>
      </c>
      <c r="H852" s="10">
        <v>31</v>
      </c>
      <c r="I852" s="10">
        <v>35</v>
      </c>
      <c r="J852" s="10">
        <v>35</v>
      </c>
      <c r="K852" s="10">
        <v>35</v>
      </c>
      <c r="L852" s="10">
        <v>36</v>
      </c>
      <c r="M852" s="10">
        <v>34</v>
      </c>
      <c r="N852" s="10">
        <v>35</v>
      </c>
      <c r="O852" s="10">
        <v>39</v>
      </c>
      <c r="P852" s="10">
        <v>41</v>
      </c>
      <c r="Q852" s="26">
        <f t="shared" si="39"/>
        <v>464</v>
      </c>
      <c r="R852" s="25">
        <v>5607</v>
      </c>
      <c r="S852" s="10">
        <v>5267</v>
      </c>
      <c r="T852" s="10">
        <v>5826</v>
      </c>
      <c r="U852" s="10">
        <v>4446</v>
      </c>
      <c r="V852" s="10">
        <v>5098</v>
      </c>
      <c r="W852" s="10">
        <v>5296</v>
      </c>
      <c r="X852" s="10">
        <v>5649</v>
      </c>
      <c r="Y852" s="10">
        <v>5809</v>
      </c>
      <c r="Z852" s="10">
        <v>5246</v>
      </c>
      <c r="AA852" s="10">
        <v>5851</v>
      </c>
      <c r="AB852" s="10">
        <v>6810</v>
      </c>
      <c r="AC852" s="10">
        <v>6886</v>
      </c>
      <c r="AD852" s="26">
        <f t="shared" si="40"/>
        <v>67791</v>
      </c>
      <c r="AE852" s="25">
        <v>0</v>
      </c>
      <c r="AF852" s="10">
        <v>0</v>
      </c>
      <c r="AG852" s="10">
        <v>0</v>
      </c>
      <c r="AH852" s="10">
        <v>0</v>
      </c>
      <c r="AI852" s="10">
        <v>0</v>
      </c>
      <c r="AJ852" s="10">
        <v>0</v>
      </c>
      <c r="AK852" s="10">
        <v>0</v>
      </c>
      <c r="AL852" s="10">
        <v>0</v>
      </c>
      <c r="AM852" s="10">
        <v>0</v>
      </c>
      <c r="AN852" s="10">
        <v>0</v>
      </c>
      <c r="AO852" s="10">
        <v>0</v>
      </c>
      <c r="AP852" s="10">
        <v>0</v>
      </c>
      <c r="AQ852" s="26">
        <f t="shared" si="41"/>
        <v>0</v>
      </c>
    </row>
    <row r="853" spans="1:43" ht="17.25" customHeight="1" x14ac:dyDescent="0.45">
      <c r="A853" s="2" t="s">
        <v>161</v>
      </c>
      <c r="B853" s="2" t="s">
        <v>68</v>
      </c>
      <c r="C853" s="2" t="s">
        <v>12</v>
      </c>
      <c r="D853" s="2" t="s">
        <v>66</v>
      </c>
      <c r="E853" s="23">
        <v>45</v>
      </c>
      <c r="F853" s="1">
        <v>29</v>
      </c>
      <c r="G853" s="1">
        <v>31</v>
      </c>
      <c r="H853" s="1">
        <v>30</v>
      </c>
      <c r="I853" s="1">
        <v>31</v>
      </c>
      <c r="J853" s="1">
        <v>41</v>
      </c>
      <c r="K853" s="1">
        <v>62</v>
      </c>
      <c r="L853" s="1">
        <v>49</v>
      </c>
      <c r="M853" s="1">
        <v>30</v>
      </c>
      <c r="N853" s="1">
        <v>31</v>
      </c>
      <c r="O853" s="1">
        <v>30</v>
      </c>
      <c r="P853" s="1">
        <v>31</v>
      </c>
      <c r="Q853" s="24">
        <f t="shared" si="39"/>
        <v>440</v>
      </c>
      <c r="R853" s="23">
        <v>4951</v>
      </c>
      <c r="S853" s="1">
        <v>3751</v>
      </c>
      <c r="T853" s="1">
        <v>3938</v>
      </c>
      <c r="U853" s="1">
        <v>3708</v>
      </c>
      <c r="V853" s="1">
        <v>4022</v>
      </c>
      <c r="W853" s="1">
        <v>6117</v>
      </c>
      <c r="X853" s="1">
        <v>9272</v>
      </c>
      <c r="Y853" s="1">
        <v>7554</v>
      </c>
      <c r="Z853" s="1">
        <v>4327</v>
      </c>
      <c r="AA853" s="1">
        <v>4791</v>
      </c>
      <c r="AB853" s="1">
        <v>4638</v>
      </c>
      <c r="AC853" s="1">
        <v>4831</v>
      </c>
      <c r="AD853" s="24">
        <f t="shared" si="40"/>
        <v>61900</v>
      </c>
      <c r="AE853" s="23">
        <v>38</v>
      </c>
      <c r="AF853" s="1">
        <v>0</v>
      </c>
      <c r="AG853" s="1">
        <v>0</v>
      </c>
      <c r="AH853" s="1">
        <v>0</v>
      </c>
      <c r="AI853" s="1">
        <v>0</v>
      </c>
      <c r="AJ853" s="1">
        <v>0</v>
      </c>
      <c r="AK853" s="1">
        <v>702</v>
      </c>
      <c r="AL853" s="1">
        <v>0</v>
      </c>
      <c r="AM853" s="1">
        <v>35</v>
      </c>
      <c r="AN853" s="1">
        <v>1443</v>
      </c>
      <c r="AO853" s="1">
        <v>3558</v>
      </c>
      <c r="AP853" s="1">
        <v>4236</v>
      </c>
      <c r="AQ853" s="24">
        <f t="shared" si="41"/>
        <v>10012</v>
      </c>
    </row>
    <row r="854" spans="1:43" ht="17.25" customHeight="1" x14ac:dyDescent="0.45">
      <c r="A854" s="12" t="s">
        <v>161</v>
      </c>
      <c r="B854" s="12" t="s">
        <v>68</v>
      </c>
      <c r="C854" s="12" t="s">
        <v>17</v>
      </c>
      <c r="D854" s="12" t="s">
        <v>66</v>
      </c>
      <c r="E854" s="25">
        <v>85</v>
      </c>
      <c r="F854" s="10">
        <v>87</v>
      </c>
      <c r="G854" s="10">
        <v>78</v>
      </c>
      <c r="H854" s="10">
        <v>64</v>
      </c>
      <c r="I854" s="10">
        <v>52</v>
      </c>
      <c r="J854" s="10">
        <v>26</v>
      </c>
      <c r="K854" s="10">
        <v>22</v>
      </c>
      <c r="L854" s="10">
        <v>14</v>
      </c>
      <c r="M854" s="10">
        <v>13</v>
      </c>
      <c r="N854" s="10">
        <v>35</v>
      </c>
      <c r="O854" s="10">
        <v>60</v>
      </c>
      <c r="P854" s="10">
        <v>73</v>
      </c>
      <c r="Q854" s="26">
        <f t="shared" si="39"/>
        <v>609</v>
      </c>
      <c r="R854" s="25">
        <v>12012</v>
      </c>
      <c r="S854" s="10">
        <v>13703</v>
      </c>
      <c r="T854" s="10">
        <v>11627</v>
      </c>
      <c r="U854" s="10">
        <v>9806</v>
      </c>
      <c r="V854" s="10">
        <v>7651</v>
      </c>
      <c r="W854" s="10">
        <v>4063</v>
      </c>
      <c r="X854" s="10">
        <v>3384</v>
      </c>
      <c r="Y854" s="10">
        <v>2316</v>
      </c>
      <c r="Z854" s="10">
        <v>2127</v>
      </c>
      <c r="AA854" s="10">
        <v>5987</v>
      </c>
      <c r="AB854" s="10">
        <v>9567</v>
      </c>
      <c r="AC854" s="10">
        <v>11663</v>
      </c>
      <c r="AD854" s="26">
        <f t="shared" si="40"/>
        <v>93906</v>
      </c>
      <c r="AE854" s="25">
        <v>394</v>
      </c>
      <c r="AF854" s="10">
        <v>257</v>
      </c>
      <c r="AG854" s="10">
        <v>25</v>
      </c>
      <c r="AH854" s="10">
        <v>233</v>
      </c>
      <c r="AI854" s="10">
        <v>93</v>
      </c>
      <c r="AJ854" s="10">
        <v>0</v>
      </c>
      <c r="AK854" s="10">
        <v>0</v>
      </c>
      <c r="AL854" s="10">
        <v>59</v>
      </c>
      <c r="AM854" s="10">
        <v>152</v>
      </c>
      <c r="AN854" s="10">
        <v>415</v>
      </c>
      <c r="AO854" s="10">
        <v>228</v>
      </c>
      <c r="AP854" s="10">
        <v>182</v>
      </c>
      <c r="AQ854" s="26">
        <f t="shared" si="41"/>
        <v>2038</v>
      </c>
    </row>
    <row r="855" spans="1:43" ht="17.25" customHeight="1" x14ac:dyDescent="0.45">
      <c r="A855" s="2" t="s">
        <v>161</v>
      </c>
      <c r="B855" s="2" t="s">
        <v>68</v>
      </c>
      <c r="C855" s="2" t="s">
        <v>48</v>
      </c>
      <c r="D855" s="2" t="s">
        <v>66</v>
      </c>
      <c r="E855" s="23">
        <v>85</v>
      </c>
      <c r="F855" s="1">
        <v>87</v>
      </c>
      <c r="G855" s="1">
        <v>93</v>
      </c>
      <c r="H855" s="1">
        <v>75</v>
      </c>
      <c r="I855" s="1">
        <v>63</v>
      </c>
      <c r="J855" s="1">
        <v>54</v>
      </c>
      <c r="K855" s="1">
        <v>52</v>
      </c>
      <c r="L855" s="1">
        <v>53</v>
      </c>
      <c r="M855" s="1">
        <v>35</v>
      </c>
      <c r="N855" s="1">
        <v>46</v>
      </c>
      <c r="O855" s="1">
        <v>79</v>
      </c>
      <c r="P855" s="1">
        <v>75</v>
      </c>
      <c r="Q855" s="24">
        <f t="shared" si="39"/>
        <v>797</v>
      </c>
      <c r="R855" s="23">
        <v>10865</v>
      </c>
      <c r="S855" s="1">
        <v>12996</v>
      </c>
      <c r="T855" s="1">
        <v>13931</v>
      </c>
      <c r="U855" s="1">
        <v>11136</v>
      </c>
      <c r="V855" s="1">
        <v>9432</v>
      </c>
      <c r="W855" s="1">
        <v>8548</v>
      </c>
      <c r="X855" s="1">
        <v>7508</v>
      </c>
      <c r="Y855" s="1">
        <v>7989</v>
      </c>
      <c r="Z855" s="1">
        <v>5148</v>
      </c>
      <c r="AA855" s="1">
        <v>7508</v>
      </c>
      <c r="AB855" s="1">
        <v>11911</v>
      </c>
      <c r="AC855" s="1">
        <v>11466</v>
      </c>
      <c r="AD855" s="24">
        <f t="shared" si="40"/>
        <v>118438</v>
      </c>
      <c r="AE855" s="23">
        <v>346</v>
      </c>
      <c r="AF855" s="1">
        <v>475</v>
      </c>
      <c r="AG855" s="1">
        <v>422</v>
      </c>
      <c r="AH855" s="1">
        <v>150</v>
      </c>
      <c r="AI855" s="1">
        <v>95</v>
      </c>
      <c r="AJ855" s="1">
        <v>80</v>
      </c>
      <c r="AK855" s="1">
        <v>0</v>
      </c>
      <c r="AL855" s="1">
        <v>28</v>
      </c>
      <c r="AM855" s="1">
        <v>322</v>
      </c>
      <c r="AN855" s="1">
        <v>399</v>
      </c>
      <c r="AO855" s="1">
        <v>301</v>
      </c>
      <c r="AP855" s="1">
        <v>549</v>
      </c>
      <c r="AQ855" s="24">
        <f t="shared" si="41"/>
        <v>3167</v>
      </c>
    </row>
    <row r="856" spans="1:43" ht="17.25" customHeight="1" x14ac:dyDescent="0.45">
      <c r="A856" s="12" t="s">
        <v>191</v>
      </c>
      <c r="B856" s="12" t="s">
        <v>192</v>
      </c>
      <c r="C856" s="12" t="s">
        <v>11</v>
      </c>
      <c r="D856" s="12" t="s">
        <v>66</v>
      </c>
      <c r="E856" s="25">
        <v>13</v>
      </c>
      <c r="F856" s="10">
        <v>12</v>
      </c>
      <c r="G856" s="10">
        <v>14</v>
      </c>
      <c r="H856" s="10">
        <v>15</v>
      </c>
      <c r="I856" s="10">
        <v>13</v>
      </c>
      <c r="J856" s="10">
        <v>13</v>
      </c>
      <c r="K856" s="10">
        <v>14</v>
      </c>
      <c r="L856" s="10">
        <v>12</v>
      </c>
      <c r="M856" s="10">
        <v>13</v>
      </c>
      <c r="N856" s="10">
        <v>13</v>
      </c>
      <c r="O856" s="10">
        <v>12</v>
      </c>
      <c r="P856" s="10">
        <v>14</v>
      </c>
      <c r="Q856" s="26">
        <f t="shared" si="39"/>
        <v>158</v>
      </c>
      <c r="R856" s="25">
        <v>0</v>
      </c>
      <c r="S856" s="10">
        <v>0</v>
      </c>
      <c r="T856" s="10">
        <v>0</v>
      </c>
      <c r="U856" s="10">
        <v>0</v>
      </c>
      <c r="V856" s="10">
        <v>0</v>
      </c>
      <c r="W856" s="10">
        <v>0</v>
      </c>
      <c r="X856" s="10">
        <v>0</v>
      </c>
      <c r="Y856" s="10">
        <v>0</v>
      </c>
      <c r="Z856" s="10">
        <v>0</v>
      </c>
      <c r="AA856" s="10">
        <v>0</v>
      </c>
      <c r="AB856" s="10">
        <v>0</v>
      </c>
      <c r="AC856" s="10">
        <v>0</v>
      </c>
      <c r="AD856" s="26">
        <f t="shared" si="40"/>
        <v>0</v>
      </c>
      <c r="AE856" s="25">
        <v>241384.69000000003</v>
      </c>
      <c r="AF856" s="10">
        <v>209048.00000000003</v>
      </c>
      <c r="AG856" s="10">
        <v>274019</v>
      </c>
      <c r="AH856" s="10">
        <v>216982</v>
      </c>
      <c r="AI856" s="10">
        <v>326794</v>
      </c>
      <c r="AJ856" s="10">
        <v>241384.69</v>
      </c>
      <c r="AK856" s="10">
        <v>244579.00000000003</v>
      </c>
      <c r="AL856" s="10">
        <v>245318.52</v>
      </c>
      <c r="AM856" s="10">
        <v>241384.69</v>
      </c>
      <c r="AN856" s="10">
        <v>149838.00000000003</v>
      </c>
      <c r="AO856" s="10">
        <v>331159.60000000003</v>
      </c>
      <c r="AP856" s="10">
        <v>357259.96</v>
      </c>
      <c r="AQ856" s="26">
        <f t="shared" si="41"/>
        <v>3079152.15</v>
      </c>
    </row>
    <row r="857" spans="1:43" ht="17.25" customHeight="1" x14ac:dyDescent="0.45">
      <c r="A857" s="2" t="s">
        <v>191</v>
      </c>
      <c r="B857" s="2" t="s">
        <v>192</v>
      </c>
      <c r="C857" s="2" t="s">
        <v>12</v>
      </c>
      <c r="D857" s="2" t="s">
        <v>66</v>
      </c>
      <c r="E857" s="23">
        <v>0</v>
      </c>
      <c r="F857" s="1">
        <v>0</v>
      </c>
      <c r="G857" s="1">
        <v>0</v>
      </c>
      <c r="H857" s="1">
        <v>0</v>
      </c>
      <c r="I857" s="1">
        <v>0</v>
      </c>
      <c r="J857" s="1">
        <v>0</v>
      </c>
      <c r="K857" s="1">
        <v>0</v>
      </c>
      <c r="L857" s="1">
        <v>29</v>
      </c>
      <c r="M857" s="1">
        <v>30</v>
      </c>
      <c r="N857" s="1">
        <v>31</v>
      </c>
      <c r="O857" s="1">
        <v>29</v>
      </c>
      <c r="P857" s="1">
        <v>30</v>
      </c>
      <c r="Q857" s="24">
        <f t="shared" si="39"/>
        <v>149</v>
      </c>
      <c r="R857" s="23">
        <v>0</v>
      </c>
      <c r="S857" s="1">
        <v>0</v>
      </c>
      <c r="T857" s="1">
        <v>0</v>
      </c>
      <c r="U857" s="1">
        <v>0</v>
      </c>
      <c r="V857" s="1">
        <v>0</v>
      </c>
      <c r="W857" s="1">
        <v>0</v>
      </c>
      <c r="X857" s="1">
        <v>0</v>
      </c>
      <c r="Y857" s="1">
        <v>6287</v>
      </c>
      <c r="Z857" s="1">
        <v>6264</v>
      </c>
      <c r="AA857" s="1">
        <v>6432</v>
      </c>
      <c r="AB857" s="1">
        <v>6206</v>
      </c>
      <c r="AC857" s="1">
        <v>5557</v>
      </c>
      <c r="AD857" s="24">
        <f t="shared" si="40"/>
        <v>30746</v>
      </c>
      <c r="AE857" s="23">
        <v>0</v>
      </c>
      <c r="AF857" s="1">
        <v>0</v>
      </c>
      <c r="AG857" s="1">
        <v>0</v>
      </c>
      <c r="AH857" s="1">
        <v>0</v>
      </c>
      <c r="AI857" s="1">
        <v>0</v>
      </c>
      <c r="AJ857" s="1">
        <v>0</v>
      </c>
      <c r="AK857" s="1">
        <v>0</v>
      </c>
      <c r="AL857" s="1">
        <v>131511</v>
      </c>
      <c r="AM857" s="1">
        <v>223454</v>
      </c>
      <c r="AN857" s="1">
        <v>249401</v>
      </c>
      <c r="AO857" s="1">
        <v>264790</v>
      </c>
      <c r="AP857" s="1">
        <v>273048</v>
      </c>
      <c r="AQ857" s="24">
        <f t="shared" si="41"/>
        <v>1142204</v>
      </c>
    </row>
    <row r="858" spans="1:43" ht="17.25" customHeight="1" x14ac:dyDescent="0.45">
      <c r="A858" s="12" t="s">
        <v>236</v>
      </c>
      <c r="B858" s="12" t="s">
        <v>237</v>
      </c>
      <c r="C858" s="12" t="s">
        <v>14</v>
      </c>
      <c r="D858" s="12" t="s">
        <v>66</v>
      </c>
      <c r="E858" s="25">
        <v>23</v>
      </c>
      <c r="F858" s="10">
        <v>25</v>
      </c>
      <c r="G858" s="10">
        <v>26</v>
      </c>
      <c r="H858" s="10">
        <v>26</v>
      </c>
      <c r="I858" s="10">
        <v>27</v>
      </c>
      <c r="J858" s="10">
        <v>28</v>
      </c>
      <c r="K858" s="10">
        <v>27</v>
      </c>
      <c r="L858" s="10">
        <v>28</v>
      </c>
      <c r="M858" s="10">
        <v>25</v>
      </c>
      <c r="N858" s="10">
        <v>27</v>
      </c>
      <c r="O858" s="10">
        <v>27</v>
      </c>
      <c r="P858" s="10">
        <v>22</v>
      </c>
      <c r="Q858" s="26">
        <f t="shared" si="39"/>
        <v>311</v>
      </c>
      <c r="R858" s="25">
        <v>0</v>
      </c>
      <c r="S858" s="10">
        <v>0</v>
      </c>
      <c r="T858" s="10">
        <v>0</v>
      </c>
      <c r="U858" s="10">
        <v>0</v>
      </c>
      <c r="V858" s="10">
        <v>0</v>
      </c>
      <c r="W858" s="10">
        <v>0</v>
      </c>
      <c r="X858" s="10">
        <v>0</v>
      </c>
      <c r="Y858" s="10">
        <v>0</v>
      </c>
      <c r="Z858" s="10">
        <v>0</v>
      </c>
      <c r="AA858" s="10">
        <v>0</v>
      </c>
      <c r="AB858" s="10">
        <v>0</v>
      </c>
      <c r="AC858" s="10">
        <v>0</v>
      </c>
      <c r="AD858" s="26">
        <f t="shared" si="40"/>
        <v>0</v>
      </c>
      <c r="AE858" s="25">
        <v>1996369</v>
      </c>
      <c r="AF858" s="10">
        <v>2259339</v>
      </c>
      <c r="AG858" s="10">
        <v>2396455</v>
      </c>
      <c r="AH858" s="10">
        <v>2306761</v>
      </c>
      <c r="AI858" s="10">
        <v>1320016</v>
      </c>
      <c r="AJ858" s="10">
        <v>1407556</v>
      </c>
      <c r="AK858" s="10">
        <v>2206876</v>
      </c>
      <c r="AL858" s="10">
        <v>2201139</v>
      </c>
      <c r="AM858" s="10">
        <v>2116113</v>
      </c>
      <c r="AN858" s="10">
        <v>2416888</v>
      </c>
      <c r="AO858" s="10">
        <v>2372145</v>
      </c>
      <c r="AP858" s="10">
        <v>1949372</v>
      </c>
      <c r="AQ858" s="26">
        <f t="shared" si="41"/>
        <v>24949029</v>
      </c>
    </row>
    <row r="859" spans="1:43" ht="17.25" customHeight="1" x14ac:dyDescent="0.45">
      <c r="A859" s="2" t="s">
        <v>252</v>
      </c>
      <c r="B859" s="2" t="s">
        <v>237</v>
      </c>
      <c r="C859" s="2" t="s">
        <v>12</v>
      </c>
      <c r="D859" s="2" t="s">
        <v>66</v>
      </c>
      <c r="E859" s="23">
        <v>0</v>
      </c>
      <c r="F859" s="1">
        <v>0</v>
      </c>
      <c r="G859" s="1">
        <v>0</v>
      </c>
      <c r="H859" s="1">
        <v>0</v>
      </c>
      <c r="I859" s="1">
        <v>0</v>
      </c>
      <c r="J859" s="1">
        <v>9</v>
      </c>
      <c r="K859" s="1">
        <v>9</v>
      </c>
      <c r="L859" s="1">
        <v>9</v>
      </c>
      <c r="M859" s="1">
        <v>8</v>
      </c>
      <c r="N859" s="1">
        <v>9</v>
      </c>
      <c r="O859" s="1">
        <v>9</v>
      </c>
      <c r="P859" s="1">
        <v>9</v>
      </c>
      <c r="Q859" s="24">
        <f t="shared" si="39"/>
        <v>62</v>
      </c>
      <c r="R859" s="23">
        <v>0</v>
      </c>
      <c r="S859" s="1">
        <v>0</v>
      </c>
      <c r="T859" s="1">
        <v>0</v>
      </c>
      <c r="U859" s="1">
        <v>0</v>
      </c>
      <c r="V859" s="1">
        <v>0</v>
      </c>
      <c r="W859" s="1">
        <v>1307</v>
      </c>
      <c r="X859" s="1">
        <v>1367</v>
      </c>
      <c r="Y859" s="1">
        <v>1420</v>
      </c>
      <c r="Z859" s="1">
        <v>1220</v>
      </c>
      <c r="AA859" s="1">
        <v>1462</v>
      </c>
      <c r="AB859" s="1">
        <v>1618</v>
      </c>
      <c r="AC859" s="1">
        <v>1150</v>
      </c>
      <c r="AD859" s="24">
        <f t="shared" si="40"/>
        <v>9544</v>
      </c>
      <c r="AE859" s="23">
        <v>0</v>
      </c>
      <c r="AF859" s="1">
        <v>0</v>
      </c>
      <c r="AG859" s="1">
        <v>0</v>
      </c>
      <c r="AH859" s="1">
        <v>0</v>
      </c>
      <c r="AI859" s="1">
        <v>0</v>
      </c>
      <c r="AJ859" s="1">
        <v>85911</v>
      </c>
      <c r="AK859" s="1">
        <v>34822</v>
      </c>
      <c r="AL859" s="1">
        <v>20606</v>
      </c>
      <c r="AM859" s="1">
        <v>36013</v>
      </c>
      <c r="AN859" s="1">
        <v>87623</v>
      </c>
      <c r="AO859" s="1">
        <v>106525</v>
      </c>
      <c r="AP859" s="1">
        <v>119568</v>
      </c>
      <c r="AQ859" s="24">
        <f t="shared" si="41"/>
        <v>491068</v>
      </c>
    </row>
    <row r="860" spans="1:43" ht="17.25" customHeight="1" x14ac:dyDescent="0.45">
      <c r="A860" s="12" t="s">
        <v>279</v>
      </c>
      <c r="B860" s="12" t="s">
        <v>65</v>
      </c>
      <c r="C860" s="12" t="s">
        <v>10</v>
      </c>
      <c r="D860" s="12" t="s">
        <v>66</v>
      </c>
      <c r="E860" s="25">
        <v>0</v>
      </c>
      <c r="F860" s="10">
        <v>0</v>
      </c>
      <c r="G860" s="10">
        <v>3</v>
      </c>
      <c r="H860" s="10">
        <v>3</v>
      </c>
      <c r="I860" s="10">
        <v>1</v>
      </c>
      <c r="J860" s="10">
        <v>0</v>
      </c>
      <c r="K860" s="10">
        <v>0</v>
      </c>
      <c r="L860" s="10">
        <v>0</v>
      </c>
      <c r="M860" s="10">
        <v>0</v>
      </c>
      <c r="N860" s="10">
        <v>0</v>
      </c>
      <c r="O860" s="10">
        <v>0</v>
      </c>
      <c r="P860" s="10">
        <v>0</v>
      </c>
      <c r="Q860" s="26">
        <f t="shared" si="39"/>
        <v>7</v>
      </c>
      <c r="R860" s="25">
        <v>0</v>
      </c>
      <c r="S860" s="10">
        <v>0</v>
      </c>
      <c r="T860" s="10">
        <v>513</v>
      </c>
      <c r="U860" s="10">
        <v>549</v>
      </c>
      <c r="V860" s="10">
        <v>172</v>
      </c>
      <c r="W860" s="10">
        <v>0</v>
      </c>
      <c r="X860" s="10">
        <v>0</v>
      </c>
      <c r="Y860" s="10">
        <v>0</v>
      </c>
      <c r="Z860" s="10">
        <v>0</v>
      </c>
      <c r="AA860" s="10">
        <v>0</v>
      </c>
      <c r="AB860" s="10">
        <v>0</v>
      </c>
      <c r="AC860" s="10">
        <v>0</v>
      </c>
      <c r="AD860" s="26">
        <f t="shared" si="40"/>
        <v>1234</v>
      </c>
      <c r="AE860" s="25">
        <v>0</v>
      </c>
      <c r="AF860" s="10">
        <v>0</v>
      </c>
      <c r="AG860" s="10">
        <v>0</v>
      </c>
      <c r="AH860" s="10">
        <v>0</v>
      </c>
      <c r="AI860" s="10">
        <v>0</v>
      </c>
      <c r="AJ860" s="10">
        <v>0</v>
      </c>
      <c r="AK860" s="10">
        <v>0</v>
      </c>
      <c r="AL860" s="10">
        <v>0</v>
      </c>
      <c r="AM860" s="10">
        <v>0</v>
      </c>
      <c r="AN860" s="10">
        <v>0</v>
      </c>
      <c r="AO860" s="10">
        <v>0</v>
      </c>
      <c r="AP860" s="10">
        <v>0</v>
      </c>
      <c r="AQ860" s="26">
        <f t="shared" si="41"/>
        <v>0</v>
      </c>
    </row>
    <row r="861" spans="1:43" ht="17.25" customHeight="1" x14ac:dyDescent="0.45">
      <c r="A861" s="2" t="s">
        <v>162</v>
      </c>
      <c r="B861" s="2" t="s">
        <v>68</v>
      </c>
      <c r="C861" s="2" t="s">
        <v>10</v>
      </c>
      <c r="D861" s="2" t="s">
        <v>66</v>
      </c>
      <c r="E861" s="23">
        <v>60</v>
      </c>
      <c r="F861" s="1">
        <v>58</v>
      </c>
      <c r="G861" s="1">
        <v>64</v>
      </c>
      <c r="H861" s="1">
        <v>63</v>
      </c>
      <c r="I861" s="1">
        <v>66</v>
      </c>
      <c r="J861" s="1">
        <v>87</v>
      </c>
      <c r="K861" s="1">
        <v>88</v>
      </c>
      <c r="L861" s="1">
        <v>58</v>
      </c>
      <c r="M861" s="1">
        <v>51</v>
      </c>
      <c r="N861" s="1">
        <v>66</v>
      </c>
      <c r="O861" s="1">
        <v>67</v>
      </c>
      <c r="P861" s="1">
        <v>75</v>
      </c>
      <c r="Q861" s="24">
        <f t="shared" si="39"/>
        <v>803</v>
      </c>
      <c r="R861" s="23">
        <v>10029</v>
      </c>
      <c r="S861" s="1">
        <v>10262</v>
      </c>
      <c r="T861" s="1">
        <v>11346</v>
      </c>
      <c r="U861" s="1">
        <v>8978</v>
      </c>
      <c r="V861" s="1">
        <v>10714</v>
      </c>
      <c r="W861" s="1">
        <v>14160</v>
      </c>
      <c r="X861" s="1">
        <v>13440</v>
      </c>
      <c r="Y861" s="1">
        <v>7790</v>
      </c>
      <c r="Z861" s="1">
        <v>6552</v>
      </c>
      <c r="AA861" s="1">
        <v>9187</v>
      </c>
      <c r="AB861" s="1">
        <v>8472</v>
      </c>
      <c r="AC861" s="1">
        <v>10509</v>
      </c>
      <c r="AD861" s="24">
        <f t="shared" si="40"/>
        <v>121439</v>
      </c>
      <c r="AE861" s="23">
        <v>0</v>
      </c>
      <c r="AF861" s="1">
        <v>0</v>
      </c>
      <c r="AG861" s="1">
        <v>0</v>
      </c>
      <c r="AH861" s="1">
        <v>0</v>
      </c>
      <c r="AI861" s="1">
        <v>0</v>
      </c>
      <c r="AJ861" s="1">
        <v>0</v>
      </c>
      <c r="AK861" s="1">
        <v>0</v>
      </c>
      <c r="AL861" s="1">
        <v>0</v>
      </c>
      <c r="AM861" s="1">
        <v>0</v>
      </c>
      <c r="AN861" s="1">
        <v>0</v>
      </c>
      <c r="AO861" s="1">
        <v>0</v>
      </c>
      <c r="AP861" s="1">
        <v>0</v>
      </c>
      <c r="AQ861" s="24">
        <f t="shared" si="41"/>
        <v>0</v>
      </c>
    </row>
    <row r="862" spans="1:43" ht="17.25" customHeight="1" x14ac:dyDescent="0.45">
      <c r="A862" s="12" t="s">
        <v>162</v>
      </c>
      <c r="B862" s="12" t="s">
        <v>68</v>
      </c>
      <c r="C862" s="12" t="s">
        <v>48</v>
      </c>
      <c r="D862" s="12" t="s">
        <v>66</v>
      </c>
      <c r="E862" s="25">
        <v>0</v>
      </c>
      <c r="F862" s="10">
        <v>0</v>
      </c>
      <c r="G862" s="10">
        <v>4</v>
      </c>
      <c r="H862" s="10">
        <v>4</v>
      </c>
      <c r="I862" s="10">
        <v>4</v>
      </c>
      <c r="J862" s="10">
        <v>5</v>
      </c>
      <c r="K862" s="10">
        <v>4</v>
      </c>
      <c r="L862" s="10">
        <v>1</v>
      </c>
      <c r="M862" s="10">
        <v>0</v>
      </c>
      <c r="N862" s="10">
        <v>0</v>
      </c>
      <c r="O862" s="10">
        <v>4</v>
      </c>
      <c r="P862" s="10">
        <v>4</v>
      </c>
      <c r="Q862" s="26">
        <f t="shared" si="39"/>
        <v>30</v>
      </c>
      <c r="R862" s="25">
        <v>0</v>
      </c>
      <c r="S862" s="10">
        <v>0</v>
      </c>
      <c r="T862" s="10">
        <v>490</v>
      </c>
      <c r="U862" s="10">
        <v>491</v>
      </c>
      <c r="V862" s="10">
        <v>583</v>
      </c>
      <c r="W862" s="10">
        <v>738</v>
      </c>
      <c r="X862" s="10">
        <v>568</v>
      </c>
      <c r="Y862" s="10">
        <v>107</v>
      </c>
      <c r="Z862" s="10">
        <v>0</v>
      </c>
      <c r="AA862" s="10">
        <v>0</v>
      </c>
      <c r="AB862" s="10">
        <v>476</v>
      </c>
      <c r="AC862" s="10">
        <v>477</v>
      </c>
      <c r="AD862" s="26">
        <f t="shared" si="40"/>
        <v>3930</v>
      </c>
      <c r="AE862" s="25">
        <v>0</v>
      </c>
      <c r="AF862" s="10">
        <v>0</v>
      </c>
      <c r="AG862" s="10">
        <v>0</v>
      </c>
      <c r="AH862" s="10">
        <v>0</v>
      </c>
      <c r="AI862" s="10">
        <v>0</v>
      </c>
      <c r="AJ862" s="10">
        <v>0</v>
      </c>
      <c r="AK862" s="10">
        <v>0</v>
      </c>
      <c r="AL862" s="10">
        <v>0</v>
      </c>
      <c r="AM862" s="10">
        <v>0</v>
      </c>
      <c r="AN862" s="10">
        <v>0</v>
      </c>
      <c r="AO862" s="10">
        <v>0</v>
      </c>
      <c r="AP862" s="10">
        <v>0</v>
      </c>
      <c r="AQ862" s="26">
        <f t="shared" si="41"/>
        <v>0</v>
      </c>
    </row>
    <row r="863" spans="1:43" ht="17.25" customHeight="1" x14ac:dyDescent="0.45">
      <c r="A863" s="2" t="s">
        <v>163</v>
      </c>
      <c r="B863" s="2" t="s">
        <v>68</v>
      </c>
      <c r="C863" s="2" t="s">
        <v>10</v>
      </c>
      <c r="D863" s="2" t="s">
        <v>66</v>
      </c>
      <c r="E863" s="23">
        <v>31</v>
      </c>
      <c r="F863" s="1">
        <v>29</v>
      </c>
      <c r="G863" s="1">
        <v>31</v>
      </c>
      <c r="H863" s="1">
        <v>30</v>
      </c>
      <c r="I863" s="1">
        <v>38</v>
      </c>
      <c r="J863" s="1">
        <v>42</v>
      </c>
      <c r="K863" s="1">
        <v>47</v>
      </c>
      <c r="L863" s="1">
        <v>37</v>
      </c>
      <c r="M863" s="1">
        <v>22</v>
      </c>
      <c r="N863" s="1">
        <v>33</v>
      </c>
      <c r="O863" s="1">
        <v>60</v>
      </c>
      <c r="P863" s="1">
        <v>62</v>
      </c>
      <c r="Q863" s="24">
        <f t="shared" si="39"/>
        <v>462</v>
      </c>
      <c r="R863" s="23">
        <v>3027</v>
      </c>
      <c r="S863" s="1">
        <v>3651</v>
      </c>
      <c r="T863" s="1">
        <v>4188</v>
      </c>
      <c r="U863" s="1">
        <v>3661</v>
      </c>
      <c r="V863" s="1">
        <v>4878</v>
      </c>
      <c r="W863" s="1">
        <v>5511</v>
      </c>
      <c r="X863" s="1">
        <v>5330</v>
      </c>
      <c r="Y863" s="1">
        <v>3881</v>
      </c>
      <c r="Z863" s="1">
        <v>2337</v>
      </c>
      <c r="AA863" s="1">
        <v>2952</v>
      </c>
      <c r="AB863" s="1">
        <v>4890</v>
      </c>
      <c r="AC863" s="1">
        <v>6055</v>
      </c>
      <c r="AD863" s="24">
        <f t="shared" si="40"/>
        <v>50361</v>
      </c>
      <c r="AE863" s="23">
        <v>0</v>
      </c>
      <c r="AF863" s="1">
        <v>0</v>
      </c>
      <c r="AG863" s="1">
        <v>0</v>
      </c>
      <c r="AH863" s="1">
        <v>0</v>
      </c>
      <c r="AI863" s="1">
        <v>0</v>
      </c>
      <c r="AJ863" s="1">
        <v>0</v>
      </c>
      <c r="AK863" s="1">
        <v>0</v>
      </c>
      <c r="AL863" s="1">
        <v>0</v>
      </c>
      <c r="AM863" s="1">
        <v>0</v>
      </c>
      <c r="AN863" s="1">
        <v>0</v>
      </c>
      <c r="AO863" s="1">
        <v>0</v>
      </c>
      <c r="AP863" s="1">
        <v>0</v>
      </c>
      <c r="AQ863" s="24">
        <f t="shared" si="41"/>
        <v>0</v>
      </c>
    </row>
    <row r="864" spans="1:43" ht="17.25" customHeight="1" x14ac:dyDescent="0.45">
      <c r="A864" s="12" t="s">
        <v>163</v>
      </c>
      <c r="B864" s="12" t="s">
        <v>68</v>
      </c>
      <c r="C864" s="12" t="s">
        <v>12</v>
      </c>
      <c r="D864" s="12" t="s">
        <v>66</v>
      </c>
      <c r="E864" s="25">
        <v>0</v>
      </c>
      <c r="F864" s="10">
        <v>0</v>
      </c>
      <c r="G864" s="10">
        <v>0</v>
      </c>
      <c r="H864" s="10">
        <v>0</v>
      </c>
      <c r="I864" s="10">
        <v>0</v>
      </c>
      <c r="J864" s="10">
        <v>0</v>
      </c>
      <c r="K864" s="10">
        <v>31</v>
      </c>
      <c r="L864" s="10">
        <v>31</v>
      </c>
      <c r="M864" s="10">
        <v>29</v>
      </c>
      <c r="N864" s="10">
        <v>28</v>
      </c>
      <c r="O864" s="10">
        <v>29</v>
      </c>
      <c r="P864" s="10">
        <v>31</v>
      </c>
      <c r="Q864" s="26">
        <f t="shared" si="39"/>
        <v>179</v>
      </c>
      <c r="R864" s="25">
        <v>0</v>
      </c>
      <c r="S864" s="10">
        <v>0</v>
      </c>
      <c r="T864" s="10">
        <v>0</v>
      </c>
      <c r="U864" s="10">
        <v>0</v>
      </c>
      <c r="V864" s="10">
        <v>0</v>
      </c>
      <c r="W864" s="10">
        <v>0</v>
      </c>
      <c r="X864" s="10">
        <v>2834</v>
      </c>
      <c r="Y864" s="10">
        <v>2494</v>
      </c>
      <c r="Z864" s="10">
        <v>2132</v>
      </c>
      <c r="AA864" s="10">
        <v>2578</v>
      </c>
      <c r="AB864" s="10">
        <v>3163</v>
      </c>
      <c r="AC864" s="10">
        <v>4639</v>
      </c>
      <c r="AD864" s="26">
        <f t="shared" si="40"/>
        <v>17840</v>
      </c>
      <c r="AE864" s="25">
        <v>0</v>
      </c>
      <c r="AF864" s="10">
        <v>0</v>
      </c>
      <c r="AG864" s="10">
        <v>0</v>
      </c>
      <c r="AH864" s="10">
        <v>0</v>
      </c>
      <c r="AI864" s="10">
        <v>0</v>
      </c>
      <c r="AJ864" s="10">
        <v>0</v>
      </c>
      <c r="AK864" s="10">
        <v>0</v>
      </c>
      <c r="AL864" s="10">
        <v>0</v>
      </c>
      <c r="AM864" s="10">
        <v>0</v>
      </c>
      <c r="AN864" s="10">
        <v>0</v>
      </c>
      <c r="AO864" s="10">
        <v>0</v>
      </c>
      <c r="AP864" s="10">
        <v>0</v>
      </c>
      <c r="AQ864" s="26">
        <f t="shared" si="41"/>
        <v>0</v>
      </c>
    </row>
    <row r="865" spans="1:43" ht="17.25" customHeight="1" x14ac:dyDescent="0.45">
      <c r="A865" s="2" t="s">
        <v>31</v>
      </c>
      <c r="B865" s="2" t="s">
        <v>66</v>
      </c>
      <c r="C865" s="2" t="s">
        <v>69</v>
      </c>
      <c r="D865" s="2" t="s">
        <v>68</v>
      </c>
      <c r="E865" s="23">
        <v>29</v>
      </c>
      <c r="F865" s="1">
        <v>29</v>
      </c>
      <c r="G865" s="1">
        <v>31</v>
      </c>
      <c r="H865" s="1">
        <v>30</v>
      </c>
      <c r="I865" s="1">
        <v>29</v>
      </c>
      <c r="J865" s="1">
        <v>30</v>
      </c>
      <c r="K865" s="1">
        <v>30</v>
      </c>
      <c r="L865" s="1">
        <v>31</v>
      </c>
      <c r="M865" s="1">
        <v>30</v>
      </c>
      <c r="N865" s="1">
        <v>30</v>
      </c>
      <c r="O865" s="1">
        <v>30</v>
      </c>
      <c r="P865" s="1">
        <v>30</v>
      </c>
      <c r="Q865" s="24">
        <f t="shared" si="39"/>
        <v>359</v>
      </c>
      <c r="R865" s="23">
        <v>1762</v>
      </c>
      <c r="S865" s="1">
        <v>1386</v>
      </c>
      <c r="T865" s="1">
        <v>1431</v>
      </c>
      <c r="U865" s="1">
        <v>1374</v>
      </c>
      <c r="V865" s="1">
        <v>1391</v>
      </c>
      <c r="W865" s="1">
        <v>1706</v>
      </c>
      <c r="X865" s="1">
        <v>2089</v>
      </c>
      <c r="Y865" s="1">
        <v>1782</v>
      </c>
      <c r="Z865" s="1">
        <v>1700</v>
      </c>
      <c r="AA865" s="1">
        <v>2167</v>
      </c>
      <c r="AB865" s="1">
        <v>2336</v>
      </c>
      <c r="AC865" s="1">
        <v>2366</v>
      </c>
      <c r="AD865" s="24">
        <f t="shared" si="40"/>
        <v>21490</v>
      </c>
      <c r="AE865" s="23">
        <v>0</v>
      </c>
      <c r="AF865" s="1">
        <v>0</v>
      </c>
      <c r="AG865" s="1">
        <v>0</v>
      </c>
      <c r="AH865" s="1">
        <v>0</v>
      </c>
      <c r="AI865" s="1">
        <v>0</v>
      </c>
      <c r="AJ865" s="1">
        <v>0</v>
      </c>
      <c r="AK865" s="1">
        <v>0</v>
      </c>
      <c r="AL865" s="1">
        <v>0</v>
      </c>
      <c r="AM865" s="1">
        <v>0</v>
      </c>
      <c r="AN865" s="1">
        <v>0</v>
      </c>
      <c r="AO865" s="1">
        <v>0</v>
      </c>
      <c r="AP865" s="1">
        <v>0</v>
      </c>
      <c r="AQ865" s="24">
        <f t="shared" si="41"/>
        <v>0</v>
      </c>
    </row>
    <row r="866" spans="1:43" ht="17.25" customHeight="1" x14ac:dyDescent="0.45">
      <c r="A866" s="12" t="s">
        <v>164</v>
      </c>
      <c r="B866" s="12" t="s">
        <v>65</v>
      </c>
      <c r="C866" s="12" t="s">
        <v>10</v>
      </c>
      <c r="D866" s="12" t="s">
        <v>66</v>
      </c>
      <c r="E866" s="25">
        <v>5</v>
      </c>
      <c r="F866" s="10">
        <v>4</v>
      </c>
      <c r="G866" s="10">
        <v>4</v>
      </c>
      <c r="H866" s="10">
        <v>1</v>
      </c>
      <c r="I866" s="10">
        <v>0</v>
      </c>
      <c r="J866" s="10">
        <v>0</v>
      </c>
      <c r="K866" s="10">
        <v>0</v>
      </c>
      <c r="L866" s="10">
        <v>0</v>
      </c>
      <c r="M866" s="10">
        <v>0</v>
      </c>
      <c r="N866" s="10">
        <v>0</v>
      </c>
      <c r="O866" s="10">
        <v>0</v>
      </c>
      <c r="P866" s="10">
        <v>4</v>
      </c>
      <c r="Q866" s="26">
        <f t="shared" si="39"/>
        <v>18</v>
      </c>
      <c r="R866" s="25">
        <v>915</v>
      </c>
      <c r="S866" s="10">
        <v>729</v>
      </c>
      <c r="T866" s="10">
        <v>616</v>
      </c>
      <c r="U866" s="10">
        <v>168</v>
      </c>
      <c r="V866" s="10">
        <v>0</v>
      </c>
      <c r="W866" s="10">
        <v>0</v>
      </c>
      <c r="X866" s="10">
        <v>0</v>
      </c>
      <c r="Y866" s="10">
        <v>0</v>
      </c>
      <c r="Z866" s="10">
        <v>0</v>
      </c>
      <c r="AA866" s="10">
        <v>0</v>
      </c>
      <c r="AB866" s="10">
        <v>0</v>
      </c>
      <c r="AC866" s="10">
        <v>696</v>
      </c>
      <c r="AD866" s="26">
        <f t="shared" si="40"/>
        <v>3124</v>
      </c>
      <c r="AE866" s="25">
        <v>0</v>
      </c>
      <c r="AF866" s="10">
        <v>0</v>
      </c>
      <c r="AG866" s="10">
        <v>0</v>
      </c>
      <c r="AH866" s="10">
        <v>0</v>
      </c>
      <c r="AI866" s="10">
        <v>0</v>
      </c>
      <c r="AJ866" s="10">
        <v>0</v>
      </c>
      <c r="AK866" s="10">
        <v>0</v>
      </c>
      <c r="AL866" s="10">
        <v>0</v>
      </c>
      <c r="AM866" s="10">
        <v>0</v>
      </c>
      <c r="AN866" s="10">
        <v>0</v>
      </c>
      <c r="AO866" s="10">
        <v>0</v>
      </c>
      <c r="AP866" s="10">
        <v>0</v>
      </c>
      <c r="AQ866" s="26">
        <f t="shared" si="41"/>
        <v>0</v>
      </c>
    </row>
    <row r="867" spans="1:43" ht="17.25" customHeight="1" x14ac:dyDescent="0.45">
      <c r="A867" s="2" t="s">
        <v>15</v>
      </c>
      <c r="B867" s="2" t="s">
        <v>66</v>
      </c>
      <c r="C867" s="2" t="s">
        <v>184</v>
      </c>
      <c r="D867" s="2" t="s">
        <v>68</v>
      </c>
      <c r="E867" s="23">
        <v>0</v>
      </c>
      <c r="F867" s="1">
        <v>0</v>
      </c>
      <c r="G867" s="1">
        <v>0</v>
      </c>
      <c r="H867" s="1">
        <v>0</v>
      </c>
      <c r="I867" s="1">
        <v>0</v>
      </c>
      <c r="J867" s="1">
        <v>0</v>
      </c>
      <c r="K867" s="1">
        <v>0</v>
      </c>
      <c r="L867" s="1">
        <v>0</v>
      </c>
      <c r="M867" s="1">
        <v>0</v>
      </c>
      <c r="N867" s="1">
        <v>2</v>
      </c>
      <c r="O867" s="1">
        <v>12</v>
      </c>
      <c r="P867" s="1">
        <v>14</v>
      </c>
      <c r="Q867" s="24">
        <f t="shared" si="39"/>
        <v>28</v>
      </c>
      <c r="R867" s="23">
        <v>0</v>
      </c>
      <c r="S867" s="1">
        <v>0</v>
      </c>
      <c r="T867" s="1">
        <v>0</v>
      </c>
      <c r="U867" s="1">
        <v>0</v>
      </c>
      <c r="V867" s="1">
        <v>0</v>
      </c>
      <c r="W867" s="1">
        <v>0</v>
      </c>
      <c r="X867" s="1">
        <v>0</v>
      </c>
      <c r="Y867" s="1">
        <v>0</v>
      </c>
      <c r="Z867" s="1">
        <v>0</v>
      </c>
      <c r="AA867" s="1">
        <v>149</v>
      </c>
      <c r="AB867" s="1">
        <v>755</v>
      </c>
      <c r="AC867" s="1">
        <v>945</v>
      </c>
      <c r="AD867" s="24">
        <f t="shared" si="40"/>
        <v>1849</v>
      </c>
      <c r="AE867" s="23">
        <v>0</v>
      </c>
      <c r="AF867" s="1">
        <v>0</v>
      </c>
      <c r="AG867" s="1">
        <v>0</v>
      </c>
      <c r="AH867" s="1">
        <v>0</v>
      </c>
      <c r="AI867" s="1">
        <v>0</v>
      </c>
      <c r="AJ867" s="1">
        <v>0</v>
      </c>
      <c r="AK867" s="1">
        <v>0</v>
      </c>
      <c r="AL867" s="1">
        <v>0</v>
      </c>
      <c r="AM867" s="1">
        <v>0</v>
      </c>
      <c r="AN867" s="1">
        <v>0</v>
      </c>
      <c r="AO867" s="1">
        <v>0</v>
      </c>
      <c r="AP867" s="1">
        <v>0</v>
      </c>
      <c r="AQ867" s="24">
        <f t="shared" si="41"/>
        <v>0</v>
      </c>
    </row>
    <row r="868" spans="1:43" ht="17.25" customHeight="1" x14ac:dyDescent="0.45">
      <c r="A868" s="12" t="s">
        <v>15</v>
      </c>
      <c r="B868" s="12" t="s">
        <v>66</v>
      </c>
      <c r="C868" s="12" t="s">
        <v>142</v>
      </c>
      <c r="D868" s="12" t="s">
        <v>68</v>
      </c>
      <c r="E868" s="25">
        <v>0</v>
      </c>
      <c r="F868" s="10">
        <v>15</v>
      </c>
      <c r="G868" s="10">
        <v>29</v>
      </c>
      <c r="H868" s="10">
        <v>29</v>
      </c>
      <c r="I868" s="10">
        <v>31</v>
      </c>
      <c r="J868" s="10">
        <v>30</v>
      </c>
      <c r="K868" s="10">
        <v>31</v>
      </c>
      <c r="L868" s="10">
        <v>31</v>
      </c>
      <c r="M868" s="10">
        <v>23</v>
      </c>
      <c r="N868" s="10">
        <v>21</v>
      </c>
      <c r="O868" s="10">
        <v>23</v>
      </c>
      <c r="P868" s="10">
        <v>27</v>
      </c>
      <c r="Q868" s="26">
        <f t="shared" si="39"/>
        <v>290</v>
      </c>
      <c r="R868" s="25">
        <v>0</v>
      </c>
      <c r="S868" s="10">
        <v>375</v>
      </c>
      <c r="T868" s="10">
        <v>1177</v>
      </c>
      <c r="U868" s="10">
        <v>1137</v>
      </c>
      <c r="V868" s="10">
        <v>1260</v>
      </c>
      <c r="W868" s="10">
        <v>1379</v>
      </c>
      <c r="X868" s="10">
        <v>1715</v>
      </c>
      <c r="Y868" s="10">
        <v>1539</v>
      </c>
      <c r="Z868" s="10">
        <v>1099</v>
      </c>
      <c r="AA868" s="10">
        <v>840</v>
      </c>
      <c r="AB868" s="10">
        <v>892</v>
      </c>
      <c r="AC868" s="10">
        <v>1104</v>
      </c>
      <c r="AD868" s="26">
        <f t="shared" si="40"/>
        <v>12517</v>
      </c>
      <c r="AE868" s="25">
        <v>0</v>
      </c>
      <c r="AF868" s="10">
        <v>0</v>
      </c>
      <c r="AG868" s="10">
        <v>0</v>
      </c>
      <c r="AH868" s="10">
        <v>0</v>
      </c>
      <c r="AI868" s="10">
        <v>0</v>
      </c>
      <c r="AJ868" s="10">
        <v>0</v>
      </c>
      <c r="AK868" s="10">
        <v>0</v>
      </c>
      <c r="AL868" s="10">
        <v>0</v>
      </c>
      <c r="AM868" s="10">
        <v>0</v>
      </c>
      <c r="AN868" s="10">
        <v>0</v>
      </c>
      <c r="AO868" s="10">
        <v>0</v>
      </c>
      <c r="AP868" s="10">
        <v>0</v>
      </c>
      <c r="AQ868" s="26">
        <f t="shared" si="41"/>
        <v>0</v>
      </c>
    </row>
    <row r="869" spans="1:43" ht="17.25" customHeight="1" x14ac:dyDescent="0.45">
      <c r="A869" s="2" t="s">
        <v>202</v>
      </c>
      <c r="B869" s="2" t="s">
        <v>203</v>
      </c>
      <c r="C869" s="2" t="s">
        <v>12</v>
      </c>
      <c r="D869" s="2" t="s">
        <v>66</v>
      </c>
      <c r="E869" s="23">
        <v>62</v>
      </c>
      <c r="F869" s="1">
        <v>58</v>
      </c>
      <c r="G869" s="1">
        <v>62</v>
      </c>
      <c r="H869" s="1">
        <v>60</v>
      </c>
      <c r="I869" s="1">
        <v>62</v>
      </c>
      <c r="J869" s="1">
        <v>60</v>
      </c>
      <c r="K869" s="1">
        <v>62</v>
      </c>
      <c r="L869" s="1">
        <v>61</v>
      </c>
      <c r="M869" s="1">
        <v>60</v>
      </c>
      <c r="N869" s="1">
        <v>62</v>
      </c>
      <c r="O869" s="1">
        <v>60</v>
      </c>
      <c r="P869" s="1">
        <v>62</v>
      </c>
      <c r="Q869" s="24">
        <f t="shared" si="39"/>
        <v>731</v>
      </c>
      <c r="R869" s="23">
        <v>10845</v>
      </c>
      <c r="S869" s="1">
        <v>9892</v>
      </c>
      <c r="T869" s="1">
        <v>11741</v>
      </c>
      <c r="U869" s="1">
        <v>11436</v>
      </c>
      <c r="V869" s="1">
        <v>11279</v>
      </c>
      <c r="W869" s="1">
        <v>10410</v>
      </c>
      <c r="X869" s="1">
        <v>12254</v>
      </c>
      <c r="Y869" s="1">
        <v>12234</v>
      </c>
      <c r="Z869" s="1">
        <v>10410</v>
      </c>
      <c r="AA869" s="1">
        <v>11447</v>
      </c>
      <c r="AB869" s="1">
        <v>11612</v>
      </c>
      <c r="AC869" s="1">
        <v>10443</v>
      </c>
      <c r="AD869" s="24">
        <f t="shared" si="40"/>
        <v>134003</v>
      </c>
      <c r="AE869" s="23">
        <v>684785</v>
      </c>
      <c r="AF869" s="1">
        <v>698308</v>
      </c>
      <c r="AG869" s="1">
        <v>807821</v>
      </c>
      <c r="AH869" s="1">
        <v>738558</v>
      </c>
      <c r="AI869" s="1">
        <v>731626</v>
      </c>
      <c r="AJ869" s="1">
        <v>770829</v>
      </c>
      <c r="AK869" s="1">
        <v>652443</v>
      </c>
      <c r="AL869" s="1">
        <v>584444</v>
      </c>
      <c r="AM869" s="1">
        <v>667639</v>
      </c>
      <c r="AN869" s="1">
        <v>714597</v>
      </c>
      <c r="AO869" s="1">
        <v>686644</v>
      </c>
      <c r="AP869" s="1">
        <v>646981</v>
      </c>
      <c r="AQ869" s="24">
        <f t="shared" si="41"/>
        <v>8384675</v>
      </c>
    </row>
    <row r="870" spans="1:43" ht="17.25" customHeight="1" x14ac:dyDescent="0.45">
      <c r="A870" s="12" t="s">
        <v>32</v>
      </c>
      <c r="B870" s="12" t="s">
        <v>66</v>
      </c>
      <c r="C870" s="12" t="s">
        <v>188</v>
      </c>
      <c r="D870" s="12" t="s">
        <v>68</v>
      </c>
      <c r="E870" s="25">
        <v>29</v>
      </c>
      <c r="F870" s="10">
        <v>20</v>
      </c>
      <c r="G870" s="10">
        <v>18</v>
      </c>
      <c r="H870" s="10">
        <v>30</v>
      </c>
      <c r="I870" s="10">
        <v>22</v>
      </c>
      <c r="J870" s="10">
        <v>23</v>
      </c>
      <c r="K870" s="10">
        <v>26</v>
      </c>
      <c r="L870" s="10">
        <v>23</v>
      </c>
      <c r="M870" s="10">
        <v>19</v>
      </c>
      <c r="N870" s="10">
        <v>22</v>
      </c>
      <c r="O870" s="10">
        <v>25</v>
      </c>
      <c r="P870" s="10">
        <v>19</v>
      </c>
      <c r="Q870" s="26">
        <f t="shared" si="39"/>
        <v>276</v>
      </c>
      <c r="R870" s="25">
        <v>0</v>
      </c>
      <c r="S870" s="10">
        <v>0</v>
      </c>
      <c r="T870" s="10">
        <v>0</v>
      </c>
      <c r="U870" s="10">
        <v>0</v>
      </c>
      <c r="V870" s="10">
        <v>0</v>
      </c>
      <c r="W870" s="10">
        <v>0</v>
      </c>
      <c r="X870" s="10">
        <v>0</v>
      </c>
      <c r="Y870" s="10">
        <v>0</v>
      </c>
      <c r="Z870" s="10">
        <v>0</v>
      </c>
      <c r="AA870" s="10">
        <v>0</v>
      </c>
      <c r="AB870" s="10">
        <v>0</v>
      </c>
      <c r="AC870" s="10">
        <v>0</v>
      </c>
      <c r="AD870" s="26">
        <f t="shared" si="40"/>
        <v>0</v>
      </c>
      <c r="AE870" s="25">
        <v>2325719</v>
      </c>
      <c r="AF870" s="10">
        <v>1367613</v>
      </c>
      <c r="AG870" s="10">
        <v>573419</v>
      </c>
      <c r="AH870" s="10">
        <v>976150</v>
      </c>
      <c r="AI870" s="10">
        <v>744144</v>
      </c>
      <c r="AJ870" s="10">
        <v>656415</v>
      </c>
      <c r="AK870" s="10">
        <v>1011916</v>
      </c>
      <c r="AL870" s="10">
        <v>579829</v>
      </c>
      <c r="AM870" s="10">
        <v>517007</v>
      </c>
      <c r="AN870" s="10">
        <v>564728</v>
      </c>
      <c r="AO870" s="10">
        <v>585650</v>
      </c>
      <c r="AP870" s="10">
        <v>412342</v>
      </c>
      <c r="AQ870" s="26">
        <f t="shared" si="41"/>
        <v>10314932</v>
      </c>
    </row>
    <row r="871" spans="1:43" ht="17.25" customHeight="1" x14ac:dyDescent="0.45">
      <c r="A871" s="2" t="s">
        <v>71</v>
      </c>
      <c r="B871" s="2" t="s">
        <v>65</v>
      </c>
      <c r="C871" s="2" t="s">
        <v>10</v>
      </c>
      <c r="D871" s="2" t="s">
        <v>66</v>
      </c>
      <c r="E871" s="23">
        <v>256</v>
      </c>
      <c r="F871" s="1">
        <v>230</v>
      </c>
      <c r="G871" s="1">
        <v>248</v>
      </c>
      <c r="H871" s="1">
        <v>240</v>
      </c>
      <c r="I871" s="1">
        <v>248</v>
      </c>
      <c r="J871" s="1">
        <v>189</v>
      </c>
      <c r="K871" s="1">
        <v>169</v>
      </c>
      <c r="L871" s="1">
        <v>175</v>
      </c>
      <c r="M871" s="1">
        <v>159</v>
      </c>
      <c r="N871" s="1">
        <v>195</v>
      </c>
      <c r="O871" s="1">
        <v>269</v>
      </c>
      <c r="P871" s="1">
        <v>288</v>
      </c>
      <c r="Q871" s="24">
        <f t="shared" si="39"/>
        <v>2666</v>
      </c>
      <c r="R871" s="23">
        <v>49344</v>
      </c>
      <c r="S871" s="1">
        <v>49163</v>
      </c>
      <c r="T871" s="1">
        <v>47226</v>
      </c>
      <c r="U871" s="1">
        <v>43756</v>
      </c>
      <c r="V871" s="1">
        <v>40880</v>
      </c>
      <c r="W871" s="1">
        <v>27308</v>
      </c>
      <c r="X871" s="1">
        <v>29614</v>
      </c>
      <c r="Y871" s="1">
        <v>32249</v>
      </c>
      <c r="Z871" s="1">
        <v>24072</v>
      </c>
      <c r="AA871" s="1">
        <v>37562</v>
      </c>
      <c r="AB871" s="1">
        <v>58459</v>
      </c>
      <c r="AC871" s="1">
        <v>67563</v>
      </c>
      <c r="AD871" s="24">
        <f t="shared" si="40"/>
        <v>507196</v>
      </c>
      <c r="AE871" s="23">
        <v>0</v>
      </c>
      <c r="AF871" s="1">
        <v>0</v>
      </c>
      <c r="AG871" s="1">
        <v>0</v>
      </c>
      <c r="AH871" s="1">
        <v>0</v>
      </c>
      <c r="AI871" s="1">
        <v>2842</v>
      </c>
      <c r="AJ871" s="1">
        <v>7116</v>
      </c>
      <c r="AK871" s="1">
        <v>4081</v>
      </c>
      <c r="AL871" s="1">
        <v>8298</v>
      </c>
      <c r="AM871" s="1">
        <v>2113</v>
      </c>
      <c r="AN871" s="1">
        <v>10260</v>
      </c>
      <c r="AO871" s="1">
        <v>17322</v>
      </c>
      <c r="AP871" s="1">
        <v>6846</v>
      </c>
      <c r="AQ871" s="24">
        <f t="shared" si="41"/>
        <v>58878</v>
      </c>
    </row>
    <row r="872" spans="1:43" ht="17.25" customHeight="1" x14ac:dyDescent="0.45">
      <c r="A872" s="12" t="s">
        <v>71</v>
      </c>
      <c r="B872" s="12" t="s">
        <v>65</v>
      </c>
      <c r="C872" s="12" t="s">
        <v>46</v>
      </c>
      <c r="D872" s="12" t="s">
        <v>66</v>
      </c>
      <c r="E872" s="25">
        <v>8</v>
      </c>
      <c r="F872" s="10">
        <v>9</v>
      </c>
      <c r="G872" s="10">
        <v>9</v>
      </c>
      <c r="H872" s="10">
        <v>5</v>
      </c>
      <c r="I872" s="10">
        <v>1</v>
      </c>
      <c r="J872" s="10">
        <v>0</v>
      </c>
      <c r="K872" s="10">
        <v>0</v>
      </c>
      <c r="L872" s="10">
        <v>0</v>
      </c>
      <c r="M872" s="10">
        <v>0</v>
      </c>
      <c r="N872" s="10">
        <v>0</v>
      </c>
      <c r="O872" s="10">
        <v>5</v>
      </c>
      <c r="P872" s="10">
        <v>12</v>
      </c>
      <c r="Q872" s="26">
        <f t="shared" si="39"/>
        <v>49</v>
      </c>
      <c r="R872" s="25">
        <v>1041</v>
      </c>
      <c r="S872" s="10">
        <v>1294</v>
      </c>
      <c r="T872" s="10">
        <v>1183</v>
      </c>
      <c r="U872" s="10">
        <v>605</v>
      </c>
      <c r="V872" s="10">
        <v>39</v>
      </c>
      <c r="W872" s="10">
        <v>0</v>
      </c>
      <c r="X872" s="10">
        <v>0</v>
      </c>
      <c r="Y872" s="10">
        <v>0</v>
      </c>
      <c r="Z872" s="10">
        <v>0</v>
      </c>
      <c r="AA872" s="10">
        <v>0</v>
      </c>
      <c r="AB872" s="10">
        <v>788</v>
      </c>
      <c r="AC872" s="10">
        <v>1957</v>
      </c>
      <c r="AD872" s="26">
        <f t="shared" si="40"/>
        <v>6907</v>
      </c>
      <c r="AE872" s="25">
        <v>0</v>
      </c>
      <c r="AF872" s="10">
        <v>0</v>
      </c>
      <c r="AG872" s="10">
        <v>0</v>
      </c>
      <c r="AH872" s="10">
        <v>0</v>
      </c>
      <c r="AI872" s="10">
        <v>0</v>
      </c>
      <c r="AJ872" s="10">
        <v>0</v>
      </c>
      <c r="AK872" s="10">
        <v>0</v>
      </c>
      <c r="AL872" s="10">
        <v>0</v>
      </c>
      <c r="AM872" s="10">
        <v>0</v>
      </c>
      <c r="AN872" s="10">
        <v>0</v>
      </c>
      <c r="AO872" s="10">
        <v>0</v>
      </c>
      <c r="AP872" s="10">
        <v>0</v>
      </c>
      <c r="AQ872" s="26">
        <f t="shared" si="41"/>
        <v>0</v>
      </c>
    </row>
    <row r="873" spans="1:43" ht="17.25" customHeight="1" x14ac:dyDescent="0.45">
      <c r="A873" s="2" t="s">
        <v>71</v>
      </c>
      <c r="B873" s="2" t="s">
        <v>65</v>
      </c>
      <c r="C873" s="2" t="s">
        <v>11</v>
      </c>
      <c r="D873" s="2" t="s">
        <v>66</v>
      </c>
      <c r="E873" s="23">
        <v>0</v>
      </c>
      <c r="F873" s="1">
        <v>0</v>
      </c>
      <c r="G873" s="1">
        <v>0</v>
      </c>
      <c r="H873" s="1">
        <v>0</v>
      </c>
      <c r="I873" s="1">
        <v>0</v>
      </c>
      <c r="J873" s="1">
        <v>0</v>
      </c>
      <c r="K873" s="1">
        <v>0</v>
      </c>
      <c r="L873" s="1">
        <v>0</v>
      </c>
      <c r="M873" s="1">
        <v>7</v>
      </c>
      <c r="N873" s="1">
        <v>9</v>
      </c>
      <c r="O873" s="1">
        <v>13</v>
      </c>
      <c r="P873" s="1">
        <v>13</v>
      </c>
      <c r="Q873" s="24">
        <f t="shared" si="39"/>
        <v>42</v>
      </c>
      <c r="R873" s="23">
        <v>0</v>
      </c>
      <c r="S873" s="1">
        <v>0</v>
      </c>
      <c r="T873" s="1">
        <v>0</v>
      </c>
      <c r="U873" s="1">
        <v>0</v>
      </c>
      <c r="V873" s="1">
        <v>0</v>
      </c>
      <c r="W873" s="1">
        <v>0</v>
      </c>
      <c r="X873" s="1">
        <v>0</v>
      </c>
      <c r="Y873" s="1">
        <v>0</v>
      </c>
      <c r="Z873" s="1">
        <v>938</v>
      </c>
      <c r="AA873" s="1">
        <v>1457</v>
      </c>
      <c r="AB873" s="1">
        <v>1969</v>
      </c>
      <c r="AC873" s="1">
        <v>2038</v>
      </c>
      <c r="AD873" s="24">
        <f t="shared" si="40"/>
        <v>6402</v>
      </c>
      <c r="AE873" s="23">
        <v>0</v>
      </c>
      <c r="AF873" s="1">
        <v>0</v>
      </c>
      <c r="AG873" s="1">
        <v>0</v>
      </c>
      <c r="AH873" s="1">
        <v>0</v>
      </c>
      <c r="AI873" s="1">
        <v>0</v>
      </c>
      <c r="AJ873" s="1">
        <v>0</v>
      </c>
      <c r="AK873" s="1">
        <v>0</v>
      </c>
      <c r="AL873" s="1">
        <v>0</v>
      </c>
      <c r="AM873" s="1">
        <v>0</v>
      </c>
      <c r="AN873" s="1">
        <v>0</v>
      </c>
      <c r="AO873" s="1">
        <v>0</v>
      </c>
      <c r="AP873" s="1">
        <v>0</v>
      </c>
      <c r="AQ873" s="24">
        <f t="shared" si="41"/>
        <v>0</v>
      </c>
    </row>
    <row r="874" spans="1:43" ht="17.25" customHeight="1" x14ac:dyDescent="0.45">
      <c r="A874" s="12" t="s">
        <v>71</v>
      </c>
      <c r="B874" s="12" t="s">
        <v>65</v>
      </c>
      <c r="C874" s="12" t="s">
        <v>51</v>
      </c>
      <c r="D874" s="12" t="s">
        <v>66</v>
      </c>
      <c r="E874" s="25">
        <v>4</v>
      </c>
      <c r="F874" s="10">
        <v>4</v>
      </c>
      <c r="G874" s="10">
        <v>5</v>
      </c>
      <c r="H874" s="10">
        <v>4</v>
      </c>
      <c r="I874" s="10">
        <v>2</v>
      </c>
      <c r="J874" s="10">
        <v>0</v>
      </c>
      <c r="K874" s="10">
        <v>0</v>
      </c>
      <c r="L874" s="10">
        <v>0</v>
      </c>
      <c r="M874" s="10">
        <v>0</v>
      </c>
      <c r="N874" s="10">
        <v>0</v>
      </c>
      <c r="O874" s="10">
        <v>5</v>
      </c>
      <c r="P874" s="10">
        <v>11</v>
      </c>
      <c r="Q874" s="26">
        <f t="shared" si="39"/>
        <v>35</v>
      </c>
      <c r="R874" s="25">
        <v>641</v>
      </c>
      <c r="S874" s="10">
        <v>624</v>
      </c>
      <c r="T874" s="10">
        <v>591</v>
      </c>
      <c r="U874" s="10">
        <v>337</v>
      </c>
      <c r="V874" s="10">
        <v>80</v>
      </c>
      <c r="W874" s="10">
        <v>0</v>
      </c>
      <c r="X874" s="10">
        <v>0</v>
      </c>
      <c r="Y874" s="10">
        <v>0</v>
      </c>
      <c r="Z874" s="10">
        <v>0</v>
      </c>
      <c r="AA874" s="10">
        <v>0</v>
      </c>
      <c r="AB874" s="10">
        <v>803</v>
      </c>
      <c r="AC874" s="10">
        <v>1453</v>
      </c>
      <c r="AD874" s="26">
        <f t="shared" si="40"/>
        <v>4529</v>
      </c>
      <c r="AE874" s="25">
        <v>0</v>
      </c>
      <c r="AF874" s="10">
        <v>0</v>
      </c>
      <c r="AG874" s="10">
        <v>0</v>
      </c>
      <c r="AH874" s="10">
        <v>0</v>
      </c>
      <c r="AI874" s="10">
        <v>0</v>
      </c>
      <c r="AJ874" s="10">
        <v>0</v>
      </c>
      <c r="AK874" s="10">
        <v>0</v>
      </c>
      <c r="AL874" s="10">
        <v>0</v>
      </c>
      <c r="AM874" s="10">
        <v>0</v>
      </c>
      <c r="AN874" s="10">
        <v>0</v>
      </c>
      <c r="AO874" s="10">
        <v>0</v>
      </c>
      <c r="AP874" s="10">
        <v>0</v>
      </c>
      <c r="AQ874" s="26">
        <f t="shared" si="41"/>
        <v>0</v>
      </c>
    </row>
    <row r="875" spans="1:43" ht="17.25" customHeight="1" x14ac:dyDescent="0.45">
      <c r="A875" s="2" t="s">
        <v>71</v>
      </c>
      <c r="B875" s="2" t="s">
        <v>65</v>
      </c>
      <c r="C875" s="2" t="s">
        <v>52</v>
      </c>
      <c r="D875" s="2" t="s">
        <v>66</v>
      </c>
      <c r="E875" s="23">
        <v>0</v>
      </c>
      <c r="F875" s="1">
        <v>0</v>
      </c>
      <c r="G875" s="1">
        <v>0</v>
      </c>
      <c r="H875" s="1">
        <v>0</v>
      </c>
      <c r="I875" s="1">
        <v>0</v>
      </c>
      <c r="J875" s="1">
        <v>0</v>
      </c>
      <c r="K875" s="1">
        <v>0</v>
      </c>
      <c r="L875" s="1">
        <v>0</v>
      </c>
      <c r="M875" s="1">
        <v>0</v>
      </c>
      <c r="N875" s="1">
        <v>0</v>
      </c>
      <c r="O875" s="1">
        <v>0</v>
      </c>
      <c r="P875" s="1">
        <v>3</v>
      </c>
      <c r="Q875" s="24">
        <f t="shared" si="39"/>
        <v>3</v>
      </c>
      <c r="R875" s="23">
        <v>0</v>
      </c>
      <c r="S875" s="1">
        <v>0</v>
      </c>
      <c r="T875" s="1">
        <v>0</v>
      </c>
      <c r="U875" s="1">
        <v>0</v>
      </c>
      <c r="V875" s="1">
        <v>0</v>
      </c>
      <c r="W875" s="1">
        <v>0</v>
      </c>
      <c r="X875" s="1">
        <v>0</v>
      </c>
      <c r="Y875" s="1">
        <v>0</v>
      </c>
      <c r="Z875" s="1">
        <v>0</v>
      </c>
      <c r="AA875" s="1">
        <v>0</v>
      </c>
      <c r="AB875" s="1">
        <v>0</v>
      </c>
      <c r="AC875" s="1">
        <v>368</v>
      </c>
      <c r="AD875" s="24">
        <f t="shared" si="40"/>
        <v>368</v>
      </c>
      <c r="AE875" s="23">
        <v>0</v>
      </c>
      <c r="AF875" s="1">
        <v>0</v>
      </c>
      <c r="AG875" s="1">
        <v>0</v>
      </c>
      <c r="AH875" s="1">
        <v>0</v>
      </c>
      <c r="AI875" s="1">
        <v>0</v>
      </c>
      <c r="AJ875" s="1">
        <v>0</v>
      </c>
      <c r="AK875" s="1">
        <v>0</v>
      </c>
      <c r="AL875" s="1">
        <v>0</v>
      </c>
      <c r="AM875" s="1">
        <v>0</v>
      </c>
      <c r="AN875" s="1">
        <v>0</v>
      </c>
      <c r="AO875" s="1">
        <v>0</v>
      </c>
      <c r="AP875" s="1">
        <v>0</v>
      </c>
      <c r="AQ875" s="24">
        <f t="shared" si="41"/>
        <v>0</v>
      </c>
    </row>
    <row r="876" spans="1:43" ht="17.25" customHeight="1" x14ac:dyDescent="0.45">
      <c r="A876" s="12" t="s">
        <v>71</v>
      </c>
      <c r="B876" s="12" t="s">
        <v>65</v>
      </c>
      <c r="C876" s="12" t="s">
        <v>40</v>
      </c>
      <c r="D876" s="12" t="s">
        <v>66</v>
      </c>
      <c r="E876" s="25">
        <v>5</v>
      </c>
      <c r="F876" s="10">
        <v>4</v>
      </c>
      <c r="G876" s="10">
        <v>3</v>
      </c>
      <c r="H876" s="10">
        <v>1</v>
      </c>
      <c r="I876" s="10">
        <v>0</v>
      </c>
      <c r="J876" s="10">
        <v>0</v>
      </c>
      <c r="K876" s="10">
        <v>0</v>
      </c>
      <c r="L876" s="10">
        <v>0</v>
      </c>
      <c r="M876" s="10">
        <v>0</v>
      </c>
      <c r="N876" s="10">
        <v>0</v>
      </c>
      <c r="O876" s="10">
        <v>4</v>
      </c>
      <c r="P876" s="10">
        <v>5</v>
      </c>
      <c r="Q876" s="26">
        <f t="shared" si="39"/>
        <v>22</v>
      </c>
      <c r="R876" s="25">
        <v>930</v>
      </c>
      <c r="S876" s="10">
        <v>720</v>
      </c>
      <c r="T876" s="10">
        <v>434</v>
      </c>
      <c r="U876" s="10">
        <v>178</v>
      </c>
      <c r="V876" s="10">
        <v>0</v>
      </c>
      <c r="W876" s="10">
        <v>0</v>
      </c>
      <c r="X876" s="10">
        <v>0</v>
      </c>
      <c r="Y876" s="10">
        <v>0</v>
      </c>
      <c r="Z876" s="10">
        <v>0</v>
      </c>
      <c r="AA876" s="10">
        <v>0</v>
      </c>
      <c r="AB876" s="10">
        <v>680</v>
      </c>
      <c r="AC876" s="10">
        <v>907</v>
      </c>
      <c r="AD876" s="26">
        <f t="shared" si="40"/>
        <v>3849</v>
      </c>
      <c r="AE876" s="25">
        <v>0</v>
      </c>
      <c r="AF876" s="10">
        <v>0</v>
      </c>
      <c r="AG876" s="10">
        <v>0</v>
      </c>
      <c r="AH876" s="10">
        <v>0</v>
      </c>
      <c r="AI876" s="10">
        <v>0</v>
      </c>
      <c r="AJ876" s="10">
        <v>0</v>
      </c>
      <c r="AK876" s="10">
        <v>0</v>
      </c>
      <c r="AL876" s="10">
        <v>0</v>
      </c>
      <c r="AM876" s="10">
        <v>0</v>
      </c>
      <c r="AN876" s="10">
        <v>0</v>
      </c>
      <c r="AO876" s="10">
        <v>0</v>
      </c>
      <c r="AP876" s="10">
        <v>0</v>
      </c>
      <c r="AQ876" s="26">
        <f t="shared" si="41"/>
        <v>0</v>
      </c>
    </row>
    <row r="877" spans="1:43" ht="17.25" customHeight="1" x14ac:dyDescent="0.45">
      <c r="A877" s="2" t="s">
        <v>71</v>
      </c>
      <c r="B877" s="2" t="s">
        <v>65</v>
      </c>
      <c r="C877" s="2" t="s">
        <v>23</v>
      </c>
      <c r="D877" s="2" t="s">
        <v>66</v>
      </c>
      <c r="E877" s="23">
        <v>9</v>
      </c>
      <c r="F877" s="1">
        <v>9</v>
      </c>
      <c r="G877" s="1">
        <v>8</v>
      </c>
      <c r="H877" s="1">
        <v>7</v>
      </c>
      <c r="I877" s="1">
        <v>0</v>
      </c>
      <c r="J877" s="1">
        <v>0</v>
      </c>
      <c r="K877" s="1">
        <v>0</v>
      </c>
      <c r="L877" s="1">
        <v>0</v>
      </c>
      <c r="M877" s="1">
        <v>0</v>
      </c>
      <c r="N877" s="1">
        <v>0</v>
      </c>
      <c r="O877" s="1">
        <v>2</v>
      </c>
      <c r="P877" s="1">
        <v>7</v>
      </c>
      <c r="Q877" s="24">
        <f t="shared" si="39"/>
        <v>42</v>
      </c>
      <c r="R877" s="23">
        <v>1190</v>
      </c>
      <c r="S877" s="1">
        <v>1200</v>
      </c>
      <c r="T877" s="1">
        <v>796</v>
      </c>
      <c r="U877" s="1">
        <v>655</v>
      </c>
      <c r="V877" s="1">
        <v>0</v>
      </c>
      <c r="W877" s="1">
        <v>0</v>
      </c>
      <c r="X877" s="1">
        <v>0</v>
      </c>
      <c r="Y877" s="1">
        <v>0</v>
      </c>
      <c r="Z877" s="1">
        <v>0</v>
      </c>
      <c r="AA877" s="1">
        <v>0</v>
      </c>
      <c r="AB877" s="1">
        <v>332</v>
      </c>
      <c r="AC877" s="1">
        <v>1170</v>
      </c>
      <c r="AD877" s="24">
        <f t="shared" si="40"/>
        <v>5343</v>
      </c>
      <c r="AE877" s="23">
        <v>0</v>
      </c>
      <c r="AF877" s="1">
        <v>0</v>
      </c>
      <c r="AG877" s="1">
        <v>0</v>
      </c>
      <c r="AH877" s="1">
        <v>0</v>
      </c>
      <c r="AI877" s="1">
        <v>0</v>
      </c>
      <c r="AJ877" s="1">
        <v>0</v>
      </c>
      <c r="AK877" s="1">
        <v>0</v>
      </c>
      <c r="AL877" s="1">
        <v>0</v>
      </c>
      <c r="AM877" s="1">
        <v>0</v>
      </c>
      <c r="AN877" s="1">
        <v>0</v>
      </c>
      <c r="AO877" s="1">
        <v>0</v>
      </c>
      <c r="AP877" s="1">
        <v>0</v>
      </c>
      <c r="AQ877" s="24">
        <f t="shared" si="41"/>
        <v>0</v>
      </c>
    </row>
    <row r="878" spans="1:43" ht="17.25" customHeight="1" x14ac:dyDescent="0.45">
      <c r="A878" s="12" t="s">
        <v>71</v>
      </c>
      <c r="B878" s="12" t="s">
        <v>65</v>
      </c>
      <c r="C878" s="12" t="s">
        <v>12</v>
      </c>
      <c r="D878" s="12" t="s">
        <v>66</v>
      </c>
      <c r="E878" s="25">
        <v>137</v>
      </c>
      <c r="F878" s="10">
        <v>115</v>
      </c>
      <c r="G878" s="10">
        <v>124</v>
      </c>
      <c r="H878" s="10">
        <v>110</v>
      </c>
      <c r="I878" s="10">
        <v>93</v>
      </c>
      <c r="J878" s="10">
        <v>89</v>
      </c>
      <c r="K878" s="10">
        <v>93</v>
      </c>
      <c r="L878" s="10">
        <v>93</v>
      </c>
      <c r="M878" s="10">
        <v>89</v>
      </c>
      <c r="N878" s="10">
        <v>93</v>
      </c>
      <c r="O878" s="10">
        <v>90</v>
      </c>
      <c r="P878" s="10">
        <v>93</v>
      </c>
      <c r="Q878" s="26">
        <f t="shared" si="39"/>
        <v>1219</v>
      </c>
      <c r="R878" s="25">
        <v>17746</v>
      </c>
      <c r="S878" s="10">
        <v>16740</v>
      </c>
      <c r="T878" s="10">
        <v>13888</v>
      </c>
      <c r="U878" s="10">
        <v>11313</v>
      </c>
      <c r="V878" s="10">
        <v>11223</v>
      </c>
      <c r="W878" s="10">
        <v>11498</v>
      </c>
      <c r="X878" s="10">
        <v>13497</v>
      </c>
      <c r="Y878" s="10">
        <v>13545</v>
      </c>
      <c r="Z878" s="10">
        <v>10777</v>
      </c>
      <c r="AA878" s="10">
        <v>15446</v>
      </c>
      <c r="AB878" s="10">
        <v>14560</v>
      </c>
      <c r="AC878" s="10">
        <v>15308</v>
      </c>
      <c r="AD878" s="26">
        <f t="shared" si="40"/>
        <v>165541</v>
      </c>
      <c r="AE878" s="25">
        <v>9102</v>
      </c>
      <c r="AF878" s="10">
        <v>12540</v>
      </c>
      <c r="AG878" s="10">
        <v>19852</v>
      </c>
      <c r="AH878" s="10">
        <v>12609</v>
      </c>
      <c r="AI878" s="10">
        <v>14171</v>
      </c>
      <c r="AJ878" s="10">
        <v>15133</v>
      </c>
      <c r="AK878" s="10">
        <v>20313</v>
      </c>
      <c r="AL878" s="10">
        <v>34785</v>
      </c>
      <c r="AM878" s="10">
        <v>16025</v>
      </c>
      <c r="AN878" s="10">
        <v>27981</v>
      </c>
      <c r="AO878" s="10">
        <v>31439</v>
      </c>
      <c r="AP878" s="10">
        <v>21834</v>
      </c>
      <c r="AQ878" s="26">
        <f t="shared" si="41"/>
        <v>235784</v>
      </c>
    </row>
    <row r="879" spans="1:43" ht="17.25" customHeight="1" x14ac:dyDescent="0.45">
      <c r="A879" s="2" t="s">
        <v>71</v>
      </c>
      <c r="B879" s="2" t="s">
        <v>65</v>
      </c>
      <c r="C879" s="2" t="s">
        <v>13</v>
      </c>
      <c r="D879" s="2" t="s">
        <v>66</v>
      </c>
      <c r="E879" s="23">
        <v>0</v>
      </c>
      <c r="F879" s="1">
        <v>0</v>
      </c>
      <c r="G879" s="1">
        <v>0</v>
      </c>
      <c r="H879" s="1">
        <v>0</v>
      </c>
      <c r="I879" s="1">
        <v>14</v>
      </c>
      <c r="J879" s="1">
        <v>16</v>
      </c>
      <c r="K879" s="1">
        <v>16</v>
      </c>
      <c r="L879" s="1">
        <v>18</v>
      </c>
      <c r="M879" s="1">
        <v>0</v>
      </c>
      <c r="N879" s="1">
        <v>0</v>
      </c>
      <c r="O879" s="1">
        <v>0</v>
      </c>
      <c r="P879" s="1">
        <v>0</v>
      </c>
      <c r="Q879" s="24">
        <f t="shared" si="39"/>
        <v>64</v>
      </c>
      <c r="R879" s="23">
        <v>0</v>
      </c>
      <c r="S879" s="1">
        <v>0</v>
      </c>
      <c r="T879" s="1">
        <v>0</v>
      </c>
      <c r="U879" s="1">
        <v>0</v>
      </c>
      <c r="V879" s="1">
        <v>1286</v>
      </c>
      <c r="W879" s="1">
        <v>1487</v>
      </c>
      <c r="X879" s="1">
        <v>2057</v>
      </c>
      <c r="Y879" s="1">
        <v>1852</v>
      </c>
      <c r="Z879" s="1">
        <v>0</v>
      </c>
      <c r="AA879" s="1">
        <v>0</v>
      </c>
      <c r="AB879" s="1">
        <v>0</v>
      </c>
      <c r="AC879" s="1">
        <v>0</v>
      </c>
      <c r="AD879" s="24">
        <f t="shared" si="40"/>
        <v>6682</v>
      </c>
      <c r="AE879" s="23">
        <v>0</v>
      </c>
      <c r="AF879" s="1">
        <v>0</v>
      </c>
      <c r="AG879" s="1">
        <v>0</v>
      </c>
      <c r="AH879" s="1">
        <v>0</v>
      </c>
      <c r="AI879" s="1">
        <v>2310</v>
      </c>
      <c r="AJ879" s="1">
        <v>572</v>
      </c>
      <c r="AK879" s="1">
        <v>1902</v>
      </c>
      <c r="AL879" s="1">
        <v>1934</v>
      </c>
      <c r="AM879" s="1">
        <v>0</v>
      </c>
      <c r="AN879" s="1">
        <v>0</v>
      </c>
      <c r="AO879" s="1">
        <v>0</v>
      </c>
      <c r="AP879" s="1">
        <v>0</v>
      </c>
      <c r="AQ879" s="24">
        <f t="shared" si="41"/>
        <v>6718</v>
      </c>
    </row>
    <row r="880" spans="1:43" ht="17.25" customHeight="1" x14ac:dyDescent="0.45">
      <c r="A880" s="12" t="s">
        <v>71</v>
      </c>
      <c r="B880" s="12" t="s">
        <v>65</v>
      </c>
      <c r="C880" s="12" t="s">
        <v>17</v>
      </c>
      <c r="D880" s="12" t="s">
        <v>66</v>
      </c>
      <c r="E880" s="25">
        <v>52</v>
      </c>
      <c r="F880" s="10">
        <v>48</v>
      </c>
      <c r="G880" s="10">
        <v>59</v>
      </c>
      <c r="H880" s="10">
        <v>43</v>
      </c>
      <c r="I880" s="10">
        <v>15</v>
      </c>
      <c r="J880" s="10">
        <v>7</v>
      </c>
      <c r="K880" s="10">
        <v>4</v>
      </c>
      <c r="L880" s="10">
        <v>5</v>
      </c>
      <c r="M880" s="10">
        <v>1</v>
      </c>
      <c r="N880" s="10">
        <v>10</v>
      </c>
      <c r="O880" s="10">
        <v>55</v>
      </c>
      <c r="P880" s="10">
        <v>69</v>
      </c>
      <c r="Q880" s="26">
        <f t="shared" si="39"/>
        <v>368</v>
      </c>
      <c r="R880" s="25">
        <v>8059</v>
      </c>
      <c r="S880" s="10">
        <v>7359</v>
      </c>
      <c r="T880" s="10">
        <v>6735</v>
      </c>
      <c r="U880" s="10">
        <v>4419</v>
      </c>
      <c r="V880" s="10">
        <v>2077</v>
      </c>
      <c r="W880" s="10">
        <v>769</v>
      </c>
      <c r="X880" s="10">
        <v>650</v>
      </c>
      <c r="Y880" s="10">
        <v>846</v>
      </c>
      <c r="Z880" s="10">
        <v>133</v>
      </c>
      <c r="AA880" s="10">
        <v>1715</v>
      </c>
      <c r="AB880" s="10">
        <v>9202</v>
      </c>
      <c r="AC880" s="10">
        <v>12025</v>
      </c>
      <c r="AD880" s="26">
        <f t="shared" si="40"/>
        <v>53989</v>
      </c>
      <c r="AE880" s="25">
        <v>0</v>
      </c>
      <c r="AF880" s="10">
        <v>0</v>
      </c>
      <c r="AG880" s="10">
        <v>0</v>
      </c>
      <c r="AH880" s="10">
        <v>0</v>
      </c>
      <c r="AI880" s="10">
        <v>0</v>
      </c>
      <c r="AJ880" s="10">
        <v>0</v>
      </c>
      <c r="AK880" s="10">
        <v>0</v>
      </c>
      <c r="AL880" s="10">
        <v>0</v>
      </c>
      <c r="AM880" s="10">
        <v>0</v>
      </c>
      <c r="AN880" s="10">
        <v>0</v>
      </c>
      <c r="AO880" s="10">
        <v>0</v>
      </c>
      <c r="AP880" s="10">
        <v>0</v>
      </c>
      <c r="AQ880" s="26">
        <f t="shared" si="41"/>
        <v>0</v>
      </c>
    </row>
    <row r="881" spans="1:43" ht="17.25" customHeight="1" x14ac:dyDescent="0.45">
      <c r="A881" s="2" t="s">
        <v>71</v>
      </c>
      <c r="B881" s="2" t="s">
        <v>65</v>
      </c>
      <c r="C881" s="2" t="s">
        <v>48</v>
      </c>
      <c r="D881" s="2" t="s">
        <v>66</v>
      </c>
      <c r="E881" s="23">
        <v>8</v>
      </c>
      <c r="F881" s="1">
        <v>9</v>
      </c>
      <c r="G881" s="1">
        <v>9</v>
      </c>
      <c r="H881" s="1">
        <v>8</v>
      </c>
      <c r="I881" s="1">
        <v>8</v>
      </c>
      <c r="J881" s="1">
        <v>4</v>
      </c>
      <c r="K881" s="1">
        <v>4</v>
      </c>
      <c r="L881" s="1">
        <v>5</v>
      </c>
      <c r="M881" s="1">
        <v>4</v>
      </c>
      <c r="N881" s="1">
        <v>5</v>
      </c>
      <c r="O881" s="1">
        <v>8</v>
      </c>
      <c r="P881" s="1">
        <v>27</v>
      </c>
      <c r="Q881" s="24">
        <f t="shared" si="39"/>
        <v>99</v>
      </c>
      <c r="R881" s="23">
        <v>1434</v>
      </c>
      <c r="S881" s="1">
        <v>1597</v>
      </c>
      <c r="T881" s="1">
        <v>1473</v>
      </c>
      <c r="U881" s="1">
        <v>1454</v>
      </c>
      <c r="V881" s="1">
        <v>1444</v>
      </c>
      <c r="W881" s="1">
        <v>655</v>
      </c>
      <c r="X881" s="1">
        <v>735</v>
      </c>
      <c r="Y881" s="1">
        <v>932</v>
      </c>
      <c r="Z881" s="1">
        <v>731</v>
      </c>
      <c r="AA881" s="1">
        <v>912</v>
      </c>
      <c r="AB881" s="1">
        <v>1386</v>
      </c>
      <c r="AC881" s="1">
        <v>4212</v>
      </c>
      <c r="AD881" s="24">
        <f t="shared" si="40"/>
        <v>16965</v>
      </c>
      <c r="AE881" s="23">
        <v>0</v>
      </c>
      <c r="AF881" s="1">
        <v>0</v>
      </c>
      <c r="AG881" s="1">
        <v>0</v>
      </c>
      <c r="AH881" s="1">
        <v>0</v>
      </c>
      <c r="AI881" s="1">
        <v>0</v>
      </c>
      <c r="AJ881" s="1">
        <v>0</v>
      </c>
      <c r="AK881" s="1">
        <v>0</v>
      </c>
      <c r="AL881" s="1">
        <v>0</v>
      </c>
      <c r="AM881" s="1">
        <v>0</v>
      </c>
      <c r="AN881" s="1">
        <v>0</v>
      </c>
      <c r="AO881" s="1">
        <v>0</v>
      </c>
      <c r="AP881" s="1">
        <v>0</v>
      </c>
      <c r="AQ881" s="24">
        <f t="shared" si="41"/>
        <v>0</v>
      </c>
    </row>
    <row r="882" spans="1:43" ht="17.25" customHeight="1" x14ac:dyDescent="0.45">
      <c r="A882" s="12" t="s">
        <v>71</v>
      </c>
      <c r="B882" s="12" t="s">
        <v>65</v>
      </c>
      <c r="C882" s="12" t="s">
        <v>247</v>
      </c>
      <c r="D882" s="12" t="s">
        <v>66</v>
      </c>
      <c r="E882" s="25">
        <v>0</v>
      </c>
      <c r="F882" s="10">
        <v>0</v>
      </c>
      <c r="G882" s="10">
        <v>0</v>
      </c>
      <c r="H882" s="10">
        <v>0</v>
      </c>
      <c r="I882" s="10">
        <v>9</v>
      </c>
      <c r="J882" s="10">
        <v>8</v>
      </c>
      <c r="K882" s="10">
        <v>7</v>
      </c>
      <c r="L882" s="10">
        <v>9</v>
      </c>
      <c r="M882" s="10">
        <v>5</v>
      </c>
      <c r="N882" s="10">
        <v>11</v>
      </c>
      <c r="O882" s="10">
        <v>24</v>
      </c>
      <c r="P882" s="10">
        <v>24</v>
      </c>
      <c r="Q882" s="26">
        <f t="shared" si="39"/>
        <v>97</v>
      </c>
      <c r="R882" s="25">
        <v>0</v>
      </c>
      <c r="S882" s="10">
        <v>0</v>
      </c>
      <c r="T882" s="10">
        <v>0</v>
      </c>
      <c r="U882" s="10">
        <v>0</v>
      </c>
      <c r="V882" s="10">
        <v>1291</v>
      </c>
      <c r="W882" s="10">
        <v>936</v>
      </c>
      <c r="X882" s="10">
        <v>808</v>
      </c>
      <c r="Y882" s="10">
        <v>986</v>
      </c>
      <c r="Z882" s="10">
        <v>399</v>
      </c>
      <c r="AA882" s="10">
        <v>1490</v>
      </c>
      <c r="AB882" s="10">
        <v>3111</v>
      </c>
      <c r="AC882" s="10">
        <v>3496</v>
      </c>
      <c r="AD882" s="26">
        <f t="shared" si="40"/>
        <v>12517</v>
      </c>
      <c r="AE882" s="25">
        <v>0</v>
      </c>
      <c r="AF882" s="10">
        <v>0</v>
      </c>
      <c r="AG882" s="10">
        <v>0</v>
      </c>
      <c r="AH882" s="10">
        <v>0</v>
      </c>
      <c r="AI882" s="10">
        <v>0</v>
      </c>
      <c r="AJ882" s="10">
        <v>0</v>
      </c>
      <c r="AK882" s="10">
        <v>0</v>
      </c>
      <c r="AL882" s="10">
        <v>0</v>
      </c>
      <c r="AM882" s="10">
        <v>0</v>
      </c>
      <c r="AN882" s="10">
        <v>0</v>
      </c>
      <c r="AO882" s="10">
        <v>0</v>
      </c>
      <c r="AP882" s="10">
        <v>0</v>
      </c>
      <c r="AQ882" s="26">
        <f t="shared" si="41"/>
        <v>0</v>
      </c>
    </row>
    <row r="883" spans="1:43" ht="17.25" customHeight="1" x14ac:dyDescent="0.45">
      <c r="A883" s="2" t="s">
        <v>33</v>
      </c>
      <c r="B883" s="2" t="s">
        <v>66</v>
      </c>
      <c r="C883" s="2" t="s">
        <v>67</v>
      </c>
      <c r="D883" s="2" t="s">
        <v>68</v>
      </c>
      <c r="E883" s="23">
        <v>34</v>
      </c>
      <c r="F883" s="1">
        <v>29</v>
      </c>
      <c r="G883" s="1">
        <v>31</v>
      </c>
      <c r="H883" s="1">
        <v>29</v>
      </c>
      <c r="I883" s="1">
        <v>31</v>
      </c>
      <c r="J883" s="1">
        <v>55</v>
      </c>
      <c r="K883" s="1">
        <v>62</v>
      </c>
      <c r="L883" s="1">
        <v>62</v>
      </c>
      <c r="M883" s="1">
        <v>60</v>
      </c>
      <c r="N883" s="1">
        <v>62</v>
      </c>
      <c r="O883" s="1">
        <v>58</v>
      </c>
      <c r="P883" s="1">
        <v>60</v>
      </c>
      <c r="Q883" s="24">
        <f t="shared" si="39"/>
        <v>573</v>
      </c>
      <c r="R883" s="23">
        <v>2261</v>
      </c>
      <c r="S883" s="1">
        <v>1820</v>
      </c>
      <c r="T883" s="1">
        <v>1790</v>
      </c>
      <c r="U883" s="1">
        <v>1715</v>
      </c>
      <c r="V883" s="1">
        <v>1887</v>
      </c>
      <c r="W883" s="1">
        <v>3015</v>
      </c>
      <c r="X883" s="1">
        <v>4204</v>
      </c>
      <c r="Y883" s="1">
        <v>3824</v>
      </c>
      <c r="Z883" s="1">
        <v>3383</v>
      </c>
      <c r="AA883" s="1">
        <v>3256</v>
      </c>
      <c r="AB883" s="1">
        <v>3253</v>
      </c>
      <c r="AC883" s="1">
        <v>3138</v>
      </c>
      <c r="AD883" s="24">
        <f t="shared" si="40"/>
        <v>33546</v>
      </c>
      <c r="AE883" s="23">
        <v>0</v>
      </c>
      <c r="AF883" s="1">
        <v>0</v>
      </c>
      <c r="AG883" s="1">
        <v>0</v>
      </c>
      <c r="AH883" s="1">
        <v>0</v>
      </c>
      <c r="AI883" s="1">
        <v>0</v>
      </c>
      <c r="AJ883" s="1">
        <v>0</v>
      </c>
      <c r="AK883" s="1">
        <v>0</v>
      </c>
      <c r="AL883" s="1">
        <v>0</v>
      </c>
      <c r="AM883" s="1">
        <v>0</v>
      </c>
      <c r="AN883" s="1">
        <v>0</v>
      </c>
      <c r="AO883" s="1">
        <v>0</v>
      </c>
      <c r="AP883" s="1">
        <v>0</v>
      </c>
      <c r="AQ883" s="24">
        <f t="shared" si="41"/>
        <v>0</v>
      </c>
    </row>
    <row r="884" spans="1:43" ht="17.25" customHeight="1" x14ac:dyDescent="0.45">
      <c r="A884" s="12" t="s">
        <v>33</v>
      </c>
      <c r="B884" s="12" t="s">
        <v>66</v>
      </c>
      <c r="C884" s="12" t="s">
        <v>149</v>
      </c>
      <c r="D884" s="12" t="s">
        <v>68</v>
      </c>
      <c r="E884" s="25">
        <v>0</v>
      </c>
      <c r="F884" s="10">
        <v>0</v>
      </c>
      <c r="G884" s="10">
        <v>0</v>
      </c>
      <c r="H884" s="10">
        <v>0</v>
      </c>
      <c r="I884" s="10">
        <v>0</v>
      </c>
      <c r="J884" s="10">
        <v>9</v>
      </c>
      <c r="K884" s="10">
        <v>9</v>
      </c>
      <c r="L884" s="10">
        <v>0</v>
      </c>
      <c r="M884" s="10">
        <v>0</v>
      </c>
      <c r="N884" s="10">
        <v>0</v>
      </c>
      <c r="O884" s="10">
        <v>0</v>
      </c>
      <c r="P884" s="10">
        <v>3</v>
      </c>
      <c r="Q884" s="26">
        <f t="shared" si="39"/>
        <v>21</v>
      </c>
      <c r="R884" s="25">
        <v>0</v>
      </c>
      <c r="S884" s="10">
        <v>0</v>
      </c>
      <c r="T884" s="10">
        <v>0</v>
      </c>
      <c r="U884" s="10">
        <v>0</v>
      </c>
      <c r="V884" s="10">
        <v>0</v>
      </c>
      <c r="W884" s="10">
        <v>611</v>
      </c>
      <c r="X884" s="10">
        <v>926</v>
      </c>
      <c r="Y884" s="10">
        <v>0</v>
      </c>
      <c r="Z884" s="10">
        <v>0</v>
      </c>
      <c r="AA884" s="10">
        <v>0</v>
      </c>
      <c r="AB884" s="10">
        <v>0</v>
      </c>
      <c r="AC884" s="10">
        <v>298</v>
      </c>
      <c r="AD884" s="26">
        <f t="shared" si="40"/>
        <v>1835</v>
      </c>
      <c r="AE884" s="25">
        <v>0</v>
      </c>
      <c r="AF884" s="10">
        <v>0</v>
      </c>
      <c r="AG884" s="10">
        <v>0</v>
      </c>
      <c r="AH884" s="10">
        <v>0</v>
      </c>
      <c r="AI884" s="10">
        <v>0</v>
      </c>
      <c r="AJ884" s="10">
        <v>0</v>
      </c>
      <c r="AK884" s="10">
        <v>0</v>
      </c>
      <c r="AL884" s="10">
        <v>0</v>
      </c>
      <c r="AM884" s="10">
        <v>0</v>
      </c>
      <c r="AN884" s="10">
        <v>0</v>
      </c>
      <c r="AO884" s="10">
        <v>0</v>
      </c>
      <c r="AP884" s="10">
        <v>0</v>
      </c>
      <c r="AQ884" s="26">
        <f t="shared" si="41"/>
        <v>0</v>
      </c>
    </row>
    <row r="885" spans="1:43" ht="17.25" customHeight="1" x14ac:dyDescent="0.45">
      <c r="A885" s="2" t="s">
        <v>247</v>
      </c>
      <c r="B885" s="2" t="s">
        <v>66</v>
      </c>
      <c r="C885" s="2" t="s">
        <v>77</v>
      </c>
      <c r="D885" s="2" t="s">
        <v>68</v>
      </c>
      <c r="E885" s="23">
        <v>0</v>
      </c>
      <c r="F885" s="1">
        <v>0</v>
      </c>
      <c r="G885" s="1">
        <v>4</v>
      </c>
      <c r="H885" s="1">
        <v>30</v>
      </c>
      <c r="I885" s="1">
        <v>31</v>
      </c>
      <c r="J885" s="1">
        <v>30</v>
      </c>
      <c r="K885" s="1">
        <v>30</v>
      </c>
      <c r="L885" s="1">
        <v>30</v>
      </c>
      <c r="M885" s="1">
        <v>26</v>
      </c>
      <c r="N885" s="1">
        <v>30</v>
      </c>
      <c r="O885" s="1">
        <v>30</v>
      </c>
      <c r="P885" s="1">
        <v>33</v>
      </c>
      <c r="Q885" s="24">
        <f t="shared" si="39"/>
        <v>274</v>
      </c>
      <c r="R885" s="23">
        <v>0</v>
      </c>
      <c r="S885" s="1">
        <v>0</v>
      </c>
      <c r="T885" s="1">
        <v>319</v>
      </c>
      <c r="U885" s="1">
        <v>4070</v>
      </c>
      <c r="V885" s="1">
        <v>4062</v>
      </c>
      <c r="W885" s="1">
        <v>4424</v>
      </c>
      <c r="X885" s="1">
        <v>3977</v>
      </c>
      <c r="Y885" s="1">
        <v>4195</v>
      </c>
      <c r="Z885" s="1">
        <v>3259</v>
      </c>
      <c r="AA885" s="1">
        <v>3719</v>
      </c>
      <c r="AB885" s="1">
        <v>3773</v>
      </c>
      <c r="AC885" s="1">
        <v>4170</v>
      </c>
      <c r="AD885" s="24">
        <f t="shared" si="40"/>
        <v>35968</v>
      </c>
      <c r="AE885" s="23">
        <v>0</v>
      </c>
      <c r="AF885" s="1">
        <v>0</v>
      </c>
      <c r="AG885" s="1">
        <v>0</v>
      </c>
      <c r="AH885" s="1">
        <v>0</v>
      </c>
      <c r="AI885" s="1">
        <v>0</v>
      </c>
      <c r="AJ885" s="1">
        <v>0</v>
      </c>
      <c r="AK885" s="1">
        <v>0</v>
      </c>
      <c r="AL885" s="1">
        <v>0</v>
      </c>
      <c r="AM885" s="1">
        <v>0</v>
      </c>
      <c r="AN885" s="1">
        <v>0</v>
      </c>
      <c r="AO885" s="1">
        <v>0</v>
      </c>
      <c r="AP885" s="1">
        <v>0</v>
      </c>
      <c r="AQ885" s="24">
        <f t="shared" si="41"/>
        <v>0</v>
      </c>
    </row>
    <row r="886" spans="1:43" ht="17.25" customHeight="1" x14ac:dyDescent="0.45">
      <c r="A886" s="12" t="s">
        <v>247</v>
      </c>
      <c r="B886" s="12" t="s">
        <v>66</v>
      </c>
      <c r="C886" s="12" t="s">
        <v>86</v>
      </c>
      <c r="D886" s="12" t="s">
        <v>87</v>
      </c>
      <c r="E886" s="25">
        <v>0</v>
      </c>
      <c r="F886" s="10">
        <v>0</v>
      </c>
      <c r="G886" s="10">
        <v>0</v>
      </c>
      <c r="H886" s="10">
        <v>0</v>
      </c>
      <c r="I886" s="10">
        <v>0</v>
      </c>
      <c r="J886" s="10">
        <v>0</v>
      </c>
      <c r="K886" s="10">
        <v>0</v>
      </c>
      <c r="L886" s="10">
        <v>0</v>
      </c>
      <c r="M886" s="10">
        <v>0</v>
      </c>
      <c r="N886" s="10">
        <v>0</v>
      </c>
      <c r="O886" s="10">
        <v>0</v>
      </c>
      <c r="P886" s="10">
        <v>10</v>
      </c>
      <c r="Q886" s="26">
        <f t="shared" si="39"/>
        <v>10</v>
      </c>
      <c r="R886" s="25">
        <v>0</v>
      </c>
      <c r="S886" s="10">
        <v>0</v>
      </c>
      <c r="T886" s="10">
        <v>0</v>
      </c>
      <c r="U886" s="10">
        <v>0</v>
      </c>
      <c r="V886" s="10">
        <v>0</v>
      </c>
      <c r="W886" s="10">
        <v>0</v>
      </c>
      <c r="X886" s="10">
        <v>0</v>
      </c>
      <c r="Y886" s="10">
        <v>0</v>
      </c>
      <c r="Z886" s="10">
        <v>0</v>
      </c>
      <c r="AA886" s="10">
        <v>0</v>
      </c>
      <c r="AB886" s="10">
        <v>0</v>
      </c>
      <c r="AC886" s="10">
        <v>448</v>
      </c>
      <c r="AD886" s="26">
        <f t="shared" si="40"/>
        <v>448</v>
      </c>
      <c r="AE886" s="25">
        <v>0</v>
      </c>
      <c r="AF886" s="10">
        <v>0</v>
      </c>
      <c r="AG886" s="10">
        <v>0</v>
      </c>
      <c r="AH886" s="10">
        <v>0</v>
      </c>
      <c r="AI886" s="10">
        <v>0</v>
      </c>
      <c r="AJ886" s="10">
        <v>0</v>
      </c>
      <c r="AK886" s="10">
        <v>0</v>
      </c>
      <c r="AL886" s="10">
        <v>0</v>
      </c>
      <c r="AM886" s="10">
        <v>0</v>
      </c>
      <c r="AN886" s="10">
        <v>0</v>
      </c>
      <c r="AO886" s="10">
        <v>0</v>
      </c>
      <c r="AP886" s="10">
        <v>0</v>
      </c>
      <c r="AQ886" s="26">
        <f t="shared" si="41"/>
        <v>0</v>
      </c>
    </row>
    <row r="887" spans="1:43" ht="17.25" customHeight="1" x14ac:dyDescent="0.45">
      <c r="A887" s="2" t="s">
        <v>247</v>
      </c>
      <c r="B887" s="2" t="s">
        <v>66</v>
      </c>
      <c r="C887" s="2" t="s">
        <v>94</v>
      </c>
      <c r="D887" s="2" t="s">
        <v>65</v>
      </c>
      <c r="E887" s="23">
        <v>0</v>
      </c>
      <c r="F887" s="1">
        <v>0</v>
      </c>
      <c r="G887" s="1">
        <v>0</v>
      </c>
      <c r="H887" s="1">
        <v>0</v>
      </c>
      <c r="I887" s="1">
        <v>0</v>
      </c>
      <c r="J887" s="1">
        <v>0</v>
      </c>
      <c r="K887" s="1">
        <v>0</v>
      </c>
      <c r="L887" s="1">
        <v>0</v>
      </c>
      <c r="M887" s="1">
        <v>0</v>
      </c>
      <c r="N887" s="1">
        <v>0</v>
      </c>
      <c r="O887" s="1">
        <v>4</v>
      </c>
      <c r="P887" s="1">
        <v>4</v>
      </c>
      <c r="Q887" s="24">
        <f t="shared" si="39"/>
        <v>8</v>
      </c>
      <c r="R887" s="23">
        <v>0</v>
      </c>
      <c r="S887" s="1">
        <v>0</v>
      </c>
      <c r="T887" s="1">
        <v>0</v>
      </c>
      <c r="U887" s="1">
        <v>0</v>
      </c>
      <c r="V887" s="1">
        <v>0</v>
      </c>
      <c r="W887" s="1">
        <v>0</v>
      </c>
      <c r="X887" s="1">
        <v>0</v>
      </c>
      <c r="Y887" s="1">
        <v>0</v>
      </c>
      <c r="Z887" s="1">
        <v>0</v>
      </c>
      <c r="AA887" s="1">
        <v>0</v>
      </c>
      <c r="AB887" s="1">
        <v>445</v>
      </c>
      <c r="AC887" s="1">
        <v>648</v>
      </c>
      <c r="AD887" s="24">
        <f t="shared" si="40"/>
        <v>1093</v>
      </c>
      <c r="AE887" s="23">
        <v>0</v>
      </c>
      <c r="AF887" s="1">
        <v>0</v>
      </c>
      <c r="AG887" s="1">
        <v>0</v>
      </c>
      <c r="AH887" s="1">
        <v>0</v>
      </c>
      <c r="AI887" s="1">
        <v>0</v>
      </c>
      <c r="AJ887" s="1">
        <v>0</v>
      </c>
      <c r="AK887" s="1">
        <v>0</v>
      </c>
      <c r="AL887" s="1">
        <v>0</v>
      </c>
      <c r="AM887" s="1">
        <v>0</v>
      </c>
      <c r="AN887" s="1">
        <v>0</v>
      </c>
      <c r="AO887" s="1">
        <v>0</v>
      </c>
      <c r="AP887" s="1">
        <v>0</v>
      </c>
      <c r="AQ887" s="24">
        <f t="shared" si="41"/>
        <v>0</v>
      </c>
    </row>
    <row r="888" spans="1:43" ht="17.25" customHeight="1" x14ac:dyDescent="0.45">
      <c r="A888" s="12" t="s">
        <v>247</v>
      </c>
      <c r="B888" s="12" t="s">
        <v>66</v>
      </c>
      <c r="C888" s="12" t="s">
        <v>97</v>
      </c>
      <c r="D888" s="12" t="s">
        <v>68</v>
      </c>
      <c r="E888" s="25">
        <v>0</v>
      </c>
      <c r="F888" s="10">
        <v>0</v>
      </c>
      <c r="G888" s="10">
        <v>4</v>
      </c>
      <c r="H888" s="10">
        <v>30</v>
      </c>
      <c r="I888" s="10">
        <v>31</v>
      </c>
      <c r="J888" s="10">
        <v>29</v>
      </c>
      <c r="K888" s="10">
        <v>28</v>
      </c>
      <c r="L888" s="10">
        <v>30</v>
      </c>
      <c r="M888" s="10">
        <v>23</v>
      </c>
      <c r="N888" s="10">
        <v>20</v>
      </c>
      <c r="O888" s="10">
        <v>21</v>
      </c>
      <c r="P888" s="10">
        <v>25</v>
      </c>
      <c r="Q888" s="26">
        <f t="shared" si="39"/>
        <v>241</v>
      </c>
      <c r="R888" s="25">
        <v>0</v>
      </c>
      <c r="S888" s="10">
        <v>0</v>
      </c>
      <c r="T888" s="10">
        <v>269</v>
      </c>
      <c r="U888" s="10">
        <v>3776</v>
      </c>
      <c r="V888" s="10">
        <v>3654</v>
      </c>
      <c r="W888" s="10">
        <v>4244</v>
      </c>
      <c r="X888" s="10">
        <v>3919</v>
      </c>
      <c r="Y888" s="10">
        <v>4220</v>
      </c>
      <c r="Z888" s="10">
        <v>2419</v>
      </c>
      <c r="AA888" s="10">
        <v>2026</v>
      </c>
      <c r="AB888" s="10">
        <v>1806</v>
      </c>
      <c r="AC888" s="10">
        <v>2569</v>
      </c>
      <c r="AD888" s="26">
        <f t="shared" si="40"/>
        <v>28902</v>
      </c>
      <c r="AE888" s="25">
        <v>0</v>
      </c>
      <c r="AF888" s="10">
        <v>0</v>
      </c>
      <c r="AG888" s="10">
        <v>0</v>
      </c>
      <c r="AH888" s="10">
        <v>0</v>
      </c>
      <c r="AI888" s="10">
        <v>0</v>
      </c>
      <c r="AJ888" s="10">
        <v>0</v>
      </c>
      <c r="AK888" s="10">
        <v>0</v>
      </c>
      <c r="AL888" s="10">
        <v>0</v>
      </c>
      <c r="AM888" s="10">
        <v>0</v>
      </c>
      <c r="AN888" s="10">
        <v>0</v>
      </c>
      <c r="AO888" s="10">
        <v>0</v>
      </c>
      <c r="AP888" s="10">
        <v>0</v>
      </c>
      <c r="AQ888" s="26">
        <f t="shared" si="41"/>
        <v>0</v>
      </c>
    </row>
    <row r="889" spans="1:43" ht="17.25" customHeight="1" x14ac:dyDescent="0.45">
      <c r="A889" s="2" t="s">
        <v>247</v>
      </c>
      <c r="B889" s="2" t="s">
        <v>66</v>
      </c>
      <c r="C889" s="2" t="s">
        <v>72</v>
      </c>
      <c r="D889" s="2" t="s">
        <v>68</v>
      </c>
      <c r="E889" s="23">
        <v>0</v>
      </c>
      <c r="F889" s="1">
        <v>0</v>
      </c>
      <c r="G889" s="1">
        <v>0</v>
      </c>
      <c r="H889" s="1">
        <v>4</v>
      </c>
      <c r="I889" s="1">
        <v>11</v>
      </c>
      <c r="J889" s="1">
        <v>30</v>
      </c>
      <c r="K889" s="1">
        <v>28</v>
      </c>
      <c r="L889" s="1">
        <v>20</v>
      </c>
      <c r="M889" s="1">
        <v>8</v>
      </c>
      <c r="N889" s="1">
        <v>21</v>
      </c>
      <c r="O889" s="1">
        <v>22</v>
      </c>
      <c r="P889" s="1">
        <v>25</v>
      </c>
      <c r="Q889" s="24">
        <f t="shared" si="39"/>
        <v>169</v>
      </c>
      <c r="R889" s="23">
        <v>0</v>
      </c>
      <c r="S889" s="1">
        <v>0</v>
      </c>
      <c r="T889" s="1">
        <v>0</v>
      </c>
      <c r="U889" s="1">
        <v>485</v>
      </c>
      <c r="V889" s="1">
        <v>1135</v>
      </c>
      <c r="W889" s="1">
        <v>4529</v>
      </c>
      <c r="X889" s="1">
        <v>3797</v>
      </c>
      <c r="Y889" s="1">
        <v>3149</v>
      </c>
      <c r="Z889" s="1">
        <v>661</v>
      </c>
      <c r="AA889" s="1">
        <v>2187</v>
      </c>
      <c r="AB889" s="1">
        <v>2592</v>
      </c>
      <c r="AC889" s="1">
        <v>3215</v>
      </c>
      <c r="AD889" s="24">
        <f t="shared" si="40"/>
        <v>21750</v>
      </c>
      <c r="AE889" s="23">
        <v>0</v>
      </c>
      <c r="AF889" s="1">
        <v>0</v>
      </c>
      <c r="AG889" s="1">
        <v>0</v>
      </c>
      <c r="AH889" s="1">
        <v>0</v>
      </c>
      <c r="AI889" s="1">
        <v>0</v>
      </c>
      <c r="AJ889" s="1">
        <v>0</v>
      </c>
      <c r="AK889" s="1">
        <v>0</v>
      </c>
      <c r="AL889" s="1">
        <v>0</v>
      </c>
      <c r="AM889" s="1">
        <v>0</v>
      </c>
      <c r="AN889" s="1">
        <v>0</v>
      </c>
      <c r="AO889" s="1">
        <v>0</v>
      </c>
      <c r="AP889" s="1">
        <v>0</v>
      </c>
      <c r="AQ889" s="24">
        <f t="shared" si="41"/>
        <v>0</v>
      </c>
    </row>
    <row r="890" spans="1:43" ht="17.25" customHeight="1" x14ac:dyDescent="0.45">
      <c r="A890" s="12" t="s">
        <v>247</v>
      </c>
      <c r="B890" s="12" t="s">
        <v>66</v>
      </c>
      <c r="C890" s="12" t="s">
        <v>67</v>
      </c>
      <c r="D890" s="12" t="s">
        <v>68</v>
      </c>
      <c r="E890" s="25">
        <v>0</v>
      </c>
      <c r="F890" s="10">
        <v>0</v>
      </c>
      <c r="G890" s="10">
        <v>8</v>
      </c>
      <c r="H890" s="10">
        <v>59</v>
      </c>
      <c r="I890" s="10">
        <v>59</v>
      </c>
      <c r="J890" s="10">
        <v>60</v>
      </c>
      <c r="K890" s="10">
        <v>57</v>
      </c>
      <c r="L890" s="10">
        <v>54</v>
      </c>
      <c r="M890" s="10">
        <v>32</v>
      </c>
      <c r="N890" s="10">
        <v>30</v>
      </c>
      <c r="O890" s="10">
        <v>29</v>
      </c>
      <c r="P890" s="10">
        <v>36</v>
      </c>
      <c r="Q890" s="26">
        <f t="shared" si="39"/>
        <v>424</v>
      </c>
      <c r="R890" s="25">
        <v>0</v>
      </c>
      <c r="S890" s="10">
        <v>0</v>
      </c>
      <c r="T890" s="10">
        <v>503</v>
      </c>
      <c r="U890" s="10">
        <v>6423</v>
      </c>
      <c r="V890" s="10">
        <v>6451</v>
      </c>
      <c r="W890" s="10">
        <v>9288</v>
      </c>
      <c r="X890" s="10">
        <v>8406</v>
      </c>
      <c r="Y890" s="10">
        <v>7137</v>
      </c>
      <c r="Z890" s="10">
        <v>4309</v>
      </c>
      <c r="AA890" s="10">
        <v>4208</v>
      </c>
      <c r="AB890" s="10">
        <v>3596</v>
      </c>
      <c r="AC890" s="10">
        <v>4605</v>
      </c>
      <c r="AD890" s="26">
        <f t="shared" si="40"/>
        <v>54926</v>
      </c>
      <c r="AE890" s="25">
        <v>0</v>
      </c>
      <c r="AF890" s="10">
        <v>0</v>
      </c>
      <c r="AG890" s="10">
        <v>0</v>
      </c>
      <c r="AH890" s="10">
        <v>0</v>
      </c>
      <c r="AI890" s="10">
        <v>0</v>
      </c>
      <c r="AJ890" s="10">
        <v>6.8038855500000004</v>
      </c>
      <c r="AK890" s="10">
        <v>0</v>
      </c>
      <c r="AL890" s="10">
        <v>0</v>
      </c>
      <c r="AM890" s="10">
        <v>0</v>
      </c>
      <c r="AN890" s="10">
        <v>0</v>
      </c>
      <c r="AO890" s="10">
        <v>0</v>
      </c>
      <c r="AP890" s="10">
        <v>0</v>
      </c>
      <c r="AQ890" s="26">
        <f t="shared" si="41"/>
        <v>6.8038855500000004</v>
      </c>
    </row>
    <row r="891" spans="1:43" ht="17.25" customHeight="1" x14ac:dyDescent="0.45">
      <c r="A891" s="2" t="s">
        <v>247</v>
      </c>
      <c r="B891" s="2" t="s">
        <v>66</v>
      </c>
      <c r="C891" s="2" t="s">
        <v>106</v>
      </c>
      <c r="D891" s="2" t="s">
        <v>107</v>
      </c>
      <c r="E891" s="23">
        <v>0</v>
      </c>
      <c r="F891" s="1">
        <v>0</v>
      </c>
      <c r="G891" s="1">
        <v>0</v>
      </c>
      <c r="H891" s="1">
        <v>0</v>
      </c>
      <c r="I891" s="1">
        <v>0</v>
      </c>
      <c r="J891" s="1">
        <v>0</v>
      </c>
      <c r="K891" s="1">
        <v>0</v>
      </c>
      <c r="L891" s="1">
        <v>0</v>
      </c>
      <c r="M891" s="1">
        <v>0</v>
      </c>
      <c r="N891" s="1">
        <v>0</v>
      </c>
      <c r="O891" s="1">
        <v>0</v>
      </c>
      <c r="P891" s="1">
        <v>6</v>
      </c>
      <c r="Q891" s="24">
        <f t="shared" si="39"/>
        <v>6</v>
      </c>
      <c r="R891" s="23">
        <v>0</v>
      </c>
      <c r="S891" s="1">
        <v>0</v>
      </c>
      <c r="T891" s="1">
        <v>0</v>
      </c>
      <c r="U891" s="1">
        <v>0</v>
      </c>
      <c r="V891" s="1">
        <v>0</v>
      </c>
      <c r="W891" s="1">
        <v>0</v>
      </c>
      <c r="X891" s="1">
        <v>0</v>
      </c>
      <c r="Y891" s="1">
        <v>0</v>
      </c>
      <c r="Z891" s="1">
        <v>0</v>
      </c>
      <c r="AA891" s="1">
        <v>0</v>
      </c>
      <c r="AB891" s="1">
        <v>0</v>
      </c>
      <c r="AC891" s="1">
        <v>644</v>
      </c>
      <c r="AD891" s="24">
        <f t="shared" si="40"/>
        <v>644</v>
      </c>
      <c r="AE891" s="23">
        <v>0</v>
      </c>
      <c r="AF891" s="1">
        <v>0</v>
      </c>
      <c r="AG891" s="1">
        <v>0</v>
      </c>
      <c r="AH891" s="1">
        <v>0</v>
      </c>
      <c r="AI891" s="1">
        <v>0</v>
      </c>
      <c r="AJ891" s="1">
        <v>0</v>
      </c>
      <c r="AK891" s="1">
        <v>0</v>
      </c>
      <c r="AL891" s="1">
        <v>0</v>
      </c>
      <c r="AM891" s="1">
        <v>0</v>
      </c>
      <c r="AN891" s="1">
        <v>0</v>
      </c>
      <c r="AO891" s="1">
        <v>0</v>
      </c>
      <c r="AP891" s="1">
        <v>0</v>
      </c>
      <c r="AQ891" s="24">
        <f t="shared" si="41"/>
        <v>0</v>
      </c>
    </row>
    <row r="892" spans="1:43" ht="17.25" customHeight="1" x14ac:dyDescent="0.45">
      <c r="A892" s="12" t="s">
        <v>247</v>
      </c>
      <c r="B892" s="12" t="s">
        <v>66</v>
      </c>
      <c r="C892" s="12" t="s">
        <v>69</v>
      </c>
      <c r="D892" s="12" t="s">
        <v>68</v>
      </c>
      <c r="E892" s="25">
        <v>0</v>
      </c>
      <c r="F892" s="10">
        <v>0</v>
      </c>
      <c r="G892" s="10">
        <v>2</v>
      </c>
      <c r="H892" s="10">
        <v>60</v>
      </c>
      <c r="I892" s="10">
        <v>50</v>
      </c>
      <c r="J892" s="10">
        <v>30</v>
      </c>
      <c r="K892" s="10">
        <v>29</v>
      </c>
      <c r="L892" s="10">
        <v>31</v>
      </c>
      <c r="M892" s="10">
        <v>29</v>
      </c>
      <c r="N892" s="10">
        <v>31</v>
      </c>
      <c r="O892" s="10">
        <v>29</v>
      </c>
      <c r="P892" s="10">
        <v>45</v>
      </c>
      <c r="Q892" s="26">
        <f t="shared" si="39"/>
        <v>336</v>
      </c>
      <c r="R892" s="25">
        <v>0</v>
      </c>
      <c r="S892" s="10">
        <v>0</v>
      </c>
      <c r="T892" s="10">
        <v>133</v>
      </c>
      <c r="U892" s="10">
        <v>5035</v>
      </c>
      <c r="V892" s="10">
        <v>4799</v>
      </c>
      <c r="W892" s="10">
        <v>4746</v>
      </c>
      <c r="X892" s="10">
        <v>4283</v>
      </c>
      <c r="Y892" s="10">
        <v>4505</v>
      </c>
      <c r="Z892" s="10">
        <v>3488</v>
      </c>
      <c r="AA892" s="10">
        <v>3729</v>
      </c>
      <c r="AB892" s="10">
        <v>3482</v>
      </c>
      <c r="AC892" s="10">
        <v>5205</v>
      </c>
      <c r="AD892" s="26">
        <f t="shared" si="40"/>
        <v>39405</v>
      </c>
      <c r="AE892" s="25">
        <v>0</v>
      </c>
      <c r="AF892" s="10">
        <v>0</v>
      </c>
      <c r="AG892" s="10">
        <v>0</v>
      </c>
      <c r="AH892" s="10">
        <v>0</v>
      </c>
      <c r="AI892" s="10">
        <v>0</v>
      </c>
      <c r="AJ892" s="10">
        <v>0</v>
      </c>
      <c r="AK892" s="10">
        <v>0</v>
      </c>
      <c r="AL892" s="10">
        <v>9</v>
      </c>
      <c r="AM892" s="10">
        <v>0</v>
      </c>
      <c r="AN892" s="10">
        <v>0</v>
      </c>
      <c r="AO892" s="10">
        <v>0</v>
      </c>
      <c r="AP892" s="10">
        <v>0</v>
      </c>
      <c r="AQ892" s="26">
        <f t="shared" si="41"/>
        <v>9</v>
      </c>
    </row>
    <row r="893" spans="1:43" ht="17.25" customHeight="1" x14ac:dyDescent="0.45">
      <c r="A893" s="2" t="s">
        <v>247</v>
      </c>
      <c r="B893" s="2" t="s">
        <v>66</v>
      </c>
      <c r="C893" s="2" t="s">
        <v>73</v>
      </c>
      <c r="D893" s="2" t="s">
        <v>68</v>
      </c>
      <c r="E893" s="23">
        <v>0</v>
      </c>
      <c r="F893" s="1">
        <v>0</v>
      </c>
      <c r="G893" s="1">
        <v>0</v>
      </c>
      <c r="H893" s="1">
        <v>0</v>
      </c>
      <c r="I893" s="1">
        <v>9</v>
      </c>
      <c r="J893" s="1">
        <v>30</v>
      </c>
      <c r="K893" s="1">
        <v>29</v>
      </c>
      <c r="L893" s="1">
        <v>17</v>
      </c>
      <c r="M893" s="1">
        <v>0</v>
      </c>
      <c r="N893" s="1">
        <v>0</v>
      </c>
      <c r="O893" s="1">
        <v>0</v>
      </c>
      <c r="P893" s="1">
        <v>0</v>
      </c>
      <c r="Q893" s="24">
        <f t="shared" si="39"/>
        <v>85</v>
      </c>
      <c r="R893" s="23">
        <v>0</v>
      </c>
      <c r="S893" s="1">
        <v>0</v>
      </c>
      <c r="T893" s="1">
        <v>0</v>
      </c>
      <c r="U893" s="1">
        <v>0</v>
      </c>
      <c r="V893" s="1">
        <v>950</v>
      </c>
      <c r="W893" s="1">
        <v>4592</v>
      </c>
      <c r="X893" s="1">
        <v>4471</v>
      </c>
      <c r="Y893" s="1">
        <v>2746</v>
      </c>
      <c r="Z893" s="1">
        <v>0</v>
      </c>
      <c r="AA893" s="1">
        <v>0</v>
      </c>
      <c r="AB893" s="1">
        <v>0</v>
      </c>
      <c r="AC893" s="1">
        <v>0</v>
      </c>
      <c r="AD893" s="24">
        <f t="shared" si="40"/>
        <v>12759</v>
      </c>
      <c r="AE893" s="23">
        <v>0</v>
      </c>
      <c r="AF893" s="1">
        <v>0</v>
      </c>
      <c r="AG893" s="1">
        <v>0</v>
      </c>
      <c r="AH893" s="1">
        <v>0</v>
      </c>
      <c r="AI893" s="1">
        <v>0</v>
      </c>
      <c r="AJ893" s="1">
        <v>0</v>
      </c>
      <c r="AK893" s="1">
        <v>0</v>
      </c>
      <c r="AL893" s="1">
        <v>0</v>
      </c>
      <c r="AM893" s="1">
        <v>0</v>
      </c>
      <c r="AN893" s="1">
        <v>0</v>
      </c>
      <c r="AO893" s="1">
        <v>0</v>
      </c>
      <c r="AP893" s="1">
        <v>0</v>
      </c>
      <c r="AQ893" s="24">
        <f t="shared" si="41"/>
        <v>0</v>
      </c>
    </row>
    <row r="894" spans="1:43" ht="17.25" customHeight="1" x14ac:dyDescent="0.45">
      <c r="A894" s="12" t="s">
        <v>247</v>
      </c>
      <c r="B894" s="12" t="s">
        <v>66</v>
      </c>
      <c r="C894" s="12" t="s">
        <v>126</v>
      </c>
      <c r="D894" s="12" t="s">
        <v>68</v>
      </c>
      <c r="E894" s="25">
        <v>0</v>
      </c>
      <c r="F894" s="10">
        <v>0</v>
      </c>
      <c r="G894" s="10">
        <v>4</v>
      </c>
      <c r="H894" s="10">
        <v>29</v>
      </c>
      <c r="I894" s="10">
        <v>30</v>
      </c>
      <c r="J894" s="10">
        <v>31</v>
      </c>
      <c r="K894" s="10">
        <v>28</v>
      </c>
      <c r="L894" s="10">
        <v>29</v>
      </c>
      <c r="M894" s="10">
        <v>23</v>
      </c>
      <c r="N894" s="10">
        <v>21</v>
      </c>
      <c r="O894" s="10">
        <v>24</v>
      </c>
      <c r="P894" s="10">
        <v>27</v>
      </c>
      <c r="Q894" s="26">
        <f t="shared" si="39"/>
        <v>246</v>
      </c>
      <c r="R894" s="25">
        <v>0</v>
      </c>
      <c r="S894" s="10">
        <v>0</v>
      </c>
      <c r="T894" s="10">
        <v>294</v>
      </c>
      <c r="U894" s="10">
        <v>3078</v>
      </c>
      <c r="V894" s="10">
        <v>2826</v>
      </c>
      <c r="W894" s="10">
        <v>3891</v>
      </c>
      <c r="X894" s="10">
        <v>3512</v>
      </c>
      <c r="Y894" s="10">
        <v>3349</v>
      </c>
      <c r="Z894" s="10">
        <v>2321</v>
      </c>
      <c r="AA894" s="10">
        <v>1628</v>
      </c>
      <c r="AB894" s="10">
        <v>2061</v>
      </c>
      <c r="AC894" s="10">
        <v>2436</v>
      </c>
      <c r="AD894" s="26">
        <f t="shared" si="40"/>
        <v>25396</v>
      </c>
      <c r="AE894" s="25">
        <v>0</v>
      </c>
      <c r="AF894" s="10">
        <v>0</v>
      </c>
      <c r="AG894" s="10">
        <v>0</v>
      </c>
      <c r="AH894" s="10">
        <v>0</v>
      </c>
      <c r="AI894" s="10">
        <v>0</v>
      </c>
      <c r="AJ894" s="10">
        <v>0</v>
      </c>
      <c r="AK894" s="10">
        <v>0</v>
      </c>
      <c r="AL894" s="10">
        <v>0</v>
      </c>
      <c r="AM894" s="10">
        <v>43.998459889999999</v>
      </c>
      <c r="AN894" s="10">
        <v>0</v>
      </c>
      <c r="AO894" s="10">
        <v>45.359237</v>
      </c>
      <c r="AP894" s="10">
        <v>0</v>
      </c>
      <c r="AQ894" s="26">
        <f t="shared" si="41"/>
        <v>89.35769689</v>
      </c>
    </row>
    <row r="895" spans="1:43" ht="17.25" customHeight="1" x14ac:dyDescent="0.45">
      <c r="A895" s="2" t="s">
        <v>247</v>
      </c>
      <c r="B895" s="2" t="s">
        <v>66</v>
      </c>
      <c r="C895" s="2" t="s">
        <v>130</v>
      </c>
      <c r="D895" s="2" t="s">
        <v>68</v>
      </c>
      <c r="E895" s="23">
        <v>0</v>
      </c>
      <c r="F895" s="1">
        <v>0</v>
      </c>
      <c r="G895" s="1">
        <v>0</v>
      </c>
      <c r="H895" s="1">
        <v>0</v>
      </c>
      <c r="I895" s="1">
        <v>0</v>
      </c>
      <c r="J895" s="1">
        <v>0</v>
      </c>
      <c r="K895" s="1">
        <v>0</v>
      </c>
      <c r="L895" s="1">
        <v>0</v>
      </c>
      <c r="M895" s="1">
        <v>0</v>
      </c>
      <c r="N895" s="1">
        <v>0</v>
      </c>
      <c r="O895" s="1">
        <v>0</v>
      </c>
      <c r="P895" s="1">
        <v>2</v>
      </c>
      <c r="Q895" s="24">
        <f t="shared" si="39"/>
        <v>2</v>
      </c>
      <c r="R895" s="23">
        <v>0</v>
      </c>
      <c r="S895" s="1">
        <v>0</v>
      </c>
      <c r="T895" s="1">
        <v>0</v>
      </c>
      <c r="U895" s="1">
        <v>0</v>
      </c>
      <c r="V895" s="1">
        <v>0</v>
      </c>
      <c r="W895" s="1">
        <v>0</v>
      </c>
      <c r="X895" s="1">
        <v>0</v>
      </c>
      <c r="Y895" s="1">
        <v>0</v>
      </c>
      <c r="Z895" s="1">
        <v>0</v>
      </c>
      <c r="AA895" s="1">
        <v>0</v>
      </c>
      <c r="AB895" s="1">
        <v>0</v>
      </c>
      <c r="AC895" s="1">
        <v>126</v>
      </c>
      <c r="AD895" s="24">
        <f t="shared" si="40"/>
        <v>126</v>
      </c>
      <c r="AE895" s="23">
        <v>0</v>
      </c>
      <c r="AF895" s="1">
        <v>0</v>
      </c>
      <c r="AG895" s="1">
        <v>0</v>
      </c>
      <c r="AH895" s="1">
        <v>0</v>
      </c>
      <c r="AI895" s="1">
        <v>0</v>
      </c>
      <c r="AJ895" s="1">
        <v>0</v>
      </c>
      <c r="AK895" s="1">
        <v>0</v>
      </c>
      <c r="AL895" s="1">
        <v>0</v>
      </c>
      <c r="AM895" s="1">
        <v>0</v>
      </c>
      <c r="AN895" s="1">
        <v>0</v>
      </c>
      <c r="AO895" s="1">
        <v>0</v>
      </c>
      <c r="AP895" s="1">
        <v>0</v>
      </c>
      <c r="AQ895" s="24">
        <f t="shared" si="41"/>
        <v>0</v>
      </c>
    </row>
    <row r="896" spans="1:43" ht="17.25" customHeight="1" x14ac:dyDescent="0.45">
      <c r="A896" s="12" t="s">
        <v>247</v>
      </c>
      <c r="B896" s="12" t="s">
        <v>66</v>
      </c>
      <c r="C896" s="12" t="s">
        <v>70</v>
      </c>
      <c r="D896" s="12" t="s">
        <v>65</v>
      </c>
      <c r="E896" s="25">
        <v>0</v>
      </c>
      <c r="F896" s="10">
        <v>0</v>
      </c>
      <c r="G896" s="10">
        <v>0</v>
      </c>
      <c r="H896" s="10">
        <v>0</v>
      </c>
      <c r="I896" s="10">
        <v>4</v>
      </c>
      <c r="J896" s="10">
        <v>4</v>
      </c>
      <c r="K896" s="10">
        <v>3</v>
      </c>
      <c r="L896" s="10">
        <v>5</v>
      </c>
      <c r="M896" s="10">
        <v>4</v>
      </c>
      <c r="N896" s="10">
        <v>6</v>
      </c>
      <c r="O896" s="10">
        <v>14</v>
      </c>
      <c r="P896" s="10">
        <v>22</v>
      </c>
      <c r="Q896" s="26">
        <f t="shared" si="39"/>
        <v>62</v>
      </c>
      <c r="R896" s="25">
        <v>0</v>
      </c>
      <c r="S896" s="10">
        <v>0</v>
      </c>
      <c r="T896" s="10">
        <v>0</v>
      </c>
      <c r="U896" s="10">
        <v>0</v>
      </c>
      <c r="V896" s="10">
        <v>421</v>
      </c>
      <c r="W896" s="10">
        <v>481</v>
      </c>
      <c r="X896" s="10">
        <v>277</v>
      </c>
      <c r="Y896" s="10">
        <v>660</v>
      </c>
      <c r="Z896" s="10">
        <v>457</v>
      </c>
      <c r="AA896" s="10">
        <v>644</v>
      </c>
      <c r="AB896" s="10">
        <v>1519</v>
      </c>
      <c r="AC896" s="10">
        <v>2239</v>
      </c>
      <c r="AD896" s="26">
        <f t="shared" si="40"/>
        <v>6698</v>
      </c>
      <c r="AE896" s="25">
        <v>0</v>
      </c>
      <c r="AF896" s="10">
        <v>0</v>
      </c>
      <c r="AG896" s="10">
        <v>0</v>
      </c>
      <c r="AH896" s="10">
        <v>0</v>
      </c>
      <c r="AI896" s="10">
        <v>0</v>
      </c>
      <c r="AJ896" s="10">
        <v>0</v>
      </c>
      <c r="AK896" s="10">
        <v>0</v>
      </c>
      <c r="AL896" s="10">
        <v>0</v>
      </c>
      <c r="AM896" s="10">
        <v>0</v>
      </c>
      <c r="AN896" s="10">
        <v>0</v>
      </c>
      <c r="AO896" s="10">
        <v>0</v>
      </c>
      <c r="AP896" s="10">
        <v>0</v>
      </c>
      <c r="AQ896" s="26">
        <f t="shared" si="41"/>
        <v>0</v>
      </c>
    </row>
    <row r="897" spans="1:43" ht="17.25" customHeight="1" x14ac:dyDescent="0.45">
      <c r="A897" s="2" t="s">
        <v>247</v>
      </c>
      <c r="B897" s="2" t="s">
        <v>66</v>
      </c>
      <c r="C897" s="2" t="s">
        <v>132</v>
      </c>
      <c r="D897" s="2" t="s">
        <v>68</v>
      </c>
      <c r="E897" s="23">
        <v>0</v>
      </c>
      <c r="F897" s="1">
        <v>0</v>
      </c>
      <c r="G897" s="1">
        <v>1</v>
      </c>
      <c r="H897" s="1">
        <v>30</v>
      </c>
      <c r="I897" s="1">
        <v>31</v>
      </c>
      <c r="J897" s="1">
        <v>30</v>
      </c>
      <c r="K897" s="1">
        <v>29</v>
      </c>
      <c r="L897" s="1">
        <v>31</v>
      </c>
      <c r="M897" s="1">
        <v>6</v>
      </c>
      <c r="N897" s="1">
        <v>7</v>
      </c>
      <c r="O897" s="1">
        <v>22</v>
      </c>
      <c r="P897" s="1">
        <v>25</v>
      </c>
      <c r="Q897" s="24">
        <f t="shared" si="39"/>
        <v>212</v>
      </c>
      <c r="R897" s="23">
        <v>0</v>
      </c>
      <c r="S897" s="1">
        <v>0</v>
      </c>
      <c r="T897" s="1">
        <v>170</v>
      </c>
      <c r="U897" s="1">
        <v>4354</v>
      </c>
      <c r="V897" s="1">
        <v>4118</v>
      </c>
      <c r="W897" s="1">
        <v>3952</v>
      </c>
      <c r="X897" s="1">
        <v>4134</v>
      </c>
      <c r="Y897" s="1">
        <v>5196</v>
      </c>
      <c r="Z897" s="1">
        <v>563</v>
      </c>
      <c r="AA897" s="1">
        <v>563</v>
      </c>
      <c r="AB897" s="1">
        <v>2606</v>
      </c>
      <c r="AC897" s="1">
        <v>3179</v>
      </c>
      <c r="AD897" s="24">
        <f t="shared" si="40"/>
        <v>28835</v>
      </c>
      <c r="AE897" s="23">
        <v>0</v>
      </c>
      <c r="AF897" s="1">
        <v>0</v>
      </c>
      <c r="AG897" s="1">
        <v>0</v>
      </c>
      <c r="AH897" s="1">
        <v>0</v>
      </c>
      <c r="AI897" s="1">
        <v>0</v>
      </c>
      <c r="AJ897" s="1">
        <v>0</v>
      </c>
      <c r="AK897" s="1">
        <v>0</v>
      </c>
      <c r="AL897" s="1">
        <v>0</v>
      </c>
      <c r="AM897" s="1">
        <v>0</v>
      </c>
      <c r="AN897" s="1">
        <v>0</v>
      </c>
      <c r="AO897" s="1">
        <v>0</v>
      </c>
      <c r="AP897" s="1">
        <v>0</v>
      </c>
      <c r="AQ897" s="24">
        <f t="shared" si="41"/>
        <v>0</v>
      </c>
    </row>
    <row r="898" spans="1:43" ht="17.25" customHeight="1" x14ac:dyDescent="0.45">
      <c r="A898" s="12" t="s">
        <v>247</v>
      </c>
      <c r="B898" s="12" t="s">
        <v>66</v>
      </c>
      <c r="C898" s="12" t="s">
        <v>134</v>
      </c>
      <c r="D898" s="12" t="s">
        <v>68</v>
      </c>
      <c r="E898" s="25">
        <v>0</v>
      </c>
      <c r="F898" s="10">
        <v>0</v>
      </c>
      <c r="G898" s="10">
        <v>0</v>
      </c>
      <c r="H898" s="10">
        <v>0</v>
      </c>
      <c r="I898" s="10">
        <v>0</v>
      </c>
      <c r="J898" s="10">
        <v>18</v>
      </c>
      <c r="K898" s="10">
        <v>29</v>
      </c>
      <c r="L898" s="10">
        <v>31</v>
      </c>
      <c r="M898" s="10">
        <v>23</v>
      </c>
      <c r="N898" s="10">
        <v>31</v>
      </c>
      <c r="O898" s="10">
        <v>30</v>
      </c>
      <c r="P898" s="10">
        <v>31</v>
      </c>
      <c r="Q898" s="26">
        <f t="shared" si="39"/>
        <v>193</v>
      </c>
      <c r="R898" s="25">
        <v>0</v>
      </c>
      <c r="S898" s="10">
        <v>0</v>
      </c>
      <c r="T898" s="10">
        <v>0</v>
      </c>
      <c r="U898" s="10">
        <v>0</v>
      </c>
      <c r="V898" s="10">
        <v>0</v>
      </c>
      <c r="W898" s="10">
        <v>1623</v>
      </c>
      <c r="X898" s="10">
        <v>3625</v>
      </c>
      <c r="Y898" s="10">
        <v>4435</v>
      </c>
      <c r="Z898" s="10">
        <v>2292</v>
      </c>
      <c r="AA898" s="10">
        <v>2922</v>
      </c>
      <c r="AB898" s="10">
        <v>3092</v>
      </c>
      <c r="AC898" s="10">
        <v>3365</v>
      </c>
      <c r="AD898" s="26">
        <f t="shared" si="40"/>
        <v>21354</v>
      </c>
      <c r="AE898" s="25">
        <v>0</v>
      </c>
      <c r="AF898" s="10">
        <v>0</v>
      </c>
      <c r="AG898" s="10">
        <v>0</v>
      </c>
      <c r="AH898" s="10">
        <v>0</v>
      </c>
      <c r="AI898" s="10">
        <v>0</v>
      </c>
      <c r="AJ898" s="10">
        <v>0</v>
      </c>
      <c r="AK898" s="10">
        <v>0</v>
      </c>
      <c r="AL898" s="10">
        <v>0</v>
      </c>
      <c r="AM898" s="10">
        <v>0</v>
      </c>
      <c r="AN898" s="10">
        <v>0</v>
      </c>
      <c r="AO898" s="10">
        <v>0</v>
      </c>
      <c r="AP898" s="10">
        <v>0</v>
      </c>
      <c r="AQ898" s="26">
        <f t="shared" si="41"/>
        <v>0</v>
      </c>
    </row>
    <row r="899" spans="1:43" ht="17.25" customHeight="1" x14ac:dyDescent="0.45">
      <c r="A899" s="2" t="s">
        <v>247</v>
      </c>
      <c r="B899" s="2" t="s">
        <v>66</v>
      </c>
      <c r="C899" s="2" t="s">
        <v>136</v>
      </c>
      <c r="D899" s="2" t="s">
        <v>65</v>
      </c>
      <c r="E899" s="23">
        <v>0</v>
      </c>
      <c r="F899" s="1">
        <v>0</v>
      </c>
      <c r="G899" s="1">
        <v>0</v>
      </c>
      <c r="H899" s="1">
        <v>0</v>
      </c>
      <c r="I899" s="1">
        <v>0</v>
      </c>
      <c r="J899" s="1">
        <v>0</v>
      </c>
      <c r="K899" s="1">
        <v>0</v>
      </c>
      <c r="L899" s="1">
        <v>0</v>
      </c>
      <c r="M899" s="1">
        <v>0</v>
      </c>
      <c r="N899" s="1">
        <v>0</v>
      </c>
      <c r="O899" s="1">
        <v>0</v>
      </c>
      <c r="P899" s="1">
        <v>3</v>
      </c>
      <c r="Q899" s="24">
        <f t="shared" si="39"/>
        <v>3</v>
      </c>
      <c r="R899" s="23">
        <v>0</v>
      </c>
      <c r="S899" s="1">
        <v>0</v>
      </c>
      <c r="T899" s="1">
        <v>0</v>
      </c>
      <c r="U899" s="1">
        <v>0</v>
      </c>
      <c r="V899" s="1">
        <v>0</v>
      </c>
      <c r="W899" s="1">
        <v>0</v>
      </c>
      <c r="X899" s="1">
        <v>0</v>
      </c>
      <c r="Y899" s="1">
        <v>0</v>
      </c>
      <c r="Z899" s="1">
        <v>0</v>
      </c>
      <c r="AA899" s="1">
        <v>0</v>
      </c>
      <c r="AB899" s="1">
        <v>0</v>
      </c>
      <c r="AC899" s="1">
        <v>221</v>
      </c>
      <c r="AD899" s="24">
        <f t="shared" si="40"/>
        <v>221</v>
      </c>
      <c r="AE899" s="23">
        <v>0</v>
      </c>
      <c r="AF899" s="1">
        <v>0</v>
      </c>
      <c r="AG899" s="1">
        <v>0</v>
      </c>
      <c r="AH899" s="1">
        <v>0</v>
      </c>
      <c r="AI899" s="1">
        <v>0</v>
      </c>
      <c r="AJ899" s="1">
        <v>0</v>
      </c>
      <c r="AK899" s="1">
        <v>0</v>
      </c>
      <c r="AL899" s="1">
        <v>0</v>
      </c>
      <c r="AM899" s="1">
        <v>0</v>
      </c>
      <c r="AN899" s="1">
        <v>0</v>
      </c>
      <c r="AO899" s="1">
        <v>0</v>
      </c>
      <c r="AP899" s="1">
        <v>0</v>
      </c>
      <c r="AQ899" s="24">
        <f t="shared" si="41"/>
        <v>0</v>
      </c>
    </row>
    <row r="900" spans="1:43" ht="17.25" customHeight="1" x14ac:dyDescent="0.45">
      <c r="A900" s="12" t="s">
        <v>247</v>
      </c>
      <c r="B900" s="12" t="s">
        <v>66</v>
      </c>
      <c r="C900" s="12" t="s">
        <v>137</v>
      </c>
      <c r="D900" s="12" t="s">
        <v>138</v>
      </c>
      <c r="E900" s="25">
        <v>0</v>
      </c>
      <c r="F900" s="10">
        <v>0</v>
      </c>
      <c r="G900" s="10">
        <v>0</v>
      </c>
      <c r="H900" s="10">
        <v>0</v>
      </c>
      <c r="I900" s="10">
        <v>0</v>
      </c>
      <c r="J900" s="10">
        <v>3</v>
      </c>
      <c r="K900" s="10">
        <v>17</v>
      </c>
      <c r="L900" s="10">
        <v>16</v>
      </c>
      <c r="M900" s="10">
        <v>18</v>
      </c>
      <c r="N900" s="10">
        <v>16</v>
      </c>
      <c r="O900" s="10">
        <v>17</v>
      </c>
      <c r="P900" s="10">
        <v>17</v>
      </c>
      <c r="Q900" s="26">
        <f t="shared" si="39"/>
        <v>104</v>
      </c>
      <c r="R900" s="25">
        <v>0</v>
      </c>
      <c r="S900" s="10">
        <v>0</v>
      </c>
      <c r="T900" s="10">
        <v>0</v>
      </c>
      <c r="U900" s="10">
        <v>0</v>
      </c>
      <c r="V900" s="10">
        <v>0</v>
      </c>
      <c r="W900" s="10">
        <v>100</v>
      </c>
      <c r="X900" s="10">
        <v>2182</v>
      </c>
      <c r="Y900" s="10">
        <v>1419</v>
      </c>
      <c r="Z900" s="10">
        <v>1865</v>
      </c>
      <c r="AA900" s="10">
        <v>1616</v>
      </c>
      <c r="AB900" s="10">
        <v>2055</v>
      </c>
      <c r="AC900" s="10">
        <v>2198</v>
      </c>
      <c r="AD900" s="26">
        <f t="shared" si="40"/>
        <v>11435</v>
      </c>
      <c r="AE900" s="25">
        <v>0</v>
      </c>
      <c r="AF900" s="10">
        <v>0</v>
      </c>
      <c r="AG900" s="10">
        <v>0</v>
      </c>
      <c r="AH900" s="10">
        <v>0</v>
      </c>
      <c r="AI900" s="10">
        <v>0</v>
      </c>
      <c r="AJ900" s="10">
        <v>0</v>
      </c>
      <c r="AK900" s="10">
        <v>0</v>
      </c>
      <c r="AL900" s="10">
        <v>0</v>
      </c>
      <c r="AM900" s="10">
        <v>0</v>
      </c>
      <c r="AN900" s="10">
        <v>0</v>
      </c>
      <c r="AO900" s="10">
        <v>0</v>
      </c>
      <c r="AP900" s="10">
        <v>0</v>
      </c>
      <c r="AQ900" s="26">
        <f t="shared" si="41"/>
        <v>0</v>
      </c>
    </row>
    <row r="901" spans="1:43" ht="17.25" customHeight="1" x14ac:dyDescent="0.45">
      <c r="A901" s="2" t="s">
        <v>247</v>
      </c>
      <c r="B901" s="2" t="s">
        <v>66</v>
      </c>
      <c r="C901" s="2" t="s">
        <v>144</v>
      </c>
      <c r="D901" s="2" t="s">
        <v>65</v>
      </c>
      <c r="E901" s="23">
        <v>0</v>
      </c>
      <c r="F901" s="1">
        <v>0</v>
      </c>
      <c r="G901" s="1">
        <v>0</v>
      </c>
      <c r="H901" s="1">
        <v>0</v>
      </c>
      <c r="I901" s="1">
        <v>0</v>
      </c>
      <c r="J901" s="1">
        <v>0</v>
      </c>
      <c r="K901" s="1">
        <v>0</v>
      </c>
      <c r="L901" s="1">
        <v>0</v>
      </c>
      <c r="M901" s="1">
        <v>0</v>
      </c>
      <c r="N901" s="1">
        <v>0</v>
      </c>
      <c r="O901" s="1">
        <v>0</v>
      </c>
      <c r="P901" s="1">
        <v>5</v>
      </c>
      <c r="Q901" s="24">
        <f t="shared" si="39"/>
        <v>5</v>
      </c>
      <c r="R901" s="23">
        <v>0</v>
      </c>
      <c r="S901" s="1">
        <v>0</v>
      </c>
      <c r="T901" s="1">
        <v>0</v>
      </c>
      <c r="U901" s="1">
        <v>0</v>
      </c>
      <c r="V901" s="1">
        <v>0</v>
      </c>
      <c r="W901" s="1">
        <v>0</v>
      </c>
      <c r="X901" s="1">
        <v>0</v>
      </c>
      <c r="Y901" s="1">
        <v>0</v>
      </c>
      <c r="Z901" s="1">
        <v>0</v>
      </c>
      <c r="AA901" s="1">
        <v>0</v>
      </c>
      <c r="AB901" s="1">
        <v>0</v>
      </c>
      <c r="AC901" s="1">
        <v>384</v>
      </c>
      <c r="AD901" s="24">
        <f t="shared" si="40"/>
        <v>384</v>
      </c>
      <c r="AE901" s="23">
        <v>0</v>
      </c>
      <c r="AF901" s="1">
        <v>0</v>
      </c>
      <c r="AG901" s="1">
        <v>0</v>
      </c>
      <c r="AH901" s="1">
        <v>0</v>
      </c>
      <c r="AI901" s="1">
        <v>0</v>
      </c>
      <c r="AJ901" s="1">
        <v>0</v>
      </c>
      <c r="AK901" s="1">
        <v>0</v>
      </c>
      <c r="AL901" s="1">
        <v>0</v>
      </c>
      <c r="AM901" s="1">
        <v>0</v>
      </c>
      <c r="AN901" s="1">
        <v>0</v>
      </c>
      <c r="AO901" s="1">
        <v>0</v>
      </c>
      <c r="AP901" s="1">
        <v>0</v>
      </c>
      <c r="AQ901" s="24">
        <f t="shared" si="41"/>
        <v>0</v>
      </c>
    </row>
    <row r="902" spans="1:43" ht="17.25" customHeight="1" x14ac:dyDescent="0.45">
      <c r="A902" s="12" t="s">
        <v>247</v>
      </c>
      <c r="B902" s="12" t="s">
        <v>66</v>
      </c>
      <c r="C902" s="12" t="s">
        <v>71</v>
      </c>
      <c r="D902" s="12" t="s">
        <v>65</v>
      </c>
      <c r="E902" s="25">
        <v>0</v>
      </c>
      <c r="F902" s="10">
        <v>0</v>
      </c>
      <c r="G902" s="10">
        <v>0</v>
      </c>
      <c r="H902" s="10">
        <v>0</v>
      </c>
      <c r="I902" s="10">
        <v>9</v>
      </c>
      <c r="J902" s="10">
        <v>8</v>
      </c>
      <c r="K902" s="10">
        <v>7</v>
      </c>
      <c r="L902" s="10">
        <v>9</v>
      </c>
      <c r="M902" s="10">
        <v>5</v>
      </c>
      <c r="N902" s="10">
        <v>11</v>
      </c>
      <c r="O902" s="10">
        <v>24</v>
      </c>
      <c r="P902" s="10">
        <v>23</v>
      </c>
      <c r="Q902" s="26">
        <f t="shared" si="39"/>
        <v>96</v>
      </c>
      <c r="R902" s="25">
        <v>0</v>
      </c>
      <c r="S902" s="10">
        <v>0</v>
      </c>
      <c r="T902" s="10">
        <v>0</v>
      </c>
      <c r="U902" s="10">
        <v>0</v>
      </c>
      <c r="V902" s="10">
        <v>1171</v>
      </c>
      <c r="W902" s="10">
        <v>928</v>
      </c>
      <c r="X902" s="10">
        <v>787</v>
      </c>
      <c r="Y902" s="10">
        <v>1177</v>
      </c>
      <c r="Z902" s="10">
        <v>477</v>
      </c>
      <c r="AA902" s="10">
        <v>1112</v>
      </c>
      <c r="AB902" s="10">
        <v>2838</v>
      </c>
      <c r="AC902" s="10">
        <v>2962</v>
      </c>
      <c r="AD902" s="26">
        <f t="shared" si="40"/>
        <v>11452</v>
      </c>
      <c r="AE902" s="25">
        <v>0</v>
      </c>
      <c r="AF902" s="10">
        <v>0</v>
      </c>
      <c r="AG902" s="10">
        <v>0</v>
      </c>
      <c r="AH902" s="10">
        <v>0</v>
      </c>
      <c r="AI902" s="10">
        <v>0</v>
      </c>
      <c r="AJ902" s="10">
        <v>0</v>
      </c>
      <c r="AK902" s="10">
        <v>0</v>
      </c>
      <c r="AL902" s="10">
        <v>0</v>
      </c>
      <c r="AM902" s="10">
        <v>0</v>
      </c>
      <c r="AN902" s="10">
        <v>0</v>
      </c>
      <c r="AO902" s="10">
        <v>0</v>
      </c>
      <c r="AP902" s="10">
        <v>0</v>
      </c>
      <c r="AQ902" s="26">
        <f t="shared" si="41"/>
        <v>0</v>
      </c>
    </row>
    <row r="903" spans="1:43" ht="17.25" customHeight="1" x14ac:dyDescent="0.45">
      <c r="A903" s="2" t="s">
        <v>34</v>
      </c>
      <c r="B903" s="2" t="s">
        <v>66</v>
      </c>
      <c r="C903" s="2" t="s">
        <v>108</v>
      </c>
      <c r="D903" s="2" t="s">
        <v>104</v>
      </c>
      <c r="E903" s="23">
        <v>14</v>
      </c>
      <c r="F903" s="1">
        <v>13</v>
      </c>
      <c r="G903" s="1">
        <v>13</v>
      </c>
      <c r="H903" s="1">
        <v>13</v>
      </c>
      <c r="I903" s="1">
        <v>12</v>
      </c>
      <c r="J903" s="1">
        <v>13</v>
      </c>
      <c r="K903" s="1">
        <v>7</v>
      </c>
      <c r="L903" s="1">
        <v>9</v>
      </c>
      <c r="M903" s="1">
        <v>2</v>
      </c>
      <c r="N903" s="1">
        <v>0</v>
      </c>
      <c r="O903" s="1">
        <v>0</v>
      </c>
      <c r="P903" s="1">
        <v>0</v>
      </c>
      <c r="Q903" s="24">
        <f t="shared" si="39"/>
        <v>96</v>
      </c>
      <c r="R903" s="23">
        <v>206</v>
      </c>
      <c r="S903" s="1">
        <v>91</v>
      </c>
      <c r="T903" s="1">
        <v>167</v>
      </c>
      <c r="U903" s="1">
        <v>123</v>
      </c>
      <c r="V903" s="1">
        <v>113</v>
      </c>
      <c r="W903" s="1">
        <v>144</v>
      </c>
      <c r="X903" s="1">
        <v>95</v>
      </c>
      <c r="Y903" s="1">
        <v>132</v>
      </c>
      <c r="Z903" s="1">
        <v>33</v>
      </c>
      <c r="AA903" s="1">
        <v>0</v>
      </c>
      <c r="AB903" s="1">
        <v>0</v>
      </c>
      <c r="AC903" s="1">
        <v>0</v>
      </c>
      <c r="AD903" s="24">
        <f t="shared" si="40"/>
        <v>1104</v>
      </c>
      <c r="AE903" s="23">
        <v>0</v>
      </c>
      <c r="AF903" s="1">
        <v>0</v>
      </c>
      <c r="AG903" s="1">
        <v>0</v>
      </c>
      <c r="AH903" s="1">
        <v>0</v>
      </c>
      <c r="AI903" s="1">
        <v>0</v>
      </c>
      <c r="AJ903" s="1">
        <v>0</v>
      </c>
      <c r="AK903" s="1">
        <v>0</v>
      </c>
      <c r="AL903" s="1">
        <v>0</v>
      </c>
      <c r="AM903" s="1">
        <v>0</v>
      </c>
      <c r="AN903" s="1">
        <v>0</v>
      </c>
      <c r="AO903" s="1">
        <v>0</v>
      </c>
      <c r="AP903" s="1">
        <v>0</v>
      </c>
      <c r="AQ903" s="24">
        <f t="shared" si="41"/>
        <v>0</v>
      </c>
    </row>
    <row r="904" spans="1:43" ht="17.25" customHeight="1" x14ac:dyDescent="0.45">
      <c r="A904" s="12" t="s">
        <v>63</v>
      </c>
      <c r="B904" s="12" t="s">
        <v>66</v>
      </c>
      <c r="C904" s="12" t="s">
        <v>73</v>
      </c>
      <c r="D904" s="12" t="s">
        <v>68</v>
      </c>
      <c r="E904" s="25">
        <v>4</v>
      </c>
      <c r="F904" s="10">
        <v>4</v>
      </c>
      <c r="G904" s="10">
        <v>5</v>
      </c>
      <c r="H904" s="10">
        <v>9</v>
      </c>
      <c r="I904" s="10">
        <v>9</v>
      </c>
      <c r="J904" s="10">
        <v>6</v>
      </c>
      <c r="K904" s="10">
        <v>7</v>
      </c>
      <c r="L904" s="10">
        <v>9</v>
      </c>
      <c r="M904" s="10">
        <v>9</v>
      </c>
      <c r="N904" s="10">
        <v>8</v>
      </c>
      <c r="O904" s="10">
        <v>8</v>
      </c>
      <c r="P904" s="10">
        <v>9</v>
      </c>
      <c r="Q904" s="26">
        <f t="shared" ref="Q904:Q935" si="42">SUM(E904:P904)</f>
        <v>87</v>
      </c>
      <c r="R904" s="25">
        <v>689</v>
      </c>
      <c r="S904" s="10">
        <v>658</v>
      </c>
      <c r="T904" s="10">
        <v>763</v>
      </c>
      <c r="U904" s="10">
        <v>1124</v>
      </c>
      <c r="V904" s="10">
        <v>1146</v>
      </c>
      <c r="W904" s="10">
        <v>687</v>
      </c>
      <c r="X904" s="10">
        <v>1190</v>
      </c>
      <c r="Y904" s="10">
        <v>1301</v>
      </c>
      <c r="Z904" s="10">
        <v>826</v>
      </c>
      <c r="AA904" s="10">
        <v>870</v>
      </c>
      <c r="AB904" s="10">
        <v>1084</v>
      </c>
      <c r="AC904" s="10">
        <v>1136</v>
      </c>
      <c r="AD904" s="26">
        <f t="shared" ref="AD904:AD935" si="43">SUM(R904:AC904)</f>
        <v>11474</v>
      </c>
      <c r="AE904" s="25">
        <v>0</v>
      </c>
      <c r="AF904" s="10">
        <v>0</v>
      </c>
      <c r="AG904" s="10">
        <v>0</v>
      </c>
      <c r="AH904" s="10">
        <v>0</v>
      </c>
      <c r="AI904" s="10">
        <v>0</v>
      </c>
      <c r="AJ904" s="10">
        <v>0</v>
      </c>
      <c r="AK904" s="10">
        <v>0</v>
      </c>
      <c r="AL904" s="10">
        <v>0</v>
      </c>
      <c r="AM904" s="10">
        <v>0</v>
      </c>
      <c r="AN904" s="10">
        <v>0</v>
      </c>
      <c r="AO904" s="10">
        <v>0</v>
      </c>
      <c r="AP904" s="10">
        <v>0</v>
      </c>
      <c r="AQ904" s="26">
        <f t="shared" ref="AQ904:AQ935" si="44">SUM(AE904:AP904)</f>
        <v>0</v>
      </c>
    </row>
    <row r="905" spans="1:43" ht="17.25" customHeight="1" x14ac:dyDescent="0.45">
      <c r="A905" s="2" t="s">
        <v>165</v>
      </c>
      <c r="B905" s="2" t="s">
        <v>65</v>
      </c>
      <c r="C905" s="2" t="s">
        <v>10</v>
      </c>
      <c r="D905" s="2" t="s">
        <v>66</v>
      </c>
      <c r="E905" s="23">
        <v>81</v>
      </c>
      <c r="F905" s="1">
        <v>83</v>
      </c>
      <c r="G905" s="1">
        <v>90</v>
      </c>
      <c r="H905" s="1">
        <v>81</v>
      </c>
      <c r="I905" s="1">
        <v>46</v>
      </c>
      <c r="J905" s="1">
        <v>24</v>
      </c>
      <c r="K905" s="1">
        <v>22</v>
      </c>
      <c r="L905" s="1">
        <v>28</v>
      </c>
      <c r="M905" s="1">
        <v>22</v>
      </c>
      <c r="N905" s="1">
        <v>57</v>
      </c>
      <c r="O905" s="1">
        <v>147</v>
      </c>
      <c r="P905" s="1">
        <v>164</v>
      </c>
      <c r="Q905" s="24">
        <f t="shared" si="42"/>
        <v>845</v>
      </c>
      <c r="R905" s="23">
        <v>16463</v>
      </c>
      <c r="S905" s="1">
        <v>15827</v>
      </c>
      <c r="T905" s="1">
        <v>17829</v>
      </c>
      <c r="U905" s="1">
        <v>15772</v>
      </c>
      <c r="V905" s="1">
        <v>7120</v>
      </c>
      <c r="W905" s="1">
        <v>3613</v>
      </c>
      <c r="X905" s="1">
        <v>3431</v>
      </c>
      <c r="Y905" s="1">
        <v>4419</v>
      </c>
      <c r="Z905" s="1">
        <v>3524</v>
      </c>
      <c r="AA905" s="1">
        <v>9196</v>
      </c>
      <c r="AB905" s="1">
        <v>22764</v>
      </c>
      <c r="AC905" s="1">
        <v>25713</v>
      </c>
      <c r="AD905" s="24">
        <f t="shared" si="43"/>
        <v>145671</v>
      </c>
      <c r="AE905" s="23">
        <v>0</v>
      </c>
      <c r="AF905" s="1">
        <v>0</v>
      </c>
      <c r="AG905" s="1">
        <v>0</v>
      </c>
      <c r="AH905" s="1">
        <v>0</v>
      </c>
      <c r="AI905" s="1">
        <v>1072</v>
      </c>
      <c r="AJ905" s="1">
        <v>456</v>
      </c>
      <c r="AK905" s="1">
        <v>10</v>
      </c>
      <c r="AL905" s="1">
        <v>1405</v>
      </c>
      <c r="AM905" s="1">
        <v>47</v>
      </c>
      <c r="AN905" s="1">
        <v>0</v>
      </c>
      <c r="AO905" s="1">
        <v>0</v>
      </c>
      <c r="AP905" s="1">
        <v>256</v>
      </c>
      <c r="AQ905" s="24">
        <f t="shared" si="44"/>
        <v>3246</v>
      </c>
    </row>
    <row r="906" spans="1:43" ht="17.25" customHeight="1" x14ac:dyDescent="0.45">
      <c r="A906" s="12" t="s">
        <v>165</v>
      </c>
      <c r="B906" s="12" t="s">
        <v>65</v>
      </c>
      <c r="C906" s="12" t="s">
        <v>11</v>
      </c>
      <c r="D906" s="12" t="s">
        <v>66</v>
      </c>
      <c r="E906" s="25">
        <v>0</v>
      </c>
      <c r="F906" s="10">
        <v>0</v>
      </c>
      <c r="G906" s="10">
        <v>0</v>
      </c>
      <c r="H906" s="10">
        <v>0</v>
      </c>
      <c r="I906" s="10">
        <v>0</v>
      </c>
      <c r="J906" s="10">
        <v>8</v>
      </c>
      <c r="K906" s="10">
        <v>9</v>
      </c>
      <c r="L906" s="10">
        <v>9</v>
      </c>
      <c r="M906" s="10">
        <v>9</v>
      </c>
      <c r="N906" s="10">
        <v>9</v>
      </c>
      <c r="O906" s="10">
        <v>13</v>
      </c>
      <c r="P906" s="10">
        <v>13</v>
      </c>
      <c r="Q906" s="26">
        <f t="shared" si="42"/>
        <v>70</v>
      </c>
      <c r="R906" s="25">
        <v>0</v>
      </c>
      <c r="S906" s="10">
        <v>0</v>
      </c>
      <c r="T906" s="10">
        <v>0</v>
      </c>
      <c r="U906" s="10">
        <v>0</v>
      </c>
      <c r="V906" s="10">
        <v>0</v>
      </c>
      <c r="W906" s="10">
        <v>1233</v>
      </c>
      <c r="X906" s="10">
        <v>1530</v>
      </c>
      <c r="Y906" s="10">
        <v>1548</v>
      </c>
      <c r="Z906" s="10">
        <v>1477</v>
      </c>
      <c r="AA906" s="10">
        <v>1452</v>
      </c>
      <c r="AB906" s="10">
        <v>1977</v>
      </c>
      <c r="AC906" s="10">
        <v>2102</v>
      </c>
      <c r="AD906" s="26">
        <f t="shared" si="43"/>
        <v>11319</v>
      </c>
      <c r="AE906" s="25">
        <v>0</v>
      </c>
      <c r="AF906" s="10">
        <v>0</v>
      </c>
      <c r="AG906" s="10">
        <v>0</v>
      </c>
      <c r="AH906" s="10">
        <v>0</v>
      </c>
      <c r="AI906" s="10">
        <v>0</v>
      </c>
      <c r="AJ906" s="10">
        <v>0</v>
      </c>
      <c r="AK906" s="10">
        <v>0</v>
      </c>
      <c r="AL906" s="10">
        <v>0</v>
      </c>
      <c r="AM906" s="10">
        <v>0</v>
      </c>
      <c r="AN906" s="10">
        <v>0</v>
      </c>
      <c r="AO906" s="10">
        <v>0</v>
      </c>
      <c r="AP906" s="10">
        <v>0</v>
      </c>
      <c r="AQ906" s="26">
        <f t="shared" si="44"/>
        <v>0</v>
      </c>
    </row>
    <row r="907" spans="1:43" ht="17.25" customHeight="1" x14ac:dyDescent="0.45">
      <c r="A907" s="2" t="s">
        <v>165</v>
      </c>
      <c r="B907" s="2" t="s">
        <v>65</v>
      </c>
      <c r="C907" s="2" t="s">
        <v>51</v>
      </c>
      <c r="D907" s="2" t="s">
        <v>66</v>
      </c>
      <c r="E907" s="23">
        <v>17</v>
      </c>
      <c r="F907" s="1">
        <v>17</v>
      </c>
      <c r="G907" s="1">
        <v>18</v>
      </c>
      <c r="H907" s="1">
        <v>12</v>
      </c>
      <c r="I907" s="1">
        <v>0</v>
      </c>
      <c r="J907" s="1">
        <v>0</v>
      </c>
      <c r="K907" s="1">
        <v>0</v>
      </c>
      <c r="L907" s="1">
        <v>0</v>
      </c>
      <c r="M907" s="1">
        <v>0</v>
      </c>
      <c r="N907" s="1">
        <v>2</v>
      </c>
      <c r="O907" s="1">
        <v>17</v>
      </c>
      <c r="P907" s="1">
        <v>18</v>
      </c>
      <c r="Q907" s="24">
        <f t="shared" si="42"/>
        <v>101</v>
      </c>
      <c r="R907" s="23">
        <v>2571</v>
      </c>
      <c r="S907" s="1">
        <v>2559</v>
      </c>
      <c r="T907" s="1">
        <v>2218</v>
      </c>
      <c r="U907" s="1">
        <v>1060</v>
      </c>
      <c r="V907" s="1">
        <v>0</v>
      </c>
      <c r="W907" s="1">
        <v>0</v>
      </c>
      <c r="X907" s="1">
        <v>0</v>
      </c>
      <c r="Y907" s="1">
        <v>0</v>
      </c>
      <c r="Z907" s="1">
        <v>0</v>
      </c>
      <c r="AA907" s="1">
        <v>289</v>
      </c>
      <c r="AB907" s="1">
        <v>2291</v>
      </c>
      <c r="AC907" s="1">
        <v>2451</v>
      </c>
      <c r="AD907" s="24">
        <f t="shared" si="43"/>
        <v>13439</v>
      </c>
      <c r="AE907" s="23">
        <v>0</v>
      </c>
      <c r="AF907" s="1">
        <v>0</v>
      </c>
      <c r="AG907" s="1">
        <v>0</v>
      </c>
      <c r="AH907" s="1">
        <v>0</v>
      </c>
      <c r="AI907" s="1">
        <v>0</v>
      </c>
      <c r="AJ907" s="1">
        <v>0</v>
      </c>
      <c r="AK907" s="1">
        <v>0</v>
      </c>
      <c r="AL907" s="1">
        <v>0</v>
      </c>
      <c r="AM907" s="1">
        <v>0</v>
      </c>
      <c r="AN907" s="1">
        <v>0</v>
      </c>
      <c r="AO907" s="1">
        <v>0</v>
      </c>
      <c r="AP907" s="1">
        <v>0</v>
      </c>
      <c r="AQ907" s="24">
        <f t="shared" si="44"/>
        <v>0</v>
      </c>
    </row>
    <row r="908" spans="1:43" ht="17.25" customHeight="1" x14ac:dyDescent="0.45">
      <c r="A908" s="12" t="s">
        <v>165</v>
      </c>
      <c r="B908" s="12" t="s">
        <v>65</v>
      </c>
      <c r="C908" s="12" t="s">
        <v>52</v>
      </c>
      <c r="D908" s="12" t="s">
        <v>66</v>
      </c>
      <c r="E908" s="25">
        <v>4</v>
      </c>
      <c r="F908" s="10">
        <v>4</v>
      </c>
      <c r="G908" s="10">
        <v>5</v>
      </c>
      <c r="H908" s="10">
        <v>4</v>
      </c>
      <c r="I908" s="10">
        <v>0</v>
      </c>
      <c r="J908" s="10">
        <v>0</v>
      </c>
      <c r="K908" s="10">
        <v>0</v>
      </c>
      <c r="L908" s="10">
        <v>0</v>
      </c>
      <c r="M908" s="10">
        <v>0</v>
      </c>
      <c r="N908" s="10">
        <v>0</v>
      </c>
      <c r="O908" s="10">
        <v>0</v>
      </c>
      <c r="P908" s="10">
        <v>6</v>
      </c>
      <c r="Q908" s="26">
        <f t="shared" si="42"/>
        <v>23</v>
      </c>
      <c r="R908" s="25">
        <v>675</v>
      </c>
      <c r="S908" s="10">
        <v>576</v>
      </c>
      <c r="T908" s="10">
        <v>568</v>
      </c>
      <c r="U908" s="10">
        <v>357</v>
      </c>
      <c r="V908" s="10">
        <v>0</v>
      </c>
      <c r="W908" s="10">
        <v>0</v>
      </c>
      <c r="X908" s="10">
        <v>0</v>
      </c>
      <c r="Y908" s="10">
        <v>0</v>
      </c>
      <c r="Z908" s="10">
        <v>0</v>
      </c>
      <c r="AA908" s="10">
        <v>0</v>
      </c>
      <c r="AB908" s="10">
        <v>0</v>
      </c>
      <c r="AC908" s="10">
        <v>830</v>
      </c>
      <c r="AD908" s="26">
        <f t="shared" si="43"/>
        <v>3006</v>
      </c>
      <c r="AE908" s="25">
        <v>0</v>
      </c>
      <c r="AF908" s="10">
        <v>0</v>
      </c>
      <c r="AG908" s="10">
        <v>0</v>
      </c>
      <c r="AH908" s="10">
        <v>0</v>
      </c>
      <c r="AI908" s="10">
        <v>0</v>
      </c>
      <c r="AJ908" s="10">
        <v>0</v>
      </c>
      <c r="AK908" s="10">
        <v>0</v>
      </c>
      <c r="AL908" s="10">
        <v>0</v>
      </c>
      <c r="AM908" s="10">
        <v>0</v>
      </c>
      <c r="AN908" s="10">
        <v>0</v>
      </c>
      <c r="AO908" s="10">
        <v>0</v>
      </c>
      <c r="AP908" s="10">
        <v>0</v>
      </c>
      <c r="AQ908" s="26">
        <f t="shared" si="44"/>
        <v>0</v>
      </c>
    </row>
    <row r="909" spans="1:43" ht="17.25" customHeight="1" x14ac:dyDescent="0.45">
      <c r="A909" s="2" t="s">
        <v>165</v>
      </c>
      <c r="B909" s="2" t="s">
        <v>65</v>
      </c>
      <c r="C909" s="2" t="s">
        <v>40</v>
      </c>
      <c r="D909" s="2" t="s">
        <v>66</v>
      </c>
      <c r="E909" s="23">
        <v>12</v>
      </c>
      <c r="F909" s="1">
        <v>12</v>
      </c>
      <c r="G909" s="1">
        <v>15</v>
      </c>
      <c r="H909" s="1">
        <v>11</v>
      </c>
      <c r="I909" s="1">
        <v>0</v>
      </c>
      <c r="J909" s="1">
        <v>0</v>
      </c>
      <c r="K909" s="1">
        <v>0</v>
      </c>
      <c r="L909" s="1">
        <v>0</v>
      </c>
      <c r="M909" s="1">
        <v>0</v>
      </c>
      <c r="N909" s="1">
        <v>0</v>
      </c>
      <c r="O909" s="1">
        <v>13</v>
      </c>
      <c r="P909" s="1">
        <v>15</v>
      </c>
      <c r="Q909" s="24">
        <f t="shared" si="42"/>
        <v>78</v>
      </c>
      <c r="R909" s="23">
        <v>1949</v>
      </c>
      <c r="S909" s="1">
        <v>1807</v>
      </c>
      <c r="T909" s="1">
        <v>2223</v>
      </c>
      <c r="U909" s="1">
        <v>1264</v>
      </c>
      <c r="V909" s="1">
        <v>0</v>
      </c>
      <c r="W909" s="1">
        <v>0</v>
      </c>
      <c r="X909" s="1">
        <v>0</v>
      </c>
      <c r="Y909" s="1">
        <v>0</v>
      </c>
      <c r="Z909" s="1">
        <v>0</v>
      </c>
      <c r="AA909" s="1">
        <v>0</v>
      </c>
      <c r="AB909" s="1">
        <v>1963</v>
      </c>
      <c r="AC909" s="1">
        <v>2197</v>
      </c>
      <c r="AD909" s="24">
        <f t="shared" si="43"/>
        <v>11403</v>
      </c>
      <c r="AE909" s="23">
        <v>0</v>
      </c>
      <c r="AF909" s="1">
        <v>0</v>
      </c>
      <c r="AG909" s="1">
        <v>0</v>
      </c>
      <c r="AH909" s="1">
        <v>0</v>
      </c>
      <c r="AI909" s="1">
        <v>0</v>
      </c>
      <c r="AJ909" s="1">
        <v>0</v>
      </c>
      <c r="AK909" s="1">
        <v>0</v>
      </c>
      <c r="AL909" s="1">
        <v>0</v>
      </c>
      <c r="AM909" s="1">
        <v>0</v>
      </c>
      <c r="AN909" s="1">
        <v>0</v>
      </c>
      <c r="AO909" s="1">
        <v>0</v>
      </c>
      <c r="AP909" s="1">
        <v>0</v>
      </c>
      <c r="AQ909" s="24">
        <f t="shared" si="44"/>
        <v>0</v>
      </c>
    </row>
    <row r="910" spans="1:43" ht="17.25" customHeight="1" x14ac:dyDescent="0.45">
      <c r="A910" s="12" t="s">
        <v>165</v>
      </c>
      <c r="B910" s="12" t="s">
        <v>65</v>
      </c>
      <c r="C910" s="12" t="s">
        <v>12</v>
      </c>
      <c r="D910" s="12" t="s">
        <v>66</v>
      </c>
      <c r="E910" s="25">
        <v>136</v>
      </c>
      <c r="F910" s="10">
        <v>115</v>
      </c>
      <c r="G910" s="10">
        <v>124</v>
      </c>
      <c r="H910" s="10">
        <v>80</v>
      </c>
      <c r="I910" s="10">
        <v>75</v>
      </c>
      <c r="J910" s="10">
        <v>74</v>
      </c>
      <c r="K910" s="10">
        <v>74</v>
      </c>
      <c r="L910" s="10">
        <v>77</v>
      </c>
      <c r="M910" s="10">
        <v>72</v>
      </c>
      <c r="N910" s="10">
        <v>74</v>
      </c>
      <c r="O910" s="10">
        <v>60</v>
      </c>
      <c r="P910" s="10">
        <v>75</v>
      </c>
      <c r="Q910" s="26">
        <f t="shared" si="42"/>
        <v>1036</v>
      </c>
      <c r="R910" s="25">
        <v>17693</v>
      </c>
      <c r="S910" s="10">
        <v>16191</v>
      </c>
      <c r="T910" s="10">
        <v>14634</v>
      </c>
      <c r="U910" s="10">
        <v>9905</v>
      </c>
      <c r="V910" s="10">
        <v>9794</v>
      </c>
      <c r="W910" s="10">
        <v>10342</v>
      </c>
      <c r="X910" s="10">
        <v>11316</v>
      </c>
      <c r="Y910" s="10">
        <v>11755</v>
      </c>
      <c r="Z910" s="10">
        <v>9423</v>
      </c>
      <c r="AA910" s="10">
        <v>11377</v>
      </c>
      <c r="AB910" s="10">
        <v>8925</v>
      </c>
      <c r="AC910" s="10">
        <v>11451</v>
      </c>
      <c r="AD910" s="26">
        <f t="shared" si="43"/>
        <v>142806</v>
      </c>
      <c r="AE910" s="25">
        <v>2218</v>
      </c>
      <c r="AF910" s="10">
        <v>2966</v>
      </c>
      <c r="AG910" s="10">
        <v>2598</v>
      </c>
      <c r="AH910" s="10">
        <v>4448</v>
      </c>
      <c r="AI910" s="10">
        <v>4613</v>
      </c>
      <c r="AJ910" s="10">
        <v>3696</v>
      </c>
      <c r="AK910" s="10">
        <v>4810</v>
      </c>
      <c r="AL910" s="10">
        <v>11393</v>
      </c>
      <c r="AM910" s="10">
        <v>5603</v>
      </c>
      <c r="AN910" s="10">
        <v>3548</v>
      </c>
      <c r="AO910" s="10">
        <v>2966</v>
      </c>
      <c r="AP910" s="10">
        <v>3507</v>
      </c>
      <c r="AQ910" s="26">
        <f t="shared" si="44"/>
        <v>52366</v>
      </c>
    </row>
    <row r="911" spans="1:43" ht="17.25" customHeight="1" x14ac:dyDescent="0.45">
      <c r="A911" s="2" t="s">
        <v>165</v>
      </c>
      <c r="B911" s="2" t="s">
        <v>65</v>
      </c>
      <c r="C911" s="2" t="s">
        <v>17</v>
      </c>
      <c r="D911" s="2" t="s">
        <v>66</v>
      </c>
      <c r="E911" s="23">
        <v>79</v>
      </c>
      <c r="F911" s="1">
        <v>76</v>
      </c>
      <c r="G911" s="1">
        <v>81</v>
      </c>
      <c r="H911" s="1">
        <v>72</v>
      </c>
      <c r="I911" s="1">
        <v>45</v>
      </c>
      <c r="J911" s="1">
        <v>26</v>
      </c>
      <c r="K911" s="1">
        <v>25</v>
      </c>
      <c r="L911" s="1">
        <v>32</v>
      </c>
      <c r="M911" s="1">
        <v>14</v>
      </c>
      <c r="N911" s="1">
        <v>40</v>
      </c>
      <c r="O911" s="1">
        <v>98</v>
      </c>
      <c r="P911" s="1">
        <v>123</v>
      </c>
      <c r="Q911" s="24">
        <f t="shared" si="42"/>
        <v>711</v>
      </c>
      <c r="R911" s="23">
        <v>16353</v>
      </c>
      <c r="S911" s="1">
        <v>14599</v>
      </c>
      <c r="T911" s="1">
        <v>14041</v>
      </c>
      <c r="U911" s="1">
        <v>9565</v>
      </c>
      <c r="V911" s="1">
        <v>6118</v>
      </c>
      <c r="W911" s="1">
        <v>3415</v>
      </c>
      <c r="X911" s="1">
        <v>3485</v>
      </c>
      <c r="Y911" s="1">
        <v>4802</v>
      </c>
      <c r="Z911" s="1">
        <v>2081</v>
      </c>
      <c r="AA911" s="1">
        <v>6572</v>
      </c>
      <c r="AB911" s="1">
        <v>15243</v>
      </c>
      <c r="AC911" s="1">
        <v>19892</v>
      </c>
      <c r="AD911" s="24">
        <f t="shared" si="43"/>
        <v>116166</v>
      </c>
      <c r="AE911" s="23">
        <v>0</v>
      </c>
      <c r="AF911" s="1">
        <v>0</v>
      </c>
      <c r="AG911" s="1">
        <v>0</v>
      </c>
      <c r="AH911" s="1">
        <v>0</v>
      </c>
      <c r="AI911" s="1">
        <v>0</v>
      </c>
      <c r="AJ911" s="1">
        <v>0</v>
      </c>
      <c r="AK911" s="1">
        <v>0</v>
      </c>
      <c r="AL911" s="1">
        <v>0</v>
      </c>
      <c r="AM911" s="1">
        <v>0</v>
      </c>
      <c r="AN911" s="1">
        <v>0</v>
      </c>
      <c r="AO911" s="1">
        <v>0</v>
      </c>
      <c r="AP911" s="1">
        <v>0</v>
      </c>
      <c r="AQ911" s="24">
        <f t="shared" si="44"/>
        <v>0</v>
      </c>
    </row>
    <row r="912" spans="1:43" ht="17.25" customHeight="1" x14ac:dyDescent="0.45">
      <c r="A912" s="12" t="s">
        <v>165</v>
      </c>
      <c r="B912" s="12" t="s">
        <v>65</v>
      </c>
      <c r="C912" s="12" t="s">
        <v>48</v>
      </c>
      <c r="D912" s="12" t="s">
        <v>66</v>
      </c>
      <c r="E912" s="25">
        <v>49</v>
      </c>
      <c r="F912" s="10">
        <v>47</v>
      </c>
      <c r="G912" s="10">
        <v>67</v>
      </c>
      <c r="H912" s="10">
        <v>52</v>
      </c>
      <c r="I912" s="10">
        <v>33</v>
      </c>
      <c r="J912" s="10">
        <v>18</v>
      </c>
      <c r="K912" s="10">
        <v>21</v>
      </c>
      <c r="L912" s="10">
        <v>22</v>
      </c>
      <c r="M912" s="10">
        <v>17</v>
      </c>
      <c r="N912" s="10">
        <v>29</v>
      </c>
      <c r="O912" s="10">
        <v>51</v>
      </c>
      <c r="P912" s="10">
        <v>69</v>
      </c>
      <c r="Q912" s="26">
        <f t="shared" si="42"/>
        <v>475</v>
      </c>
      <c r="R912" s="25">
        <v>6535</v>
      </c>
      <c r="S912" s="10">
        <v>5951</v>
      </c>
      <c r="T912" s="10">
        <v>8239</v>
      </c>
      <c r="U912" s="10">
        <v>6129</v>
      </c>
      <c r="V912" s="10">
        <v>4509</v>
      </c>
      <c r="W912" s="10">
        <v>2550</v>
      </c>
      <c r="X912" s="10">
        <v>2931</v>
      </c>
      <c r="Y912" s="10">
        <v>3115</v>
      </c>
      <c r="Z912" s="10">
        <v>2380</v>
      </c>
      <c r="AA912" s="10">
        <v>4803</v>
      </c>
      <c r="AB912" s="10">
        <v>7750</v>
      </c>
      <c r="AC912" s="10">
        <v>10346</v>
      </c>
      <c r="AD912" s="26">
        <f t="shared" si="43"/>
        <v>65238</v>
      </c>
      <c r="AE912" s="25">
        <v>0</v>
      </c>
      <c r="AF912" s="10">
        <v>0</v>
      </c>
      <c r="AG912" s="10">
        <v>0</v>
      </c>
      <c r="AH912" s="10">
        <v>0</v>
      </c>
      <c r="AI912" s="10">
        <v>0</v>
      </c>
      <c r="AJ912" s="10">
        <v>0</v>
      </c>
      <c r="AK912" s="10">
        <v>0</v>
      </c>
      <c r="AL912" s="10">
        <v>0</v>
      </c>
      <c r="AM912" s="10">
        <v>0</v>
      </c>
      <c r="AN912" s="10">
        <v>0</v>
      </c>
      <c r="AO912" s="10">
        <v>0</v>
      </c>
      <c r="AP912" s="10">
        <v>0</v>
      </c>
      <c r="AQ912" s="26">
        <f t="shared" si="44"/>
        <v>0</v>
      </c>
    </row>
    <row r="913" spans="1:43" ht="17.25" customHeight="1" x14ac:dyDescent="0.45">
      <c r="A913" s="2" t="s">
        <v>35</v>
      </c>
      <c r="B913" s="2" t="s">
        <v>66</v>
      </c>
      <c r="C913" s="2" t="s">
        <v>67</v>
      </c>
      <c r="D913" s="2" t="s">
        <v>68</v>
      </c>
      <c r="E913" s="23">
        <v>0</v>
      </c>
      <c r="F913" s="1">
        <v>0</v>
      </c>
      <c r="G913" s="1">
        <v>0</v>
      </c>
      <c r="H913" s="1">
        <v>0</v>
      </c>
      <c r="I913" s="1">
        <v>0</v>
      </c>
      <c r="J913" s="1">
        <v>19</v>
      </c>
      <c r="K913" s="1">
        <v>30</v>
      </c>
      <c r="L913" s="1">
        <v>31</v>
      </c>
      <c r="M913" s="1">
        <v>30</v>
      </c>
      <c r="N913" s="1">
        <v>31</v>
      </c>
      <c r="O913" s="1">
        <v>29</v>
      </c>
      <c r="P913" s="1">
        <v>31</v>
      </c>
      <c r="Q913" s="24">
        <f t="shared" si="42"/>
        <v>201</v>
      </c>
      <c r="R913" s="23">
        <v>0</v>
      </c>
      <c r="S913" s="1">
        <v>0</v>
      </c>
      <c r="T913" s="1">
        <v>0</v>
      </c>
      <c r="U913" s="1">
        <v>0</v>
      </c>
      <c r="V913" s="1">
        <v>0</v>
      </c>
      <c r="W913" s="1">
        <v>957</v>
      </c>
      <c r="X913" s="1">
        <v>2146</v>
      </c>
      <c r="Y913" s="1">
        <v>2006</v>
      </c>
      <c r="Z913" s="1">
        <v>1412</v>
      </c>
      <c r="AA913" s="1">
        <v>1291</v>
      </c>
      <c r="AB913" s="1">
        <v>1337</v>
      </c>
      <c r="AC913" s="1">
        <v>1567</v>
      </c>
      <c r="AD913" s="24">
        <f t="shared" si="43"/>
        <v>10716</v>
      </c>
      <c r="AE913" s="23">
        <v>0</v>
      </c>
      <c r="AF913" s="1">
        <v>0</v>
      </c>
      <c r="AG913" s="1">
        <v>0</v>
      </c>
      <c r="AH913" s="1">
        <v>0</v>
      </c>
      <c r="AI913" s="1">
        <v>0</v>
      </c>
      <c r="AJ913" s="1">
        <v>0</v>
      </c>
      <c r="AK913" s="1">
        <v>0</v>
      </c>
      <c r="AL913" s="1">
        <v>0</v>
      </c>
      <c r="AM913" s="1">
        <v>0</v>
      </c>
      <c r="AN913" s="1">
        <v>0</v>
      </c>
      <c r="AO913" s="1">
        <v>0</v>
      </c>
      <c r="AP913" s="1">
        <v>0</v>
      </c>
      <c r="AQ913" s="24">
        <f t="shared" si="44"/>
        <v>0</v>
      </c>
    </row>
    <row r="914" spans="1:43" ht="17.25" customHeight="1" x14ac:dyDescent="0.45">
      <c r="A914" s="12" t="s">
        <v>35</v>
      </c>
      <c r="B914" s="12" t="s">
        <v>66</v>
      </c>
      <c r="C914" s="12" t="s">
        <v>69</v>
      </c>
      <c r="D914" s="12" t="s">
        <v>68</v>
      </c>
      <c r="E914" s="25">
        <v>31</v>
      </c>
      <c r="F914" s="10">
        <v>29</v>
      </c>
      <c r="G914" s="10">
        <v>31</v>
      </c>
      <c r="H914" s="10">
        <v>30</v>
      </c>
      <c r="I914" s="10">
        <v>30</v>
      </c>
      <c r="J914" s="10">
        <v>30</v>
      </c>
      <c r="K914" s="10">
        <v>30</v>
      </c>
      <c r="L914" s="10">
        <v>31</v>
      </c>
      <c r="M914" s="10">
        <v>30</v>
      </c>
      <c r="N914" s="10">
        <v>31</v>
      </c>
      <c r="O914" s="10">
        <v>30</v>
      </c>
      <c r="P914" s="10">
        <v>31</v>
      </c>
      <c r="Q914" s="26">
        <f t="shared" si="42"/>
        <v>364</v>
      </c>
      <c r="R914" s="25">
        <v>3573</v>
      </c>
      <c r="S914" s="10">
        <v>3058</v>
      </c>
      <c r="T914" s="10">
        <v>3465</v>
      </c>
      <c r="U914" s="10">
        <v>3126</v>
      </c>
      <c r="V914" s="10">
        <v>3248</v>
      </c>
      <c r="W914" s="10">
        <v>3052</v>
      </c>
      <c r="X914" s="10">
        <v>3558</v>
      </c>
      <c r="Y914" s="10">
        <v>3414</v>
      </c>
      <c r="Z914" s="10">
        <v>2617</v>
      </c>
      <c r="AA914" s="10">
        <v>2655</v>
      </c>
      <c r="AB914" s="10">
        <v>2627</v>
      </c>
      <c r="AC914" s="10">
        <v>2681</v>
      </c>
      <c r="AD914" s="26">
        <f t="shared" si="43"/>
        <v>37074</v>
      </c>
      <c r="AE914" s="25">
        <v>0</v>
      </c>
      <c r="AF914" s="10">
        <v>0</v>
      </c>
      <c r="AG914" s="10">
        <v>0</v>
      </c>
      <c r="AH914" s="10">
        <v>0</v>
      </c>
      <c r="AI914" s="10">
        <v>0</v>
      </c>
      <c r="AJ914" s="10">
        <v>0</v>
      </c>
      <c r="AK914" s="10">
        <v>0</v>
      </c>
      <c r="AL914" s="10">
        <v>0</v>
      </c>
      <c r="AM914" s="10">
        <v>0</v>
      </c>
      <c r="AN914" s="10">
        <v>0</v>
      </c>
      <c r="AO914" s="10">
        <v>0</v>
      </c>
      <c r="AP914" s="10">
        <v>0</v>
      </c>
      <c r="AQ914" s="26">
        <f t="shared" si="44"/>
        <v>0</v>
      </c>
    </row>
    <row r="915" spans="1:43" ht="17.25" customHeight="1" x14ac:dyDescent="0.45">
      <c r="A915" s="2" t="s">
        <v>166</v>
      </c>
      <c r="B915" s="2" t="s">
        <v>65</v>
      </c>
      <c r="C915" s="2" t="s">
        <v>10</v>
      </c>
      <c r="D915" s="2" t="s">
        <v>66</v>
      </c>
      <c r="E915" s="23">
        <v>9</v>
      </c>
      <c r="F915" s="1">
        <v>8</v>
      </c>
      <c r="G915" s="1">
        <v>9</v>
      </c>
      <c r="H915" s="1">
        <v>7</v>
      </c>
      <c r="I915" s="1">
        <v>3</v>
      </c>
      <c r="J915" s="1">
        <v>0</v>
      </c>
      <c r="K915" s="1">
        <v>0</v>
      </c>
      <c r="L915" s="1">
        <v>0</v>
      </c>
      <c r="M915" s="1">
        <v>0</v>
      </c>
      <c r="N915" s="1">
        <v>2</v>
      </c>
      <c r="O915" s="1">
        <v>9</v>
      </c>
      <c r="P915" s="1">
        <v>13</v>
      </c>
      <c r="Q915" s="24">
        <f t="shared" si="42"/>
        <v>60</v>
      </c>
      <c r="R915" s="23">
        <v>1516</v>
      </c>
      <c r="S915" s="1">
        <v>1261</v>
      </c>
      <c r="T915" s="1">
        <v>1345</v>
      </c>
      <c r="U915" s="1">
        <v>966</v>
      </c>
      <c r="V915" s="1">
        <v>358</v>
      </c>
      <c r="W915" s="1">
        <v>0</v>
      </c>
      <c r="X915" s="1">
        <v>0</v>
      </c>
      <c r="Y915" s="1">
        <v>0</v>
      </c>
      <c r="Z915" s="1">
        <v>0</v>
      </c>
      <c r="AA915" s="1">
        <v>319</v>
      </c>
      <c r="AB915" s="1">
        <v>1501</v>
      </c>
      <c r="AC915" s="1">
        <v>1898</v>
      </c>
      <c r="AD915" s="24">
        <f t="shared" si="43"/>
        <v>9164</v>
      </c>
      <c r="AE915" s="23">
        <v>0</v>
      </c>
      <c r="AF915" s="1">
        <v>0</v>
      </c>
      <c r="AG915" s="1">
        <v>0</v>
      </c>
      <c r="AH915" s="1">
        <v>0</v>
      </c>
      <c r="AI915" s="1">
        <v>0</v>
      </c>
      <c r="AJ915" s="1">
        <v>0</v>
      </c>
      <c r="AK915" s="1">
        <v>0</v>
      </c>
      <c r="AL915" s="1">
        <v>0</v>
      </c>
      <c r="AM915" s="1">
        <v>0</v>
      </c>
      <c r="AN915" s="1">
        <v>0</v>
      </c>
      <c r="AO915" s="1">
        <v>0</v>
      </c>
      <c r="AP915" s="1">
        <v>0</v>
      </c>
      <c r="AQ915" s="24">
        <f t="shared" si="44"/>
        <v>0</v>
      </c>
    </row>
    <row r="916" spans="1:43" ht="17.25" customHeight="1" x14ac:dyDescent="0.45">
      <c r="A916" s="12" t="s">
        <v>166</v>
      </c>
      <c r="B916" s="12" t="s">
        <v>65</v>
      </c>
      <c r="C916" s="12" t="s">
        <v>17</v>
      </c>
      <c r="D916" s="12" t="s">
        <v>66</v>
      </c>
      <c r="E916" s="25">
        <v>9</v>
      </c>
      <c r="F916" s="10">
        <v>8</v>
      </c>
      <c r="G916" s="10">
        <v>9</v>
      </c>
      <c r="H916" s="10">
        <v>8</v>
      </c>
      <c r="I916" s="10">
        <v>3</v>
      </c>
      <c r="J916" s="10">
        <v>0</v>
      </c>
      <c r="K916" s="10">
        <v>0</v>
      </c>
      <c r="L916" s="10">
        <v>0</v>
      </c>
      <c r="M916" s="10">
        <v>0</v>
      </c>
      <c r="N916" s="10">
        <v>4</v>
      </c>
      <c r="O916" s="10">
        <v>13</v>
      </c>
      <c r="P916" s="10">
        <v>13</v>
      </c>
      <c r="Q916" s="26">
        <f t="shared" si="42"/>
        <v>67</v>
      </c>
      <c r="R916" s="25">
        <v>1527</v>
      </c>
      <c r="S916" s="10">
        <v>1309</v>
      </c>
      <c r="T916" s="10">
        <v>1348</v>
      </c>
      <c r="U916" s="10">
        <v>959</v>
      </c>
      <c r="V916" s="10">
        <v>351</v>
      </c>
      <c r="W916" s="10">
        <v>0</v>
      </c>
      <c r="X916" s="10">
        <v>0</v>
      </c>
      <c r="Y916" s="10">
        <v>0</v>
      </c>
      <c r="Z916" s="10">
        <v>0</v>
      </c>
      <c r="AA916" s="10">
        <v>599</v>
      </c>
      <c r="AB916" s="10">
        <v>1937</v>
      </c>
      <c r="AC916" s="10">
        <v>1936</v>
      </c>
      <c r="AD916" s="26">
        <f t="shared" si="43"/>
        <v>9966</v>
      </c>
      <c r="AE916" s="25">
        <v>0</v>
      </c>
      <c r="AF916" s="10">
        <v>0</v>
      </c>
      <c r="AG916" s="10">
        <v>0</v>
      </c>
      <c r="AH916" s="10">
        <v>0</v>
      </c>
      <c r="AI916" s="10">
        <v>0</v>
      </c>
      <c r="AJ916" s="10">
        <v>0</v>
      </c>
      <c r="AK916" s="10">
        <v>0</v>
      </c>
      <c r="AL916" s="10">
        <v>0</v>
      </c>
      <c r="AM916" s="10">
        <v>0</v>
      </c>
      <c r="AN916" s="10">
        <v>0</v>
      </c>
      <c r="AO916" s="10">
        <v>0</v>
      </c>
      <c r="AP916" s="10">
        <v>0</v>
      </c>
      <c r="AQ916" s="26">
        <f t="shared" si="44"/>
        <v>0</v>
      </c>
    </row>
    <row r="917" spans="1:43" ht="17.25" customHeight="1" x14ac:dyDescent="0.45">
      <c r="A917" s="2" t="s">
        <v>166</v>
      </c>
      <c r="B917" s="2" t="s">
        <v>65</v>
      </c>
      <c r="C917" s="2" t="s">
        <v>48</v>
      </c>
      <c r="D917" s="2" t="s">
        <v>66</v>
      </c>
      <c r="E917" s="23">
        <v>4</v>
      </c>
      <c r="F917" s="1">
        <v>5</v>
      </c>
      <c r="G917" s="1">
        <v>4</v>
      </c>
      <c r="H917" s="1">
        <v>3</v>
      </c>
      <c r="I917" s="1">
        <v>0</v>
      </c>
      <c r="J917" s="1">
        <v>0</v>
      </c>
      <c r="K917" s="1">
        <v>0</v>
      </c>
      <c r="L917" s="1">
        <v>0</v>
      </c>
      <c r="M917" s="1">
        <v>0</v>
      </c>
      <c r="N917" s="1">
        <v>1</v>
      </c>
      <c r="O917" s="1">
        <v>4</v>
      </c>
      <c r="P917" s="1">
        <v>5</v>
      </c>
      <c r="Q917" s="24">
        <f t="shared" si="42"/>
        <v>26</v>
      </c>
      <c r="R917" s="23">
        <v>525</v>
      </c>
      <c r="S917" s="1">
        <v>707</v>
      </c>
      <c r="T917" s="1">
        <v>581</v>
      </c>
      <c r="U917" s="1">
        <v>419</v>
      </c>
      <c r="V917" s="1">
        <v>0</v>
      </c>
      <c r="W917" s="1">
        <v>0</v>
      </c>
      <c r="X917" s="1">
        <v>0</v>
      </c>
      <c r="Y917" s="1">
        <v>0</v>
      </c>
      <c r="Z917" s="1">
        <v>0</v>
      </c>
      <c r="AA917" s="1">
        <v>124</v>
      </c>
      <c r="AB917" s="1">
        <v>501</v>
      </c>
      <c r="AC917" s="1">
        <v>692</v>
      </c>
      <c r="AD917" s="24">
        <f t="shared" si="43"/>
        <v>3549</v>
      </c>
      <c r="AE917" s="23">
        <v>0</v>
      </c>
      <c r="AF917" s="1">
        <v>0</v>
      </c>
      <c r="AG917" s="1">
        <v>0</v>
      </c>
      <c r="AH917" s="1">
        <v>0</v>
      </c>
      <c r="AI917" s="1">
        <v>0</v>
      </c>
      <c r="AJ917" s="1">
        <v>0</v>
      </c>
      <c r="AK917" s="1">
        <v>0</v>
      </c>
      <c r="AL917" s="1">
        <v>0</v>
      </c>
      <c r="AM917" s="1">
        <v>0</v>
      </c>
      <c r="AN917" s="1">
        <v>0</v>
      </c>
      <c r="AO917" s="1">
        <v>0</v>
      </c>
      <c r="AP917" s="1">
        <v>0</v>
      </c>
      <c r="AQ917" s="24">
        <f t="shared" si="44"/>
        <v>0</v>
      </c>
    </row>
    <row r="918" spans="1:43" ht="17.25" customHeight="1" x14ac:dyDescent="0.45">
      <c r="A918" s="12" t="s">
        <v>167</v>
      </c>
      <c r="B918" s="12" t="s">
        <v>68</v>
      </c>
      <c r="C918" s="12" t="s">
        <v>10</v>
      </c>
      <c r="D918" s="12" t="s">
        <v>66</v>
      </c>
      <c r="E918" s="25">
        <v>67</v>
      </c>
      <c r="F918" s="10">
        <v>58</v>
      </c>
      <c r="G918" s="10">
        <v>62</v>
      </c>
      <c r="H918" s="10">
        <v>60</v>
      </c>
      <c r="I918" s="10">
        <v>62</v>
      </c>
      <c r="J918" s="10">
        <v>60</v>
      </c>
      <c r="K918" s="10">
        <v>62</v>
      </c>
      <c r="L918" s="10">
        <v>49</v>
      </c>
      <c r="M918" s="10">
        <v>35</v>
      </c>
      <c r="N918" s="10">
        <v>62</v>
      </c>
      <c r="O918" s="10">
        <v>60</v>
      </c>
      <c r="P918" s="10">
        <v>88</v>
      </c>
      <c r="Q918" s="26">
        <f t="shared" si="42"/>
        <v>725</v>
      </c>
      <c r="R918" s="25">
        <v>8451</v>
      </c>
      <c r="S918" s="10">
        <v>8514</v>
      </c>
      <c r="T918" s="10">
        <v>9878</v>
      </c>
      <c r="U918" s="10">
        <v>8084</v>
      </c>
      <c r="V918" s="10">
        <v>9236</v>
      </c>
      <c r="W918" s="10">
        <v>9883</v>
      </c>
      <c r="X918" s="10">
        <v>10273</v>
      </c>
      <c r="Y918" s="10">
        <v>8217</v>
      </c>
      <c r="Z918" s="10">
        <v>5243</v>
      </c>
      <c r="AA918" s="10">
        <v>9540</v>
      </c>
      <c r="AB918" s="10">
        <v>8811</v>
      </c>
      <c r="AC918" s="10">
        <v>14370</v>
      </c>
      <c r="AD918" s="26">
        <f t="shared" si="43"/>
        <v>110500</v>
      </c>
      <c r="AE918" s="25">
        <v>224</v>
      </c>
      <c r="AF918" s="10">
        <v>0</v>
      </c>
      <c r="AG918" s="10">
        <v>0</v>
      </c>
      <c r="AH918" s="10">
        <v>743</v>
      </c>
      <c r="AI918" s="10">
        <v>0</v>
      </c>
      <c r="AJ918" s="10">
        <v>0</v>
      </c>
      <c r="AK918" s="10">
        <v>0</v>
      </c>
      <c r="AL918" s="10">
        <v>0</v>
      </c>
      <c r="AM918" s="10">
        <v>33</v>
      </c>
      <c r="AN918" s="10">
        <v>270</v>
      </c>
      <c r="AO918" s="10">
        <v>0</v>
      </c>
      <c r="AP918" s="10">
        <v>0</v>
      </c>
      <c r="AQ918" s="26">
        <f t="shared" si="44"/>
        <v>1270</v>
      </c>
    </row>
    <row r="919" spans="1:43" ht="17.25" customHeight="1" x14ac:dyDescent="0.45">
      <c r="A919" s="2" t="s">
        <v>167</v>
      </c>
      <c r="B919" s="2" t="s">
        <v>68</v>
      </c>
      <c r="C919" s="2" t="s">
        <v>12</v>
      </c>
      <c r="D919" s="2" t="s">
        <v>66</v>
      </c>
      <c r="E919" s="23">
        <v>31</v>
      </c>
      <c r="F919" s="1">
        <v>29</v>
      </c>
      <c r="G919" s="1">
        <v>31</v>
      </c>
      <c r="H919" s="1">
        <v>30</v>
      </c>
      <c r="I919" s="1">
        <v>31</v>
      </c>
      <c r="J919" s="1">
        <v>30</v>
      </c>
      <c r="K919" s="1">
        <v>61</v>
      </c>
      <c r="L919" s="1">
        <v>62</v>
      </c>
      <c r="M919" s="1">
        <v>60</v>
      </c>
      <c r="N919" s="1">
        <v>62</v>
      </c>
      <c r="O919" s="1">
        <v>60</v>
      </c>
      <c r="P919" s="1">
        <v>62</v>
      </c>
      <c r="Q919" s="24">
        <f t="shared" si="42"/>
        <v>549</v>
      </c>
      <c r="R919" s="23">
        <v>3341</v>
      </c>
      <c r="S919" s="1">
        <v>3180</v>
      </c>
      <c r="T919" s="1">
        <v>3707</v>
      </c>
      <c r="U919" s="1">
        <v>3678</v>
      </c>
      <c r="V919" s="1">
        <v>3902</v>
      </c>
      <c r="W919" s="1">
        <v>3721</v>
      </c>
      <c r="X919" s="1">
        <v>8424</v>
      </c>
      <c r="Y919" s="1">
        <v>7315</v>
      </c>
      <c r="Z919" s="1">
        <v>5678</v>
      </c>
      <c r="AA919" s="1">
        <v>8249</v>
      </c>
      <c r="AB919" s="1">
        <v>7546</v>
      </c>
      <c r="AC919" s="1">
        <v>8866</v>
      </c>
      <c r="AD919" s="24">
        <f t="shared" si="43"/>
        <v>67607</v>
      </c>
      <c r="AE919" s="23">
        <v>5758</v>
      </c>
      <c r="AF919" s="1">
        <v>4994</v>
      </c>
      <c r="AG919" s="1">
        <v>6625</v>
      </c>
      <c r="AH919" s="1">
        <v>7320</v>
      </c>
      <c r="AI919" s="1">
        <v>7867</v>
      </c>
      <c r="AJ919" s="1">
        <v>9984</v>
      </c>
      <c r="AK919" s="1">
        <v>7489</v>
      </c>
      <c r="AL919" s="1">
        <v>10567</v>
      </c>
      <c r="AM919" s="1">
        <v>10470</v>
      </c>
      <c r="AN919" s="1">
        <v>6990</v>
      </c>
      <c r="AO919" s="1">
        <v>12180</v>
      </c>
      <c r="AP919" s="1">
        <v>4566</v>
      </c>
      <c r="AQ919" s="24">
        <f t="shared" si="44"/>
        <v>94810</v>
      </c>
    </row>
    <row r="920" spans="1:43" ht="17.25" customHeight="1" x14ac:dyDescent="0.45">
      <c r="A920" s="12" t="s">
        <v>168</v>
      </c>
      <c r="B920" s="12" t="s">
        <v>169</v>
      </c>
      <c r="C920" s="12" t="s">
        <v>10</v>
      </c>
      <c r="D920" s="12" t="s">
        <v>66</v>
      </c>
      <c r="E920" s="25">
        <v>8</v>
      </c>
      <c r="F920" s="10">
        <v>9</v>
      </c>
      <c r="G920" s="10">
        <v>8</v>
      </c>
      <c r="H920" s="10">
        <v>2</v>
      </c>
      <c r="I920" s="10">
        <v>0</v>
      </c>
      <c r="J920" s="10">
        <v>0</v>
      </c>
      <c r="K920" s="10">
        <v>0</v>
      </c>
      <c r="L920" s="10">
        <v>0</v>
      </c>
      <c r="M920" s="10">
        <v>0</v>
      </c>
      <c r="N920" s="10">
        <v>0</v>
      </c>
      <c r="O920" s="10">
        <v>0</v>
      </c>
      <c r="P920" s="10">
        <v>0</v>
      </c>
      <c r="Q920" s="26">
        <f t="shared" si="42"/>
        <v>27</v>
      </c>
      <c r="R920" s="25">
        <v>2446</v>
      </c>
      <c r="S920" s="10">
        <v>2724</v>
      </c>
      <c r="T920" s="10">
        <v>2091</v>
      </c>
      <c r="U920" s="10">
        <v>325</v>
      </c>
      <c r="V920" s="10">
        <v>0</v>
      </c>
      <c r="W920" s="10">
        <v>0</v>
      </c>
      <c r="X920" s="10">
        <v>0</v>
      </c>
      <c r="Y920" s="10">
        <v>0</v>
      </c>
      <c r="Z920" s="10">
        <v>0</v>
      </c>
      <c r="AA920" s="10">
        <v>0</v>
      </c>
      <c r="AB920" s="10">
        <v>0</v>
      </c>
      <c r="AC920" s="10">
        <v>0</v>
      </c>
      <c r="AD920" s="26">
        <f t="shared" si="43"/>
        <v>7586</v>
      </c>
      <c r="AE920" s="25">
        <v>54698</v>
      </c>
      <c r="AF920" s="10">
        <v>56107</v>
      </c>
      <c r="AG920" s="10">
        <v>71977</v>
      </c>
      <c r="AH920" s="10">
        <v>17581</v>
      </c>
      <c r="AI920" s="10">
        <v>0</v>
      </c>
      <c r="AJ920" s="10">
        <v>0</v>
      </c>
      <c r="AK920" s="10">
        <v>0</v>
      </c>
      <c r="AL920" s="10">
        <v>0</v>
      </c>
      <c r="AM920" s="10">
        <v>0</v>
      </c>
      <c r="AN920" s="10">
        <v>0</v>
      </c>
      <c r="AO920" s="10">
        <v>0</v>
      </c>
      <c r="AP920" s="10">
        <v>0</v>
      </c>
      <c r="AQ920" s="26">
        <f t="shared" si="44"/>
        <v>200363</v>
      </c>
    </row>
    <row r="921" spans="1:43" ht="17.25" customHeight="1" x14ac:dyDescent="0.45">
      <c r="A921" s="2" t="s">
        <v>170</v>
      </c>
      <c r="B921" s="2" t="s">
        <v>65</v>
      </c>
      <c r="C921" s="2" t="s">
        <v>10</v>
      </c>
      <c r="D921" s="2" t="s">
        <v>66</v>
      </c>
      <c r="E921" s="23">
        <v>7</v>
      </c>
      <c r="F921" s="1">
        <v>4</v>
      </c>
      <c r="G921" s="1">
        <v>4</v>
      </c>
      <c r="H921" s="1">
        <v>1</v>
      </c>
      <c r="I921" s="1">
        <v>0</v>
      </c>
      <c r="J921" s="1">
        <v>0</v>
      </c>
      <c r="K921" s="1">
        <v>0</v>
      </c>
      <c r="L921" s="1">
        <v>0</v>
      </c>
      <c r="M921" s="1">
        <v>0</v>
      </c>
      <c r="N921" s="1">
        <v>0</v>
      </c>
      <c r="O921" s="1">
        <v>0</v>
      </c>
      <c r="P921" s="1">
        <v>4</v>
      </c>
      <c r="Q921" s="24">
        <f t="shared" si="42"/>
        <v>20</v>
      </c>
      <c r="R921" s="23">
        <v>1040</v>
      </c>
      <c r="S921" s="1">
        <v>676</v>
      </c>
      <c r="T921" s="1">
        <v>676</v>
      </c>
      <c r="U921" s="1">
        <v>150</v>
      </c>
      <c r="V921" s="1">
        <v>0</v>
      </c>
      <c r="W921" s="1">
        <v>0</v>
      </c>
      <c r="X921" s="1">
        <v>0</v>
      </c>
      <c r="Y921" s="1">
        <v>0</v>
      </c>
      <c r="Z921" s="1">
        <v>0</v>
      </c>
      <c r="AA921" s="1">
        <v>0</v>
      </c>
      <c r="AB921" s="1">
        <v>0</v>
      </c>
      <c r="AC921" s="1">
        <v>735</v>
      </c>
      <c r="AD921" s="24">
        <f t="shared" si="43"/>
        <v>3277</v>
      </c>
      <c r="AE921" s="23">
        <v>0</v>
      </c>
      <c r="AF921" s="1">
        <v>0</v>
      </c>
      <c r="AG921" s="1">
        <v>0</v>
      </c>
      <c r="AH921" s="1">
        <v>0</v>
      </c>
      <c r="AI921" s="1">
        <v>0</v>
      </c>
      <c r="AJ921" s="1">
        <v>0</v>
      </c>
      <c r="AK921" s="1">
        <v>0</v>
      </c>
      <c r="AL921" s="1">
        <v>0</v>
      </c>
      <c r="AM921" s="1">
        <v>0</v>
      </c>
      <c r="AN921" s="1">
        <v>0</v>
      </c>
      <c r="AO921" s="1">
        <v>0</v>
      </c>
      <c r="AP921" s="1">
        <v>0</v>
      </c>
      <c r="AQ921" s="24">
        <f t="shared" si="44"/>
        <v>0</v>
      </c>
    </row>
    <row r="922" spans="1:43" ht="17.25" customHeight="1" x14ac:dyDescent="0.45">
      <c r="A922" s="12" t="s">
        <v>171</v>
      </c>
      <c r="B922" s="12" t="s">
        <v>65</v>
      </c>
      <c r="C922" s="12" t="s">
        <v>10</v>
      </c>
      <c r="D922" s="12" t="s">
        <v>66</v>
      </c>
      <c r="E922" s="25">
        <v>41</v>
      </c>
      <c r="F922" s="10">
        <v>44</v>
      </c>
      <c r="G922" s="10">
        <v>47</v>
      </c>
      <c r="H922" s="10">
        <v>31</v>
      </c>
      <c r="I922" s="10">
        <v>5</v>
      </c>
      <c r="J922" s="10">
        <v>4</v>
      </c>
      <c r="K922" s="10">
        <v>0</v>
      </c>
      <c r="L922" s="10">
        <v>0</v>
      </c>
      <c r="M922" s="10">
        <v>0</v>
      </c>
      <c r="N922" s="10">
        <v>5</v>
      </c>
      <c r="O922" s="10">
        <v>32</v>
      </c>
      <c r="P922" s="10">
        <v>51</v>
      </c>
      <c r="Q922" s="26">
        <f t="shared" si="42"/>
        <v>260</v>
      </c>
      <c r="R922" s="25">
        <v>7086</v>
      </c>
      <c r="S922" s="10">
        <v>7324</v>
      </c>
      <c r="T922" s="10">
        <v>6987</v>
      </c>
      <c r="U922" s="10">
        <v>3307</v>
      </c>
      <c r="V922" s="10">
        <v>548</v>
      </c>
      <c r="W922" s="10">
        <v>453</v>
      </c>
      <c r="X922" s="10">
        <v>0</v>
      </c>
      <c r="Y922" s="10">
        <v>0</v>
      </c>
      <c r="Z922" s="10">
        <v>0</v>
      </c>
      <c r="AA922" s="10">
        <v>667</v>
      </c>
      <c r="AB922" s="10">
        <v>4599</v>
      </c>
      <c r="AC922" s="10">
        <v>8054</v>
      </c>
      <c r="AD922" s="26">
        <f t="shared" si="43"/>
        <v>39025</v>
      </c>
      <c r="AE922" s="25">
        <v>0</v>
      </c>
      <c r="AF922" s="10">
        <v>0</v>
      </c>
      <c r="AG922" s="10">
        <v>0</v>
      </c>
      <c r="AH922" s="10">
        <v>0</v>
      </c>
      <c r="AI922" s="10">
        <v>0</v>
      </c>
      <c r="AJ922" s="10">
        <v>0</v>
      </c>
      <c r="AK922" s="10">
        <v>0</v>
      </c>
      <c r="AL922" s="10">
        <v>0</v>
      </c>
      <c r="AM922" s="10">
        <v>0</v>
      </c>
      <c r="AN922" s="10">
        <v>0</v>
      </c>
      <c r="AO922" s="10">
        <v>0</v>
      </c>
      <c r="AP922" s="10">
        <v>0</v>
      </c>
      <c r="AQ922" s="26">
        <f t="shared" si="44"/>
        <v>0</v>
      </c>
    </row>
    <row r="923" spans="1:43" ht="17.25" customHeight="1" x14ac:dyDescent="0.45">
      <c r="A923" s="2" t="s">
        <v>171</v>
      </c>
      <c r="B923" s="2" t="s">
        <v>65</v>
      </c>
      <c r="C923" s="2" t="s">
        <v>51</v>
      </c>
      <c r="D923" s="2" t="s">
        <v>66</v>
      </c>
      <c r="E923" s="23">
        <v>4</v>
      </c>
      <c r="F923" s="1">
        <v>4</v>
      </c>
      <c r="G923" s="1">
        <v>5</v>
      </c>
      <c r="H923" s="1">
        <v>2</v>
      </c>
      <c r="I923" s="1">
        <v>0</v>
      </c>
      <c r="J923" s="1">
        <v>0</v>
      </c>
      <c r="K923" s="1">
        <v>0</v>
      </c>
      <c r="L923" s="1">
        <v>0</v>
      </c>
      <c r="M923" s="1">
        <v>0</v>
      </c>
      <c r="N923" s="1">
        <v>0</v>
      </c>
      <c r="O923" s="1">
        <v>2</v>
      </c>
      <c r="P923" s="1">
        <v>5</v>
      </c>
      <c r="Q923" s="24">
        <f t="shared" si="42"/>
        <v>22</v>
      </c>
      <c r="R923" s="23">
        <v>685</v>
      </c>
      <c r="S923" s="1">
        <v>622</v>
      </c>
      <c r="T923" s="1">
        <v>613</v>
      </c>
      <c r="U923" s="1">
        <v>96</v>
      </c>
      <c r="V923" s="1">
        <v>0</v>
      </c>
      <c r="W923" s="1">
        <v>0</v>
      </c>
      <c r="X923" s="1">
        <v>0</v>
      </c>
      <c r="Y923" s="1">
        <v>0</v>
      </c>
      <c r="Z923" s="1">
        <v>0</v>
      </c>
      <c r="AA923" s="1">
        <v>0</v>
      </c>
      <c r="AB923" s="1">
        <v>228</v>
      </c>
      <c r="AC923" s="1">
        <v>537</v>
      </c>
      <c r="AD923" s="24">
        <f t="shared" si="43"/>
        <v>2781</v>
      </c>
      <c r="AE923" s="23">
        <v>0</v>
      </c>
      <c r="AF923" s="1">
        <v>0</v>
      </c>
      <c r="AG923" s="1">
        <v>0</v>
      </c>
      <c r="AH923" s="1">
        <v>0</v>
      </c>
      <c r="AI923" s="1">
        <v>0</v>
      </c>
      <c r="AJ923" s="1">
        <v>0</v>
      </c>
      <c r="AK923" s="1">
        <v>0</v>
      </c>
      <c r="AL923" s="1">
        <v>0</v>
      </c>
      <c r="AM923" s="1">
        <v>0</v>
      </c>
      <c r="AN923" s="1">
        <v>0</v>
      </c>
      <c r="AO923" s="1">
        <v>0</v>
      </c>
      <c r="AP923" s="1">
        <v>0</v>
      </c>
      <c r="AQ923" s="24">
        <f t="shared" si="44"/>
        <v>0</v>
      </c>
    </row>
    <row r="924" spans="1:43" ht="17.25" customHeight="1" x14ac:dyDescent="0.45">
      <c r="A924" s="12" t="s">
        <v>171</v>
      </c>
      <c r="B924" s="12" t="s">
        <v>65</v>
      </c>
      <c r="C924" s="12" t="s">
        <v>40</v>
      </c>
      <c r="D924" s="12" t="s">
        <v>66</v>
      </c>
      <c r="E924" s="25">
        <v>4</v>
      </c>
      <c r="F924" s="10">
        <v>4</v>
      </c>
      <c r="G924" s="10">
        <v>4</v>
      </c>
      <c r="H924" s="10">
        <v>0</v>
      </c>
      <c r="I924" s="10">
        <v>0</v>
      </c>
      <c r="J924" s="10">
        <v>0</v>
      </c>
      <c r="K924" s="10">
        <v>0</v>
      </c>
      <c r="L924" s="10">
        <v>0</v>
      </c>
      <c r="M924" s="10">
        <v>0</v>
      </c>
      <c r="N924" s="10">
        <v>0</v>
      </c>
      <c r="O924" s="10">
        <v>0</v>
      </c>
      <c r="P924" s="10">
        <v>4</v>
      </c>
      <c r="Q924" s="26">
        <f t="shared" si="42"/>
        <v>16</v>
      </c>
      <c r="R924" s="25">
        <v>708</v>
      </c>
      <c r="S924" s="10">
        <v>727</v>
      </c>
      <c r="T924" s="10">
        <v>665</v>
      </c>
      <c r="U924" s="10">
        <v>0</v>
      </c>
      <c r="V924" s="10">
        <v>0</v>
      </c>
      <c r="W924" s="10">
        <v>0</v>
      </c>
      <c r="X924" s="10">
        <v>0</v>
      </c>
      <c r="Y924" s="10">
        <v>0</v>
      </c>
      <c r="Z924" s="10">
        <v>0</v>
      </c>
      <c r="AA924" s="10">
        <v>0</v>
      </c>
      <c r="AB924" s="10">
        <v>0</v>
      </c>
      <c r="AC924" s="10">
        <v>706</v>
      </c>
      <c r="AD924" s="26">
        <f t="shared" si="43"/>
        <v>2806</v>
      </c>
      <c r="AE924" s="25">
        <v>0</v>
      </c>
      <c r="AF924" s="10">
        <v>0</v>
      </c>
      <c r="AG924" s="10">
        <v>0</v>
      </c>
      <c r="AH924" s="10">
        <v>0</v>
      </c>
      <c r="AI924" s="10">
        <v>0</v>
      </c>
      <c r="AJ924" s="10">
        <v>0</v>
      </c>
      <c r="AK924" s="10">
        <v>0</v>
      </c>
      <c r="AL924" s="10">
        <v>0</v>
      </c>
      <c r="AM924" s="10">
        <v>0</v>
      </c>
      <c r="AN924" s="10">
        <v>0</v>
      </c>
      <c r="AO924" s="10">
        <v>0</v>
      </c>
      <c r="AP924" s="10">
        <v>0</v>
      </c>
      <c r="AQ924" s="26">
        <f t="shared" si="44"/>
        <v>0</v>
      </c>
    </row>
    <row r="925" spans="1:43" ht="17.25" customHeight="1" x14ac:dyDescent="0.45">
      <c r="A925" s="2" t="s">
        <v>171</v>
      </c>
      <c r="B925" s="2" t="s">
        <v>65</v>
      </c>
      <c r="C925" s="2" t="s">
        <v>17</v>
      </c>
      <c r="D925" s="2" t="s">
        <v>66</v>
      </c>
      <c r="E925" s="23">
        <v>33</v>
      </c>
      <c r="F925" s="1">
        <v>33</v>
      </c>
      <c r="G925" s="1">
        <v>35</v>
      </c>
      <c r="H925" s="1">
        <v>20</v>
      </c>
      <c r="I925" s="1">
        <v>0</v>
      </c>
      <c r="J925" s="1">
        <v>0</v>
      </c>
      <c r="K925" s="1">
        <v>0</v>
      </c>
      <c r="L925" s="1">
        <v>0</v>
      </c>
      <c r="M925" s="1">
        <v>0</v>
      </c>
      <c r="N925" s="1">
        <v>1</v>
      </c>
      <c r="O925" s="1">
        <v>18</v>
      </c>
      <c r="P925" s="1">
        <v>34</v>
      </c>
      <c r="Q925" s="24">
        <f t="shared" si="42"/>
        <v>174</v>
      </c>
      <c r="R925" s="23">
        <v>5671</v>
      </c>
      <c r="S925" s="1">
        <v>5529</v>
      </c>
      <c r="T925" s="1">
        <v>4742</v>
      </c>
      <c r="U925" s="1">
        <v>1780</v>
      </c>
      <c r="V925" s="1">
        <v>0</v>
      </c>
      <c r="W925" s="1">
        <v>0</v>
      </c>
      <c r="X925" s="1">
        <v>0</v>
      </c>
      <c r="Y925" s="1">
        <v>0</v>
      </c>
      <c r="Z925" s="1">
        <v>0</v>
      </c>
      <c r="AA925" s="1">
        <v>176</v>
      </c>
      <c r="AB925" s="1">
        <v>2672</v>
      </c>
      <c r="AC925" s="1">
        <v>5072</v>
      </c>
      <c r="AD925" s="24">
        <f t="shared" si="43"/>
        <v>25642</v>
      </c>
      <c r="AE925" s="23">
        <v>0</v>
      </c>
      <c r="AF925" s="1">
        <v>0</v>
      </c>
      <c r="AG925" s="1">
        <v>0</v>
      </c>
      <c r="AH925" s="1">
        <v>0</v>
      </c>
      <c r="AI925" s="1">
        <v>0</v>
      </c>
      <c r="AJ925" s="1">
        <v>0</v>
      </c>
      <c r="AK925" s="1">
        <v>0</v>
      </c>
      <c r="AL925" s="1">
        <v>0</v>
      </c>
      <c r="AM925" s="1">
        <v>0</v>
      </c>
      <c r="AN925" s="1">
        <v>0</v>
      </c>
      <c r="AO925" s="1">
        <v>0</v>
      </c>
      <c r="AP925" s="1">
        <v>0</v>
      </c>
      <c r="AQ925" s="24">
        <f t="shared" si="44"/>
        <v>0</v>
      </c>
    </row>
    <row r="926" spans="1:43" ht="17.25" customHeight="1" x14ac:dyDescent="0.45">
      <c r="A926" s="12" t="s">
        <v>171</v>
      </c>
      <c r="B926" s="12" t="s">
        <v>65</v>
      </c>
      <c r="C926" s="12" t="s">
        <v>48</v>
      </c>
      <c r="D926" s="12" t="s">
        <v>66</v>
      </c>
      <c r="E926" s="25">
        <v>0</v>
      </c>
      <c r="F926" s="10">
        <v>0</v>
      </c>
      <c r="G926" s="10">
        <v>0</v>
      </c>
      <c r="H926" s="10">
        <v>0</v>
      </c>
      <c r="I926" s="10">
        <v>0</v>
      </c>
      <c r="J926" s="10">
        <v>0</v>
      </c>
      <c r="K926" s="10">
        <v>0</v>
      </c>
      <c r="L926" s="10">
        <v>0</v>
      </c>
      <c r="M926" s="10">
        <v>0</v>
      </c>
      <c r="N926" s="10">
        <v>0</v>
      </c>
      <c r="O926" s="10">
        <v>2</v>
      </c>
      <c r="P926" s="10">
        <v>4</v>
      </c>
      <c r="Q926" s="26">
        <f t="shared" si="42"/>
        <v>6</v>
      </c>
      <c r="R926" s="25">
        <v>0</v>
      </c>
      <c r="S926" s="10">
        <v>0</v>
      </c>
      <c r="T926" s="10">
        <v>0</v>
      </c>
      <c r="U926" s="10">
        <v>0</v>
      </c>
      <c r="V926" s="10">
        <v>0</v>
      </c>
      <c r="W926" s="10">
        <v>0</v>
      </c>
      <c r="X926" s="10">
        <v>0</v>
      </c>
      <c r="Y926" s="10">
        <v>0</v>
      </c>
      <c r="Z926" s="10">
        <v>0</v>
      </c>
      <c r="AA926" s="10">
        <v>0</v>
      </c>
      <c r="AB926" s="10">
        <v>162</v>
      </c>
      <c r="AC926" s="10">
        <v>417</v>
      </c>
      <c r="AD926" s="26">
        <f t="shared" si="43"/>
        <v>579</v>
      </c>
      <c r="AE926" s="25">
        <v>0</v>
      </c>
      <c r="AF926" s="10">
        <v>0</v>
      </c>
      <c r="AG926" s="10">
        <v>0</v>
      </c>
      <c r="AH926" s="10">
        <v>0</v>
      </c>
      <c r="AI926" s="10">
        <v>0</v>
      </c>
      <c r="AJ926" s="10">
        <v>0</v>
      </c>
      <c r="AK926" s="10">
        <v>0</v>
      </c>
      <c r="AL926" s="10">
        <v>0</v>
      </c>
      <c r="AM926" s="10">
        <v>0</v>
      </c>
      <c r="AN926" s="10">
        <v>0</v>
      </c>
      <c r="AO926" s="10">
        <v>0</v>
      </c>
      <c r="AP926" s="10">
        <v>0</v>
      </c>
      <c r="AQ926" s="26">
        <f t="shared" si="44"/>
        <v>0</v>
      </c>
    </row>
    <row r="927" spans="1:43" ht="17.25" customHeight="1" x14ac:dyDescent="0.45">
      <c r="A927" s="2" t="s">
        <v>380</v>
      </c>
      <c r="B927" s="2" t="s">
        <v>237</v>
      </c>
      <c r="C927" s="2" t="s">
        <v>14</v>
      </c>
      <c r="D927" s="2" t="s">
        <v>66</v>
      </c>
      <c r="E927" s="23">
        <v>0</v>
      </c>
      <c r="F927" s="1">
        <v>0</v>
      </c>
      <c r="G927" s="1">
        <v>0</v>
      </c>
      <c r="H927" s="1">
        <v>7</v>
      </c>
      <c r="I927" s="1">
        <v>19</v>
      </c>
      <c r="J927" s="1">
        <v>12</v>
      </c>
      <c r="K927" s="1">
        <v>13</v>
      </c>
      <c r="L927" s="1">
        <v>12</v>
      </c>
      <c r="M927" s="1">
        <v>13</v>
      </c>
      <c r="N927" s="1">
        <v>14</v>
      </c>
      <c r="O927" s="1">
        <v>13</v>
      </c>
      <c r="P927" s="1">
        <v>12</v>
      </c>
      <c r="Q927" s="24">
        <f t="shared" si="42"/>
        <v>115</v>
      </c>
      <c r="R927" s="23">
        <v>0</v>
      </c>
      <c r="S927" s="1">
        <v>0</v>
      </c>
      <c r="T927" s="1">
        <v>0</v>
      </c>
      <c r="U927" s="1">
        <v>0</v>
      </c>
      <c r="V927" s="1">
        <v>0</v>
      </c>
      <c r="W927" s="1">
        <v>0</v>
      </c>
      <c r="X927" s="1">
        <v>0</v>
      </c>
      <c r="Y927" s="1">
        <v>0</v>
      </c>
      <c r="Z927" s="1">
        <v>0</v>
      </c>
      <c r="AA927" s="1">
        <v>0</v>
      </c>
      <c r="AB927" s="1">
        <v>0</v>
      </c>
      <c r="AC927" s="1">
        <v>0</v>
      </c>
      <c r="AD927" s="24">
        <f t="shared" si="43"/>
        <v>0</v>
      </c>
      <c r="AE927" s="23">
        <v>0</v>
      </c>
      <c r="AF927" s="1">
        <v>0</v>
      </c>
      <c r="AG927" s="1">
        <v>0</v>
      </c>
      <c r="AH927" s="1">
        <v>404276</v>
      </c>
      <c r="AI927" s="1">
        <v>1095427</v>
      </c>
      <c r="AJ927" s="1">
        <v>524020</v>
      </c>
      <c r="AK927" s="1">
        <v>752915</v>
      </c>
      <c r="AL927" s="1">
        <v>637973</v>
      </c>
      <c r="AM927" s="1">
        <v>696627</v>
      </c>
      <c r="AN927" s="1">
        <v>809246</v>
      </c>
      <c r="AO927" s="1">
        <v>110452</v>
      </c>
      <c r="AP927" s="1">
        <v>694759</v>
      </c>
      <c r="AQ927" s="24">
        <f t="shared" si="44"/>
        <v>5725695</v>
      </c>
    </row>
    <row r="928" spans="1:43" ht="17.25" customHeight="1" x14ac:dyDescent="0.45">
      <c r="A928" s="12" t="s">
        <v>62</v>
      </c>
      <c r="B928" s="12" t="s">
        <v>66</v>
      </c>
      <c r="C928" s="12" t="s">
        <v>72</v>
      </c>
      <c r="D928" s="12" t="s">
        <v>68</v>
      </c>
      <c r="E928" s="25">
        <v>16</v>
      </c>
      <c r="F928" s="10">
        <v>13</v>
      </c>
      <c r="G928" s="10">
        <v>13</v>
      </c>
      <c r="H928" s="10">
        <v>18</v>
      </c>
      <c r="I928" s="10">
        <v>18</v>
      </c>
      <c r="J928" s="10">
        <v>16</v>
      </c>
      <c r="K928" s="10">
        <v>18</v>
      </c>
      <c r="L928" s="10">
        <v>18</v>
      </c>
      <c r="M928" s="10">
        <v>15</v>
      </c>
      <c r="N928" s="10">
        <v>18</v>
      </c>
      <c r="O928" s="10">
        <v>17</v>
      </c>
      <c r="P928" s="10">
        <v>18</v>
      </c>
      <c r="Q928" s="26">
        <f t="shared" si="42"/>
        <v>198</v>
      </c>
      <c r="R928" s="25">
        <v>2281</v>
      </c>
      <c r="S928" s="10">
        <v>1557</v>
      </c>
      <c r="T928" s="10">
        <v>1658</v>
      </c>
      <c r="U928" s="10">
        <v>2367</v>
      </c>
      <c r="V928" s="10">
        <v>2205</v>
      </c>
      <c r="W928" s="10">
        <v>1962</v>
      </c>
      <c r="X928" s="10">
        <v>2836</v>
      </c>
      <c r="Y928" s="10">
        <v>2974</v>
      </c>
      <c r="Z928" s="10">
        <v>2159</v>
      </c>
      <c r="AA928" s="10">
        <v>2340</v>
      </c>
      <c r="AB928" s="10">
        <v>1830</v>
      </c>
      <c r="AC928" s="10">
        <v>2096</v>
      </c>
      <c r="AD928" s="26">
        <f t="shared" si="43"/>
        <v>26265</v>
      </c>
      <c r="AE928" s="25">
        <v>0</v>
      </c>
      <c r="AF928" s="10">
        <v>0</v>
      </c>
      <c r="AG928" s="10">
        <v>0</v>
      </c>
      <c r="AH928" s="10">
        <v>0</v>
      </c>
      <c r="AI928" s="10">
        <v>0</v>
      </c>
      <c r="AJ928" s="10">
        <v>0</v>
      </c>
      <c r="AK928" s="10">
        <v>0</v>
      </c>
      <c r="AL928" s="10">
        <v>0</v>
      </c>
      <c r="AM928" s="10">
        <v>0</v>
      </c>
      <c r="AN928" s="10">
        <v>0</v>
      </c>
      <c r="AO928" s="10">
        <v>0</v>
      </c>
      <c r="AP928" s="10">
        <v>0</v>
      </c>
      <c r="AQ928" s="26">
        <f t="shared" si="44"/>
        <v>0</v>
      </c>
    </row>
    <row r="929" spans="1:43" ht="17.25" customHeight="1" x14ac:dyDescent="0.45">
      <c r="A929" s="2" t="s">
        <v>62</v>
      </c>
      <c r="B929" s="2" t="s">
        <v>66</v>
      </c>
      <c r="C929" s="2" t="s">
        <v>67</v>
      </c>
      <c r="D929" s="2" t="s">
        <v>68</v>
      </c>
      <c r="E929" s="23">
        <v>23</v>
      </c>
      <c r="F929" s="1">
        <v>25</v>
      </c>
      <c r="G929" s="1">
        <v>31</v>
      </c>
      <c r="H929" s="1">
        <v>10</v>
      </c>
      <c r="I929" s="1">
        <v>9</v>
      </c>
      <c r="J929" s="1">
        <v>27</v>
      </c>
      <c r="K929" s="1">
        <v>31</v>
      </c>
      <c r="L929" s="1">
        <v>31</v>
      </c>
      <c r="M929" s="1">
        <v>7</v>
      </c>
      <c r="N929" s="1">
        <v>18</v>
      </c>
      <c r="O929" s="1">
        <v>29</v>
      </c>
      <c r="P929" s="1">
        <v>31</v>
      </c>
      <c r="Q929" s="24">
        <f t="shared" si="42"/>
        <v>272</v>
      </c>
      <c r="R929" s="23">
        <v>1463</v>
      </c>
      <c r="S929" s="1">
        <v>1297</v>
      </c>
      <c r="T929" s="1">
        <v>1587</v>
      </c>
      <c r="U929" s="1">
        <v>629</v>
      </c>
      <c r="V929" s="1">
        <v>495</v>
      </c>
      <c r="W929" s="1">
        <v>1340</v>
      </c>
      <c r="X929" s="1">
        <v>2130</v>
      </c>
      <c r="Y929" s="1">
        <v>2012</v>
      </c>
      <c r="Z929" s="1">
        <v>474</v>
      </c>
      <c r="AA929" s="1">
        <v>971</v>
      </c>
      <c r="AB929" s="1">
        <v>1438</v>
      </c>
      <c r="AC929" s="1">
        <v>1558</v>
      </c>
      <c r="AD929" s="24">
        <f t="shared" si="43"/>
        <v>15394</v>
      </c>
      <c r="AE929" s="23">
        <v>0</v>
      </c>
      <c r="AF929" s="1">
        <v>0</v>
      </c>
      <c r="AG929" s="1">
        <v>0</v>
      </c>
      <c r="AH929" s="1">
        <v>0</v>
      </c>
      <c r="AI929" s="1">
        <v>0</v>
      </c>
      <c r="AJ929" s="1">
        <v>0</v>
      </c>
      <c r="AK929" s="1">
        <v>0</v>
      </c>
      <c r="AL929" s="1">
        <v>0</v>
      </c>
      <c r="AM929" s="1">
        <v>0</v>
      </c>
      <c r="AN929" s="1">
        <v>0</v>
      </c>
      <c r="AO929" s="1">
        <v>0</v>
      </c>
      <c r="AP929" s="1">
        <v>0</v>
      </c>
      <c r="AQ929" s="24">
        <f t="shared" si="44"/>
        <v>0</v>
      </c>
    </row>
    <row r="930" spans="1:43" ht="17.25" customHeight="1" x14ac:dyDescent="0.45">
      <c r="A930" s="12" t="s">
        <v>62</v>
      </c>
      <c r="B930" s="12" t="s">
        <v>66</v>
      </c>
      <c r="C930" s="12" t="s">
        <v>73</v>
      </c>
      <c r="D930" s="12" t="s">
        <v>68</v>
      </c>
      <c r="E930" s="25">
        <v>13</v>
      </c>
      <c r="F930" s="10">
        <v>12</v>
      </c>
      <c r="G930" s="10">
        <v>14</v>
      </c>
      <c r="H930" s="10">
        <v>12</v>
      </c>
      <c r="I930" s="10">
        <v>14</v>
      </c>
      <c r="J930" s="10">
        <v>13</v>
      </c>
      <c r="K930" s="10">
        <v>13</v>
      </c>
      <c r="L930" s="10">
        <v>13</v>
      </c>
      <c r="M930" s="10">
        <v>13</v>
      </c>
      <c r="N930" s="10">
        <v>13</v>
      </c>
      <c r="O930" s="10">
        <v>13</v>
      </c>
      <c r="P930" s="10">
        <v>13</v>
      </c>
      <c r="Q930" s="26">
        <f t="shared" si="42"/>
        <v>156</v>
      </c>
      <c r="R930" s="25">
        <v>1920</v>
      </c>
      <c r="S930" s="10">
        <v>1651</v>
      </c>
      <c r="T930" s="10">
        <v>1735</v>
      </c>
      <c r="U930" s="10">
        <v>2010</v>
      </c>
      <c r="V930" s="10">
        <v>2328</v>
      </c>
      <c r="W930" s="10">
        <v>1898</v>
      </c>
      <c r="X930" s="10">
        <v>2229</v>
      </c>
      <c r="Y930" s="10">
        <v>2283</v>
      </c>
      <c r="Z930" s="10">
        <v>2111</v>
      </c>
      <c r="AA930" s="10">
        <v>2218</v>
      </c>
      <c r="AB930" s="10">
        <v>2098</v>
      </c>
      <c r="AC930" s="10">
        <v>2059</v>
      </c>
      <c r="AD930" s="26">
        <f t="shared" si="43"/>
        <v>24540</v>
      </c>
      <c r="AE930" s="25">
        <v>0</v>
      </c>
      <c r="AF930" s="10">
        <v>0</v>
      </c>
      <c r="AG930" s="10">
        <v>0</v>
      </c>
      <c r="AH930" s="10">
        <v>0</v>
      </c>
      <c r="AI930" s="10">
        <v>0</v>
      </c>
      <c r="AJ930" s="10">
        <v>0</v>
      </c>
      <c r="AK930" s="10">
        <v>0</v>
      </c>
      <c r="AL930" s="10">
        <v>0</v>
      </c>
      <c r="AM930" s="10">
        <v>0</v>
      </c>
      <c r="AN930" s="10">
        <v>0</v>
      </c>
      <c r="AO930" s="10">
        <v>0</v>
      </c>
      <c r="AP930" s="10">
        <v>0</v>
      </c>
      <c r="AQ930" s="26">
        <f t="shared" si="44"/>
        <v>0</v>
      </c>
    </row>
    <row r="931" spans="1:43" ht="17.25" customHeight="1" x14ac:dyDescent="0.45">
      <c r="A931" s="2" t="s">
        <v>62</v>
      </c>
      <c r="B931" s="2" t="s">
        <v>66</v>
      </c>
      <c r="C931" s="2" t="s">
        <v>177</v>
      </c>
      <c r="D931" s="2" t="s">
        <v>68</v>
      </c>
      <c r="E931" s="23">
        <v>9</v>
      </c>
      <c r="F931" s="1">
        <v>8</v>
      </c>
      <c r="G931" s="1">
        <v>9</v>
      </c>
      <c r="H931" s="1">
        <v>8</v>
      </c>
      <c r="I931" s="1">
        <v>9</v>
      </c>
      <c r="J931" s="1">
        <v>9</v>
      </c>
      <c r="K931" s="1">
        <v>9</v>
      </c>
      <c r="L931" s="1">
        <v>8</v>
      </c>
      <c r="M931" s="1">
        <v>9</v>
      </c>
      <c r="N931" s="1">
        <v>9</v>
      </c>
      <c r="O931" s="1">
        <v>8</v>
      </c>
      <c r="P931" s="1">
        <v>9</v>
      </c>
      <c r="Q931" s="24">
        <f t="shared" si="42"/>
        <v>104</v>
      </c>
      <c r="R931" s="23">
        <v>1485</v>
      </c>
      <c r="S931" s="1">
        <v>1010</v>
      </c>
      <c r="T931" s="1">
        <v>985</v>
      </c>
      <c r="U931" s="1">
        <v>1135</v>
      </c>
      <c r="V931" s="1">
        <v>1087</v>
      </c>
      <c r="W931" s="1">
        <v>1150</v>
      </c>
      <c r="X931" s="1">
        <v>1557</v>
      </c>
      <c r="Y931" s="1">
        <v>1344</v>
      </c>
      <c r="Z931" s="1">
        <v>1173</v>
      </c>
      <c r="AA931" s="1">
        <v>1351</v>
      </c>
      <c r="AB931" s="1">
        <v>921</v>
      </c>
      <c r="AC931" s="1">
        <v>1160</v>
      </c>
      <c r="AD931" s="24">
        <f t="shared" si="43"/>
        <v>14358</v>
      </c>
      <c r="AE931" s="23">
        <v>0</v>
      </c>
      <c r="AF931" s="1">
        <v>0</v>
      </c>
      <c r="AG931" s="1">
        <v>0</v>
      </c>
      <c r="AH931" s="1">
        <v>0</v>
      </c>
      <c r="AI931" s="1">
        <v>0</v>
      </c>
      <c r="AJ931" s="1">
        <v>0</v>
      </c>
      <c r="AK931" s="1">
        <v>0</v>
      </c>
      <c r="AL931" s="1">
        <v>0</v>
      </c>
      <c r="AM931" s="1">
        <v>0</v>
      </c>
      <c r="AN931" s="1">
        <v>0</v>
      </c>
      <c r="AO931" s="1">
        <v>0</v>
      </c>
      <c r="AP931" s="1">
        <v>0</v>
      </c>
      <c r="AQ931" s="24">
        <f t="shared" si="44"/>
        <v>0</v>
      </c>
    </row>
    <row r="932" spans="1:43" ht="17.25" customHeight="1" x14ac:dyDescent="0.45">
      <c r="A932" s="12" t="s">
        <v>205</v>
      </c>
      <c r="B932" s="12" t="s">
        <v>81</v>
      </c>
      <c r="C932" s="12" t="s">
        <v>11</v>
      </c>
      <c r="D932" s="12" t="s">
        <v>66</v>
      </c>
      <c r="E932" s="25">
        <v>0</v>
      </c>
      <c r="F932" s="10">
        <v>0</v>
      </c>
      <c r="G932" s="10">
        <v>0</v>
      </c>
      <c r="H932" s="10">
        <v>0</v>
      </c>
      <c r="I932" s="10">
        <v>0</v>
      </c>
      <c r="J932" s="10">
        <v>0</v>
      </c>
      <c r="K932" s="10">
        <v>0</v>
      </c>
      <c r="L932" s="10">
        <v>0</v>
      </c>
      <c r="M932" s="10">
        <v>0</v>
      </c>
      <c r="N932" s="10">
        <v>0</v>
      </c>
      <c r="O932" s="10">
        <v>2</v>
      </c>
      <c r="P932" s="10">
        <v>0</v>
      </c>
      <c r="Q932" s="26">
        <f t="shared" si="42"/>
        <v>2</v>
      </c>
      <c r="R932" s="25">
        <v>0</v>
      </c>
      <c r="S932" s="10">
        <v>0</v>
      </c>
      <c r="T932" s="10">
        <v>0</v>
      </c>
      <c r="U932" s="10">
        <v>0</v>
      </c>
      <c r="V932" s="10">
        <v>0</v>
      </c>
      <c r="W932" s="10">
        <v>0</v>
      </c>
      <c r="X932" s="10">
        <v>0</v>
      </c>
      <c r="Y932" s="10">
        <v>0</v>
      </c>
      <c r="Z932" s="10">
        <v>0</v>
      </c>
      <c r="AA932" s="10">
        <v>0</v>
      </c>
      <c r="AB932" s="10">
        <v>0</v>
      </c>
      <c r="AC932" s="10">
        <v>0</v>
      </c>
      <c r="AD932" s="26">
        <f t="shared" si="43"/>
        <v>0</v>
      </c>
      <c r="AE932" s="25">
        <v>0</v>
      </c>
      <c r="AF932" s="10">
        <v>0</v>
      </c>
      <c r="AG932" s="10">
        <v>0</v>
      </c>
      <c r="AH932" s="10">
        <v>0</v>
      </c>
      <c r="AI932" s="10">
        <v>0</v>
      </c>
      <c r="AJ932" s="10">
        <v>0</v>
      </c>
      <c r="AK932" s="10">
        <v>0</v>
      </c>
      <c r="AL932" s="10">
        <v>0</v>
      </c>
      <c r="AM932" s="10">
        <v>0</v>
      </c>
      <c r="AN932" s="10">
        <v>0</v>
      </c>
      <c r="AO932" s="10">
        <v>165583</v>
      </c>
      <c r="AP932" s="10">
        <v>0</v>
      </c>
      <c r="AQ932" s="26">
        <f t="shared" si="44"/>
        <v>165583</v>
      </c>
    </row>
    <row r="933" spans="1:43" ht="17.25" customHeight="1" x14ac:dyDescent="0.45">
      <c r="A933" s="2" t="s">
        <v>205</v>
      </c>
      <c r="B933" s="2" t="s">
        <v>81</v>
      </c>
      <c r="C933" s="2" t="s">
        <v>14</v>
      </c>
      <c r="D933" s="2" t="s">
        <v>66</v>
      </c>
      <c r="E933" s="23">
        <v>16</v>
      </c>
      <c r="F933" s="1">
        <v>17</v>
      </c>
      <c r="G933" s="1">
        <v>18</v>
      </c>
      <c r="H933" s="1">
        <v>16</v>
      </c>
      <c r="I933" s="1">
        <v>16</v>
      </c>
      <c r="J933" s="1">
        <v>17</v>
      </c>
      <c r="K933" s="1">
        <v>16</v>
      </c>
      <c r="L933" s="1">
        <v>18</v>
      </c>
      <c r="M933" s="1">
        <v>18</v>
      </c>
      <c r="N933" s="1">
        <v>16</v>
      </c>
      <c r="O933" s="1">
        <v>15</v>
      </c>
      <c r="P933" s="1">
        <v>18</v>
      </c>
      <c r="Q933" s="24">
        <f t="shared" si="42"/>
        <v>201</v>
      </c>
      <c r="R933" s="23">
        <v>0</v>
      </c>
      <c r="S933" s="1">
        <v>0</v>
      </c>
      <c r="T933" s="1">
        <v>0</v>
      </c>
      <c r="U933" s="1">
        <v>0</v>
      </c>
      <c r="V933" s="1">
        <v>0</v>
      </c>
      <c r="W933" s="1">
        <v>0</v>
      </c>
      <c r="X933" s="1">
        <v>0</v>
      </c>
      <c r="Y933" s="1">
        <v>0</v>
      </c>
      <c r="Z933" s="1">
        <v>0</v>
      </c>
      <c r="AA933" s="1">
        <v>0</v>
      </c>
      <c r="AB933" s="1">
        <v>0</v>
      </c>
      <c r="AC933" s="1">
        <v>0</v>
      </c>
      <c r="AD933" s="24">
        <f t="shared" si="43"/>
        <v>0</v>
      </c>
      <c r="AE933" s="23">
        <v>1117843</v>
      </c>
      <c r="AF933" s="1">
        <v>1247213</v>
      </c>
      <c r="AG933" s="1">
        <v>1387003</v>
      </c>
      <c r="AH933" s="1">
        <v>1143991</v>
      </c>
      <c r="AI933" s="1">
        <v>1134909.6800000002</v>
      </c>
      <c r="AJ933" s="1">
        <v>1046210</v>
      </c>
      <c r="AK933" s="1">
        <v>1121137</v>
      </c>
      <c r="AL933" s="1">
        <v>1374266.03</v>
      </c>
      <c r="AM933" s="1">
        <v>1216651</v>
      </c>
      <c r="AN933" s="1">
        <v>1031518</v>
      </c>
      <c r="AO933" s="1">
        <v>901437</v>
      </c>
      <c r="AP933" s="1">
        <v>1010662</v>
      </c>
      <c r="AQ933" s="24">
        <f t="shared" si="44"/>
        <v>13732840.709999999</v>
      </c>
    </row>
    <row r="934" spans="1:43" ht="17.25" customHeight="1" x14ac:dyDescent="0.45">
      <c r="A934" s="12" t="s">
        <v>246</v>
      </c>
      <c r="B934" s="12" t="s">
        <v>237</v>
      </c>
      <c r="C934" s="12" t="s">
        <v>14</v>
      </c>
      <c r="D934" s="12" t="s">
        <v>66</v>
      </c>
      <c r="E934" s="25">
        <v>12</v>
      </c>
      <c r="F934" s="10">
        <v>12</v>
      </c>
      <c r="G934" s="10">
        <v>13</v>
      </c>
      <c r="H934" s="10">
        <v>5</v>
      </c>
      <c r="I934" s="10">
        <v>0</v>
      </c>
      <c r="J934" s="10">
        <v>0</v>
      </c>
      <c r="K934" s="10">
        <v>0</v>
      </c>
      <c r="L934" s="10">
        <v>0</v>
      </c>
      <c r="M934" s="10">
        <v>0</v>
      </c>
      <c r="N934" s="10">
        <v>0</v>
      </c>
      <c r="O934" s="10">
        <v>0</v>
      </c>
      <c r="P934" s="10">
        <v>0</v>
      </c>
      <c r="Q934" s="26">
        <f t="shared" si="42"/>
        <v>42</v>
      </c>
      <c r="R934" s="25">
        <v>0</v>
      </c>
      <c r="S934" s="10">
        <v>0</v>
      </c>
      <c r="T934" s="10">
        <v>0</v>
      </c>
      <c r="U934" s="10">
        <v>0</v>
      </c>
      <c r="V934" s="10">
        <v>0</v>
      </c>
      <c r="W934" s="10">
        <v>0</v>
      </c>
      <c r="X934" s="10">
        <v>0</v>
      </c>
      <c r="Y934" s="10">
        <v>0</v>
      </c>
      <c r="Z934" s="10">
        <v>0</v>
      </c>
      <c r="AA934" s="10">
        <v>0</v>
      </c>
      <c r="AB934" s="10">
        <v>0</v>
      </c>
      <c r="AC934" s="10">
        <v>0</v>
      </c>
      <c r="AD934" s="26">
        <f t="shared" si="43"/>
        <v>0</v>
      </c>
      <c r="AE934" s="25">
        <v>692456</v>
      </c>
      <c r="AF934" s="10">
        <v>679572</v>
      </c>
      <c r="AG934" s="10">
        <v>749958</v>
      </c>
      <c r="AH934" s="10">
        <v>288492</v>
      </c>
      <c r="AI934" s="10">
        <v>0</v>
      </c>
      <c r="AJ934" s="10">
        <v>0</v>
      </c>
      <c r="AK934" s="10">
        <v>0</v>
      </c>
      <c r="AL934" s="10">
        <v>0</v>
      </c>
      <c r="AM934" s="10">
        <v>0</v>
      </c>
      <c r="AN934" s="10">
        <v>0</v>
      </c>
      <c r="AO934" s="10">
        <v>0</v>
      </c>
      <c r="AP934" s="10">
        <v>0</v>
      </c>
      <c r="AQ934" s="26">
        <f t="shared" si="44"/>
        <v>2410478</v>
      </c>
    </row>
    <row r="935" spans="1:43" ht="17.25" customHeight="1" x14ac:dyDescent="0.45">
      <c r="A935" s="2" t="s">
        <v>469</v>
      </c>
      <c r="B935" s="2" t="s">
        <v>470</v>
      </c>
      <c r="C935" s="2" t="s">
        <v>10</v>
      </c>
      <c r="D935" s="2" t="s">
        <v>66</v>
      </c>
      <c r="E935" s="23">
        <v>13</v>
      </c>
      <c r="F935" s="1">
        <v>12</v>
      </c>
      <c r="G935" s="1">
        <v>13</v>
      </c>
      <c r="H935" s="1">
        <v>13</v>
      </c>
      <c r="I935" s="1">
        <v>9</v>
      </c>
      <c r="J935" s="1">
        <v>5</v>
      </c>
      <c r="K935" s="1">
        <v>7</v>
      </c>
      <c r="L935" s="1">
        <v>9</v>
      </c>
      <c r="M935" s="1">
        <v>5</v>
      </c>
      <c r="N935" s="1">
        <v>10</v>
      </c>
      <c r="O935" s="1">
        <v>13</v>
      </c>
      <c r="P935" s="1">
        <v>12</v>
      </c>
      <c r="Q935" s="24">
        <f t="shared" si="42"/>
        <v>121</v>
      </c>
      <c r="R935" s="23">
        <v>3520</v>
      </c>
      <c r="S935" s="1">
        <v>3415</v>
      </c>
      <c r="T935" s="1">
        <v>3529</v>
      </c>
      <c r="U935" s="1">
        <v>3182</v>
      </c>
      <c r="V935" s="1">
        <v>1655</v>
      </c>
      <c r="W935" s="1">
        <v>1230</v>
      </c>
      <c r="X935" s="1">
        <v>2079</v>
      </c>
      <c r="Y935" s="1">
        <v>2478</v>
      </c>
      <c r="Z935" s="1">
        <v>1385</v>
      </c>
      <c r="AA935" s="1">
        <v>2935</v>
      </c>
      <c r="AB935" s="1">
        <v>3416</v>
      </c>
      <c r="AC935" s="1">
        <v>3380</v>
      </c>
      <c r="AD935" s="24">
        <f t="shared" si="43"/>
        <v>32204</v>
      </c>
      <c r="AE935" s="23">
        <v>101649</v>
      </c>
      <c r="AF935" s="1">
        <v>107995</v>
      </c>
      <c r="AG935" s="1">
        <v>81044</v>
      </c>
      <c r="AH935" s="1">
        <v>116928</v>
      </c>
      <c r="AI935" s="1">
        <v>84788</v>
      </c>
      <c r="AJ935" s="1">
        <v>58159</v>
      </c>
      <c r="AK935" s="1">
        <v>56151</v>
      </c>
      <c r="AL935" s="1">
        <v>86572</v>
      </c>
      <c r="AM935" s="1">
        <v>53982</v>
      </c>
      <c r="AN935" s="1">
        <v>105715</v>
      </c>
      <c r="AO935" s="1">
        <v>109214</v>
      </c>
      <c r="AP935" s="1">
        <v>86663</v>
      </c>
      <c r="AQ935" s="24">
        <f t="shared" si="44"/>
        <v>1048860</v>
      </c>
    </row>
    <row r="936" spans="1:43" ht="17.25" customHeight="1" x14ac:dyDescent="0.45">
      <c r="E936" s="23"/>
      <c r="F936" s="1"/>
      <c r="G936" s="1"/>
      <c r="H936" s="1"/>
      <c r="I936" s="1"/>
      <c r="J936" s="1"/>
      <c r="K936" s="1"/>
      <c r="L936" s="1"/>
      <c r="M936" s="1"/>
      <c r="N936" s="1"/>
      <c r="O936" s="1"/>
      <c r="P936" s="1"/>
      <c r="Q936" s="24"/>
      <c r="R936" s="23"/>
      <c r="S936" s="1"/>
      <c r="T936" s="1"/>
      <c r="U936" s="1"/>
      <c r="V936" s="1"/>
      <c r="W936" s="1"/>
      <c r="X936" s="1"/>
      <c r="Y936" s="1"/>
      <c r="Z936" s="1"/>
      <c r="AA936" s="1"/>
      <c r="AB936" s="1"/>
      <c r="AC936" s="1"/>
      <c r="AD936" s="24"/>
      <c r="AE936" s="23"/>
      <c r="AF936" s="1"/>
      <c r="AG936" s="1"/>
      <c r="AH936" s="1"/>
      <c r="AI936" s="1"/>
      <c r="AJ936" s="1"/>
      <c r="AK936" s="1"/>
      <c r="AL936" s="1"/>
      <c r="AM936" s="1"/>
      <c r="AN936" s="1"/>
      <c r="AO936" s="1"/>
      <c r="AP936" s="1"/>
      <c r="AQ936" s="24"/>
    </row>
    <row r="937" spans="1:43" ht="17.25" customHeight="1" thickBot="1" x14ac:dyDescent="0.5">
      <c r="A937" s="63" t="s">
        <v>3</v>
      </c>
      <c r="B937" s="63"/>
      <c r="C937" s="63"/>
      <c r="D937" s="22"/>
      <c r="E937" s="27">
        <f>SUM(E7:E935)</f>
        <v>38384</v>
      </c>
      <c r="F937" s="28">
        <f t="shared" ref="F937:AQ937" si="45">SUM(F7:F935)</f>
        <v>35876</v>
      </c>
      <c r="G937" s="28">
        <f t="shared" si="45"/>
        <v>39854</v>
      </c>
      <c r="H937" s="28">
        <f t="shared" si="45"/>
        <v>34976</v>
      </c>
      <c r="I937" s="28">
        <f t="shared" si="45"/>
        <v>32860</v>
      </c>
      <c r="J937" s="28">
        <f t="shared" si="45"/>
        <v>33237</v>
      </c>
      <c r="K937" s="28">
        <f t="shared" si="45"/>
        <v>34707</v>
      </c>
      <c r="L937" s="28">
        <f t="shared" si="45"/>
        <v>32019</v>
      </c>
      <c r="M937" s="28">
        <f t="shared" si="45"/>
        <v>27036</v>
      </c>
      <c r="N937" s="28">
        <f t="shared" si="45"/>
        <v>30594</v>
      </c>
      <c r="O937" s="28">
        <f t="shared" si="45"/>
        <v>35482</v>
      </c>
      <c r="P937" s="28">
        <f t="shared" si="45"/>
        <v>40891</v>
      </c>
      <c r="Q937" s="29">
        <f t="shared" si="45"/>
        <v>415916</v>
      </c>
      <c r="R937" s="30">
        <f t="shared" si="45"/>
        <v>5357684</v>
      </c>
      <c r="S937" s="31">
        <f t="shared" si="45"/>
        <v>4952575</v>
      </c>
      <c r="T937" s="31">
        <f t="shared" si="45"/>
        <v>5686529</v>
      </c>
      <c r="U937" s="31">
        <f t="shared" si="45"/>
        <v>4777750</v>
      </c>
      <c r="V937" s="31">
        <f t="shared" si="45"/>
        <v>4527547</v>
      </c>
      <c r="W937" s="31">
        <f t="shared" si="45"/>
        <v>4704248</v>
      </c>
      <c r="X937" s="31">
        <f t="shared" si="45"/>
        <v>5104442</v>
      </c>
      <c r="Y937" s="31">
        <f t="shared" si="45"/>
        <v>4491528</v>
      </c>
      <c r="Z937" s="31">
        <f t="shared" si="45"/>
        <v>3610907</v>
      </c>
      <c r="AA937" s="31">
        <f t="shared" si="45"/>
        <v>4177852</v>
      </c>
      <c r="AB937" s="31">
        <f t="shared" si="45"/>
        <v>4873419</v>
      </c>
      <c r="AC937" s="31">
        <f t="shared" si="45"/>
        <v>5775213</v>
      </c>
      <c r="AD937" s="32">
        <f t="shared" si="45"/>
        <v>58039694</v>
      </c>
      <c r="AE937" s="33">
        <f t="shared" si="45"/>
        <v>54349244.429090254</v>
      </c>
      <c r="AF937" s="34">
        <f t="shared" si="45"/>
        <v>55110297.449296355</v>
      </c>
      <c r="AG937" s="34">
        <f t="shared" si="45"/>
        <v>57548321.447414823</v>
      </c>
      <c r="AH937" s="34">
        <f t="shared" si="45"/>
        <v>55930414.812409855</v>
      </c>
      <c r="AI937" s="34">
        <f t="shared" si="45"/>
        <v>56794932.180706248</v>
      </c>
      <c r="AJ937" s="34">
        <f t="shared" si="45"/>
        <v>53525443.746581927</v>
      </c>
      <c r="AK937" s="34">
        <f t="shared" si="45"/>
        <v>56087054.789506219</v>
      </c>
      <c r="AL937" s="34">
        <f t="shared" si="45"/>
        <v>54689502.29882098</v>
      </c>
      <c r="AM937" s="34">
        <f t="shared" si="45"/>
        <v>52331155.95546031</v>
      </c>
      <c r="AN937" s="34">
        <f t="shared" si="45"/>
        <v>57854549.245573595</v>
      </c>
      <c r="AO937" s="34">
        <f t="shared" si="45"/>
        <v>55857695.633832149</v>
      </c>
      <c r="AP937" s="34">
        <f t="shared" si="45"/>
        <v>53635096.540157527</v>
      </c>
      <c r="AQ937" s="35">
        <f t="shared" si="45"/>
        <v>663713708.52885008</v>
      </c>
    </row>
    <row r="938" spans="1:43" ht="17.25" customHeight="1" x14ac:dyDescent="0.45">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spans="1:43" ht="17.25" customHeight="1" x14ac:dyDescent="0.45">
      <c r="A939" s="19" t="s">
        <v>319</v>
      </c>
      <c r="B939" s="19"/>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sheetData>
  <mergeCells count="7">
    <mergeCell ref="D2:N2"/>
    <mergeCell ref="D3:N3"/>
    <mergeCell ref="A5:D5"/>
    <mergeCell ref="AE5:AQ5"/>
    <mergeCell ref="A937:C937"/>
    <mergeCell ref="E5:Q5"/>
    <mergeCell ref="R5:AD5"/>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38E5D"/>
  </sheetPr>
  <dimension ref="A1:AO383"/>
  <sheetViews>
    <sheetView showGridLines="0" zoomScale="80" zoomScaleNormal="80" workbookViewId="0">
      <pane ySplit="6" topLeftCell="A7" activePane="bottomLeft" state="frozen"/>
      <selection sqref="A1:B1048576"/>
      <selection pane="bottomLeft" activeCell="A7" sqref="A7"/>
    </sheetView>
  </sheetViews>
  <sheetFormatPr baseColWidth="10" defaultRowHeight="17.25" x14ac:dyDescent="0.45"/>
  <cols>
    <col min="1" max="2" width="21.44140625" style="2" customWidth="1"/>
    <col min="3" max="3" width="7.21875" style="2" bestFit="1" customWidth="1"/>
    <col min="4" max="4" width="7.33203125" style="2" bestFit="1" customWidth="1"/>
    <col min="5" max="5" width="8" style="2" bestFit="1" customWidth="1"/>
    <col min="6" max="6" width="7.33203125" style="2" bestFit="1" customWidth="1"/>
    <col min="7" max="7" width="8.33203125" style="2" bestFit="1" customWidth="1"/>
    <col min="8" max="8" width="6.88671875" style="2" bestFit="1" customWidth="1"/>
    <col min="9" max="9" width="5.77734375" style="2" bestFit="1" customWidth="1"/>
    <col min="10" max="10" width="7.88671875" style="2" bestFit="1" customWidth="1"/>
    <col min="11" max="11" width="7.33203125" style="2" bestFit="1" customWidth="1"/>
    <col min="12" max="12" width="7.21875" style="2" bestFit="1" customWidth="1"/>
    <col min="13" max="13" width="7.77734375" style="2" bestFit="1" customWidth="1"/>
    <col min="14" max="14" width="6.77734375" style="2" bestFit="1" customWidth="1"/>
    <col min="15" max="15" width="6.6640625" style="2" bestFit="1" customWidth="1"/>
    <col min="16" max="16" width="7.21875" style="2" bestFit="1" customWidth="1"/>
    <col min="17" max="17" width="7.33203125" style="2" bestFit="1" customWidth="1"/>
    <col min="18" max="18" width="8" style="2" bestFit="1" customWidth="1"/>
    <col min="19" max="19" width="7.33203125" style="2" bestFit="1" customWidth="1"/>
    <col min="20" max="20" width="8.33203125" style="2" bestFit="1" customWidth="1"/>
    <col min="21" max="21" width="6.88671875" style="2" bestFit="1" customWidth="1"/>
    <col min="22" max="22" width="6.6640625" style="2" bestFit="1" customWidth="1"/>
    <col min="23" max="23" width="7.88671875" style="2" bestFit="1" customWidth="1"/>
    <col min="24" max="24" width="7.33203125" style="2" bestFit="1" customWidth="1"/>
    <col min="25" max="25" width="7.21875" style="2" bestFit="1" customWidth="1"/>
    <col min="26" max="26" width="7.77734375" style="2" bestFit="1" customWidth="1"/>
    <col min="27" max="27" width="6.77734375" style="2" bestFit="1" customWidth="1"/>
    <col min="28" max="28" width="7.44140625" style="2" bestFit="1" customWidth="1"/>
    <col min="29" max="29" width="9.5546875" style="2" bestFit="1" customWidth="1"/>
    <col min="30" max="31" width="8.77734375" style="2" bestFit="1" customWidth="1"/>
    <col min="32" max="35" width="9.5546875" style="2" bestFit="1" customWidth="1"/>
    <col min="36" max="37" width="8.77734375" style="2" bestFit="1" customWidth="1"/>
    <col min="38" max="38" width="9.5546875" style="2" bestFit="1" customWidth="1"/>
    <col min="39" max="40" width="8.77734375" style="2" bestFit="1" customWidth="1"/>
    <col min="41" max="41" width="10.44140625" style="2" bestFit="1" customWidth="1"/>
    <col min="42" max="16384" width="11.5546875" style="2"/>
  </cols>
  <sheetData>
    <row r="1" spans="1:41" ht="15" customHeight="1" x14ac:dyDescent="0.45"/>
    <row r="2" spans="1:41" ht="15" customHeight="1" x14ac:dyDescent="0.45">
      <c r="B2" s="3"/>
      <c r="F2" s="3"/>
      <c r="G2" s="56" t="s">
        <v>341</v>
      </c>
      <c r="H2" s="56"/>
      <c r="I2" s="56"/>
      <c r="J2" s="56"/>
      <c r="K2" s="56"/>
      <c r="L2" s="56"/>
      <c r="M2" s="56"/>
      <c r="N2" s="56"/>
      <c r="O2" s="56"/>
      <c r="P2" s="56"/>
      <c r="Q2" s="56"/>
    </row>
    <row r="3" spans="1:41" ht="15" customHeight="1" x14ac:dyDescent="0.45">
      <c r="B3" s="3"/>
      <c r="F3" s="3"/>
      <c r="G3" s="56" t="s">
        <v>377</v>
      </c>
      <c r="H3" s="56"/>
      <c r="I3" s="56"/>
      <c r="J3" s="56"/>
      <c r="K3" s="56"/>
      <c r="L3" s="56"/>
      <c r="M3" s="56"/>
      <c r="N3" s="56"/>
      <c r="O3" s="56"/>
      <c r="P3" s="56"/>
      <c r="Q3" s="56"/>
    </row>
    <row r="4" spans="1:41" ht="15" customHeight="1" thickBot="1" x14ac:dyDescent="0.5">
      <c r="B4" s="3"/>
    </row>
    <row r="5" spans="1:41" ht="15" customHeight="1" x14ac:dyDescent="0.45">
      <c r="A5" s="64" t="s">
        <v>343</v>
      </c>
      <c r="B5" s="64"/>
      <c r="C5" s="60" t="s">
        <v>344</v>
      </c>
      <c r="D5" s="61"/>
      <c r="E5" s="61"/>
      <c r="F5" s="61"/>
      <c r="G5" s="61"/>
      <c r="H5" s="61"/>
      <c r="I5" s="61"/>
      <c r="J5" s="61"/>
      <c r="K5" s="61"/>
      <c r="L5" s="61"/>
      <c r="M5" s="61"/>
      <c r="N5" s="61"/>
      <c r="O5" s="62"/>
      <c r="P5" s="65" t="s">
        <v>345</v>
      </c>
      <c r="Q5" s="66"/>
      <c r="R5" s="66"/>
      <c r="S5" s="66"/>
      <c r="T5" s="66"/>
      <c r="U5" s="66"/>
      <c r="V5" s="66"/>
      <c r="W5" s="66"/>
      <c r="X5" s="66"/>
      <c r="Y5" s="66"/>
      <c r="Z5" s="66"/>
      <c r="AA5" s="66"/>
      <c r="AB5" s="67"/>
      <c r="AC5" s="57" t="s">
        <v>346</v>
      </c>
      <c r="AD5" s="58"/>
      <c r="AE5" s="58"/>
      <c r="AF5" s="58"/>
      <c r="AG5" s="58"/>
      <c r="AH5" s="58"/>
      <c r="AI5" s="58"/>
      <c r="AJ5" s="58"/>
      <c r="AK5" s="58"/>
      <c r="AL5" s="58"/>
      <c r="AM5" s="58"/>
      <c r="AN5" s="58"/>
      <c r="AO5" s="59"/>
    </row>
    <row r="6" spans="1:41" x14ac:dyDescent="0.45">
      <c r="A6" s="36" t="s">
        <v>347</v>
      </c>
      <c r="B6" s="36" t="s">
        <v>349</v>
      </c>
      <c r="C6" s="37" t="s">
        <v>351</v>
      </c>
      <c r="D6" s="38" t="s">
        <v>352</v>
      </c>
      <c r="E6" s="38" t="s">
        <v>353</v>
      </c>
      <c r="F6" s="38" t="s">
        <v>354</v>
      </c>
      <c r="G6" s="38" t="s">
        <v>355</v>
      </c>
      <c r="H6" s="38" t="s">
        <v>356</v>
      </c>
      <c r="I6" s="38" t="s">
        <v>357</v>
      </c>
      <c r="J6" s="38" t="s">
        <v>358</v>
      </c>
      <c r="K6" s="38" t="s">
        <v>359</v>
      </c>
      <c r="L6" s="38" t="s">
        <v>360</v>
      </c>
      <c r="M6" s="38" t="s">
        <v>361</v>
      </c>
      <c r="N6" s="38" t="s">
        <v>362</v>
      </c>
      <c r="O6" s="39" t="s">
        <v>0</v>
      </c>
      <c r="P6" s="40" t="s">
        <v>363</v>
      </c>
      <c r="Q6" s="41" t="s">
        <v>364</v>
      </c>
      <c r="R6" s="41" t="s">
        <v>365</v>
      </c>
      <c r="S6" s="41" t="s">
        <v>366</v>
      </c>
      <c r="T6" s="41" t="s">
        <v>367</v>
      </c>
      <c r="U6" s="41" t="s">
        <v>368</v>
      </c>
      <c r="V6" s="41" t="s">
        <v>369</v>
      </c>
      <c r="W6" s="41" t="s">
        <v>370</v>
      </c>
      <c r="X6" s="41" t="s">
        <v>371</v>
      </c>
      <c r="Y6" s="41" t="s">
        <v>372</v>
      </c>
      <c r="Z6" s="41" t="s">
        <v>373</v>
      </c>
      <c r="AA6" s="41" t="s">
        <v>374</v>
      </c>
      <c r="AB6" s="42" t="s">
        <v>0</v>
      </c>
      <c r="AC6" s="43" t="s">
        <v>363</v>
      </c>
      <c r="AD6" s="44" t="s">
        <v>364</v>
      </c>
      <c r="AE6" s="44" t="s">
        <v>365</v>
      </c>
      <c r="AF6" s="44" t="s">
        <v>366</v>
      </c>
      <c r="AG6" s="44" t="s">
        <v>367</v>
      </c>
      <c r="AH6" s="44" t="s">
        <v>368</v>
      </c>
      <c r="AI6" s="44" t="s">
        <v>369</v>
      </c>
      <c r="AJ6" s="44" t="s">
        <v>370</v>
      </c>
      <c r="AK6" s="44" t="s">
        <v>371</v>
      </c>
      <c r="AL6" s="44" t="s">
        <v>372</v>
      </c>
      <c r="AM6" s="44" t="s">
        <v>373</v>
      </c>
      <c r="AN6" s="44" t="s">
        <v>374</v>
      </c>
      <c r="AO6" s="45" t="s">
        <v>0</v>
      </c>
    </row>
    <row r="7" spans="1:41" ht="17.25" customHeight="1" x14ac:dyDescent="0.45">
      <c r="A7" s="2" t="s">
        <v>9</v>
      </c>
      <c r="B7" s="2" t="s">
        <v>14</v>
      </c>
      <c r="C7" s="23">
        <v>31</v>
      </c>
      <c r="D7" s="1">
        <v>24</v>
      </c>
      <c r="E7" s="1">
        <v>27</v>
      </c>
      <c r="F7" s="1">
        <v>17</v>
      </c>
      <c r="G7" s="1">
        <v>16</v>
      </c>
      <c r="H7" s="1">
        <v>16</v>
      </c>
      <c r="I7" s="1">
        <v>17</v>
      </c>
      <c r="J7" s="1">
        <v>18</v>
      </c>
      <c r="K7" s="1">
        <v>14</v>
      </c>
      <c r="L7" s="1">
        <v>17</v>
      </c>
      <c r="M7" s="1">
        <v>3</v>
      </c>
      <c r="N7" s="1">
        <v>0</v>
      </c>
      <c r="O7" s="24">
        <f>SUM(C7:N7)</f>
        <v>200</v>
      </c>
      <c r="P7" s="23">
        <v>368</v>
      </c>
      <c r="Q7" s="1">
        <v>327</v>
      </c>
      <c r="R7" s="1">
        <v>433</v>
      </c>
      <c r="S7" s="1">
        <v>280</v>
      </c>
      <c r="T7" s="1">
        <v>222</v>
      </c>
      <c r="U7" s="1">
        <v>141</v>
      </c>
      <c r="V7" s="1">
        <v>144</v>
      </c>
      <c r="W7" s="1">
        <v>183</v>
      </c>
      <c r="X7" s="1">
        <v>114</v>
      </c>
      <c r="Y7" s="1">
        <v>82</v>
      </c>
      <c r="Z7" s="1">
        <v>8</v>
      </c>
      <c r="AA7" s="1">
        <v>0</v>
      </c>
      <c r="AB7" s="24">
        <f>SUM(P7:AA7)</f>
        <v>2302</v>
      </c>
      <c r="AC7" s="23">
        <v>0</v>
      </c>
      <c r="AD7" s="1">
        <v>0</v>
      </c>
      <c r="AE7" s="1">
        <v>0</v>
      </c>
      <c r="AF7" s="1">
        <v>0</v>
      </c>
      <c r="AG7" s="1">
        <v>0</v>
      </c>
      <c r="AH7" s="1">
        <v>0</v>
      </c>
      <c r="AI7" s="1">
        <v>0</v>
      </c>
      <c r="AJ7" s="1">
        <v>0</v>
      </c>
      <c r="AK7" s="1">
        <v>0</v>
      </c>
      <c r="AL7" s="1">
        <v>0</v>
      </c>
      <c r="AM7" s="1">
        <v>0</v>
      </c>
      <c r="AN7" s="1">
        <v>0</v>
      </c>
      <c r="AO7" s="24">
        <f>SUM(AC7:AN7)</f>
        <v>0</v>
      </c>
    </row>
    <row r="8" spans="1:41" ht="17.25" customHeight="1" x14ac:dyDescent="0.45">
      <c r="A8" s="12" t="s">
        <v>9</v>
      </c>
      <c r="B8" s="12" t="s">
        <v>32</v>
      </c>
      <c r="C8" s="25">
        <v>0</v>
      </c>
      <c r="D8" s="10">
        <v>0</v>
      </c>
      <c r="E8" s="10">
        <v>0</v>
      </c>
      <c r="F8" s="10">
        <v>0</v>
      </c>
      <c r="G8" s="10">
        <v>0</v>
      </c>
      <c r="H8" s="10">
        <v>0</v>
      </c>
      <c r="I8" s="10">
        <v>0</v>
      </c>
      <c r="J8" s="10">
        <v>2</v>
      </c>
      <c r="K8" s="10">
        <v>0</v>
      </c>
      <c r="L8" s="10">
        <v>0</v>
      </c>
      <c r="M8" s="10">
        <v>0</v>
      </c>
      <c r="N8" s="10">
        <v>0</v>
      </c>
      <c r="O8" s="26">
        <f t="shared" ref="O8:O71" si="0">SUM(C8:N8)</f>
        <v>2</v>
      </c>
      <c r="P8" s="25">
        <v>0</v>
      </c>
      <c r="Q8" s="10">
        <v>0</v>
      </c>
      <c r="R8" s="10">
        <v>0</v>
      </c>
      <c r="S8" s="10">
        <v>0</v>
      </c>
      <c r="T8" s="10">
        <v>0</v>
      </c>
      <c r="U8" s="10">
        <v>0</v>
      </c>
      <c r="V8" s="10">
        <v>0</v>
      </c>
      <c r="W8" s="10">
        <v>11</v>
      </c>
      <c r="X8" s="10">
        <v>0</v>
      </c>
      <c r="Y8" s="10">
        <v>0</v>
      </c>
      <c r="Z8" s="10">
        <v>0</v>
      </c>
      <c r="AA8" s="10">
        <v>0</v>
      </c>
      <c r="AB8" s="26">
        <f t="shared" ref="AB8:AB71" si="1">SUM(P8:AA8)</f>
        <v>11</v>
      </c>
      <c r="AC8" s="25">
        <v>0</v>
      </c>
      <c r="AD8" s="10">
        <v>0</v>
      </c>
      <c r="AE8" s="10">
        <v>0</v>
      </c>
      <c r="AF8" s="10">
        <v>0</v>
      </c>
      <c r="AG8" s="10">
        <v>0</v>
      </c>
      <c r="AH8" s="10">
        <v>0</v>
      </c>
      <c r="AI8" s="10">
        <v>0</v>
      </c>
      <c r="AJ8" s="10">
        <v>0</v>
      </c>
      <c r="AK8" s="10">
        <v>0</v>
      </c>
      <c r="AL8" s="10">
        <v>0</v>
      </c>
      <c r="AM8" s="10">
        <v>0</v>
      </c>
      <c r="AN8" s="10">
        <v>0</v>
      </c>
      <c r="AO8" s="26">
        <f t="shared" ref="AO8:AO71" si="2">SUM(AC8:AN8)</f>
        <v>0</v>
      </c>
    </row>
    <row r="9" spans="1:41" ht="17.25" customHeight="1" x14ac:dyDescent="0.45">
      <c r="A9" s="2" t="s">
        <v>16</v>
      </c>
      <c r="B9" s="2" t="s">
        <v>38</v>
      </c>
      <c r="C9" s="23">
        <v>0</v>
      </c>
      <c r="D9" s="1">
        <v>1</v>
      </c>
      <c r="E9" s="1">
        <v>0</v>
      </c>
      <c r="F9" s="1">
        <v>0</v>
      </c>
      <c r="G9" s="1">
        <v>1</v>
      </c>
      <c r="H9" s="1">
        <v>0</v>
      </c>
      <c r="I9" s="1">
        <v>0</v>
      </c>
      <c r="J9" s="1">
        <v>0</v>
      </c>
      <c r="K9" s="1">
        <v>1</v>
      </c>
      <c r="L9" s="1">
        <v>1</v>
      </c>
      <c r="M9" s="1">
        <v>0</v>
      </c>
      <c r="N9" s="1">
        <v>0</v>
      </c>
      <c r="O9" s="24">
        <f t="shared" si="0"/>
        <v>4</v>
      </c>
      <c r="P9" s="23">
        <v>0</v>
      </c>
      <c r="Q9" s="1">
        <v>0</v>
      </c>
      <c r="R9" s="1">
        <v>0</v>
      </c>
      <c r="S9" s="1">
        <v>0</v>
      </c>
      <c r="T9" s="1">
        <v>0</v>
      </c>
      <c r="U9" s="1">
        <v>0</v>
      </c>
      <c r="V9" s="1">
        <v>0</v>
      </c>
      <c r="W9" s="1">
        <v>0</v>
      </c>
      <c r="X9" s="1">
        <v>0</v>
      </c>
      <c r="Y9" s="1">
        <v>0</v>
      </c>
      <c r="Z9" s="1">
        <v>0</v>
      </c>
      <c r="AA9" s="1">
        <v>0</v>
      </c>
      <c r="AB9" s="24">
        <f t="shared" si="1"/>
        <v>0</v>
      </c>
      <c r="AC9" s="23">
        <v>0</v>
      </c>
      <c r="AD9" s="1">
        <v>2000</v>
      </c>
      <c r="AE9" s="1">
        <v>0</v>
      </c>
      <c r="AF9" s="1">
        <v>0</v>
      </c>
      <c r="AG9" s="1">
        <v>1400</v>
      </c>
      <c r="AH9" s="1">
        <v>0</v>
      </c>
      <c r="AI9" s="1">
        <v>0</v>
      </c>
      <c r="AJ9" s="1">
        <v>0</v>
      </c>
      <c r="AK9" s="1">
        <v>2200</v>
      </c>
      <c r="AL9" s="1">
        <v>300</v>
      </c>
      <c r="AM9" s="1">
        <v>0</v>
      </c>
      <c r="AN9" s="1">
        <v>0</v>
      </c>
      <c r="AO9" s="24">
        <f t="shared" si="2"/>
        <v>5900</v>
      </c>
    </row>
    <row r="10" spans="1:41" ht="17.25" customHeight="1" x14ac:dyDescent="0.45">
      <c r="A10" s="12" t="s">
        <v>16</v>
      </c>
      <c r="B10" s="12" t="s">
        <v>206</v>
      </c>
      <c r="C10" s="25">
        <v>0</v>
      </c>
      <c r="D10" s="10">
        <v>2</v>
      </c>
      <c r="E10" s="10">
        <v>0</v>
      </c>
      <c r="F10" s="10">
        <v>0</v>
      </c>
      <c r="G10" s="10">
        <v>3</v>
      </c>
      <c r="H10" s="10">
        <v>4</v>
      </c>
      <c r="I10" s="10">
        <v>0</v>
      </c>
      <c r="J10" s="10">
        <v>0</v>
      </c>
      <c r="K10" s="10">
        <v>1</v>
      </c>
      <c r="L10" s="10">
        <v>1</v>
      </c>
      <c r="M10" s="10">
        <v>0</v>
      </c>
      <c r="N10" s="10">
        <v>2</v>
      </c>
      <c r="O10" s="26">
        <f t="shared" si="0"/>
        <v>13</v>
      </c>
      <c r="P10" s="25">
        <v>0</v>
      </c>
      <c r="Q10" s="10">
        <v>0</v>
      </c>
      <c r="R10" s="10">
        <v>0</v>
      </c>
      <c r="S10" s="10">
        <v>0</v>
      </c>
      <c r="T10" s="10">
        <v>0</v>
      </c>
      <c r="U10" s="10">
        <v>0</v>
      </c>
      <c r="V10" s="10">
        <v>0</v>
      </c>
      <c r="W10" s="10">
        <v>0</v>
      </c>
      <c r="X10" s="10">
        <v>0</v>
      </c>
      <c r="Y10" s="10">
        <v>0</v>
      </c>
      <c r="Z10" s="10">
        <v>0</v>
      </c>
      <c r="AA10" s="10">
        <v>0</v>
      </c>
      <c r="AB10" s="26">
        <f t="shared" si="1"/>
        <v>0</v>
      </c>
      <c r="AC10" s="25">
        <v>0</v>
      </c>
      <c r="AD10" s="10">
        <v>1929</v>
      </c>
      <c r="AE10" s="10">
        <v>0</v>
      </c>
      <c r="AF10" s="10">
        <v>0</v>
      </c>
      <c r="AG10" s="10">
        <v>1086</v>
      </c>
      <c r="AH10" s="10">
        <v>5952</v>
      </c>
      <c r="AI10" s="10">
        <v>0</v>
      </c>
      <c r="AJ10" s="10">
        <v>0</v>
      </c>
      <c r="AK10" s="10">
        <v>250</v>
      </c>
      <c r="AL10" s="10">
        <v>7460</v>
      </c>
      <c r="AM10" s="10">
        <v>0</v>
      </c>
      <c r="AN10" s="10">
        <v>2000</v>
      </c>
      <c r="AO10" s="26">
        <f t="shared" si="2"/>
        <v>18677</v>
      </c>
    </row>
    <row r="11" spans="1:41" ht="17.25" customHeight="1" x14ac:dyDescent="0.45">
      <c r="A11" s="2" t="s">
        <v>16</v>
      </c>
      <c r="B11" s="2" t="s">
        <v>15</v>
      </c>
      <c r="C11" s="23">
        <v>0</v>
      </c>
      <c r="D11" s="1">
        <v>1</v>
      </c>
      <c r="E11" s="1">
        <v>0</v>
      </c>
      <c r="F11" s="1">
        <v>0</v>
      </c>
      <c r="G11" s="1">
        <v>1</v>
      </c>
      <c r="H11" s="1">
        <v>0</v>
      </c>
      <c r="I11" s="1">
        <v>0</v>
      </c>
      <c r="J11" s="1">
        <v>0</v>
      </c>
      <c r="K11" s="1">
        <v>0</v>
      </c>
      <c r="L11" s="1">
        <v>0</v>
      </c>
      <c r="M11" s="1">
        <v>0</v>
      </c>
      <c r="N11" s="1">
        <v>0</v>
      </c>
      <c r="O11" s="24">
        <f t="shared" si="0"/>
        <v>2</v>
      </c>
      <c r="P11" s="23">
        <v>0</v>
      </c>
      <c r="Q11" s="1">
        <v>0</v>
      </c>
      <c r="R11" s="1">
        <v>0</v>
      </c>
      <c r="S11" s="1">
        <v>0</v>
      </c>
      <c r="T11" s="1">
        <v>0</v>
      </c>
      <c r="U11" s="1">
        <v>0</v>
      </c>
      <c r="V11" s="1">
        <v>0</v>
      </c>
      <c r="W11" s="1">
        <v>0</v>
      </c>
      <c r="X11" s="1">
        <v>0</v>
      </c>
      <c r="Y11" s="1">
        <v>0</v>
      </c>
      <c r="Z11" s="1">
        <v>0</v>
      </c>
      <c r="AA11" s="1">
        <v>0</v>
      </c>
      <c r="AB11" s="24">
        <f t="shared" si="1"/>
        <v>0</v>
      </c>
      <c r="AC11" s="23">
        <v>0</v>
      </c>
      <c r="AD11" s="1">
        <v>4000</v>
      </c>
      <c r="AE11" s="1">
        <v>0</v>
      </c>
      <c r="AF11" s="1">
        <v>0</v>
      </c>
      <c r="AG11" s="1">
        <v>385</v>
      </c>
      <c r="AH11" s="1">
        <v>0</v>
      </c>
      <c r="AI11" s="1">
        <v>0</v>
      </c>
      <c r="AJ11" s="1">
        <v>0</v>
      </c>
      <c r="AK11" s="1">
        <v>0</v>
      </c>
      <c r="AL11" s="1">
        <v>0</v>
      </c>
      <c r="AM11" s="1">
        <v>0</v>
      </c>
      <c r="AN11" s="1">
        <v>0</v>
      </c>
      <c r="AO11" s="24">
        <f t="shared" si="2"/>
        <v>4385</v>
      </c>
    </row>
    <row r="12" spans="1:41" ht="17.25" customHeight="1" x14ac:dyDescent="0.45">
      <c r="A12" s="12" t="s">
        <v>16</v>
      </c>
      <c r="B12" s="12" t="s">
        <v>32</v>
      </c>
      <c r="C12" s="25">
        <v>1</v>
      </c>
      <c r="D12" s="10">
        <v>1</v>
      </c>
      <c r="E12" s="10">
        <v>0</v>
      </c>
      <c r="F12" s="10">
        <v>0</v>
      </c>
      <c r="G12" s="10">
        <v>0</v>
      </c>
      <c r="H12" s="10">
        <v>0</v>
      </c>
      <c r="I12" s="10">
        <v>0</v>
      </c>
      <c r="J12" s="10">
        <v>0</v>
      </c>
      <c r="K12" s="10">
        <v>1</v>
      </c>
      <c r="L12" s="10">
        <v>2</v>
      </c>
      <c r="M12" s="10">
        <v>0</v>
      </c>
      <c r="N12" s="10">
        <v>0</v>
      </c>
      <c r="O12" s="26">
        <f t="shared" si="0"/>
        <v>5</v>
      </c>
      <c r="P12" s="25">
        <v>49</v>
      </c>
      <c r="Q12" s="10">
        <v>48</v>
      </c>
      <c r="R12" s="10">
        <v>0</v>
      </c>
      <c r="S12" s="10">
        <v>0</v>
      </c>
      <c r="T12" s="10">
        <v>0</v>
      </c>
      <c r="U12" s="10">
        <v>0</v>
      </c>
      <c r="V12" s="10">
        <v>0</v>
      </c>
      <c r="W12" s="10">
        <v>0</v>
      </c>
      <c r="X12" s="10">
        <v>50</v>
      </c>
      <c r="Y12" s="10">
        <v>52</v>
      </c>
      <c r="Z12" s="10">
        <v>0</v>
      </c>
      <c r="AA12" s="10">
        <v>0</v>
      </c>
      <c r="AB12" s="26">
        <f t="shared" si="1"/>
        <v>199</v>
      </c>
      <c r="AC12" s="25">
        <v>0</v>
      </c>
      <c r="AD12" s="10">
        <v>0</v>
      </c>
      <c r="AE12" s="10">
        <v>0</v>
      </c>
      <c r="AF12" s="10">
        <v>0</v>
      </c>
      <c r="AG12" s="10">
        <v>0</v>
      </c>
      <c r="AH12" s="10">
        <v>0</v>
      </c>
      <c r="AI12" s="10">
        <v>0</v>
      </c>
      <c r="AJ12" s="10">
        <v>0</v>
      </c>
      <c r="AK12" s="10">
        <v>0</v>
      </c>
      <c r="AL12" s="10">
        <v>0</v>
      </c>
      <c r="AM12" s="10">
        <v>0</v>
      </c>
      <c r="AN12" s="10">
        <v>0</v>
      </c>
      <c r="AO12" s="26">
        <f t="shared" si="2"/>
        <v>0</v>
      </c>
    </row>
    <row r="13" spans="1:41" ht="17.25" customHeight="1" x14ac:dyDescent="0.45">
      <c r="A13" s="2" t="s">
        <v>18</v>
      </c>
      <c r="B13" s="2" t="s">
        <v>23</v>
      </c>
      <c r="C13" s="23">
        <v>0</v>
      </c>
      <c r="D13" s="1">
        <v>0</v>
      </c>
      <c r="E13" s="1">
        <v>0</v>
      </c>
      <c r="F13" s="1">
        <v>0</v>
      </c>
      <c r="G13" s="1">
        <v>0</v>
      </c>
      <c r="H13" s="1">
        <v>0</v>
      </c>
      <c r="I13" s="1">
        <v>0</v>
      </c>
      <c r="J13" s="1">
        <v>1</v>
      </c>
      <c r="K13" s="1">
        <v>0</v>
      </c>
      <c r="L13" s="1">
        <v>0</v>
      </c>
      <c r="M13" s="1">
        <v>0</v>
      </c>
      <c r="N13" s="1">
        <v>0</v>
      </c>
      <c r="O13" s="24">
        <f t="shared" si="0"/>
        <v>1</v>
      </c>
      <c r="P13" s="23">
        <v>0</v>
      </c>
      <c r="Q13" s="1">
        <v>0</v>
      </c>
      <c r="R13" s="1">
        <v>0</v>
      </c>
      <c r="S13" s="1">
        <v>0</v>
      </c>
      <c r="T13" s="1">
        <v>0</v>
      </c>
      <c r="U13" s="1">
        <v>0</v>
      </c>
      <c r="V13" s="1">
        <v>0</v>
      </c>
      <c r="W13" s="1">
        <v>134</v>
      </c>
      <c r="X13" s="1">
        <v>0</v>
      </c>
      <c r="Y13" s="1">
        <v>0</v>
      </c>
      <c r="Z13" s="1">
        <v>0</v>
      </c>
      <c r="AA13" s="1">
        <v>0</v>
      </c>
      <c r="AB13" s="24">
        <f t="shared" si="1"/>
        <v>134</v>
      </c>
      <c r="AC13" s="23">
        <v>0</v>
      </c>
      <c r="AD13" s="1">
        <v>0</v>
      </c>
      <c r="AE13" s="1">
        <v>0</v>
      </c>
      <c r="AF13" s="1">
        <v>0</v>
      </c>
      <c r="AG13" s="1">
        <v>0</v>
      </c>
      <c r="AH13" s="1">
        <v>0</v>
      </c>
      <c r="AI13" s="1">
        <v>0</v>
      </c>
      <c r="AJ13" s="1">
        <v>0</v>
      </c>
      <c r="AK13" s="1">
        <v>0</v>
      </c>
      <c r="AL13" s="1">
        <v>0</v>
      </c>
      <c r="AM13" s="1">
        <v>0</v>
      </c>
      <c r="AN13" s="1">
        <v>0</v>
      </c>
      <c r="AO13" s="24">
        <f t="shared" si="2"/>
        <v>0</v>
      </c>
    </row>
    <row r="14" spans="1:41" ht="17.25" customHeight="1" x14ac:dyDescent="0.45">
      <c r="A14" s="12" t="s">
        <v>18</v>
      </c>
      <c r="B14" s="12" t="s">
        <v>14</v>
      </c>
      <c r="C14" s="25">
        <v>0</v>
      </c>
      <c r="D14" s="10">
        <v>0</v>
      </c>
      <c r="E14" s="10">
        <v>0</v>
      </c>
      <c r="F14" s="10">
        <v>8</v>
      </c>
      <c r="G14" s="10">
        <v>8</v>
      </c>
      <c r="H14" s="10">
        <v>7</v>
      </c>
      <c r="I14" s="10">
        <v>16</v>
      </c>
      <c r="J14" s="10">
        <v>18</v>
      </c>
      <c r="K14" s="10">
        <v>17</v>
      </c>
      <c r="L14" s="10">
        <v>18</v>
      </c>
      <c r="M14" s="10">
        <v>17</v>
      </c>
      <c r="N14" s="10">
        <v>19</v>
      </c>
      <c r="O14" s="26">
        <f t="shared" si="0"/>
        <v>128</v>
      </c>
      <c r="P14" s="25">
        <v>0</v>
      </c>
      <c r="Q14" s="10">
        <v>0</v>
      </c>
      <c r="R14" s="10">
        <v>0</v>
      </c>
      <c r="S14" s="10">
        <v>189</v>
      </c>
      <c r="T14" s="10">
        <v>159</v>
      </c>
      <c r="U14" s="10">
        <v>105</v>
      </c>
      <c r="V14" s="10">
        <v>280</v>
      </c>
      <c r="W14" s="10">
        <v>297</v>
      </c>
      <c r="X14" s="10">
        <v>184</v>
      </c>
      <c r="Y14" s="10">
        <v>239</v>
      </c>
      <c r="Z14" s="10">
        <v>265</v>
      </c>
      <c r="AA14" s="10">
        <v>602</v>
      </c>
      <c r="AB14" s="26">
        <f t="shared" si="1"/>
        <v>2320</v>
      </c>
      <c r="AC14" s="25">
        <v>0</v>
      </c>
      <c r="AD14" s="10">
        <v>0</v>
      </c>
      <c r="AE14" s="10">
        <v>0</v>
      </c>
      <c r="AF14" s="10">
        <v>0</v>
      </c>
      <c r="AG14" s="10">
        <v>0</v>
      </c>
      <c r="AH14" s="10">
        <v>0</v>
      </c>
      <c r="AI14" s="10">
        <v>0</v>
      </c>
      <c r="AJ14" s="10">
        <v>0</v>
      </c>
      <c r="AK14" s="10">
        <v>0</v>
      </c>
      <c r="AL14" s="10">
        <v>0</v>
      </c>
      <c r="AM14" s="10">
        <v>0</v>
      </c>
      <c r="AN14" s="10">
        <v>0</v>
      </c>
      <c r="AO14" s="26">
        <f t="shared" si="2"/>
        <v>0</v>
      </c>
    </row>
    <row r="15" spans="1:41" ht="17.25" customHeight="1" x14ac:dyDescent="0.45">
      <c r="A15" s="2" t="s">
        <v>10</v>
      </c>
      <c r="B15" s="2" t="s">
        <v>280</v>
      </c>
      <c r="C15" s="23">
        <v>0</v>
      </c>
      <c r="D15" s="1">
        <v>0</v>
      </c>
      <c r="E15" s="1">
        <v>0</v>
      </c>
      <c r="F15" s="1">
        <v>2</v>
      </c>
      <c r="G15" s="1">
        <v>2</v>
      </c>
      <c r="H15" s="1">
        <v>0</v>
      </c>
      <c r="I15" s="1">
        <v>1</v>
      </c>
      <c r="J15" s="1">
        <v>1</v>
      </c>
      <c r="K15" s="1">
        <v>2</v>
      </c>
      <c r="L15" s="1">
        <v>1</v>
      </c>
      <c r="M15" s="1">
        <v>2</v>
      </c>
      <c r="N15" s="1">
        <v>0</v>
      </c>
      <c r="O15" s="24">
        <f t="shared" si="0"/>
        <v>11</v>
      </c>
      <c r="P15" s="23">
        <v>0</v>
      </c>
      <c r="Q15" s="1">
        <v>0</v>
      </c>
      <c r="R15" s="1">
        <v>0</v>
      </c>
      <c r="S15" s="1">
        <v>0</v>
      </c>
      <c r="T15" s="1">
        <v>0</v>
      </c>
      <c r="U15" s="1">
        <v>0</v>
      </c>
      <c r="V15" s="1">
        <v>0</v>
      </c>
      <c r="W15" s="1">
        <v>0</v>
      </c>
      <c r="X15" s="1">
        <v>0</v>
      </c>
      <c r="Y15" s="1">
        <v>0</v>
      </c>
      <c r="Z15" s="1">
        <v>0</v>
      </c>
      <c r="AA15" s="1">
        <v>0</v>
      </c>
      <c r="AB15" s="24">
        <f t="shared" si="1"/>
        <v>0</v>
      </c>
      <c r="AC15" s="23">
        <v>0</v>
      </c>
      <c r="AD15" s="1">
        <v>0</v>
      </c>
      <c r="AE15" s="1">
        <v>0</v>
      </c>
      <c r="AF15" s="1">
        <v>2100</v>
      </c>
      <c r="AG15" s="1">
        <v>2150</v>
      </c>
      <c r="AH15" s="1">
        <v>0</v>
      </c>
      <c r="AI15" s="1">
        <v>1100</v>
      </c>
      <c r="AJ15" s="1">
        <v>1100</v>
      </c>
      <c r="AK15" s="1">
        <v>2200</v>
      </c>
      <c r="AL15" s="1">
        <v>1100</v>
      </c>
      <c r="AM15" s="1">
        <v>2200</v>
      </c>
      <c r="AN15" s="1">
        <v>0</v>
      </c>
      <c r="AO15" s="24">
        <f t="shared" si="2"/>
        <v>11950</v>
      </c>
    </row>
    <row r="16" spans="1:41" ht="17.25" customHeight="1" x14ac:dyDescent="0.45">
      <c r="A16" s="12" t="s">
        <v>10</v>
      </c>
      <c r="B16" s="12" t="s">
        <v>11</v>
      </c>
      <c r="C16" s="25">
        <v>0</v>
      </c>
      <c r="D16" s="10">
        <v>0</v>
      </c>
      <c r="E16" s="10">
        <v>0</v>
      </c>
      <c r="F16" s="10">
        <v>1</v>
      </c>
      <c r="G16" s="10">
        <v>0</v>
      </c>
      <c r="H16" s="10">
        <v>0</v>
      </c>
      <c r="I16" s="10">
        <v>0</v>
      </c>
      <c r="J16" s="10">
        <v>0</v>
      </c>
      <c r="K16" s="10">
        <v>0</v>
      </c>
      <c r="L16" s="10">
        <v>0</v>
      </c>
      <c r="M16" s="10">
        <v>0</v>
      </c>
      <c r="N16" s="10">
        <v>0</v>
      </c>
      <c r="O16" s="26">
        <f t="shared" si="0"/>
        <v>1</v>
      </c>
      <c r="P16" s="25">
        <v>0</v>
      </c>
      <c r="Q16" s="10">
        <v>0</v>
      </c>
      <c r="R16" s="10">
        <v>0</v>
      </c>
      <c r="S16" s="10">
        <v>174</v>
      </c>
      <c r="T16" s="10">
        <v>0</v>
      </c>
      <c r="U16" s="10">
        <v>0</v>
      </c>
      <c r="V16" s="10">
        <v>0</v>
      </c>
      <c r="W16" s="10">
        <v>0</v>
      </c>
      <c r="X16" s="10">
        <v>0</v>
      </c>
      <c r="Y16" s="10">
        <v>0</v>
      </c>
      <c r="Z16" s="10">
        <v>0</v>
      </c>
      <c r="AA16" s="10">
        <v>0</v>
      </c>
      <c r="AB16" s="26">
        <f t="shared" si="1"/>
        <v>174</v>
      </c>
      <c r="AC16" s="25">
        <v>0</v>
      </c>
      <c r="AD16" s="10">
        <v>0</v>
      </c>
      <c r="AE16" s="10">
        <v>0</v>
      </c>
      <c r="AF16" s="10">
        <v>0</v>
      </c>
      <c r="AG16" s="10">
        <v>0</v>
      </c>
      <c r="AH16" s="10">
        <v>0</v>
      </c>
      <c r="AI16" s="10">
        <v>0</v>
      </c>
      <c r="AJ16" s="10">
        <v>0</v>
      </c>
      <c r="AK16" s="10">
        <v>0</v>
      </c>
      <c r="AL16" s="10">
        <v>0</v>
      </c>
      <c r="AM16" s="10">
        <v>0</v>
      </c>
      <c r="AN16" s="10">
        <v>0</v>
      </c>
      <c r="AO16" s="26">
        <f t="shared" si="2"/>
        <v>0</v>
      </c>
    </row>
    <row r="17" spans="1:41" ht="17.25" customHeight="1" x14ac:dyDescent="0.45">
      <c r="A17" s="2" t="s">
        <v>10</v>
      </c>
      <c r="B17" s="2" t="s">
        <v>23</v>
      </c>
      <c r="C17" s="23">
        <v>46</v>
      </c>
      <c r="D17" s="1">
        <v>51</v>
      </c>
      <c r="E17" s="1">
        <v>51</v>
      </c>
      <c r="F17" s="1">
        <v>57</v>
      </c>
      <c r="G17" s="1">
        <v>51</v>
      </c>
      <c r="H17" s="1">
        <v>54</v>
      </c>
      <c r="I17" s="1">
        <v>56</v>
      </c>
      <c r="J17" s="1">
        <v>61</v>
      </c>
      <c r="K17" s="1">
        <v>47</v>
      </c>
      <c r="L17" s="1">
        <v>44</v>
      </c>
      <c r="M17" s="1">
        <v>38</v>
      </c>
      <c r="N17" s="1">
        <v>35</v>
      </c>
      <c r="O17" s="24">
        <f t="shared" si="0"/>
        <v>591</v>
      </c>
      <c r="P17" s="23">
        <v>0</v>
      </c>
      <c r="Q17" s="1">
        <v>0</v>
      </c>
      <c r="R17" s="1">
        <v>0</v>
      </c>
      <c r="S17" s="1">
        <v>0</v>
      </c>
      <c r="T17" s="1">
        <v>0</v>
      </c>
      <c r="U17" s="1">
        <v>0</v>
      </c>
      <c r="V17" s="1">
        <v>122</v>
      </c>
      <c r="W17" s="1">
        <v>0</v>
      </c>
      <c r="X17" s="1">
        <v>0</v>
      </c>
      <c r="Y17" s="1">
        <v>0</v>
      </c>
      <c r="Z17" s="1">
        <v>0</v>
      </c>
      <c r="AA17" s="1">
        <v>0</v>
      </c>
      <c r="AB17" s="24">
        <f t="shared" si="1"/>
        <v>122</v>
      </c>
      <c r="AC17" s="23">
        <v>83111</v>
      </c>
      <c r="AD17" s="1">
        <v>142360</v>
      </c>
      <c r="AE17" s="1">
        <v>170606</v>
      </c>
      <c r="AF17" s="1">
        <v>98464</v>
      </c>
      <c r="AG17" s="1">
        <v>68178</v>
      </c>
      <c r="AH17" s="1">
        <v>89502</v>
      </c>
      <c r="AI17" s="1">
        <v>107864</v>
      </c>
      <c r="AJ17" s="1">
        <v>93046</v>
      </c>
      <c r="AK17" s="1">
        <v>77735</v>
      </c>
      <c r="AL17" s="1">
        <v>66212</v>
      </c>
      <c r="AM17" s="1">
        <v>130765</v>
      </c>
      <c r="AN17" s="1">
        <v>129225</v>
      </c>
      <c r="AO17" s="24">
        <f t="shared" si="2"/>
        <v>1257068</v>
      </c>
    </row>
    <row r="18" spans="1:41" ht="17.25" customHeight="1" x14ac:dyDescent="0.45">
      <c r="A18" s="12" t="s">
        <v>10</v>
      </c>
      <c r="B18" s="12" t="s">
        <v>28</v>
      </c>
      <c r="C18" s="25">
        <v>1</v>
      </c>
      <c r="D18" s="10">
        <v>1</v>
      </c>
      <c r="E18" s="10">
        <v>1</v>
      </c>
      <c r="F18" s="10">
        <v>0</v>
      </c>
      <c r="G18" s="10">
        <v>4</v>
      </c>
      <c r="H18" s="10">
        <v>1</v>
      </c>
      <c r="I18" s="10">
        <v>3</v>
      </c>
      <c r="J18" s="10">
        <v>1</v>
      </c>
      <c r="K18" s="10">
        <v>0</v>
      </c>
      <c r="L18" s="10">
        <v>1</v>
      </c>
      <c r="M18" s="10">
        <v>2</v>
      </c>
      <c r="N18" s="10">
        <v>2</v>
      </c>
      <c r="O18" s="26">
        <f t="shared" si="0"/>
        <v>17</v>
      </c>
      <c r="P18" s="25">
        <v>0</v>
      </c>
      <c r="Q18" s="10">
        <v>0</v>
      </c>
      <c r="R18" s="10">
        <v>180</v>
      </c>
      <c r="S18" s="10">
        <v>0</v>
      </c>
      <c r="T18" s="10">
        <v>0</v>
      </c>
      <c r="U18" s="10">
        <v>0</v>
      </c>
      <c r="V18" s="10">
        <v>0</v>
      </c>
      <c r="W18" s="10">
        <v>0</v>
      </c>
      <c r="X18" s="10">
        <v>0</v>
      </c>
      <c r="Y18" s="10">
        <v>0</v>
      </c>
      <c r="Z18" s="10">
        <v>0</v>
      </c>
      <c r="AA18" s="10">
        <v>0</v>
      </c>
      <c r="AB18" s="26">
        <f t="shared" si="1"/>
        <v>180</v>
      </c>
      <c r="AC18" s="25">
        <v>1100</v>
      </c>
      <c r="AD18" s="10">
        <v>1600</v>
      </c>
      <c r="AE18" s="10">
        <v>0</v>
      </c>
      <c r="AF18" s="10">
        <v>0</v>
      </c>
      <c r="AG18" s="10">
        <v>4837</v>
      </c>
      <c r="AH18" s="10">
        <v>1600</v>
      </c>
      <c r="AI18" s="10">
        <v>3570</v>
      </c>
      <c r="AJ18" s="10">
        <v>2500</v>
      </c>
      <c r="AK18" s="10">
        <v>0</v>
      </c>
      <c r="AL18" s="10">
        <v>2860</v>
      </c>
      <c r="AM18" s="10">
        <v>12122</v>
      </c>
      <c r="AN18" s="10">
        <v>30547</v>
      </c>
      <c r="AO18" s="26">
        <f t="shared" si="2"/>
        <v>60736</v>
      </c>
    </row>
    <row r="19" spans="1:41" ht="17.25" customHeight="1" x14ac:dyDescent="0.45">
      <c r="A19" s="2" t="s">
        <v>10</v>
      </c>
      <c r="B19" s="2" t="s">
        <v>14</v>
      </c>
      <c r="C19" s="23">
        <v>0</v>
      </c>
      <c r="D19" s="1">
        <v>1</v>
      </c>
      <c r="E19" s="1">
        <v>0</v>
      </c>
      <c r="F19" s="1">
        <v>0</v>
      </c>
      <c r="G19" s="1">
        <v>0</v>
      </c>
      <c r="H19" s="1">
        <v>0</v>
      </c>
      <c r="I19" s="1">
        <v>0</v>
      </c>
      <c r="J19" s="1">
        <v>0</v>
      </c>
      <c r="K19" s="1">
        <v>0</v>
      </c>
      <c r="L19" s="1">
        <v>0</v>
      </c>
      <c r="M19" s="1">
        <v>0</v>
      </c>
      <c r="N19" s="1">
        <v>0</v>
      </c>
      <c r="O19" s="24">
        <f t="shared" si="0"/>
        <v>1</v>
      </c>
      <c r="P19" s="23">
        <v>0</v>
      </c>
      <c r="Q19" s="1">
        <v>199</v>
      </c>
      <c r="R19" s="1">
        <v>0</v>
      </c>
      <c r="S19" s="1">
        <v>0</v>
      </c>
      <c r="T19" s="1">
        <v>0</v>
      </c>
      <c r="U19" s="1">
        <v>0</v>
      </c>
      <c r="V19" s="1">
        <v>0</v>
      </c>
      <c r="W19" s="1">
        <v>0</v>
      </c>
      <c r="X19" s="1">
        <v>0</v>
      </c>
      <c r="Y19" s="1">
        <v>0</v>
      </c>
      <c r="Z19" s="1">
        <v>0</v>
      </c>
      <c r="AA19" s="1">
        <v>0</v>
      </c>
      <c r="AB19" s="24">
        <f t="shared" si="1"/>
        <v>199</v>
      </c>
      <c r="AC19" s="23">
        <v>0</v>
      </c>
      <c r="AD19" s="1">
        <v>0</v>
      </c>
      <c r="AE19" s="1">
        <v>0</v>
      </c>
      <c r="AF19" s="1">
        <v>0</v>
      </c>
      <c r="AG19" s="1">
        <v>0</v>
      </c>
      <c r="AH19" s="1">
        <v>0</v>
      </c>
      <c r="AI19" s="1">
        <v>0</v>
      </c>
      <c r="AJ19" s="1">
        <v>0</v>
      </c>
      <c r="AK19" s="1">
        <v>0</v>
      </c>
      <c r="AL19" s="1">
        <v>0</v>
      </c>
      <c r="AM19" s="1">
        <v>0</v>
      </c>
      <c r="AN19" s="1">
        <v>0</v>
      </c>
      <c r="AO19" s="24">
        <f t="shared" si="2"/>
        <v>0</v>
      </c>
    </row>
    <row r="20" spans="1:41" ht="17.25" customHeight="1" x14ac:dyDescent="0.45">
      <c r="A20" s="12" t="s">
        <v>10</v>
      </c>
      <c r="B20" s="12" t="s">
        <v>32</v>
      </c>
      <c r="C20" s="25">
        <v>0</v>
      </c>
      <c r="D20" s="10">
        <v>0</v>
      </c>
      <c r="E20" s="10">
        <v>0</v>
      </c>
      <c r="F20" s="10">
        <v>1</v>
      </c>
      <c r="G20" s="10">
        <v>0</v>
      </c>
      <c r="H20" s="10">
        <v>0</v>
      </c>
      <c r="I20" s="10">
        <v>1</v>
      </c>
      <c r="J20" s="10">
        <v>1</v>
      </c>
      <c r="K20" s="10">
        <v>0</v>
      </c>
      <c r="L20" s="10">
        <v>0</v>
      </c>
      <c r="M20" s="10">
        <v>0</v>
      </c>
      <c r="N20" s="10">
        <v>1</v>
      </c>
      <c r="O20" s="26">
        <f t="shared" si="0"/>
        <v>4</v>
      </c>
      <c r="P20" s="25">
        <v>0</v>
      </c>
      <c r="Q20" s="10">
        <v>0</v>
      </c>
      <c r="R20" s="10">
        <v>0</v>
      </c>
      <c r="S20" s="10">
        <v>35</v>
      </c>
      <c r="T20" s="10">
        <v>0</v>
      </c>
      <c r="U20" s="10">
        <v>0</v>
      </c>
      <c r="V20" s="10">
        <v>43</v>
      </c>
      <c r="W20" s="10">
        <v>0</v>
      </c>
      <c r="X20" s="10">
        <v>0</v>
      </c>
      <c r="Y20" s="10">
        <v>0</v>
      </c>
      <c r="Z20" s="10">
        <v>0</v>
      </c>
      <c r="AA20" s="10">
        <v>6</v>
      </c>
      <c r="AB20" s="26">
        <f t="shared" si="1"/>
        <v>84</v>
      </c>
      <c r="AC20" s="25">
        <v>0</v>
      </c>
      <c r="AD20" s="10">
        <v>0</v>
      </c>
      <c r="AE20" s="10">
        <v>0</v>
      </c>
      <c r="AF20" s="10">
        <v>0</v>
      </c>
      <c r="AG20" s="10">
        <v>0</v>
      </c>
      <c r="AH20" s="10">
        <v>0</v>
      </c>
      <c r="AI20" s="10">
        <v>0</v>
      </c>
      <c r="AJ20" s="10">
        <v>4270</v>
      </c>
      <c r="AK20" s="10">
        <v>0</v>
      </c>
      <c r="AL20" s="10">
        <v>0</v>
      </c>
      <c r="AM20" s="10">
        <v>0</v>
      </c>
      <c r="AN20" s="10">
        <v>0</v>
      </c>
      <c r="AO20" s="26">
        <f t="shared" si="2"/>
        <v>4270</v>
      </c>
    </row>
    <row r="21" spans="1:41" ht="17.25" customHeight="1" x14ac:dyDescent="0.45">
      <c r="A21" s="2" t="s">
        <v>10</v>
      </c>
      <c r="B21" s="2" t="s">
        <v>36</v>
      </c>
      <c r="C21" s="23">
        <v>15</v>
      </c>
      <c r="D21" s="1">
        <v>5</v>
      </c>
      <c r="E21" s="1">
        <v>0</v>
      </c>
      <c r="F21" s="1">
        <v>1</v>
      </c>
      <c r="G21" s="1">
        <v>8</v>
      </c>
      <c r="H21" s="1">
        <v>2</v>
      </c>
      <c r="I21" s="1">
        <v>0</v>
      </c>
      <c r="J21" s="1">
        <v>0</v>
      </c>
      <c r="K21" s="1">
        <v>0</v>
      </c>
      <c r="L21" s="1">
        <v>12</v>
      </c>
      <c r="M21" s="1">
        <v>15</v>
      </c>
      <c r="N21" s="1">
        <v>13</v>
      </c>
      <c r="O21" s="24">
        <f t="shared" si="0"/>
        <v>71</v>
      </c>
      <c r="P21" s="23">
        <v>0</v>
      </c>
      <c r="Q21" s="1">
        <v>0</v>
      </c>
      <c r="R21" s="1">
        <v>0</v>
      </c>
      <c r="S21" s="1">
        <v>0</v>
      </c>
      <c r="T21" s="1">
        <v>0</v>
      </c>
      <c r="U21" s="1">
        <v>0</v>
      </c>
      <c r="V21" s="1">
        <v>0</v>
      </c>
      <c r="W21" s="1">
        <v>0</v>
      </c>
      <c r="X21" s="1">
        <v>0</v>
      </c>
      <c r="Y21" s="1">
        <v>0</v>
      </c>
      <c r="Z21" s="1">
        <v>0</v>
      </c>
      <c r="AA21" s="1">
        <v>0</v>
      </c>
      <c r="AB21" s="24">
        <f t="shared" si="1"/>
        <v>0</v>
      </c>
      <c r="AC21" s="23">
        <v>50814</v>
      </c>
      <c r="AD21" s="1">
        <v>19255</v>
      </c>
      <c r="AE21" s="1">
        <v>0</v>
      </c>
      <c r="AF21" s="1">
        <v>3125</v>
      </c>
      <c r="AG21" s="1">
        <v>23999</v>
      </c>
      <c r="AH21" s="1">
        <v>6552</v>
      </c>
      <c r="AI21" s="1">
        <v>0</v>
      </c>
      <c r="AJ21" s="1">
        <v>0</v>
      </c>
      <c r="AK21" s="1">
        <v>0</v>
      </c>
      <c r="AL21" s="1">
        <v>41683</v>
      </c>
      <c r="AM21" s="1">
        <v>54006</v>
      </c>
      <c r="AN21" s="1">
        <v>57091</v>
      </c>
      <c r="AO21" s="24">
        <f t="shared" si="2"/>
        <v>256525</v>
      </c>
    </row>
    <row r="22" spans="1:41" ht="17.25" customHeight="1" x14ac:dyDescent="0.45">
      <c r="A22" s="12" t="s">
        <v>269</v>
      </c>
      <c r="B22" s="12" t="s">
        <v>32</v>
      </c>
      <c r="C22" s="25">
        <v>0</v>
      </c>
      <c r="D22" s="10">
        <v>0</v>
      </c>
      <c r="E22" s="10">
        <v>4</v>
      </c>
      <c r="F22" s="10">
        <v>7</v>
      </c>
      <c r="G22" s="10">
        <v>4</v>
      </c>
      <c r="H22" s="10">
        <v>2</v>
      </c>
      <c r="I22" s="10">
        <v>4</v>
      </c>
      <c r="J22" s="10">
        <v>4</v>
      </c>
      <c r="K22" s="10">
        <v>4</v>
      </c>
      <c r="L22" s="10">
        <v>2</v>
      </c>
      <c r="M22" s="10">
        <v>3</v>
      </c>
      <c r="N22" s="10">
        <v>6</v>
      </c>
      <c r="O22" s="26">
        <f t="shared" si="0"/>
        <v>40</v>
      </c>
      <c r="P22" s="25">
        <v>0</v>
      </c>
      <c r="Q22" s="10">
        <v>0</v>
      </c>
      <c r="R22" s="10">
        <v>64</v>
      </c>
      <c r="S22" s="10">
        <v>108</v>
      </c>
      <c r="T22" s="10">
        <v>59</v>
      </c>
      <c r="U22" s="10">
        <v>23</v>
      </c>
      <c r="V22" s="10">
        <v>57</v>
      </c>
      <c r="W22" s="10">
        <v>58</v>
      </c>
      <c r="X22" s="10">
        <v>47</v>
      </c>
      <c r="Y22" s="10">
        <v>31</v>
      </c>
      <c r="Z22" s="10">
        <v>46</v>
      </c>
      <c r="AA22" s="10">
        <v>72</v>
      </c>
      <c r="AB22" s="26">
        <f t="shared" si="1"/>
        <v>565</v>
      </c>
      <c r="AC22" s="25">
        <v>0</v>
      </c>
      <c r="AD22" s="10">
        <v>0</v>
      </c>
      <c r="AE22" s="10">
        <v>0</v>
      </c>
      <c r="AF22" s="10">
        <v>0</v>
      </c>
      <c r="AG22" s="10">
        <v>0</v>
      </c>
      <c r="AH22" s="10">
        <v>0</v>
      </c>
      <c r="AI22" s="10">
        <v>0</v>
      </c>
      <c r="AJ22" s="10">
        <v>0</v>
      </c>
      <c r="AK22" s="10">
        <v>0</v>
      </c>
      <c r="AL22" s="10">
        <v>0</v>
      </c>
      <c r="AM22" s="10">
        <v>0</v>
      </c>
      <c r="AN22" s="10">
        <v>0</v>
      </c>
      <c r="AO22" s="26">
        <f t="shared" si="2"/>
        <v>0</v>
      </c>
    </row>
    <row r="23" spans="1:41" ht="17.25" customHeight="1" x14ac:dyDescent="0.45">
      <c r="A23" s="2" t="s">
        <v>280</v>
      </c>
      <c r="B23" s="2" t="s">
        <v>10</v>
      </c>
      <c r="C23" s="23">
        <v>0</v>
      </c>
      <c r="D23" s="1">
        <v>0</v>
      </c>
      <c r="E23" s="1">
        <v>0</v>
      </c>
      <c r="F23" s="1">
        <v>2</v>
      </c>
      <c r="G23" s="1">
        <v>3</v>
      </c>
      <c r="H23" s="1">
        <v>1</v>
      </c>
      <c r="I23" s="1">
        <v>0</v>
      </c>
      <c r="J23" s="1">
        <v>0</v>
      </c>
      <c r="K23" s="1">
        <v>1</v>
      </c>
      <c r="L23" s="1">
        <v>0</v>
      </c>
      <c r="M23" s="1">
        <v>0</v>
      </c>
      <c r="N23" s="1">
        <v>1</v>
      </c>
      <c r="O23" s="24">
        <f t="shared" si="0"/>
        <v>8</v>
      </c>
      <c r="P23" s="23">
        <v>0</v>
      </c>
      <c r="Q23" s="1">
        <v>0</v>
      </c>
      <c r="R23" s="1">
        <v>0</v>
      </c>
      <c r="S23" s="1">
        <v>0</v>
      </c>
      <c r="T23" s="1">
        <v>0</v>
      </c>
      <c r="U23" s="1">
        <v>0</v>
      </c>
      <c r="V23" s="1">
        <v>0</v>
      </c>
      <c r="W23" s="1">
        <v>0</v>
      </c>
      <c r="X23" s="1">
        <v>0</v>
      </c>
      <c r="Y23" s="1">
        <v>0</v>
      </c>
      <c r="Z23" s="1">
        <v>0</v>
      </c>
      <c r="AA23" s="1">
        <v>50</v>
      </c>
      <c r="AB23" s="24">
        <f t="shared" si="1"/>
        <v>50</v>
      </c>
      <c r="AC23" s="23">
        <v>0</v>
      </c>
      <c r="AD23" s="1">
        <v>0</v>
      </c>
      <c r="AE23" s="1">
        <v>0</v>
      </c>
      <c r="AF23" s="1">
        <v>2100</v>
      </c>
      <c r="AG23" s="1">
        <v>3200</v>
      </c>
      <c r="AH23" s="1">
        <v>1050</v>
      </c>
      <c r="AI23" s="1">
        <v>0</v>
      </c>
      <c r="AJ23" s="1">
        <v>0</v>
      </c>
      <c r="AK23" s="1">
        <v>1100</v>
      </c>
      <c r="AL23" s="1">
        <v>0</v>
      </c>
      <c r="AM23" s="1">
        <v>0</v>
      </c>
      <c r="AN23" s="1">
        <v>0</v>
      </c>
      <c r="AO23" s="24">
        <f t="shared" si="2"/>
        <v>7450</v>
      </c>
    </row>
    <row r="24" spans="1:41" ht="17.25" customHeight="1" x14ac:dyDescent="0.45">
      <c r="A24" s="12" t="s">
        <v>19</v>
      </c>
      <c r="B24" s="12" t="s">
        <v>20</v>
      </c>
      <c r="C24" s="25">
        <v>15</v>
      </c>
      <c r="D24" s="10">
        <v>16</v>
      </c>
      <c r="E24" s="10">
        <v>14</v>
      </c>
      <c r="F24" s="10">
        <v>16</v>
      </c>
      <c r="G24" s="10">
        <v>22</v>
      </c>
      <c r="H24" s="10">
        <v>16</v>
      </c>
      <c r="I24" s="10">
        <v>17</v>
      </c>
      <c r="J24" s="10">
        <v>19</v>
      </c>
      <c r="K24" s="10">
        <v>9</v>
      </c>
      <c r="L24" s="10">
        <v>18</v>
      </c>
      <c r="M24" s="10">
        <v>17</v>
      </c>
      <c r="N24" s="10">
        <v>27</v>
      </c>
      <c r="O24" s="26">
        <f t="shared" si="0"/>
        <v>206</v>
      </c>
      <c r="P24" s="25">
        <v>0</v>
      </c>
      <c r="Q24" s="10">
        <v>0</v>
      </c>
      <c r="R24" s="10">
        <v>0</v>
      </c>
      <c r="S24" s="10">
        <v>0</v>
      </c>
      <c r="T24" s="10">
        <v>0</v>
      </c>
      <c r="U24" s="10">
        <v>0</v>
      </c>
      <c r="V24" s="10">
        <v>0</v>
      </c>
      <c r="W24" s="10">
        <v>0</v>
      </c>
      <c r="X24" s="10">
        <v>0</v>
      </c>
      <c r="Y24" s="10">
        <v>0</v>
      </c>
      <c r="Z24" s="10">
        <v>0</v>
      </c>
      <c r="AA24" s="10">
        <v>0</v>
      </c>
      <c r="AB24" s="26">
        <f t="shared" si="1"/>
        <v>0</v>
      </c>
      <c r="AC24" s="25">
        <v>37972</v>
      </c>
      <c r="AD24" s="10">
        <v>43964</v>
      </c>
      <c r="AE24" s="10">
        <v>55527</v>
      </c>
      <c r="AF24" s="10">
        <v>67151</v>
      </c>
      <c r="AG24" s="10">
        <v>74169</v>
      </c>
      <c r="AH24" s="10">
        <v>65667</v>
      </c>
      <c r="AI24" s="10">
        <v>70928</v>
      </c>
      <c r="AJ24" s="10">
        <v>18008</v>
      </c>
      <c r="AK24" s="10">
        <v>19782</v>
      </c>
      <c r="AL24" s="10">
        <v>78545</v>
      </c>
      <c r="AM24" s="10">
        <v>58276</v>
      </c>
      <c r="AN24" s="10">
        <v>136071</v>
      </c>
      <c r="AO24" s="26">
        <f t="shared" si="2"/>
        <v>726060</v>
      </c>
    </row>
    <row r="25" spans="1:41" ht="17.25" customHeight="1" x14ac:dyDescent="0.45">
      <c r="A25" s="2" t="s">
        <v>19</v>
      </c>
      <c r="B25" s="2" t="s">
        <v>21</v>
      </c>
      <c r="C25" s="23">
        <v>1</v>
      </c>
      <c r="D25" s="1">
        <v>1</v>
      </c>
      <c r="E25" s="1">
        <v>0</v>
      </c>
      <c r="F25" s="1">
        <v>3</v>
      </c>
      <c r="G25" s="1">
        <v>5</v>
      </c>
      <c r="H25" s="1">
        <v>3</v>
      </c>
      <c r="I25" s="1">
        <v>7</v>
      </c>
      <c r="J25" s="1">
        <v>6</v>
      </c>
      <c r="K25" s="1">
        <v>3</v>
      </c>
      <c r="L25" s="1">
        <v>4</v>
      </c>
      <c r="M25" s="1">
        <v>1</v>
      </c>
      <c r="N25" s="1">
        <v>0</v>
      </c>
      <c r="O25" s="24">
        <f t="shared" si="0"/>
        <v>34</v>
      </c>
      <c r="P25" s="23">
        <v>0</v>
      </c>
      <c r="Q25" s="1">
        <v>0</v>
      </c>
      <c r="R25" s="1">
        <v>0</v>
      </c>
      <c r="S25" s="1">
        <v>0</v>
      </c>
      <c r="T25" s="1">
        <v>0</v>
      </c>
      <c r="U25" s="1">
        <v>0</v>
      </c>
      <c r="V25" s="1">
        <v>0</v>
      </c>
      <c r="W25" s="1">
        <v>0</v>
      </c>
      <c r="X25" s="1">
        <v>0</v>
      </c>
      <c r="Y25" s="1">
        <v>0</v>
      </c>
      <c r="Z25" s="1">
        <v>0</v>
      </c>
      <c r="AA25" s="1">
        <v>0</v>
      </c>
      <c r="AB25" s="24">
        <f t="shared" si="1"/>
        <v>0</v>
      </c>
      <c r="AC25" s="23">
        <v>6071</v>
      </c>
      <c r="AD25" s="1">
        <v>3857</v>
      </c>
      <c r="AE25" s="1">
        <v>0</v>
      </c>
      <c r="AF25" s="1">
        <v>16365</v>
      </c>
      <c r="AG25" s="1">
        <v>23557</v>
      </c>
      <c r="AH25" s="1">
        <v>11691</v>
      </c>
      <c r="AI25" s="1">
        <v>31551</v>
      </c>
      <c r="AJ25" s="1">
        <v>26122</v>
      </c>
      <c r="AK25" s="1">
        <v>11477</v>
      </c>
      <c r="AL25" s="1">
        <v>22613</v>
      </c>
      <c r="AM25" s="1">
        <v>5383</v>
      </c>
      <c r="AN25" s="1">
        <v>0</v>
      </c>
      <c r="AO25" s="24">
        <f t="shared" si="2"/>
        <v>158687</v>
      </c>
    </row>
    <row r="26" spans="1:41" ht="17.25" customHeight="1" x14ac:dyDescent="0.45">
      <c r="A26" s="12" t="s">
        <v>19</v>
      </c>
      <c r="B26" s="12" t="s">
        <v>22</v>
      </c>
      <c r="C26" s="25">
        <v>1</v>
      </c>
      <c r="D26" s="10">
        <v>0</v>
      </c>
      <c r="E26" s="10">
        <v>0</v>
      </c>
      <c r="F26" s="10">
        <v>0</v>
      </c>
      <c r="G26" s="10">
        <v>0</v>
      </c>
      <c r="H26" s="10">
        <v>0</v>
      </c>
      <c r="I26" s="10">
        <v>0</v>
      </c>
      <c r="J26" s="10">
        <v>0</v>
      </c>
      <c r="K26" s="10">
        <v>0</v>
      </c>
      <c r="L26" s="10">
        <v>0</v>
      </c>
      <c r="M26" s="10">
        <v>0</v>
      </c>
      <c r="N26" s="10">
        <v>0</v>
      </c>
      <c r="O26" s="26">
        <f t="shared" si="0"/>
        <v>1</v>
      </c>
      <c r="P26" s="25">
        <v>0</v>
      </c>
      <c r="Q26" s="10">
        <v>0</v>
      </c>
      <c r="R26" s="10">
        <v>0</v>
      </c>
      <c r="S26" s="10">
        <v>0</v>
      </c>
      <c r="T26" s="10">
        <v>0</v>
      </c>
      <c r="U26" s="10">
        <v>0</v>
      </c>
      <c r="V26" s="10">
        <v>0</v>
      </c>
      <c r="W26" s="10">
        <v>0</v>
      </c>
      <c r="X26" s="10">
        <v>0</v>
      </c>
      <c r="Y26" s="10">
        <v>0</v>
      </c>
      <c r="Z26" s="10">
        <v>0</v>
      </c>
      <c r="AA26" s="10">
        <v>0</v>
      </c>
      <c r="AB26" s="26">
        <f t="shared" si="1"/>
        <v>0</v>
      </c>
      <c r="AC26" s="25">
        <v>336</v>
      </c>
      <c r="AD26" s="10">
        <v>0</v>
      </c>
      <c r="AE26" s="10">
        <v>0</v>
      </c>
      <c r="AF26" s="10">
        <v>0</v>
      </c>
      <c r="AG26" s="10">
        <v>0</v>
      </c>
      <c r="AH26" s="10">
        <v>0</v>
      </c>
      <c r="AI26" s="10">
        <v>0</v>
      </c>
      <c r="AJ26" s="10">
        <v>0</v>
      </c>
      <c r="AK26" s="10">
        <v>0</v>
      </c>
      <c r="AL26" s="10">
        <v>0</v>
      </c>
      <c r="AM26" s="10">
        <v>0</v>
      </c>
      <c r="AN26" s="10">
        <v>0</v>
      </c>
      <c r="AO26" s="26">
        <f t="shared" si="2"/>
        <v>336</v>
      </c>
    </row>
    <row r="27" spans="1:41" ht="17.25" customHeight="1" x14ac:dyDescent="0.45">
      <c r="A27" s="2" t="s">
        <v>19</v>
      </c>
      <c r="B27" s="2" t="s">
        <v>11</v>
      </c>
      <c r="C27" s="23">
        <v>0</v>
      </c>
      <c r="D27" s="1">
        <v>0</v>
      </c>
      <c r="E27" s="1">
        <v>0</v>
      </c>
      <c r="F27" s="1">
        <v>0</v>
      </c>
      <c r="G27" s="1">
        <v>1</v>
      </c>
      <c r="H27" s="1">
        <v>5</v>
      </c>
      <c r="I27" s="1">
        <v>0</v>
      </c>
      <c r="J27" s="1">
        <v>1</v>
      </c>
      <c r="K27" s="1">
        <v>0</v>
      </c>
      <c r="L27" s="1">
        <v>2</v>
      </c>
      <c r="M27" s="1">
        <v>1</v>
      </c>
      <c r="N27" s="1">
        <v>0</v>
      </c>
      <c r="O27" s="24">
        <f t="shared" si="0"/>
        <v>10</v>
      </c>
      <c r="P27" s="23">
        <v>0</v>
      </c>
      <c r="Q27" s="1">
        <v>0</v>
      </c>
      <c r="R27" s="1">
        <v>0</v>
      </c>
      <c r="S27" s="1">
        <v>0</v>
      </c>
      <c r="T27" s="1">
        <v>0</v>
      </c>
      <c r="U27" s="1">
        <v>0</v>
      </c>
      <c r="V27" s="1">
        <v>0</v>
      </c>
      <c r="W27" s="1">
        <v>0</v>
      </c>
      <c r="X27" s="1">
        <v>0</v>
      </c>
      <c r="Y27" s="1">
        <v>0</v>
      </c>
      <c r="Z27" s="1">
        <v>0</v>
      </c>
      <c r="AA27" s="1">
        <v>0</v>
      </c>
      <c r="AB27" s="24">
        <f t="shared" si="1"/>
        <v>0</v>
      </c>
      <c r="AC27" s="23">
        <v>0</v>
      </c>
      <c r="AD27" s="1">
        <v>0</v>
      </c>
      <c r="AE27" s="1">
        <v>0</v>
      </c>
      <c r="AF27" s="1">
        <v>0</v>
      </c>
      <c r="AG27" s="1">
        <v>2112</v>
      </c>
      <c r="AH27" s="1">
        <v>9854</v>
      </c>
      <c r="AI27" s="1">
        <v>0</v>
      </c>
      <c r="AJ27" s="1">
        <v>3019</v>
      </c>
      <c r="AK27" s="1">
        <v>0</v>
      </c>
      <c r="AL27" s="1">
        <v>3316</v>
      </c>
      <c r="AM27" s="1">
        <v>1723</v>
      </c>
      <c r="AN27" s="1">
        <v>0</v>
      </c>
      <c r="AO27" s="24">
        <f t="shared" si="2"/>
        <v>20024</v>
      </c>
    </row>
    <row r="28" spans="1:41" ht="17.25" customHeight="1" x14ac:dyDescent="0.45">
      <c r="A28" s="12" t="s">
        <v>19</v>
      </c>
      <c r="B28" s="12" t="s">
        <v>38</v>
      </c>
      <c r="C28" s="25">
        <v>20</v>
      </c>
      <c r="D28" s="10">
        <v>18</v>
      </c>
      <c r="E28" s="10">
        <v>13</v>
      </c>
      <c r="F28" s="10">
        <v>21</v>
      </c>
      <c r="G28" s="10">
        <v>21</v>
      </c>
      <c r="H28" s="10">
        <v>22</v>
      </c>
      <c r="I28" s="10">
        <v>20</v>
      </c>
      <c r="J28" s="10">
        <v>16</v>
      </c>
      <c r="K28" s="10">
        <v>16</v>
      </c>
      <c r="L28" s="10">
        <v>17</v>
      </c>
      <c r="M28" s="10">
        <v>7</v>
      </c>
      <c r="N28" s="10">
        <v>2</v>
      </c>
      <c r="O28" s="26">
        <f t="shared" si="0"/>
        <v>193</v>
      </c>
      <c r="P28" s="25">
        <v>0</v>
      </c>
      <c r="Q28" s="10">
        <v>0</v>
      </c>
      <c r="R28" s="10">
        <v>0</v>
      </c>
      <c r="S28" s="10">
        <v>0</v>
      </c>
      <c r="T28" s="10">
        <v>0</v>
      </c>
      <c r="U28" s="10">
        <v>0</v>
      </c>
      <c r="V28" s="10">
        <v>0</v>
      </c>
      <c r="W28" s="10">
        <v>0</v>
      </c>
      <c r="X28" s="10">
        <v>0</v>
      </c>
      <c r="Y28" s="10">
        <v>0</v>
      </c>
      <c r="Z28" s="10">
        <v>0</v>
      </c>
      <c r="AA28" s="10">
        <v>0</v>
      </c>
      <c r="AB28" s="26">
        <f t="shared" si="1"/>
        <v>0</v>
      </c>
      <c r="AC28" s="25">
        <v>77776</v>
      </c>
      <c r="AD28" s="10">
        <v>44563</v>
      </c>
      <c r="AE28" s="10">
        <v>38449</v>
      </c>
      <c r="AF28" s="10">
        <v>52033</v>
      </c>
      <c r="AG28" s="10">
        <v>71581</v>
      </c>
      <c r="AH28" s="10">
        <v>76462</v>
      </c>
      <c r="AI28" s="10">
        <v>63503</v>
      </c>
      <c r="AJ28" s="10">
        <v>47704</v>
      </c>
      <c r="AK28" s="10">
        <v>47485</v>
      </c>
      <c r="AL28" s="10">
        <v>51721</v>
      </c>
      <c r="AM28" s="10">
        <v>27186</v>
      </c>
      <c r="AN28" s="10">
        <v>4734</v>
      </c>
      <c r="AO28" s="26">
        <f t="shared" si="2"/>
        <v>603197</v>
      </c>
    </row>
    <row r="29" spans="1:41" ht="17.25" customHeight="1" x14ac:dyDescent="0.45">
      <c r="A29" s="2" t="s">
        <v>19</v>
      </c>
      <c r="B29" s="2" t="s">
        <v>47</v>
      </c>
      <c r="C29" s="23">
        <v>2</v>
      </c>
      <c r="D29" s="1">
        <v>0</v>
      </c>
      <c r="E29" s="1">
        <v>0</v>
      </c>
      <c r="F29" s="1">
        <v>0</v>
      </c>
      <c r="G29" s="1">
        <v>0</v>
      </c>
      <c r="H29" s="1">
        <v>0</v>
      </c>
      <c r="I29" s="1">
        <v>0</v>
      </c>
      <c r="J29" s="1">
        <v>0</v>
      </c>
      <c r="K29" s="1">
        <v>1</v>
      </c>
      <c r="L29" s="1">
        <v>0</v>
      </c>
      <c r="M29" s="1">
        <v>0</v>
      </c>
      <c r="N29" s="1">
        <v>0</v>
      </c>
      <c r="O29" s="24">
        <f t="shared" si="0"/>
        <v>3</v>
      </c>
      <c r="P29" s="23">
        <v>0</v>
      </c>
      <c r="Q29" s="1">
        <v>0</v>
      </c>
      <c r="R29" s="1">
        <v>0</v>
      </c>
      <c r="S29" s="1">
        <v>0</v>
      </c>
      <c r="T29" s="1">
        <v>0</v>
      </c>
      <c r="U29" s="1">
        <v>0</v>
      </c>
      <c r="V29" s="1">
        <v>0</v>
      </c>
      <c r="W29" s="1">
        <v>0</v>
      </c>
      <c r="X29" s="1">
        <v>0</v>
      </c>
      <c r="Y29" s="1">
        <v>0</v>
      </c>
      <c r="Z29" s="1">
        <v>0</v>
      </c>
      <c r="AA29" s="1">
        <v>0</v>
      </c>
      <c r="AB29" s="24">
        <f t="shared" si="1"/>
        <v>0</v>
      </c>
      <c r="AC29" s="23">
        <v>5154</v>
      </c>
      <c r="AD29" s="1">
        <v>0</v>
      </c>
      <c r="AE29" s="1">
        <v>0</v>
      </c>
      <c r="AF29" s="1">
        <v>0</v>
      </c>
      <c r="AG29" s="1">
        <v>0</v>
      </c>
      <c r="AH29" s="1">
        <v>0</v>
      </c>
      <c r="AI29" s="1">
        <v>0</v>
      </c>
      <c r="AJ29" s="1">
        <v>0</v>
      </c>
      <c r="AK29" s="1">
        <v>14180</v>
      </c>
      <c r="AL29" s="1">
        <v>0</v>
      </c>
      <c r="AM29" s="1">
        <v>0</v>
      </c>
      <c r="AN29" s="1">
        <v>0</v>
      </c>
      <c r="AO29" s="24">
        <f t="shared" si="2"/>
        <v>19334</v>
      </c>
    </row>
    <row r="30" spans="1:41" ht="17.25" customHeight="1" x14ac:dyDescent="0.45">
      <c r="A30" s="12" t="s">
        <v>19</v>
      </c>
      <c r="B30" s="12" t="s">
        <v>55</v>
      </c>
      <c r="C30" s="25">
        <v>0</v>
      </c>
      <c r="D30" s="10">
        <v>0</v>
      </c>
      <c r="E30" s="10">
        <v>0</v>
      </c>
      <c r="F30" s="10">
        <v>0</v>
      </c>
      <c r="G30" s="10">
        <v>0</v>
      </c>
      <c r="H30" s="10">
        <v>0</v>
      </c>
      <c r="I30" s="10">
        <v>7</v>
      </c>
      <c r="J30" s="10">
        <v>9</v>
      </c>
      <c r="K30" s="10">
        <v>9</v>
      </c>
      <c r="L30" s="10">
        <v>9</v>
      </c>
      <c r="M30" s="10">
        <v>9</v>
      </c>
      <c r="N30" s="10">
        <v>8</v>
      </c>
      <c r="O30" s="26">
        <f t="shared" si="0"/>
        <v>51</v>
      </c>
      <c r="P30" s="25">
        <v>0</v>
      </c>
      <c r="Q30" s="10">
        <v>0</v>
      </c>
      <c r="R30" s="10">
        <v>0</v>
      </c>
      <c r="S30" s="10">
        <v>0</v>
      </c>
      <c r="T30" s="10">
        <v>0</v>
      </c>
      <c r="U30" s="10">
        <v>0</v>
      </c>
      <c r="V30" s="10">
        <v>145</v>
      </c>
      <c r="W30" s="10">
        <v>247</v>
      </c>
      <c r="X30" s="10">
        <v>174</v>
      </c>
      <c r="Y30" s="10">
        <v>177</v>
      </c>
      <c r="Z30" s="10">
        <v>127</v>
      </c>
      <c r="AA30" s="10">
        <v>171</v>
      </c>
      <c r="AB30" s="26">
        <f t="shared" si="1"/>
        <v>1041</v>
      </c>
      <c r="AC30" s="25">
        <v>0</v>
      </c>
      <c r="AD30" s="10">
        <v>0</v>
      </c>
      <c r="AE30" s="10">
        <v>0</v>
      </c>
      <c r="AF30" s="10">
        <v>0</v>
      </c>
      <c r="AG30" s="10">
        <v>0</v>
      </c>
      <c r="AH30" s="10">
        <v>0</v>
      </c>
      <c r="AI30" s="10">
        <v>0</v>
      </c>
      <c r="AJ30" s="10">
        <v>0</v>
      </c>
      <c r="AK30" s="10">
        <v>0</v>
      </c>
      <c r="AL30" s="10">
        <v>0</v>
      </c>
      <c r="AM30" s="10">
        <v>0</v>
      </c>
      <c r="AN30" s="10">
        <v>0</v>
      </c>
      <c r="AO30" s="26">
        <f t="shared" si="2"/>
        <v>0</v>
      </c>
    </row>
    <row r="31" spans="1:41" ht="17.25" customHeight="1" x14ac:dyDescent="0.45">
      <c r="A31" s="2" t="s">
        <v>19</v>
      </c>
      <c r="B31" s="2" t="s">
        <v>39</v>
      </c>
      <c r="C31" s="23">
        <v>0</v>
      </c>
      <c r="D31" s="1">
        <v>0</v>
      </c>
      <c r="E31" s="1">
        <v>0</v>
      </c>
      <c r="F31" s="1">
        <v>0</v>
      </c>
      <c r="G31" s="1">
        <v>6</v>
      </c>
      <c r="H31" s="1">
        <v>0</v>
      </c>
      <c r="I31" s="1">
        <v>0</v>
      </c>
      <c r="J31" s="1">
        <v>0</v>
      </c>
      <c r="K31" s="1">
        <v>0</v>
      </c>
      <c r="L31" s="1">
        <v>0</v>
      </c>
      <c r="M31" s="1">
        <v>0</v>
      </c>
      <c r="N31" s="1">
        <v>0</v>
      </c>
      <c r="O31" s="24">
        <f t="shared" si="0"/>
        <v>6</v>
      </c>
      <c r="P31" s="23">
        <v>0</v>
      </c>
      <c r="Q31" s="1">
        <v>0</v>
      </c>
      <c r="R31" s="1">
        <v>0</v>
      </c>
      <c r="S31" s="1">
        <v>0</v>
      </c>
      <c r="T31" s="1">
        <v>0</v>
      </c>
      <c r="U31" s="1">
        <v>0</v>
      </c>
      <c r="V31" s="1">
        <v>0</v>
      </c>
      <c r="W31" s="1">
        <v>0</v>
      </c>
      <c r="X31" s="1">
        <v>0</v>
      </c>
      <c r="Y31" s="1">
        <v>0</v>
      </c>
      <c r="Z31" s="1">
        <v>0</v>
      </c>
      <c r="AA31" s="1">
        <v>0</v>
      </c>
      <c r="AB31" s="24">
        <f t="shared" si="1"/>
        <v>0</v>
      </c>
      <c r="AC31" s="23">
        <v>0</v>
      </c>
      <c r="AD31" s="1">
        <v>0</v>
      </c>
      <c r="AE31" s="1">
        <v>0</v>
      </c>
      <c r="AF31" s="1">
        <v>0</v>
      </c>
      <c r="AG31" s="1">
        <v>4051</v>
      </c>
      <c r="AH31" s="1">
        <v>0</v>
      </c>
      <c r="AI31" s="1">
        <v>0</v>
      </c>
      <c r="AJ31" s="1">
        <v>0</v>
      </c>
      <c r="AK31" s="1">
        <v>0</v>
      </c>
      <c r="AL31" s="1">
        <v>0</v>
      </c>
      <c r="AM31" s="1">
        <v>0</v>
      </c>
      <c r="AN31" s="1">
        <v>0</v>
      </c>
      <c r="AO31" s="24">
        <f t="shared" si="2"/>
        <v>4051</v>
      </c>
    </row>
    <row r="32" spans="1:41" ht="17.25" customHeight="1" x14ac:dyDescent="0.45">
      <c r="A32" s="12" t="s">
        <v>19</v>
      </c>
      <c r="B32" s="12" t="s">
        <v>13</v>
      </c>
      <c r="C32" s="25">
        <v>48</v>
      </c>
      <c r="D32" s="10">
        <v>45</v>
      </c>
      <c r="E32" s="10">
        <v>45</v>
      </c>
      <c r="F32" s="10">
        <v>47</v>
      </c>
      <c r="G32" s="10">
        <v>48</v>
      </c>
      <c r="H32" s="10">
        <v>45</v>
      </c>
      <c r="I32" s="10">
        <v>50</v>
      </c>
      <c r="J32" s="10">
        <v>49</v>
      </c>
      <c r="K32" s="10">
        <v>47</v>
      </c>
      <c r="L32" s="10">
        <v>48</v>
      </c>
      <c r="M32" s="10">
        <v>58</v>
      </c>
      <c r="N32" s="10">
        <v>40</v>
      </c>
      <c r="O32" s="26">
        <f t="shared" si="0"/>
        <v>570</v>
      </c>
      <c r="P32" s="25">
        <v>0</v>
      </c>
      <c r="Q32" s="10">
        <v>0</v>
      </c>
      <c r="R32" s="10">
        <v>0</v>
      </c>
      <c r="S32" s="10">
        <v>0</v>
      </c>
      <c r="T32" s="10">
        <v>0</v>
      </c>
      <c r="U32" s="10">
        <v>0</v>
      </c>
      <c r="V32" s="10">
        <v>0</v>
      </c>
      <c r="W32" s="10">
        <v>0</v>
      </c>
      <c r="X32" s="10">
        <v>147</v>
      </c>
      <c r="Y32" s="10">
        <v>0</v>
      </c>
      <c r="Z32" s="10">
        <v>0</v>
      </c>
      <c r="AA32" s="10">
        <v>0</v>
      </c>
      <c r="AB32" s="26">
        <f t="shared" si="1"/>
        <v>147</v>
      </c>
      <c r="AC32" s="25">
        <v>187950</v>
      </c>
      <c r="AD32" s="10">
        <v>181148</v>
      </c>
      <c r="AE32" s="10">
        <v>200356</v>
      </c>
      <c r="AF32" s="10">
        <v>239080</v>
      </c>
      <c r="AG32" s="10">
        <v>229824</v>
      </c>
      <c r="AH32" s="10">
        <v>218955</v>
      </c>
      <c r="AI32" s="10">
        <v>260608</v>
      </c>
      <c r="AJ32" s="10">
        <v>291032</v>
      </c>
      <c r="AK32" s="10">
        <v>195055</v>
      </c>
      <c r="AL32" s="10">
        <v>155831</v>
      </c>
      <c r="AM32" s="10">
        <v>185628</v>
      </c>
      <c r="AN32" s="10">
        <v>111593</v>
      </c>
      <c r="AO32" s="26">
        <f t="shared" si="2"/>
        <v>2457060</v>
      </c>
    </row>
    <row r="33" spans="1:41" ht="17.25" customHeight="1" x14ac:dyDescent="0.45">
      <c r="A33" s="2" t="s">
        <v>19</v>
      </c>
      <c r="B33" s="2" t="s">
        <v>28</v>
      </c>
      <c r="C33" s="23">
        <v>6</v>
      </c>
      <c r="D33" s="1">
        <v>0</v>
      </c>
      <c r="E33" s="1">
        <v>0</v>
      </c>
      <c r="F33" s="1">
        <v>1</v>
      </c>
      <c r="G33" s="1">
        <v>2</v>
      </c>
      <c r="H33" s="1">
        <v>6</v>
      </c>
      <c r="I33" s="1">
        <v>0</v>
      </c>
      <c r="J33" s="1">
        <v>0</v>
      </c>
      <c r="K33" s="1">
        <v>0</v>
      </c>
      <c r="L33" s="1">
        <v>0</v>
      </c>
      <c r="M33" s="1">
        <v>2</v>
      </c>
      <c r="N33" s="1">
        <v>13</v>
      </c>
      <c r="O33" s="24">
        <f t="shared" si="0"/>
        <v>30</v>
      </c>
      <c r="P33" s="23">
        <v>0</v>
      </c>
      <c r="Q33" s="1">
        <v>0</v>
      </c>
      <c r="R33" s="1">
        <v>0</v>
      </c>
      <c r="S33" s="1">
        <v>0</v>
      </c>
      <c r="T33" s="1">
        <v>0</v>
      </c>
      <c r="U33" s="1">
        <v>0</v>
      </c>
      <c r="V33" s="1">
        <v>0</v>
      </c>
      <c r="W33" s="1">
        <v>0</v>
      </c>
      <c r="X33" s="1">
        <v>0</v>
      </c>
      <c r="Y33" s="1">
        <v>0</v>
      </c>
      <c r="Z33" s="1">
        <v>0</v>
      </c>
      <c r="AA33" s="1">
        <v>0</v>
      </c>
      <c r="AB33" s="24">
        <f t="shared" si="1"/>
        <v>0</v>
      </c>
      <c r="AC33" s="23">
        <v>19743</v>
      </c>
      <c r="AD33" s="1">
        <v>0</v>
      </c>
      <c r="AE33" s="1">
        <v>0</v>
      </c>
      <c r="AF33" s="1">
        <v>480</v>
      </c>
      <c r="AG33" s="1">
        <v>1213</v>
      </c>
      <c r="AH33" s="1">
        <v>26714</v>
      </c>
      <c r="AI33" s="1">
        <v>0</v>
      </c>
      <c r="AJ33" s="1">
        <v>0</v>
      </c>
      <c r="AK33" s="1">
        <v>0</v>
      </c>
      <c r="AL33" s="1">
        <v>0</v>
      </c>
      <c r="AM33" s="1">
        <v>15449</v>
      </c>
      <c r="AN33" s="1">
        <v>162582</v>
      </c>
      <c r="AO33" s="24">
        <f t="shared" si="2"/>
        <v>226181</v>
      </c>
    </row>
    <row r="34" spans="1:41" ht="17.25" customHeight="1" x14ac:dyDescent="0.45">
      <c r="A34" s="12" t="s">
        <v>19</v>
      </c>
      <c r="B34" s="12" t="s">
        <v>206</v>
      </c>
      <c r="C34" s="25">
        <v>0</v>
      </c>
      <c r="D34" s="10">
        <v>1</v>
      </c>
      <c r="E34" s="10">
        <v>0</v>
      </c>
      <c r="F34" s="10">
        <v>0</v>
      </c>
      <c r="G34" s="10">
        <v>1</v>
      </c>
      <c r="H34" s="10">
        <v>0</v>
      </c>
      <c r="I34" s="10">
        <v>0</v>
      </c>
      <c r="J34" s="10">
        <v>0</v>
      </c>
      <c r="K34" s="10">
        <v>1</v>
      </c>
      <c r="L34" s="10">
        <v>0</v>
      </c>
      <c r="M34" s="10">
        <v>0</v>
      </c>
      <c r="N34" s="10">
        <v>0</v>
      </c>
      <c r="O34" s="26">
        <f t="shared" si="0"/>
        <v>3</v>
      </c>
      <c r="P34" s="25">
        <v>0</v>
      </c>
      <c r="Q34" s="10">
        <v>0</v>
      </c>
      <c r="R34" s="10">
        <v>0</v>
      </c>
      <c r="S34" s="10">
        <v>0</v>
      </c>
      <c r="T34" s="10">
        <v>0</v>
      </c>
      <c r="U34" s="10">
        <v>0</v>
      </c>
      <c r="V34" s="10">
        <v>0</v>
      </c>
      <c r="W34" s="10">
        <v>0</v>
      </c>
      <c r="X34" s="10">
        <v>0</v>
      </c>
      <c r="Y34" s="10">
        <v>0</v>
      </c>
      <c r="Z34" s="10">
        <v>0</v>
      </c>
      <c r="AA34" s="10">
        <v>0</v>
      </c>
      <c r="AB34" s="26">
        <f t="shared" si="1"/>
        <v>0</v>
      </c>
      <c r="AC34" s="25">
        <v>0</v>
      </c>
      <c r="AD34" s="10">
        <v>7450</v>
      </c>
      <c r="AE34" s="10">
        <v>0</v>
      </c>
      <c r="AF34" s="10">
        <v>0</v>
      </c>
      <c r="AG34" s="10">
        <v>5554</v>
      </c>
      <c r="AH34" s="10">
        <v>0</v>
      </c>
      <c r="AI34" s="10">
        <v>0</v>
      </c>
      <c r="AJ34" s="10">
        <v>0</v>
      </c>
      <c r="AK34" s="10">
        <v>4512</v>
      </c>
      <c r="AL34" s="10">
        <v>0</v>
      </c>
      <c r="AM34" s="10">
        <v>0</v>
      </c>
      <c r="AN34" s="10">
        <v>0</v>
      </c>
      <c r="AO34" s="26">
        <f t="shared" si="2"/>
        <v>17516</v>
      </c>
    </row>
    <row r="35" spans="1:41" ht="17.25" customHeight="1" x14ac:dyDescent="0.45">
      <c r="A35" s="2" t="s">
        <v>19</v>
      </c>
      <c r="B35" s="2" t="s">
        <v>48</v>
      </c>
      <c r="C35" s="23">
        <v>0</v>
      </c>
      <c r="D35" s="1">
        <v>0</v>
      </c>
      <c r="E35" s="1">
        <v>0</v>
      </c>
      <c r="F35" s="1">
        <v>0</v>
      </c>
      <c r="G35" s="1">
        <v>0</v>
      </c>
      <c r="H35" s="1">
        <v>0</v>
      </c>
      <c r="I35" s="1">
        <v>0</v>
      </c>
      <c r="J35" s="1">
        <v>0</v>
      </c>
      <c r="K35" s="1">
        <v>0</v>
      </c>
      <c r="L35" s="1">
        <v>1</v>
      </c>
      <c r="M35" s="1">
        <v>0</v>
      </c>
      <c r="N35" s="1">
        <v>0</v>
      </c>
      <c r="O35" s="24">
        <f t="shared" si="0"/>
        <v>1</v>
      </c>
      <c r="P35" s="23">
        <v>0</v>
      </c>
      <c r="Q35" s="1">
        <v>0</v>
      </c>
      <c r="R35" s="1">
        <v>0</v>
      </c>
      <c r="S35" s="1">
        <v>0</v>
      </c>
      <c r="T35" s="1">
        <v>0</v>
      </c>
      <c r="U35" s="1">
        <v>0</v>
      </c>
      <c r="V35" s="1">
        <v>0</v>
      </c>
      <c r="W35" s="1">
        <v>0</v>
      </c>
      <c r="X35" s="1">
        <v>0</v>
      </c>
      <c r="Y35" s="1">
        <v>113</v>
      </c>
      <c r="Z35" s="1">
        <v>0</v>
      </c>
      <c r="AA35" s="1">
        <v>0</v>
      </c>
      <c r="AB35" s="24">
        <f t="shared" si="1"/>
        <v>113</v>
      </c>
      <c r="AC35" s="23">
        <v>0</v>
      </c>
      <c r="AD35" s="1">
        <v>0</v>
      </c>
      <c r="AE35" s="1">
        <v>0</v>
      </c>
      <c r="AF35" s="1">
        <v>0</v>
      </c>
      <c r="AG35" s="1">
        <v>0</v>
      </c>
      <c r="AH35" s="1">
        <v>0</v>
      </c>
      <c r="AI35" s="1">
        <v>0</v>
      </c>
      <c r="AJ35" s="1">
        <v>0</v>
      </c>
      <c r="AK35" s="1">
        <v>0</v>
      </c>
      <c r="AL35" s="1">
        <v>0</v>
      </c>
      <c r="AM35" s="1">
        <v>0</v>
      </c>
      <c r="AN35" s="1">
        <v>0</v>
      </c>
      <c r="AO35" s="24">
        <f t="shared" si="2"/>
        <v>0</v>
      </c>
    </row>
    <row r="36" spans="1:41" ht="17.25" customHeight="1" x14ac:dyDescent="0.45">
      <c r="A36" s="12" t="s">
        <v>19</v>
      </c>
      <c r="B36" s="12" t="s">
        <v>15</v>
      </c>
      <c r="C36" s="25">
        <v>0</v>
      </c>
      <c r="D36" s="10">
        <v>0</v>
      </c>
      <c r="E36" s="10">
        <v>1</v>
      </c>
      <c r="F36" s="10">
        <v>3</v>
      </c>
      <c r="G36" s="10">
        <v>1</v>
      </c>
      <c r="H36" s="10">
        <v>3</v>
      </c>
      <c r="I36" s="10">
        <v>0</v>
      </c>
      <c r="J36" s="10">
        <v>0</v>
      </c>
      <c r="K36" s="10">
        <v>0</v>
      </c>
      <c r="L36" s="10">
        <v>0</v>
      </c>
      <c r="M36" s="10">
        <v>0</v>
      </c>
      <c r="N36" s="10">
        <v>0</v>
      </c>
      <c r="O36" s="26">
        <f t="shared" si="0"/>
        <v>8</v>
      </c>
      <c r="P36" s="25">
        <v>0</v>
      </c>
      <c r="Q36" s="10">
        <v>0</v>
      </c>
      <c r="R36" s="10">
        <v>0</v>
      </c>
      <c r="S36" s="10">
        <v>0</v>
      </c>
      <c r="T36" s="10">
        <v>0</v>
      </c>
      <c r="U36" s="10">
        <v>0</v>
      </c>
      <c r="V36" s="10">
        <v>0</v>
      </c>
      <c r="W36" s="10">
        <v>0</v>
      </c>
      <c r="X36" s="10">
        <v>0</v>
      </c>
      <c r="Y36" s="10">
        <v>0</v>
      </c>
      <c r="Z36" s="10">
        <v>0</v>
      </c>
      <c r="AA36" s="10">
        <v>0</v>
      </c>
      <c r="AB36" s="26">
        <f t="shared" si="1"/>
        <v>0</v>
      </c>
      <c r="AC36" s="25">
        <v>0</v>
      </c>
      <c r="AD36" s="10">
        <v>0</v>
      </c>
      <c r="AE36" s="10">
        <v>1100</v>
      </c>
      <c r="AF36" s="10">
        <v>2448</v>
      </c>
      <c r="AG36" s="10">
        <v>769</v>
      </c>
      <c r="AH36" s="10">
        <v>8265</v>
      </c>
      <c r="AI36" s="10">
        <v>0</v>
      </c>
      <c r="AJ36" s="10">
        <v>0</v>
      </c>
      <c r="AK36" s="10">
        <v>0</v>
      </c>
      <c r="AL36" s="10">
        <v>0</v>
      </c>
      <c r="AM36" s="10">
        <v>0</v>
      </c>
      <c r="AN36" s="10">
        <v>0</v>
      </c>
      <c r="AO36" s="26">
        <f t="shared" si="2"/>
        <v>12582</v>
      </c>
    </row>
    <row r="37" spans="1:41" ht="17.25" customHeight="1" x14ac:dyDescent="0.45">
      <c r="A37" s="2" t="s">
        <v>19</v>
      </c>
      <c r="B37" s="2" t="s">
        <v>32</v>
      </c>
      <c r="C37" s="23">
        <v>17</v>
      </c>
      <c r="D37" s="1">
        <v>16</v>
      </c>
      <c r="E37" s="1">
        <v>15</v>
      </c>
      <c r="F37" s="1">
        <v>17</v>
      </c>
      <c r="G37" s="1">
        <v>18</v>
      </c>
      <c r="H37" s="1">
        <v>9</v>
      </c>
      <c r="I37" s="1">
        <v>18</v>
      </c>
      <c r="J37" s="1">
        <v>5</v>
      </c>
      <c r="K37" s="1">
        <v>8</v>
      </c>
      <c r="L37" s="1">
        <v>17</v>
      </c>
      <c r="M37" s="1">
        <v>0</v>
      </c>
      <c r="N37" s="1">
        <v>0</v>
      </c>
      <c r="O37" s="24">
        <f t="shared" si="0"/>
        <v>140</v>
      </c>
      <c r="P37" s="23">
        <v>0</v>
      </c>
      <c r="Q37" s="1">
        <v>0</v>
      </c>
      <c r="R37" s="1">
        <v>50</v>
      </c>
      <c r="S37" s="1">
        <v>0</v>
      </c>
      <c r="T37" s="1">
        <v>68</v>
      </c>
      <c r="U37" s="1">
        <v>0</v>
      </c>
      <c r="V37" s="1">
        <v>0</v>
      </c>
      <c r="W37" s="1">
        <v>0</v>
      </c>
      <c r="X37" s="1">
        <v>0</v>
      </c>
      <c r="Y37" s="1">
        <v>45</v>
      </c>
      <c r="Z37" s="1">
        <v>0</v>
      </c>
      <c r="AA37" s="1">
        <v>0</v>
      </c>
      <c r="AB37" s="24">
        <f t="shared" si="1"/>
        <v>163</v>
      </c>
      <c r="AC37" s="23">
        <v>29630</v>
      </c>
      <c r="AD37" s="1">
        <v>30381</v>
      </c>
      <c r="AE37" s="1">
        <v>28404</v>
      </c>
      <c r="AF37" s="1">
        <v>47282</v>
      </c>
      <c r="AG37" s="1">
        <v>33627</v>
      </c>
      <c r="AH37" s="1">
        <v>17219</v>
      </c>
      <c r="AI37" s="1">
        <v>32493</v>
      </c>
      <c r="AJ37" s="1">
        <v>12780</v>
      </c>
      <c r="AK37" s="1">
        <v>16714</v>
      </c>
      <c r="AL37" s="1">
        <v>37193</v>
      </c>
      <c r="AM37" s="1">
        <v>0</v>
      </c>
      <c r="AN37" s="1">
        <v>0</v>
      </c>
      <c r="AO37" s="24">
        <f t="shared" si="2"/>
        <v>285723</v>
      </c>
    </row>
    <row r="38" spans="1:41" ht="17.25" customHeight="1" x14ac:dyDescent="0.45">
      <c r="A38" s="12" t="s">
        <v>20</v>
      </c>
      <c r="B38" s="12" t="s">
        <v>10</v>
      </c>
      <c r="C38" s="25">
        <v>0</v>
      </c>
      <c r="D38" s="10">
        <v>1</v>
      </c>
      <c r="E38" s="10">
        <v>0</v>
      </c>
      <c r="F38" s="10">
        <v>0</v>
      </c>
      <c r="G38" s="10">
        <v>0</v>
      </c>
      <c r="H38" s="10">
        <v>0</v>
      </c>
      <c r="I38" s="10">
        <v>0</v>
      </c>
      <c r="J38" s="10">
        <v>0</v>
      </c>
      <c r="K38" s="10">
        <v>0</v>
      </c>
      <c r="L38" s="10">
        <v>0</v>
      </c>
      <c r="M38" s="10">
        <v>0</v>
      </c>
      <c r="N38" s="10">
        <v>0</v>
      </c>
      <c r="O38" s="26">
        <f t="shared" si="0"/>
        <v>1</v>
      </c>
      <c r="P38" s="25">
        <v>0</v>
      </c>
      <c r="Q38" s="10">
        <v>0</v>
      </c>
      <c r="R38" s="10">
        <v>0</v>
      </c>
      <c r="S38" s="10">
        <v>0</v>
      </c>
      <c r="T38" s="10">
        <v>0</v>
      </c>
      <c r="U38" s="10">
        <v>0</v>
      </c>
      <c r="V38" s="10">
        <v>0</v>
      </c>
      <c r="W38" s="10">
        <v>0</v>
      </c>
      <c r="X38" s="10">
        <v>0</v>
      </c>
      <c r="Y38" s="10">
        <v>0</v>
      </c>
      <c r="Z38" s="10">
        <v>0</v>
      </c>
      <c r="AA38" s="10">
        <v>0</v>
      </c>
      <c r="AB38" s="26">
        <f t="shared" si="1"/>
        <v>0</v>
      </c>
      <c r="AC38" s="25">
        <v>0</v>
      </c>
      <c r="AD38" s="10">
        <v>2731</v>
      </c>
      <c r="AE38" s="10">
        <v>0</v>
      </c>
      <c r="AF38" s="10">
        <v>0</v>
      </c>
      <c r="AG38" s="10">
        <v>0</v>
      </c>
      <c r="AH38" s="10">
        <v>0</v>
      </c>
      <c r="AI38" s="10">
        <v>0</v>
      </c>
      <c r="AJ38" s="10">
        <v>0</v>
      </c>
      <c r="AK38" s="10">
        <v>0</v>
      </c>
      <c r="AL38" s="10">
        <v>0</v>
      </c>
      <c r="AM38" s="10">
        <v>0</v>
      </c>
      <c r="AN38" s="10">
        <v>0</v>
      </c>
      <c r="AO38" s="26">
        <f t="shared" si="2"/>
        <v>2731</v>
      </c>
    </row>
    <row r="39" spans="1:41" ht="17.25" customHeight="1" x14ac:dyDescent="0.45">
      <c r="A39" s="2" t="s">
        <v>20</v>
      </c>
      <c r="B39" s="2" t="s">
        <v>19</v>
      </c>
      <c r="C39" s="23">
        <v>46</v>
      </c>
      <c r="D39" s="1">
        <v>44</v>
      </c>
      <c r="E39" s="1">
        <v>45</v>
      </c>
      <c r="F39" s="1">
        <v>47</v>
      </c>
      <c r="G39" s="1">
        <v>49</v>
      </c>
      <c r="H39" s="1">
        <v>45</v>
      </c>
      <c r="I39" s="1">
        <v>50</v>
      </c>
      <c r="J39" s="1">
        <v>49</v>
      </c>
      <c r="K39" s="1">
        <v>38</v>
      </c>
      <c r="L39" s="1">
        <v>49</v>
      </c>
      <c r="M39" s="1">
        <v>42</v>
      </c>
      <c r="N39" s="1">
        <v>38</v>
      </c>
      <c r="O39" s="24">
        <f t="shared" si="0"/>
        <v>542</v>
      </c>
      <c r="P39" s="23">
        <v>0</v>
      </c>
      <c r="Q39" s="1">
        <v>0</v>
      </c>
      <c r="R39" s="1">
        <v>0</v>
      </c>
      <c r="S39" s="1">
        <v>0</v>
      </c>
      <c r="T39" s="1">
        <v>38</v>
      </c>
      <c r="U39" s="1">
        <v>0</v>
      </c>
      <c r="V39" s="1">
        <v>0</v>
      </c>
      <c r="W39" s="1">
        <v>0</v>
      </c>
      <c r="X39" s="1">
        <v>0</v>
      </c>
      <c r="Y39" s="1">
        <v>0</v>
      </c>
      <c r="Z39" s="1">
        <v>0</v>
      </c>
      <c r="AA39" s="1">
        <v>0</v>
      </c>
      <c r="AB39" s="24">
        <f t="shared" si="1"/>
        <v>38</v>
      </c>
      <c r="AC39" s="23">
        <v>174868</v>
      </c>
      <c r="AD39" s="1">
        <v>168005</v>
      </c>
      <c r="AE39" s="1">
        <v>166730</v>
      </c>
      <c r="AF39" s="1">
        <v>187084</v>
      </c>
      <c r="AG39" s="1">
        <v>196872</v>
      </c>
      <c r="AH39" s="1">
        <v>188721</v>
      </c>
      <c r="AI39" s="1">
        <v>213991</v>
      </c>
      <c r="AJ39" s="1">
        <v>217780</v>
      </c>
      <c r="AK39" s="1">
        <v>188453</v>
      </c>
      <c r="AL39" s="1">
        <v>226416</v>
      </c>
      <c r="AM39" s="1">
        <v>191753</v>
      </c>
      <c r="AN39" s="1">
        <v>175888</v>
      </c>
      <c r="AO39" s="24">
        <f t="shared" si="2"/>
        <v>2296561</v>
      </c>
    </row>
    <row r="40" spans="1:41" ht="17.25" customHeight="1" x14ac:dyDescent="0.45">
      <c r="A40" s="12" t="s">
        <v>20</v>
      </c>
      <c r="B40" s="12" t="s">
        <v>38</v>
      </c>
      <c r="C40" s="25">
        <v>1</v>
      </c>
      <c r="D40" s="10">
        <v>0</v>
      </c>
      <c r="E40" s="10">
        <v>0</v>
      </c>
      <c r="F40" s="10">
        <v>0</v>
      </c>
      <c r="G40" s="10">
        <v>0</v>
      </c>
      <c r="H40" s="10">
        <v>0</v>
      </c>
      <c r="I40" s="10">
        <v>0</v>
      </c>
      <c r="J40" s="10">
        <v>0</v>
      </c>
      <c r="K40" s="10">
        <v>0</v>
      </c>
      <c r="L40" s="10">
        <v>0</v>
      </c>
      <c r="M40" s="10">
        <v>0</v>
      </c>
      <c r="N40" s="10">
        <v>0</v>
      </c>
      <c r="O40" s="26">
        <f t="shared" si="0"/>
        <v>1</v>
      </c>
      <c r="P40" s="25">
        <v>0</v>
      </c>
      <c r="Q40" s="10">
        <v>0</v>
      </c>
      <c r="R40" s="10">
        <v>0</v>
      </c>
      <c r="S40" s="10">
        <v>0</v>
      </c>
      <c r="T40" s="10">
        <v>0</v>
      </c>
      <c r="U40" s="10">
        <v>0</v>
      </c>
      <c r="V40" s="10">
        <v>0</v>
      </c>
      <c r="W40" s="10">
        <v>0</v>
      </c>
      <c r="X40" s="10">
        <v>0</v>
      </c>
      <c r="Y40" s="10">
        <v>0</v>
      </c>
      <c r="Z40" s="10">
        <v>0</v>
      </c>
      <c r="AA40" s="10">
        <v>0</v>
      </c>
      <c r="AB40" s="26">
        <f t="shared" si="1"/>
        <v>0</v>
      </c>
      <c r="AC40" s="25">
        <v>7450</v>
      </c>
      <c r="AD40" s="10">
        <v>0</v>
      </c>
      <c r="AE40" s="10">
        <v>0</v>
      </c>
      <c r="AF40" s="10">
        <v>0</v>
      </c>
      <c r="AG40" s="10">
        <v>0</v>
      </c>
      <c r="AH40" s="10">
        <v>0</v>
      </c>
      <c r="AI40" s="10">
        <v>0</v>
      </c>
      <c r="AJ40" s="10">
        <v>0</v>
      </c>
      <c r="AK40" s="10">
        <v>0</v>
      </c>
      <c r="AL40" s="10">
        <v>0</v>
      </c>
      <c r="AM40" s="10">
        <v>0</v>
      </c>
      <c r="AN40" s="10">
        <v>0</v>
      </c>
      <c r="AO40" s="26">
        <f t="shared" si="2"/>
        <v>7450</v>
      </c>
    </row>
    <row r="41" spans="1:41" ht="17.25" customHeight="1" x14ac:dyDescent="0.45">
      <c r="A41" s="2" t="s">
        <v>20</v>
      </c>
      <c r="B41" s="2" t="s">
        <v>47</v>
      </c>
      <c r="C41" s="23">
        <v>0</v>
      </c>
      <c r="D41" s="1">
        <v>0</v>
      </c>
      <c r="E41" s="1">
        <v>0</v>
      </c>
      <c r="F41" s="1">
        <v>0</v>
      </c>
      <c r="G41" s="1">
        <v>0</v>
      </c>
      <c r="H41" s="1">
        <v>0</v>
      </c>
      <c r="I41" s="1">
        <v>0</v>
      </c>
      <c r="J41" s="1">
        <v>1</v>
      </c>
      <c r="K41" s="1">
        <v>0</v>
      </c>
      <c r="L41" s="1">
        <v>0</v>
      </c>
      <c r="M41" s="1">
        <v>0</v>
      </c>
      <c r="N41" s="1">
        <v>0</v>
      </c>
      <c r="O41" s="24">
        <f t="shared" si="0"/>
        <v>1</v>
      </c>
      <c r="P41" s="23">
        <v>0</v>
      </c>
      <c r="Q41" s="1">
        <v>0</v>
      </c>
      <c r="R41" s="1">
        <v>0</v>
      </c>
      <c r="S41" s="1">
        <v>0</v>
      </c>
      <c r="T41" s="1">
        <v>0</v>
      </c>
      <c r="U41" s="1">
        <v>0</v>
      </c>
      <c r="V41" s="1">
        <v>0</v>
      </c>
      <c r="W41" s="1">
        <v>0</v>
      </c>
      <c r="X41" s="1">
        <v>0</v>
      </c>
      <c r="Y41" s="1">
        <v>0</v>
      </c>
      <c r="Z41" s="1">
        <v>0</v>
      </c>
      <c r="AA41" s="1">
        <v>0</v>
      </c>
      <c r="AB41" s="24">
        <f t="shared" si="1"/>
        <v>0</v>
      </c>
      <c r="AC41" s="23">
        <v>0</v>
      </c>
      <c r="AD41" s="1">
        <v>0</v>
      </c>
      <c r="AE41" s="1">
        <v>0</v>
      </c>
      <c r="AF41" s="1">
        <v>0</v>
      </c>
      <c r="AG41" s="1">
        <v>0</v>
      </c>
      <c r="AH41" s="1">
        <v>0</v>
      </c>
      <c r="AI41" s="1">
        <v>0</v>
      </c>
      <c r="AJ41" s="1">
        <v>2051</v>
      </c>
      <c r="AK41" s="1">
        <v>0</v>
      </c>
      <c r="AL41" s="1">
        <v>0</v>
      </c>
      <c r="AM41" s="1">
        <v>0</v>
      </c>
      <c r="AN41" s="1">
        <v>0</v>
      </c>
      <c r="AO41" s="24">
        <f t="shared" si="2"/>
        <v>2051</v>
      </c>
    </row>
    <row r="42" spans="1:41" ht="17.25" customHeight="1" x14ac:dyDescent="0.45">
      <c r="A42" s="12" t="s">
        <v>20</v>
      </c>
      <c r="B42" s="12" t="s">
        <v>13</v>
      </c>
      <c r="C42" s="25">
        <v>8</v>
      </c>
      <c r="D42" s="10">
        <v>13</v>
      </c>
      <c r="E42" s="10">
        <v>13</v>
      </c>
      <c r="F42" s="10">
        <v>17</v>
      </c>
      <c r="G42" s="10">
        <v>10</v>
      </c>
      <c r="H42" s="10">
        <v>16</v>
      </c>
      <c r="I42" s="10">
        <v>19</v>
      </c>
      <c r="J42" s="10">
        <v>17</v>
      </c>
      <c r="K42" s="10">
        <v>16</v>
      </c>
      <c r="L42" s="10">
        <v>7</v>
      </c>
      <c r="M42" s="10">
        <v>14</v>
      </c>
      <c r="N42" s="10">
        <v>13</v>
      </c>
      <c r="O42" s="26">
        <f t="shared" si="0"/>
        <v>163</v>
      </c>
      <c r="P42" s="25">
        <v>0</v>
      </c>
      <c r="Q42" s="10">
        <v>0</v>
      </c>
      <c r="R42" s="10">
        <v>0</v>
      </c>
      <c r="S42" s="10">
        <v>0</v>
      </c>
      <c r="T42" s="10">
        <v>0</v>
      </c>
      <c r="U42" s="10">
        <v>0</v>
      </c>
      <c r="V42" s="10">
        <v>0</v>
      </c>
      <c r="W42" s="10">
        <v>0</v>
      </c>
      <c r="X42" s="10">
        <v>53</v>
      </c>
      <c r="Y42" s="10">
        <v>0</v>
      </c>
      <c r="Z42" s="10">
        <v>0</v>
      </c>
      <c r="AA42" s="10">
        <v>0</v>
      </c>
      <c r="AB42" s="26">
        <f t="shared" si="1"/>
        <v>53</v>
      </c>
      <c r="AC42" s="25">
        <v>34871</v>
      </c>
      <c r="AD42" s="10">
        <v>60677</v>
      </c>
      <c r="AE42" s="10">
        <v>60989</v>
      </c>
      <c r="AF42" s="10">
        <v>69928</v>
      </c>
      <c r="AG42" s="10">
        <v>43708</v>
      </c>
      <c r="AH42" s="10">
        <v>65694</v>
      </c>
      <c r="AI42" s="10">
        <v>70414</v>
      </c>
      <c r="AJ42" s="10">
        <v>69108</v>
      </c>
      <c r="AK42" s="10">
        <v>65778</v>
      </c>
      <c r="AL42" s="10">
        <v>30241</v>
      </c>
      <c r="AM42" s="10">
        <v>64594</v>
      </c>
      <c r="AN42" s="10">
        <v>70234</v>
      </c>
      <c r="AO42" s="26">
        <f t="shared" si="2"/>
        <v>706236</v>
      </c>
    </row>
    <row r="43" spans="1:41" ht="17.25" customHeight="1" x14ac:dyDescent="0.45">
      <c r="A43" s="2" t="s">
        <v>20</v>
      </c>
      <c r="B43" s="2" t="s">
        <v>28</v>
      </c>
      <c r="C43" s="23">
        <v>9</v>
      </c>
      <c r="D43" s="1">
        <v>3</v>
      </c>
      <c r="E43" s="1">
        <v>0</v>
      </c>
      <c r="F43" s="1">
        <v>0</v>
      </c>
      <c r="G43" s="1">
        <v>12</v>
      </c>
      <c r="H43" s="1">
        <v>0</v>
      </c>
      <c r="I43" s="1">
        <v>0</v>
      </c>
      <c r="J43" s="1">
        <v>0</v>
      </c>
      <c r="K43" s="1">
        <v>0</v>
      </c>
      <c r="L43" s="1">
        <v>12</v>
      </c>
      <c r="M43" s="1">
        <v>2</v>
      </c>
      <c r="N43" s="1">
        <v>0</v>
      </c>
      <c r="O43" s="24">
        <f t="shared" si="0"/>
        <v>38</v>
      </c>
      <c r="P43" s="23">
        <v>0</v>
      </c>
      <c r="Q43" s="1">
        <v>0</v>
      </c>
      <c r="R43" s="1">
        <v>0</v>
      </c>
      <c r="S43" s="1">
        <v>0</v>
      </c>
      <c r="T43" s="1">
        <v>0</v>
      </c>
      <c r="U43" s="1">
        <v>0</v>
      </c>
      <c r="V43" s="1">
        <v>0</v>
      </c>
      <c r="W43" s="1">
        <v>0</v>
      </c>
      <c r="X43" s="1">
        <v>0</v>
      </c>
      <c r="Y43" s="1">
        <v>41</v>
      </c>
      <c r="Z43" s="1">
        <v>0</v>
      </c>
      <c r="AA43" s="1">
        <v>0</v>
      </c>
      <c r="AB43" s="24">
        <f t="shared" si="1"/>
        <v>41</v>
      </c>
      <c r="AC43" s="23">
        <v>110508</v>
      </c>
      <c r="AD43" s="1">
        <v>48438</v>
      </c>
      <c r="AE43" s="1">
        <v>0</v>
      </c>
      <c r="AF43" s="1">
        <v>0</v>
      </c>
      <c r="AG43" s="1">
        <v>88295</v>
      </c>
      <c r="AH43" s="1">
        <v>0</v>
      </c>
      <c r="AI43" s="1">
        <v>0</v>
      </c>
      <c r="AJ43" s="1">
        <v>0</v>
      </c>
      <c r="AK43" s="1">
        <v>0</v>
      </c>
      <c r="AL43" s="1">
        <v>161826</v>
      </c>
      <c r="AM43" s="1">
        <v>23843</v>
      </c>
      <c r="AN43" s="1">
        <v>0</v>
      </c>
      <c r="AO43" s="24">
        <f t="shared" si="2"/>
        <v>432910</v>
      </c>
    </row>
    <row r="44" spans="1:41" ht="17.25" customHeight="1" x14ac:dyDescent="0.45">
      <c r="A44" s="12" t="s">
        <v>20</v>
      </c>
      <c r="B44" s="12" t="s">
        <v>206</v>
      </c>
      <c r="C44" s="25">
        <v>0</v>
      </c>
      <c r="D44" s="10">
        <v>1</v>
      </c>
      <c r="E44" s="10">
        <v>1</v>
      </c>
      <c r="F44" s="10">
        <v>0</v>
      </c>
      <c r="G44" s="10">
        <v>0</v>
      </c>
      <c r="H44" s="10">
        <v>0</v>
      </c>
      <c r="I44" s="10">
        <v>0</v>
      </c>
      <c r="J44" s="10">
        <v>0</v>
      </c>
      <c r="K44" s="10">
        <v>1</v>
      </c>
      <c r="L44" s="10">
        <v>0</v>
      </c>
      <c r="M44" s="10">
        <v>0</v>
      </c>
      <c r="N44" s="10">
        <v>0</v>
      </c>
      <c r="O44" s="26">
        <f t="shared" si="0"/>
        <v>3</v>
      </c>
      <c r="P44" s="25">
        <v>0</v>
      </c>
      <c r="Q44" s="10">
        <v>0</v>
      </c>
      <c r="R44" s="10">
        <v>0</v>
      </c>
      <c r="S44" s="10">
        <v>0</v>
      </c>
      <c r="T44" s="10">
        <v>0</v>
      </c>
      <c r="U44" s="10">
        <v>0</v>
      </c>
      <c r="V44" s="10">
        <v>0</v>
      </c>
      <c r="W44" s="10">
        <v>0</v>
      </c>
      <c r="X44" s="10">
        <v>0</v>
      </c>
      <c r="Y44" s="10">
        <v>0</v>
      </c>
      <c r="Z44" s="10">
        <v>0</v>
      </c>
      <c r="AA44" s="10">
        <v>0</v>
      </c>
      <c r="AB44" s="26">
        <f t="shared" si="1"/>
        <v>0</v>
      </c>
      <c r="AC44" s="25">
        <v>0</v>
      </c>
      <c r="AD44" s="10">
        <v>600</v>
      </c>
      <c r="AE44" s="10">
        <v>3304</v>
      </c>
      <c r="AF44" s="10">
        <v>0</v>
      </c>
      <c r="AG44" s="10">
        <v>0</v>
      </c>
      <c r="AH44" s="10">
        <v>0</v>
      </c>
      <c r="AI44" s="10">
        <v>0</v>
      </c>
      <c r="AJ44" s="10">
        <v>0</v>
      </c>
      <c r="AK44" s="10">
        <v>1000</v>
      </c>
      <c r="AL44" s="10">
        <v>0</v>
      </c>
      <c r="AM44" s="10">
        <v>0</v>
      </c>
      <c r="AN44" s="10">
        <v>0</v>
      </c>
      <c r="AO44" s="26">
        <f t="shared" si="2"/>
        <v>4904</v>
      </c>
    </row>
    <row r="45" spans="1:41" ht="17.25" customHeight="1" x14ac:dyDescent="0.45">
      <c r="A45" s="2" t="s">
        <v>20</v>
      </c>
      <c r="B45" s="2" t="s">
        <v>30</v>
      </c>
      <c r="C45" s="23">
        <v>0</v>
      </c>
      <c r="D45" s="1">
        <v>0</v>
      </c>
      <c r="E45" s="1">
        <v>0</v>
      </c>
      <c r="F45" s="1">
        <v>0</v>
      </c>
      <c r="G45" s="1">
        <v>0</v>
      </c>
      <c r="H45" s="1">
        <v>0</v>
      </c>
      <c r="I45" s="1">
        <v>0</v>
      </c>
      <c r="J45" s="1">
        <v>0</v>
      </c>
      <c r="K45" s="1">
        <v>0</v>
      </c>
      <c r="L45" s="1">
        <v>1</v>
      </c>
      <c r="M45" s="1">
        <v>0</v>
      </c>
      <c r="N45" s="1">
        <v>0</v>
      </c>
      <c r="O45" s="24">
        <f t="shared" si="0"/>
        <v>1</v>
      </c>
      <c r="P45" s="23">
        <v>0</v>
      </c>
      <c r="Q45" s="1">
        <v>0</v>
      </c>
      <c r="R45" s="1">
        <v>0</v>
      </c>
      <c r="S45" s="1">
        <v>0</v>
      </c>
      <c r="T45" s="1">
        <v>0</v>
      </c>
      <c r="U45" s="1">
        <v>0</v>
      </c>
      <c r="V45" s="1">
        <v>0</v>
      </c>
      <c r="W45" s="1">
        <v>0</v>
      </c>
      <c r="X45" s="1">
        <v>0</v>
      </c>
      <c r="Y45" s="1">
        <v>0</v>
      </c>
      <c r="Z45" s="1">
        <v>0</v>
      </c>
      <c r="AA45" s="1">
        <v>0</v>
      </c>
      <c r="AB45" s="24">
        <f t="shared" si="1"/>
        <v>0</v>
      </c>
      <c r="AC45" s="23">
        <v>0</v>
      </c>
      <c r="AD45" s="1">
        <v>0</v>
      </c>
      <c r="AE45" s="1">
        <v>0</v>
      </c>
      <c r="AF45" s="1">
        <v>0</v>
      </c>
      <c r="AG45" s="1">
        <v>0</v>
      </c>
      <c r="AH45" s="1">
        <v>0</v>
      </c>
      <c r="AI45" s="1">
        <v>0</v>
      </c>
      <c r="AJ45" s="1">
        <v>0</v>
      </c>
      <c r="AK45" s="1">
        <v>0</v>
      </c>
      <c r="AL45" s="1">
        <v>1390</v>
      </c>
      <c r="AM45" s="1">
        <v>0</v>
      </c>
      <c r="AN45" s="1">
        <v>0</v>
      </c>
      <c r="AO45" s="24">
        <f t="shared" si="2"/>
        <v>1390</v>
      </c>
    </row>
    <row r="46" spans="1:41" ht="17.25" customHeight="1" x14ac:dyDescent="0.45">
      <c r="A46" s="12" t="s">
        <v>20</v>
      </c>
      <c r="B46" s="12" t="s">
        <v>50</v>
      </c>
      <c r="C46" s="25">
        <v>0</v>
      </c>
      <c r="D46" s="10">
        <v>0</v>
      </c>
      <c r="E46" s="10">
        <v>0</v>
      </c>
      <c r="F46" s="10">
        <v>4</v>
      </c>
      <c r="G46" s="10">
        <v>9</v>
      </c>
      <c r="H46" s="10">
        <v>0</v>
      </c>
      <c r="I46" s="10">
        <v>0</v>
      </c>
      <c r="J46" s="10">
        <v>0</v>
      </c>
      <c r="K46" s="10">
        <v>0</v>
      </c>
      <c r="L46" s="10">
        <v>0</v>
      </c>
      <c r="M46" s="10">
        <v>0</v>
      </c>
      <c r="N46" s="10">
        <v>0</v>
      </c>
      <c r="O46" s="26">
        <f t="shared" si="0"/>
        <v>13</v>
      </c>
      <c r="P46" s="25">
        <v>0</v>
      </c>
      <c r="Q46" s="10">
        <v>0</v>
      </c>
      <c r="R46" s="10">
        <v>0</v>
      </c>
      <c r="S46" s="10">
        <v>635</v>
      </c>
      <c r="T46" s="10">
        <v>1561</v>
      </c>
      <c r="U46" s="10">
        <v>0</v>
      </c>
      <c r="V46" s="10">
        <v>0</v>
      </c>
      <c r="W46" s="10">
        <v>0</v>
      </c>
      <c r="X46" s="10">
        <v>0</v>
      </c>
      <c r="Y46" s="10">
        <v>0</v>
      </c>
      <c r="Z46" s="10">
        <v>0</v>
      </c>
      <c r="AA46" s="10">
        <v>0</v>
      </c>
      <c r="AB46" s="26">
        <f t="shared" si="1"/>
        <v>2196</v>
      </c>
      <c r="AC46" s="25">
        <v>0</v>
      </c>
      <c r="AD46" s="10">
        <v>0</v>
      </c>
      <c r="AE46" s="10">
        <v>0</v>
      </c>
      <c r="AF46" s="10">
        <v>0</v>
      </c>
      <c r="AG46" s="10">
        <v>0</v>
      </c>
      <c r="AH46" s="10">
        <v>0</v>
      </c>
      <c r="AI46" s="10">
        <v>0</v>
      </c>
      <c r="AJ46" s="10">
        <v>0</v>
      </c>
      <c r="AK46" s="10">
        <v>0</v>
      </c>
      <c r="AL46" s="10">
        <v>0</v>
      </c>
      <c r="AM46" s="10">
        <v>0</v>
      </c>
      <c r="AN46" s="10">
        <v>0</v>
      </c>
      <c r="AO46" s="26">
        <f t="shared" si="2"/>
        <v>0</v>
      </c>
    </row>
    <row r="47" spans="1:41" ht="17.25" customHeight="1" x14ac:dyDescent="0.45">
      <c r="A47" s="2" t="s">
        <v>20</v>
      </c>
      <c r="B47" s="2" t="s">
        <v>15</v>
      </c>
      <c r="C47" s="23">
        <v>9</v>
      </c>
      <c r="D47" s="1">
        <v>3</v>
      </c>
      <c r="E47" s="1">
        <v>0</v>
      </c>
      <c r="F47" s="1">
        <v>0</v>
      </c>
      <c r="G47" s="1">
        <v>6</v>
      </c>
      <c r="H47" s="1">
        <v>0</v>
      </c>
      <c r="I47" s="1">
        <v>0</v>
      </c>
      <c r="J47" s="1">
        <v>0</v>
      </c>
      <c r="K47" s="1">
        <v>1</v>
      </c>
      <c r="L47" s="1">
        <v>12</v>
      </c>
      <c r="M47" s="1">
        <v>2</v>
      </c>
      <c r="N47" s="1">
        <v>0</v>
      </c>
      <c r="O47" s="24">
        <f t="shared" si="0"/>
        <v>33</v>
      </c>
      <c r="P47" s="23">
        <v>0</v>
      </c>
      <c r="Q47" s="1">
        <v>0</v>
      </c>
      <c r="R47" s="1">
        <v>0</v>
      </c>
      <c r="S47" s="1">
        <v>0</v>
      </c>
      <c r="T47" s="1">
        <v>0</v>
      </c>
      <c r="U47" s="1">
        <v>0</v>
      </c>
      <c r="V47" s="1">
        <v>0</v>
      </c>
      <c r="W47" s="1">
        <v>0</v>
      </c>
      <c r="X47" s="1">
        <v>0</v>
      </c>
      <c r="Y47" s="1">
        <v>0</v>
      </c>
      <c r="Z47" s="1">
        <v>0</v>
      </c>
      <c r="AA47" s="1">
        <v>0</v>
      </c>
      <c r="AB47" s="24">
        <f t="shared" si="1"/>
        <v>0</v>
      </c>
      <c r="AC47" s="23">
        <v>89433</v>
      </c>
      <c r="AD47" s="1">
        <v>24686</v>
      </c>
      <c r="AE47" s="1">
        <v>0</v>
      </c>
      <c r="AF47" s="1">
        <v>0</v>
      </c>
      <c r="AG47" s="1">
        <v>54918</v>
      </c>
      <c r="AH47" s="1">
        <v>0</v>
      </c>
      <c r="AI47" s="1">
        <v>0</v>
      </c>
      <c r="AJ47" s="1">
        <v>0</v>
      </c>
      <c r="AK47" s="1">
        <v>2022</v>
      </c>
      <c r="AL47" s="1">
        <v>113971</v>
      </c>
      <c r="AM47" s="1">
        <v>14715</v>
      </c>
      <c r="AN47" s="1">
        <v>0</v>
      </c>
      <c r="AO47" s="24">
        <f t="shared" si="2"/>
        <v>299745</v>
      </c>
    </row>
    <row r="48" spans="1:41" ht="17.25" customHeight="1" x14ac:dyDescent="0.45">
      <c r="A48" s="12" t="s">
        <v>20</v>
      </c>
      <c r="B48" s="12" t="s">
        <v>32</v>
      </c>
      <c r="C48" s="25">
        <v>2</v>
      </c>
      <c r="D48" s="10">
        <v>0</v>
      </c>
      <c r="E48" s="10">
        <v>0</v>
      </c>
      <c r="F48" s="10">
        <v>0</v>
      </c>
      <c r="G48" s="10">
        <v>1</v>
      </c>
      <c r="H48" s="10">
        <v>0</v>
      </c>
      <c r="I48" s="10">
        <v>2</v>
      </c>
      <c r="J48" s="10">
        <v>1</v>
      </c>
      <c r="K48" s="10">
        <v>0</v>
      </c>
      <c r="L48" s="10">
        <v>0</v>
      </c>
      <c r="M48" s="10">
        <v>0</v>
      </c>
      <c r="N48" s="10">
        <v>0</v>
      </c>
      <c r="O48" s="26">
        <f t="shared" si="0"/>
        <v>6</v>
      </c>
      <c r="P48" s="25">
        <v>96</v>
      </c>
      <c r="Q48" s="10">
        <v>0</v>
      </c>
      <c r="R48" s="10">
        <v>0</v>
      </c>
      <c r="S48" s="10">
        <v>0</v>
      </c>
      <c r="T48" s="10">
        <v>0</v>
      </c>
      <c r="U48" s="10">
        <v>0</v>
      </c>
      <c r="V48" s="10">
        <v>99</v>
      </c>
      <c r="W48" s="10">
        <v>0</v>
      </c>
      <c r="X48" s="10">
        <v>0</v>
      </c>
      <c r="Y48" s="10">
        <v>0</v>
      </c>
      <c r="Z48" s="10">
        <v>0</v>
      </c>
      <c r="AA48" s="10">
        <v>0</v>
      </c>
      <c r="AB48" s="26">
        <f t="shared" si="1"/>
        <v>195</v>
      </c>
      <c r="AC48" s="25">
        <v>0</v>
      </c>
      <c r="AD48" s="10">
        <v>0</v>
      </c>
      <c r="AE48" s="10">
        <v>0</v>
      </c>
      <c r="AF48" s="10">
        <v>0</v>
      </c>
      <c r="AG48" s="10">
        <v>300</v>
      </c>
      <c r="AH48" s="10">
        <v>0</v>
      </c>
      <c r="AI48" s="10">
        <v>0</v>
      </c>
      <c r="AJ48" s="10">
        <v>82190</v>
      </c>
      <c r="AK48" s="10">
        <v>0</v>
      </c>
      <c r="AL48" s="10">
        <v>0</v>
      </c>
      <c r="AM48" s="10">
        <v>0</v>
      </c>
      <c r="AN48" s="10">
        <v>0</v>
      </c>
      <c r="AO48" s="26">
        <f t="shared" si="2"/>
        <v>82490</v>
      </c>
    </row>
    <row r="49" spans="1:41" ht="17.25" customHeight="1" x14ac:dyDescent="0.45">
      <c r="A49" s="2" t="s">
        <v>20</v>
      </c>
      <c r="B49" s="2" t="s">
        <v>34</v>
      </c>
      <c r="C49" s="23">
        <v>0</v>
      </c>
      <c r="D49" s="1">
        <v>0</v>
      </c>
      <c r="E49" s="1">
        <v>0</v>
      </c>
      <c r="F49" s="1">
        <v>1</v>
      </c>
      <c r="G49" s="1">
        <v>0</v>
      </c>
      <c r="H49" s="1">
        <v>0</v>
      </c>
      <c r="I49" s="1">
        <v>0</v>
      </c>
      <c r="J49" s="1">
        <v>0</v>
      </c>
      <c r="K49" s="1">
        <v>0</v>
      </c>
      <c r="L49" s="1">
        <v>0</v>
      </c>
      <c r="M49" s="1">
        <v>0</v>
      </c>
      <c r="N49" s="1">
        <v>0</v>
      </c>
      <c r="O49" s="24">
        <f t="shared" si="0"/>
        <v>1</v>
      </c>
      <c r="P49" s="23">
        <v>0</v>
      </c>
      <c r="Q49" s="1">
        <v>0</v>
      </c>
      <c r="R49" s="1">
        <v>0</v>
      </c>
      <c r="S49" s="1">
        <v>176</v>
      </c>
      <c r="T49" s="1">
        <v>0</v>
      </c>
      <c r="U49" s="1">
        <v>0</v>
      </c>
      <c r="V49" s="1">
        <v>0</v>
      </c>
      <c r="W49" s="1">
        <v>0</v>
      </c>
      <c r="X49" s="1">
        <v>0</v>
      </c>
      <c r="Y49" s="1">
        <v>0</v>
      </c>
      <c r="Z49" s="1">
        <v>0</v>
      </c>
      <c r="AA49" s="1">
        <v>0</v>
      </c>
      <c r="AB49" s="24">
        <f t="shared" si="1"/>
        <v>176</v>
      </c>
      <c r="AC49" s="23">
        <v>0</v>
      </c>
      <c r="AD49" s="1">
        <v>0</v>
      </c>
      <c r="AE49" s="1">
        <v>0</v>
      </c>
      <c r="AF49" s="1">
        <v>0</v>
      </c>
      <c r="AG49" s="1">
        <v>0</v>
      </c>
      <c r="AH49" s="1">
        <v>0</v>
      </c>
      <c r="AI49" s="1">
        <v>0</v>
      </c>
      <c r="AJ49" s="1">
        <v>0</v>
      </c>
      <c r="AK49" s="1">
        <v>0</v>
      </c>
      <c r="AL49" s="1">
        <v>0</v>
      </c>
      <c r="AM49" s="1">
        <v>0</v>
      </c>
      <c r="AN49" s="1">
        <v>0</v>
      </c>
      <c r="AO49" s="24">
        <f t="shared" si="2"/>
        <v>0</v>
      </c>
    </row>
    <row r="50" spans="1:41" ht="17.25" customHeight="1" x14ac:dyDescent="0.45">
      <c r="A50" s="12" t="s">
        <v>20</v>
      </c>
      <c r="B50" s="12" t="s">
        <v>36</v>
      </c>
      <c r="C50" s="25">
        <v>1</v>
      </c>
      <c r="D50" s="10">
        <v>0</v>
      </c>
      <c r="E50" s="10">
        <v>0</v>
      </c>
      <c r="F50" s="10">
        <v>2</v>
      </c>
      <c r="G50" s="10">
        <v>3</v>
      </c>
      <c r="H50" s="10">
        <v>6</v>
      </c>
      <c r="I50" s="10">
        <v>0</v>
      </c>
      <c r="J50" s="10">
        <v>0</v>
      </c>
      <c r="K50" s="10">
        <v>0</v>
      </c>
      <c r="L50" s="10">
        <v>0</v>
      </c>
      <c r="M50" s="10">
        <v>0</v>
      </c>
      <c r="N50" s="10">
        <v>0</v>
      </c>
      <c r="O50" s="26">
        <f t="shared" si="0"/>
        <v>12</v>
      </c>
      <c r="P50" s="25">
        <v>106</v>
      </c>
      <c r="Q50" s="10">
        <v>0</v>
      </c>
      <c r="R50" s="10">
        <v>0</v>
      </c>
      <c r="S50" s="10">
        <v>337</v>
      </c>
      <c r="T50" s="10">
        <v>487</v>
      </c>
      <c r="U50" s="10">
        <v>988</v>
      </c>
      <c r="V50" s="10">
        <v>0</v>
      </c>
      <c r="W50" s="10">
        <v>0</v>
      </c>
      <c r="X50" s="10">
        <v>0</v>
      </c>
      <c r="Y50" s="10">
        <v>0</v>
      </c>
      <c r="Z50" s="10">
        <v>0</v>
      </c>
      <c r="AA50" s="10">
        <v>0</v>
      </c>
      <c r="AB50" s="26">
        <f t="shared" si="1"/>
        <v>1918</v>
      </c>
      <c r="AC50" s="25">
        <v>0</v>
      </c>
      <c r="AD50" s="10">
        <v>0</v>
      </c>
      <c r="AE50" s="10">
        <v>0</v>
      </c>
      <c r="AF50" s="10">
        <v>0</v>
      </c>
      <c r="AG50" s="10">
        <v>0</v>
      </c>
      <c r="AH50" s="10">
        <v>0</v>
      </c>
      <c r="AI50" s="10">
        <v>0</v>
      </c>
      <c r="AJ50" s="10">
        <v>0</v>
      </c>
      <c r="AK50" s="10">
        <v>0</v>
      </c>
      <c r="AL50" s="10">
        <v>0</v>
      </c>
      <c r="AM50" s="10">
        <v>0</v>
      </c>
      <c r="AN50" s="10">
        <v>0</v>
      </c>
      <c r="AO50" s="26">
        <f t="shared" si="2"/>
        <v>0</v>
      </c>
    </row>
    <row r="51" spans="1:41" ht="17.25" customHeight="1" x14ac:dyDescent="0.45">
      <c r="A51" s="2" t="s">
        <v>43</v>
      </c>
      <c r="B51" s="2" t="s">
        <v>47</v>
      </c>
      <c r="C51" s="23">
        <v>0</v>
      </c>
      <c r="D51" s="1">
        <v>0</v>
      </c>
      <c r="E51" s="1">
        <v>0</v>
      </c>
      <c r="F51" s="1">
        <v>0</v>
      </c>
      <c r="G51" s="1">
        <v>0</v>
      </c>
      <c r="H51" s="1">
        <v>0</v>
      </c>
      <c r="I51" s="1">
        <v>0</v>
      </c>
      <c r="J51" s="1">
        <v>0</v>
      </c>
      <c r="K51" s="1">
        <v>2</v>
      </c>
      <c r="L51" s="1">
        <v>0</v>
      </c>
      <c r="M51" s="1">
        <v>0</v>
      </c>
      <c r="N51" s="1">
        <v>0</v>
      </c>
      <c r="O51" s="24">
        <f t="shared" si="0"/>
        <v>2</v>
      </c>
      <c r="P51" s="23">
        <v>0</v>
      </c>
      <c r="Q51" s="1">
        <v>0</v>
      </c>
      <c r="R51" s="1">
        <v>0</v>
      </c>
      <c r="S51" s="1">
        <v>0</v>
      </c>
      <c r="T51" s="1">
        <v>0</v>
      </c>
      <c r="U51" s="1">
        <v>0</v>
      </c>
      <c r="V51" s="1">
        <v>0</v>
      </c>
      <c r="W51" s="1">
        <v>0</v>
      </c>
      <c r="X51" s="1">
        <v>0</v>
      </c>
      <c r="Y51" s="1">
        <v>0</v>
      </c>
      <c r="Z51" s="1">
        <v>0</v>
      </c>
      <c r="AA51" s="1">
        <v>0</v>
      </c>
      <c r="AB51" s="24">
        <f t="shared" si="1"/>
        <v>0</v>
      </c>
      <c r="AC51" s="23">
        <v>0</v>
      </c>
      <c r="AD51" s="1">
        <v>0</v>
      </c>
      <c r="AE51" s="1">
        <v>0</v>
      </c>
      <c r="AF51" s="1">
        <v>0</v>
      </c>
      <c r="AG51" s="1">
        <v>0</v>
      </c>
      <c r="AH51" s="1">
        <v>0</v>
      </c>
      <c r="AI51" s="1">
        <v>0</v>
      </c>
      <c r="AJ51" s="1">
        <v>0</v>
      </c>
      <c r="AK51" s="1">
        <v>7210</v>
      </c>
      <c r="AL51" s="1">
        <v>0</v>
      </c>
      <c r="AM51" s="1">
        <v>0</v>
      </c>
      <c r="AN51" s="1">
        <v>0</v>
      </c>
      <c r="AO51" s="24">
        <f t="shared" si="2"/>
        <v>7210</v>
      </c>
    </row>
    <row r="52" spans="1:41" ht="17.25" customHeight="1" x14ac:dyDescent="0.45">
      <c r="A52" s="12" t="s">
        <v>44</v>
      </c>
      <c r="B52" s="12" t="s">
        <v>52</v>
      </c>
      <c r="C52" s="25">
        <v>0</v>
      </c>
      <c r="D52" s="10">
        <v>0</v>
      </c>
      <c r="E52" s="10">
        <v>0</v>
      </c>
      <c r="F52" s="10">
        <v>0</v>
      </c>
      <c r="G52" s="10">
        <v>0</v>
      </c>
      <c r="H52" s="10">
        <v>0</v>
      </c>
      <c r="I52" s="10">
        <v>0</v>
      </c>
      <c r="J52" s="10">
        <v>0</v>
      </c>
      <c r="K52" s="10">
        <v>0</v>
      </c>
      <c r="L52" s="10">
        <v>0</v>
      </c>
      <c r="M52" s="10">
        <v>0</v>
      </c>
      <c r="N52" s="10">
        <v>1</v>
      </c>
      <c r="O52" s="26">
        <f t="shared" si="0"/>
        <v>1</v>
      </c>
      <c r="P52" s="25">
        <v>0</v>
      </c>
      <c r="Q52" s="10">
        <v>0</v>
      </c>
      <c r="R52" s="10">
        <v>0</v>
      </c>
      <c r="S52" s="10">
        <v>0</v>
      </c>
      <c r="T52" s="10">
        <v>0</v>
      </c>
      <c r="U52" s="10">
        <v>0</v>
      </c>
      <c r="V52" s="10">
        <v>0</v>
      </c>
      <c r="W52" s="10">
        <v>0</v>
      </c>
      <c r="X52" s="10">
        <v>0</v>
      </c>
      <c r="Y52" s="10">
        <v>0</v>
      </c>
      <c r="Z52" s="10">
        <v>0</v>
      </c>
      <c r="AA52" s="10">
        <v>1</v>
      </c>
      <c r="AB52" s="26">
        <f t="shared" si="1"/>
        <v>1</v>
      </c>
      <c r="AC52" s="25">
        <v>0</v>
      </c>
      <c r="AD52" s="10">
        <v>0</v>
      </c>
      <c r="AE52" s="10">
        <v>0</v>
      </c>
      <c r="AF52" s="10">
        <v>0</v>
      </c>
      <c r="AG52" s="10">
        <v>0</v>
      </c>
      <c r="AH52" s="10">
        <v>0</v>
      </c>
      <c r="AI52" s="10">
        <v>0</v>
      </c>
      <c r="AJ52" s="10">
        <v>0</v>
      </c>
      <c r="AK52" s="10">
        <v>0</v>
      </c>
      <c r="AL52" s="10">
        <v>0</v>
      </c>
      <c r="AM52" s="10">
        <v>0</v>
      </c>
      <c r="AN52" s="10">
        <v>0</v>
      </c>
      <c r="AO52" s="26">
        <f t="shared" si="2"/>
        <v>0</v>
      </c>
    </row>
    <row r="53" spans="1:41" ht="17.25" customHeight="1" x14ac:dyDescent="0.45">
      <c r="A53" s="2" t="s">
        <v>44</v>
      </c>
      <c r="B53" s="2" t="s">
        <v>13</v>
      </c>
      <c r="C53" s="23">
        <v>0</v>
      </c>
      <c r="D53" s="1">
        <v>0</v>
      </c>
      <c r="E53" s="1">
        <v>0</v>
      </c>
      <c r="F53" s="1">
        <v>0</v>
      </c>
      <c r="G53" s="1">
        <v>0</v>
      </c>
      <c r="H53" s="1">
        <v>0</v>
      </c>
      <c r="I53" s="1">
        <v>0</v>
      </c>
      <c r="J53" s="1">
        <v>0</v>
      </c>
      <c r="K53" s="1">
        <v>0</v>
      </c>
      <c r="L53" s="1">
        <v>1</v>
      </c>
      <c r="M53" s="1">
        <v>0</v>
      </c>
      <c r="N53" s="1">
        <v>0</v>
      </c>
      <c r="O53" s="24">
        <f t="shared" si="0"/>
        <v>1</v>
      </c>
      <c r="P53" s="23">
        <v>0</v>
      </c>
      <c r="Q53" s="1">
        <v>0</v>
      </c>
      <c r="R53" s="1">
        <v>0</v>
      </c>
      <c r="S53" s="1">
        <v>0</v>
      </c>
      <c r="T53" s="1">
        <v>0</v>
      </c>
      <c r="U53" s="1">
        <v>0</v>
      </c>
      <c r="V53" s="1">
        <v>0</v>
      </c>
      <c r="W53" s="1">
        <v>0</v>
      </c>
      <c r="X53" s="1">
        <v>0</v>
      </c>
      <c r="Y53" s="1">
        <v>33</v>
      </c>
      <c r="Z53" s="1">
        <v>0</v>
      </c>
      <c r="AA53" s="1">
        <v>0</v>
      </c>
      <c r="AB53" s="24">
        <f t="shared" si="1"/>
        <v>33</v>
      </c>
      <c r="AC53" s="23">
        <v>0</v>
      </c>
      <c r="AD53" s="1">
        <v>0</v>
      </c>
      <c r="AE53" s="1">
        <v>0</v>
      </c>
      <c r="AF53" s="1">
        <v>0</v>
      </c>
      <c r="AG53" s="1">
        <v>0</v>
      </c>
      <c r="AH53" s="1">
        <v>0</v>
      </c>
      <c r="AI53" s="1">
        <v>0</v>
      </c>
      <c r="AJ53" s="1">
        <v>0</v>
      </c>
      <c r="AK53" s="1">
        <v>0</v>
      </c>
      <c r="AL53" s="1">
        <v>0</v>
      </c>
      <c r="AM53" s="1">
        <v>0</v>
      </c>
      <c r="AN53" s="1">
        <v>0</v>
      </c>
      <c r="AO53" s="24">
        <f t="shared" si="2"/>
        <v>0</v>
      </c>
    </row>
    <row r="54" spans="1:41" ht="17.25" customHeight="1" x14ac:dyDescent="0.45">
      <c r="A54" s="12" t="s">
        <v>44</v>
      </c>
      <c r="B54" s="12" t="s">
        <v>59</v>
      </c>
      <c r="C54" s="25">
        <v>0</v>
      </c>
      <c r="D54" s="10">
        <v>11</v>
      </c>
      <c r="E54" s="10">
        <v>13</v>
      </c>
      <c r="F54" s="10">
        <v>13</v>
      </c>
      <c r="G54" s="10">
        <v>13</v>
      </c>
      <c r="H54" s="10">
        <v>13</v>
      </c>
      <c r="I54" s="10">
        <v>13</v>
      </c>
      <c r="J54" s="10">
        <v>14</v>
      </c>
      <c r="K54" s="10">
        <v>13</v>
      </c>
      <c r="L54" s="10">
        <v>14</v>
      </c>
      <c r="M54" s="10">
        <v>13</v>
      </c>
      <c r="N54" s="10">
        <v>13</v>
      </c>
      <c r="O54" s="26">
        <f t="shared" si="0"/>
        <v>143</v>
      </c>
      <c r="P54" s="25">
        <v>0</v>
      </c>
      <c r="Q54" s="10">
        <v>260</v>
      </c>
      <c r="R54" s="10">
        <v>341</v>
      </c>
      <c r="S54" s="10">
        <v>279</v>
      </c>
      <c r="T54" s="10">
        <v>270</v>
      </c>
      <c r="U54" s="10">
        <v>192</v>
      </c>
      <c r="V54" s="10">
        <v>320</v>
      </c>
      <c r="W54" s="10">
        <v>244</v>
      </c>
      <c r="X54" s="10">
        <v>176</v>
      </c>
      <c r="Y54" s="10">
        <v>174</v>
      </c>
      <c r="Z54" s="10">
        <v>222</v>
      </c>
      <c r="AA54" s="10">
        <v>196</v>
      </c>
      <c r="AB54" s="26">
        <f t="shared" si="1"/>
        <v>2674</v>
      </c>
      <c r="AC54" s="25">
        <v>0</v>
      </c>
      <c r="AD54" s="10">
        <v>0</v>
      </c>
      <c r="AE54" s="10">
        <v>0</v>
      </c>
      <c r="AF54" s="10">
        <v>0</v>
      </c>
      <c r="AG54" s="10">
        <v>0</v>
      </c>
      <c r="AH54" s="10">
        <v>0</v>
      </c>
      <c r="AI54" s="10">
        <v>0</v>
      </c>
      <c r="AJ54" s="10">
        <v>0</v>
      </c>
      <c r="AK54" s="10">
        <v>0</v>
      </c>
      <c r="AL54" s="10">
        <v>0</v>
      </c>
      <c r="AM54" s="10">
        <v>0</v>
      </c>
      <c r="AN54" s="10">
        <v>0</v>
      </c>
      <c r="AO54" s="26">
        <f t="shared" si="2"/>
        <v>0</v>
      </c>
    </row>
    <row r="55" spans="1:41" ht="17.25" customHeight="1" x14ac:dyDescent="0.45">
      <c r="A55" s="2" t="s">
        <v>44</v>
      </c>
      <c r="B55" s="2" t="s">
        <v>14</v>
      </c>
      <c r="C55" s="23">
        <v>26</v>
      </c>
      <c r="D55" s="1">
        <v>12</v>
      </c>
      <c r="E55" s="1">
        <v>13</v>
      </c>
      <c r="F55" s="1">
        <v>13</v>
      </c>
      <c r="G55" s="1">
        <v>13</v>
      </c>
      <c r="H55" s="1">
        <v>13</v>
      </c>
      <c r="I55" s="1">
        <v>18</v>
      </c>
      <c r="J55" s="1">
        <v>18</v>
      </c>
      <c r="K55" s="1">
        <v>18</v>
      </c>
      <c r="L55" s="1">
        <v>17</v>
      </c>
      <c r="M55" s="1">
        <v>14</v>
      </c>
      <c r="N55" s="1">
        <v>13</v>
      </c>
      <c r="O55" s="24">
        <f t="shared" si="0"/>
        <v>188</v>
      </c>
      <c r="P55" s="23">
        <v>419</v>
      </c>
      <c r="Q55" s="1">
        <v>416</v>
      </c>
      <c r="R55" s="1">
        <v>569</v>
      </c>
      <c r="S55" s="1">
        <v>475</v>
      </c>
      <c r="T55" s="1">
        <v>446</v>
      </c>
      <c r="U55" s="1">
        <v>405</v>
      </c>
      <c r="V55" s="1">
        <v>506</v>
      </c>
      <c r="W55" s="1">
        <v>517</v>
      </c>
      <c r="X55" s="1">
        <v>435</v>
      </c>
      <c r="Y55" s="1">
        <v>482</v>
      </c>
      <c r="Z55" s="1">
        <v>422</v>
      </c>
      <c r="AA55" s="1">
        <v>512</v>
      </c>
      <c r="AB55" s="24">
        <f t="shared" si="1"/>
        <v>5604</v>
      </c>
      <c r="AC55" s="23">
        <v>0</v>
      </c>
      <c r="AD55" s="1">
        <v>0</v>
      </c>
      <c r="AE55" s="1">
        <v>0</v>
      </c>
      <c r="AF55" s="1">
        <v>0</v>
      </c>
      <c r="AG55" s="1">
        <v>0</v>
      </c>
      <c r="AH55" s="1">
        <v>0</v>
      </c>
      <c r="AI55" s="1">
        <v>0</v>
      </c>
      <c r="AJ55" s="1">
        <v>0</v>
      </c>
      <c r="AK55" s="1">
        <v>0</v>
      </c>
      <c r="AL55" s="1">
        <v>0</v>
      </c>
      <c r="AM55" s="1">
        <v>0</v>
      </c>
      <c r="AN55" s="1">
        <v>0</v>
      </c>
      <c r="AO55" s="24">
        <f t="shared" si="2"/>
        <v>0</v>
      </c>
    </row>
    <row r="56" spans="1:41" ht="17.25" customHeight="1" x14ac:dyDescent="0.45">
      <c r="A56" s="12" t="s">
        <v>44</v>
      </c>
      <c r="B56" s="12" t="s">
        <v>32</v>
      </c>
      <c r="C56" s="25">
        <v>0</v>
      </c>
      <c r="D56" s="10">
        <v>0</v>
      </c>
      <c r="E56" s="10">
        <v>0</v>
      </c>
      <c r="F56" s="10">
        <v>0</v>
      </c>
      <c r="G56" s="10">
        <v>0</v>
      </c>
      <c r="H56" s="10">
        <v>0</v>
      </c>
      <c r="I56" s="10">
        <v>0</v>
      </c>
      <c r="J56" s="10">
        <v>0</v>
      </c>
      <c r="K56" s="10">
        <v>0</v>
      </c>
      <c r="L56" s="10">
        <v>2</v>
      </c>
      <c r="M56" s="10">
        <v>0</v>
      </c>
      <c r="N56" s="10">
        <v>0</v>
      </c>
      <c r="O56" s="26">
        <f t="shared" si="0"/>
        <v>2</v>
      </c>
      <c r="P56" s="25">
        <v>0</v>
      </c>
      <c r="Q56" s="10">
        <v>0</v>
      </c>
      <c r="R56" s="10">
        <v>0</v>
      </c>
      <c r="S56" s="10">
        <v>0</v>
      </c>
      <c r="T56" s="10">
        <v>0</v>
      </c>
      <c r="U56" s="10">
        <v>0</v>
      </c>
      <c r="V56" s="10">
        <v>0</v>
      </c>
      <c r="W56" s="10">
        <v>0</v>
      </c>
      <c r="X56" s="10">
        <v>0</v>
      </c>
      <c r="Y56" s="10">
        <v>54</v>
      </c>
      <c r="Z56" s="10">
        <v>0</v>
      </c>
      <c r="AA56" s="10">
        <v>0</v>
      </c>
      <c r="AB56" s="26">
        <f t="shared" si="1"/>
        <v>54</v>
      </c>
      <c r="AC56" s="25">
        <v>0</v>
      </c>
      <c r="AD56" s="10">
        <v>0</v>
      </c>
      <c r="AE56" s="10">
        <v>0</v>
      </c>
      <c r="AF56" s="10">
        <v>0</v>
      </c>
      <c r="AG56" s="10">
        <v>0</v>
      </c>
      <c r="AH56" s="10">
        <v>0</v>
      </c>
      <c r="AI56" s="10">
        <v>0</v>
      </c>
      <c r="AJ56" s="10">
        <v>0</v>
      </c>
      <c r="AK56" s="10">
        <v>0</v>
      </c>
      <c r="AL56" s="10">
        <v>0</v>
      </c>
      <c r="AM56" s="10">
        <v>0</v>
      </c>
      <c r="AN56" s="10">
        <v>0</v>
      </c>
      <c r="AO56" s="26">
        <f t="shared" si="2"/>
        <v>0</v>
      </c>
    </row>
    <row r="57" spans="1:41" ht="17.25" customHeight="1" x14ac:dyDescent="0.45">
      <c r="A57" s="2" t="s">
        <v>45</v>
      </c>
      <c r="B57" s="2" t="s">
        <v>43</v>
      </c>
      <c r="C57" s="23">
        <v>0</v>
      </c>
      <c r="D57" s="1">
        <v>0</v>
      </c>
      <c r="E57" s="1">
        <v>0</v>
      </c>
      <c r="F57" s="1">
        <v>0</v>
      </c>
      <c r="G57" s="1">
        <v>0</v>
      </c>
      <c r="H57" s="1">
        <v>0</v>
      </c>
      <c r="I57" s="1">
        <v>0</v>
      </c>
      <c r="J57" s="1">
        <v>0</v>
      </c>
      <c r="K57" s="1">
        <v>0</v>
      </c>
      <c r="L57" s="1">
        <v>0</v>
      </c>
      <c r="M57" s="1">
        <v>1</v>
      </c>
      <c r="N57" s="1">
        <v>0</v>
      </c>
      <c r="O57" s="24">
        <f t="shared" si="0"/>
        <v>1</v>
      </c>
      <c r="P57" s="23">
        <v>0</v>
      </c>
      <c r="Q57" s="1">
        <v>0</v>
      </c>
      <c r="R57" s="1">
        <v>0</v>
      </c>
      <c r="S57" s="1">
        <v>0</v>
      </c>
      <c r="T57" s="1">
        <v>0</v>
      </c>
      <c r="U57" s="1">
        <v>0</v>
      </c>
      <c r="V57" s="1">
        <v>0</v>
      </c>
      <c r="W57" s="1">
        <v>0</v>
      </c>
      <c r="X57" s="1">
        <v>0</v>
      </c>
      <c r="Y57" s="1">
        <v>0</v>
      </c>
      <c r="Z57" s="1">
        <v>0</v>
      </c>
      <c r="AA57" s="1">
        <v>0</v>
      </c>
      <c r="AB57" s="24">
        <f t="shared" si="1"/>
        <v>0</v>
      </c>
      <c r="AC57" s="23">
        <v>0</v>
      </c>
      <c r="AD57" s="1">
        <v>0</v>
      </c>
      <c r="AE57" s="1">
        <v>0</v>
      </c>
      <c r="AF57" s="1">
        <v>0</v>
      </c>
      <c r="AG57" s="1">
        <v>0</v>
      </c>
      <c r="AH57" s="1">
        <v>0</v>
      </c>
      <c r="AI57" s="1">
        <v>0</v>
      </c>
      <c r="AJ57" s="1">
        <v>0</v>
      </c>
      <c r="AK57" s="1">
        <v>0</v>
      </c>
      <c r="AL57" s="1">
        <v>0</v>
      </c>
      <c r="AM57" s="1">
        <v>2310</v>
      </c>
      <c r="AN57" s="1">
        <v>0</v>
      </c>
      <c r="AO57" s="24">
        <f t="shared" si="2"/>
        <v>2310</v>
      </c>
    </row>
    <row r="58" spans="1:41" ht="17.25" customHeight="1" x14ac:dyDescent="0.45">
      <c r="A58" s="12" t="s">
        <v>45</v>
      </c>
      <c r="B58" s="12" t="s">
        <v>32</v>
      </c>
      <c r="C58" s="25">
        <v>0</v>
      </c>
      <c r="D58" s="10">
        <v>0</v>
      </c>
      <c r="E58" s="10">
        <v>1</v>
      </c>
      <c r="F58" s="10">
        <v>0</v>
      </c>
      <c r="G58" s="10">
        <v>0</v>
      </c>
      <c r="H58" s="10">
        <v>0</v>
      </c>
      <c r="I58" s="10">
        <v>0</v>
      </c>
      <c r="J58" s="10">
        <v>0</v>
      </c>
      <c r="K58" s="10">
        <v>0</v>
      </c>
      <c r="L58" s="10">
        <v>0</v>
      </c>
      <c r="M58" s="10">
        <v>1</v>
      </c>
      <c r="N58" s="10">
        <v>0</v>
      </c>
      <c r="O58" s="26">
        <f t="shared" si="0"/>
        <v>2</v>
      </c>
      <c r="P58" s="25">
        <v>0</v>
      </c>
      <c r="Q58" s="10">
        <v>0</v>
      </c>
      <c r="R58" s="10">
        <v>50</v>
      </c>
      <c r="S58" s="10">
        <v>0</v>
      </c>
      <c r="T58" s="10">
        <v>0</v>
      </c>
      <c r="U58" s="10">
        <v>0</v>
      </c>
      <c r="V58" s="10">
        <v>0</v>
      </c>
      <c r="W58" s="10">
        <v>0</v>
      </c>
      <c r="X58" s="10">
        <v>0</v>
      </c>
      <c r="Y58" s="10">
        <v>0</v>
      </c>
      <c r="Z58" s="10">
        <v>36</v>
      </c>
      <c r="AA58" s="10">
        <v>0</v>
      </c>
      <c r="AB58" s="26">
        <f t="shared" si="1"/>
        <v>86</v>
      </c>
      <c r="AC58" s="25">
        <v>0</v>
      </c>
      <c r="AD58" s="10">
        <v>0</v>
      </c>
      <c r="AE58" s="10">
        <v>0</v>
      </c>
      <c r="AF58" s="10">
        <v>0</v>
      </c>
      <c r="AG58" s="10">
        <v>0</v>
      </c>
      <c r="AH58" s="10">
        <v>0</v>
      </c>
      <c r="AI58" s="10">
        <v>0</v>
      </c>
      <c r="AJ58" s="10">
        <v>0</v>
      </c>
      <c r="AK58" s="10">
        <v>0</v>
      </c>
      <c r="AL58" s="10">
        <v>0</v>
      </c>
      <c r="AM58" s="10">
        <v>0</v>
      </c>
      <c r="AN58" s="10">
        <v>0</v>
      </c>
      <c r="AO58" s="26">
        <f t="shared" si="2"/>
        <v>0</v>
      </c>
    </row>
    <row r="59" spans="1:41" ht="17.25" customHeight="1" x14ac:dyDescent="0.45">
      <c r="A59" s="2" t="s">
        <v>21</v>
      </c>
      <c r="B59" s="2" t="s">
        <v>20</v>
      </c>
      <c r="C59" s="23">
        <v>2</v>
      </c>
      <c r="D59" s="1">
        <v>0</v>
      </c>
      <c r="E59" s="1">
        <v>0</v>
      </c>
      <c r="F59" s="1">
        <v>0</v>
      </c>
      <c r="G59" s="1">
        <v>0</v>
      </c>
      <c r="H59" s="1">
        <v>0</v>
      </c>
      <c r="I59" s="1">
        <v>0</v>
      </c>
      <c r="J59" s="1">
        <v>0</v>
      </c>
      <c r="K59" s="1">
        <v>0</v>
      </c>
      <c r="L59" s="1">
        <v>0</v>
      </c>
      <c r="M59" s="1">
        <v>0</v>
      </c>
      <c r="N59" s="1">
        <v>0</v>
      </c>
      <c r="O59" s="24">
        <f t="shared" si="0"/>
        <v>2</v>
      </c>
      <c r="P59" s="23">
        <v>0</v>
      </c>
      <c r="Q59" s="1">
        <v>0</v>
      </c>
      <c r="R59" s="1">
        <v>0</v>
      </c>
      <c r="S59" s="1">
        <v>0</v>
      </c>
      <c r="T59" s="1">
        <v>0</v>
      </c>
      <c r="U59" s="1">
        <v>0</v>
      </c>
      <c r="V59" s="1">
        <v>0</v>
      </c>
      <c r="W59" s="1">
        <v>0</v>
      </c>
      <c r="X59" s="1">
        <v>0</v>
      </c>
      <c r="Y59" s="1">
        <v>0</v>
      </c>
      <c r="Z59" s="1">
        <v>0</v>
      </c>
      <c r="AA59" s="1">
        <v>0</v>
      </c>
      <c r="AB59" s="24">
        <f t="shared" si="1"/>
        <v>0</v>
      </c>
      <c r="AC59" s="23">
        <v>7733</v>
      </c>
      <c r="AD59" s="1">
        <v>0</v>
      </c>
      <c r="AE59" s="1">
        <v>0</v>
      </c>
      <c r="AF59" s="1">
        <v>0</v>
      </c>
      <c r="AG59" s="1">
        <v>0</v>
      </c>
      <c r="AH59" s="1">
        <v>0</v>
      </c>
      <c r="AI59" s="1">
        <v>0</v>
      </c>
      <c r="AJ59" s="1">
        <v>0</v>
      </c>
      <c r="AK59" s="1">
        <v>0</v>
      </c>
      <c r="AL59" s="1">
        <v>0</v>
      </c>
      <c r="AM59" s="1">
        <v>0</v>
      </c>
      <c r="AN59" s="1">
        <v>0</v>
      </c>
      <c r="AO59" s="24">
        <f t="shared" si="2"/>
        <v>7733</v>
      </c>
    </row>
    <row r="60" spans="1:41" ht="17.25" customHeight="1" x14ac:dyDescent="0.45">
      <c r="A60" s="12" t="s">
        <v>21</v>
      </c>
      <c r="B60" s="12" t="s">
        <v>38</v>
      </c>
      <c r="C60" s="25">
        <v>5</v>
      </c>
      <c r="D60" s="10">
        <v>4</v>
      </c>
      <c r="E60" s="10">
        <v>5</v>
      </c>
      <c r="F60" s="10">
        <v>6</v>
      </c>
      <c r="G60" s="10">
        <v>5</v>
      </c>
      <c r="H60" s="10">
        <v>11</v>
      </c>
      <c r="I60" s="10">
        <v>7</v>
      </c>
      <c r="J60" s="10">
        <v>8</v>
      </c>
      <c r="K60" s="10">
        <v>12</v>
      </c>
      <c r="L60" s="10">
        <v>18</v>
      </c>
      <c r="M60" s="10">
        <v>3</v>
      </c>
      <c r="N60" s="10">
        <v>0</v>
      </c>
      <c r="O60" s="26">
        <f t="shared" si="0"/>
        <v>84</v>
      </c>
      <c r="P60" s="25">
        <v>0</v>
      </c>
      <c r="Q60" s="10">
        <v>0</v>
      </c>
      <c r="R60" s="10">
        <v>0</v>
      </c>
      <c r="S60" s="10">
        <v>0</v>
      </c>
      <c r="T60" s="10">
        <v>0</v>
      </c>
      <c r="U60" s="10">
        <v>0</v>
      </c>
      <c r="V60" s="10">
        <v>0</v>
      </c>
      <c r="W60" s="10">
        <v>0</v>
      </c>
      <c r="X60" s="10">
        <v>0</v>
      </c>
      <c r="Y60" s="10">
        <v>0</v>
      </c>
      <c r="Z60" s="10">
        <v>0</v>
      </c>
      <c r="AA60" s="10">
        <v>0</v>
      </c>
      <c r="AB60" s="26">
        <f t="shared" si="1"/>
        <v>0</v>
      </c>
      <c r="AC60" s="25">
        <v>6753</v>
      </c>
      <c r="AD60" s="10">
        <v>7844</v>
      </c>
      <c r="AE60" s="10">
        <v>9178</v>
      </c>
      <c r="AF60" s="10">
        <v>12364</v>
      </c>
      <c r="AG60" s="10">
        <v>9895</v>
      </c>
      <c r="AH60" s="10">
        <v>30758</v>
      </c>
      <c r="AI60" s="10">
        <v>16472</v>
      </c>
      <c r="AJ60" s="10">
        <v>10015</v>
      </c>
      <c r="AK60" s="10">
        <v>20864</v>
      </c>
      <c r="AL60" s="10">
        <v>24499</v>
      </c>
      <c r="AM60" s="10">
        <v>10568</v>
      </c>
      <c r="AN60" s="10">
        <v>0</v>
      </c>
      <c r="AO60" s="26">
        <f t="shared" si="2"/>
        <v>159210</v>
      </c>
    </row>
    <row r="61" spans="1:41" ht="17.25" customHeight="1" x14ac:dyDescent="0.45">
      <c r="A61" s="2" t="s">
        <v>21</v>
      </c>
      <c r="B61" s="2" t="s">
        <v>47</v>
      </c>
      <c r="C61" s="23">
        <v>16</v>
      </c>
      <c r="D61" s="1">
        <v>21</v>
      </c>
      <c r="E61" s="1">
        <v>17</v>
      </c>
      <c r="F61" s="1">
        <v>17</v>
      </c>
      <c r="G61" s="1">
        <v>20</v>
      </c>
      <c r="H61" s="1">
        <v>16</v>
      </c>
      <c r="I61" s="1">
        <v>19</v>
      </c>
      <c r="J61" s="1">
        <v>14</v>
      </c>
      <c r="K61" s="1">
        <v>13</v>
      </c>
      <c r="L61" s="1">
        <v>18</v>
      </c>
      <c r="M61" s="1">
        <v>17</v>
      </c>
      <c r="N61" s="1">
        <v>15</v>
      </c>
      <c r="O61" s="24">
        <f t="shared" si="0"/>
        <v>203</v>
      </c>
      <c r="P61" s="23">
        <v>0</v>
      </c>
      <c r="Q61" s="1">
        <v>0</v>
      </c>
      <c r="R61" s="1">
        <v>0</v>
      </c>
      <c r="S61" s="1">
        <v>0</v>
      </c>
      <c r="T61" s="1">
        <v>0</v>
      </c>
      <c r="U61" s="1">
        <v>0</v>
      </c>
      <c r="V61" s="1">
        <v>0</v>
      </c>
      <c r="W61" s="1">
        <v>0</v>
      </c>
      <c r="X61" s="1">
        <v>0</v>
      </c>
      <c r="Y61" s="1">
        <v>0</v>
      </c>
      <c r="Z61" s="1">
        <v>0</v>
      </c>
      <c r="AA61" s="1">
        <v>0</v>
      </c>
      <c r="AB61" s="24">
        <f t="shared" si="1"/>
        <v>0</v>
      </c>
      <c r="AC61" s="23">
        <v>50735</v>
      </c>
      <c r="AD61" s="1">
        <v>112615</v>
      </c>
      <c r="AE61" s="1">
        <v>87663</v>
      </c>
      <c r="AF61" s="1">
        <v>79345</v>
      </c>
      <c r="AG61" s="1">
        <v>72265</v>
      </c>
      <c r="AH61" s="1">
        <v>38039</v>
      </c>
      <c r="AI61" s="1">
        <v>88133</v>
      </c>
      <c r="AJ61" s="1">
        <v>31350</v>
      </c>
      <c r="AK61" s="1">
        <v>22411</v>
      </c>
      <c r="AL61" s="1">
        <v>41218</v>
      </c>
      <c r="AM61" s="1">
        <v>154928</v>
      </c>
      <c r="AN61" s="1">
        <v>125404</v>
      </c>
      <c r="AO61" s="24">
        <f t="shared" si="2"/>
        <v>904106</v>
      </c>
    </row>
    <row r="62" spans="1:41" ht="17.25" customHeight="1" x14ac:dyDescent="0.45">
      <c r="A62" s="12" t="s">
        <v>21</v>
      </c>
      <c r="B62" s="12" t="s">
        <v>55</v>
      </c>
      <c r="C62" s="25">
        <v>9</v>
      </c>
      <c r="D62" s="10">
        <v>3</v>
      </c>
      <c r="E62" s="10">
        <v>0</v>
      </c>
      <c r="F62" s="10">
        <v>0</v>
      </c>
      <c r="G62" s="10">
        <v>7</v>
      </c>
      <c r="H62" s="10">
        <v>0</v>
      </c>
      <c r="I62" s="10">
        <v>0</v>
      </c>
      <c r="J62" s="10">
        <v>0</v>
      </c>
      <c r="K62" s="10">
        <v>0</v>
      </c>
      <c r="L62" s="10">
        <v>12</v>
      </c>
      <c r="M62" s="10">
        <v>16</v>
      </c>
      <c r="N62" s="10">
        <v>4</v>
      </c>
      <c r="O62" s="26">
        <f t="shared" si="0"/>
        <v>51</v>
      </c>
      <c r="P62" s="25">
        <v>0</v>
      </c>
      <c r="Q62" s="10">
        <v>0</v>
      </c>
      <c r="R62" s="10">
        <v>0</v>
      </c>
      <c r="S62" s="10">
        <v>0</v>
      </c>
      <c r="T62" s="10">
        <v>0</v>
      </c>
      <c r="U62" s="10">
        <v>0</v>
      </c>
      <c r="V62" s="10">
        <v>0</v>
      </c>
      <c r="W62" s="10">
        <v>0</v>
      </c>
      <c r="X62" s="10">
        <v>0</v>
      </c>
      <c r="Y62" s="10">
        <v>0</v>
      </c>
      <c r="Z62" s="10">
        <v>0</v>
      </c>
      <c r="AA62" s="10">
        <v>0</v>
      </c>
      <c r="AB62" s="26">
        <f t="shared" si="1"/>
        <v>0</v>
      </c>
      <c r="AC62" s="25">
        <v>81342</v>
      </c>
      <c r="AD62" s="10">
        <v>32264</v>
      </c>
      <c r="AE62" s="10">
        <v>0</v>
      </c>
      <c r="AF62" s="10">
        <v>0</v>
      </c>
      <c r="AG62" s="10">
        <v>64141</v>
      </c>
      <c r="AH62" s="10">
        <v>0</v>
      </c>
      <c r="AI62" s="10">
        <v>0</v>
      </c>
      <c r="AJ62" s="10">
        <v>0</v>
      </c>
      <c r="AK62" s="10">
        <v>0</v>
      </c>
      <c r="AL62" s="10">
        <v>117828</v>
      </c>
      <c r="AM62" s="10">
        <v>185994</v>
      </c>
      <c r="AN62" s="10">
        <v>197249</v>
      </c>
      <c r="AO62" s="26">
        <f t="shared" si="2"/>
        <v>678818</v>
      </c>
    </row>
    <row r="63" spans="1:41" ht="17.25" customHeight="1" x14ac:dyDescent="0.45">
      <c r="A63" s="2" t="s">
        <v>21</v>
      </c>
      <c r="B63" s="2" t="s">
        <v>28</v>
      </c>
      <c r="C63" s="23">
        <v>18</v>
      </c>
      <c r="D63" s="1">
        <v>16</v>
      </c>
      <c r="E63" s="1">
        <v>13</v>
      </c>
      <c r="F63" s="1">
        <v>17</v>
      </c>
      <c r="G63" s="1">
        <v>17</v>
      </c>
      <c r="H63" s="1">
        <v>17</v>
      </c>
      <c r="I63" s="1">
        <v>19</v>
      </c>
      <c r="J63" s="1">
        <v>16</v>
      </c>
      <c r="K63" s="1">
        <v>15</v>
      </c>
      <c r="L63" s="1">
        <v>18</v>
      </c>
      <c r="M63" s="1">
        <v>17</v>
      </c>
      <c r="N63" s="1">
        <v>13</v>
      </c>
      <c r="O63" s="24">
        <f t="shared" si="0"/>
        <v>196</v>
      </c>
      <c r="P63" s="23">
        <v>0</v>
      </c>
      <c r="Q63" s="1">
        <v>0</v>
      </c>
      <c r="R63" s="1">
        <v>0</v>
      </c>
      <c r="S63" s="1">
        <v>0</v>
      </c>
      <c r="T63" s="1">
        <v>0</v>
      </c>
      <c r="U63" s="1">
        <v>0</v>
      </c>
      <c r="V63" s="1">
        <v>0</v>
      </c>
      <c r="W63" s="1">
        <v>0</v>
      </c>
      <c r="X63" s="1">
        <v>0</v>
      </c>
      <c r="Y63" s="1">
        <v>0</v>
      </c>
      <c r="Z63" s="1">
        <v>0</v>
      </c>
      <c r="AA63" s="1">
        <v>0</v>
      </c>
      <c r="AB63" s="24">
        <f t="shared" si="1"/>
        <v>0</v>
      </c>
      <c r="AC63" s="23">
        <v>110806</v>
      </c>
      <c r="AD63" s="1">
        <v>99272</v>
      </c>
      <c r="AE63" s="1">
        <v>120574</v>
      </c>
      <c r="AF63" s="1">
        <v>105063</v>
      </c>
      <c r="AG63" s="1">
        <v>119054</v>
      </c>
      <c r="AH63" s="1">
        <v>106632</v>
      </c>
      <c r="AI63" s="1">
        <v>119253</v>
      </c>
      <c r="AJ63" s="1">
        <v>98803</v>
      </c>
      <c r="AK63" s="1">
        <v>93599</v>
      </c>
      <c r="AL63" s="1">
        <v>127109</v>
      </c>
      <c r="AM63" s="1">
        <v>133657</v>
      </c>
      <c r="AN63" s="1">
        <v>104519</v>
      </c>
      <c r="AO63" s="24">
        <f t="shared" si="2"/>
        <v>1338341</v>
      </c>
    </row>
    <row r="64" spans="1:41" ht="17.25" customHeight="1" x14ac:dyDescent="0.45">
      <c r="A64" s="12" t="s">
        <v>21</v>
      </c>
      <c r="B64" s="12" t="s">
        <v>15</v>
      </c>
      <c r="C64" s="25">
        <v>26</v>
      </c>
      <c r="D64" s="10">
        <v>27</v>
      </c>
      <c r="E64" s="10">
        <v>24</v>
      </c>
      <c r="F64" s="10">
        <v>35</v>
      </c>
      <c r="G64" s="10">
        <v>30</v>
      </c>
      <c r="H64" s="10">
        <v>32</v>
      </c>
      <c r="I64" s="10">
        <v>37</v>
      </c>
      <c r="J64" s="10">
        <v>18</v>
      </c>
      <c r="K64" s="10">
        <v>14</v>
      </c>
      <c r="L64" s="10">
        <v>6</v>
      </c>
      <c r="M64" s="10">
        <v>0</v>
      </c>
      <c r="N64" s="10">
        <v>22</v>
      </c>
      <c r="O64" s="26">
        <f t="shared" si="0"/>
        <v>271</v>
      </c>
      <c r="P64" s="25">
        <v>0</v>
      </c>
      <c r="Q64" s="10">
        <v>0</v>
      </c>
      <c r="R64" s="10">
        <v>0</v>
      </c>
      <c r="S64" s="10">
        <v>0</v>
      </c>
      <c r="T64" s="10">
        <v>0</v>
      </c>
      <c r="U64" s="10">
        <v>0</v>
      </c>
      <c r="V64" s="10">
        <v>0</v>
      </c>
      <c r="W64" s="10">
        <v>0</v>
      </c>
      <c r="X64" s="10">
        <v>0</v>
      </c>
      <c r="Y64" s="10">
        <v>0</v>
      </c>
      <c r="Z64" s="10">
        <v>0</v>
      </c>
      <c r="AA64" s="10">
        <v>0</v>
      </c>
      <c r="AB64" s="26">
        <f t="shared" si="1"/>
        <v>0</v>
      </c>
      <c r="AC64" s="25">
        <v>366611</v>
      </c>
      <c r="AD64" s="10">
        <v>287264</v>
      </c>
      <c r="AE64" s="10">
        <v>261596</v>
      </c>
      <c r="AF64" s="10">
        <v>391948</v>
      </c>
      <c r="AG64" s="10">
        <v>456616</v>
      </c>
      <c r="AH64" s="10">
        <v>362017</v>
      </c>
      <c r="AI64" s="10">
        <v>435760</v>
      </c>
      <c r="AJ64" s="10">
        <v>179628</v>
      </c>
      <c r="AK64" s="10">
        <v>147780</v>
      </c>
      <c r="AL64" s="10">
        <v>65528</v>
      </c>
      <c r="AM64" s="10">
        <v>0</v>
      </c>
      <c r="AN64" s="10">
        <v>147762</v>
      </c>
      <c r="AO64" s="26">
        <f t="shared" si="2"/>
        <v>3102510</v>
      </c>
    </row>
    <row r="65" spans="1:41" ht="17.25" customHeight="1" x14ac:dyDescent="0.45">
      <c r="A65" s="2" t="s">
        <v>21</v>
      </c>
      <c r="B65" s="2" t="s">
        <v>32</v>
      </c>
      <c r="C65" s="23">
        <v>12</v>
      </c>
      <c r="D65" s="1">
        <v>13</v>
      </c>
      <c r="E65" s="1">
        <v>9</v>
      </c>
      <c r="F65" s="1">
        <v>12</v>
      </c>
      <c r="G65" s="1">
        <v>13</v>
      </c>
      <c r="H65" s="1">
        <v>4</v>
      </c>
      <c r="I65" s="1">
        <v>11</v>
      </c>
      <c r="J65" s="1">
        <v>9</v>
      </c>
      <c r="K65" s="1">
        <v>0</v>
      </c>
      <c r="L65" s="1">
        <v>0</v>
      </c>
      <c r="M65" s="1">
        <v>0</v>
      </c>
      <c r="N65" s="1">
        <v>0</v>
      </c>
      <c r="O65" s="24">
        <f t="shared" si="0"/>
        <v>83</v>
      </c>
      <c r="P65" s="23">
        <v>0</v>
      </c>
      <c r="Q65" s="1">
        <v>0</v>
      </c>
      <c r="R65" s="1">
        <v>0</v>
      </c>
      <c r="S65" s="1">
        <v>0</v>
      </c>
      <c r="T65" s="1">
        <v>0</v>
      </c>
      <c r="U65" s="1">
        <v>0</v>
      </c>
      <c r="V65" s="1">
        <v>0</v>
      </c>
      <c r="W65" s="1">
        <v>0</v>
      </c>
      <c r="X65" s="1">
        <v>0</v>
      </c>
      <c r="Y65" s="1">
        <v>0</v>
      </c>
      <c r="Z65" s="1">
        <v>0</v>
      </c>
      <c r="AA65" s="1">
        <v>0</v>
      </c>
      <c r="AB65" s="24">
        <f t="shared" si="1"/>
        <v>0</v>
      </c>
      <c r="AC65" s="23">
        <v>17016</v>
      </c>
      <c r="AD65" s="1">
        <v>27189</v>
      </c>
      <c r="AE65" s="1">
        <v>25600</v>
      </c>
      <c r="AF65" s="1">
        <v>37798</v>
      </c>
      <c r="AG65" s="1">
        <v>35832</v>
      </c>
      <c r="AH65" s="1">
        <v>12585</v>
      </c>
      <c r="AI65" s="1">
        <v>26108</v>
      </c>
      <c r="AJ65" s="1">
        <v>11857</v>
      </c>
      <c r="AK65" s="1">
        <v>0</v>
      </c>
      <c r="AL65" s="1">
        <v>0</v>
      </c>
      <c r="AM65" s="1">
        <v>0</v>
      </c>
      <c r="AN65" s="1">
        <v>0</v>
      </c>
      <c r="AO65" s="24">
        <f t="shared" si="2"/>
        <v>193985</v>
      </c>
    </row>
    <row r="66" spans="1:41" ht="17.25" customHeight="1" x14ac:dyDescent="0.45">
      <c r="A66" s="12" t="s">
        <v>22</v>
      </c>
      <c r="B66" s="12" t="s">
        <v>11</v>
      </c>
      <c r="C66" s="25">
        <v>0</v>
      </c>
      <c r="D66" s="10">
        <v>0</v>
      </c>
      <c r="E66" s="10">
        <v>0</v>
      </c>
      <c r="F66" s="10">
        <v>1</v>
      </c>
      <c r="G66" s="10">
        <v>0</v>
      </c>
      <c r="H66" s="10">
        <v>0</v>
      </c>
      <c r="I66" s="10">
        <v>0</v>
      </c>
      <c r="J66" s="10">
        <v>0</v>
      </c>
      <c r="K66" s="10">
        <v>0</v>
      </c>
      <c r="L66" s="10">
        <v>0</v>
      </c>
      <c r="M66" s="10">
        <v>0</v>
      </c>
      <c r="N66" s="10">
        <v>0</v>
      </c>
      <c r="O66" s="26">
        <f t="shared" si="0"/>
        <v>1</v>
      </c>
      <c r="P66" s="25">
        <v>0</v>
      </c>
      <c r="Q66" s="10">
        <v>0</v>
      </c>
      <c r="R66" s="10">
        <v>0</v>
      </c>
      <c r="S66" s="10">
        <v>0</v>
      </c>
      <c r="T66" s="10">
        <v>0</v>
      </c>
      <c r="U66" s="10">
        <v>0</v>
      </c>
      <c r="V66" s="10">
        <v>0</v>
      </c>
      <c r="W66" s="10">
        <v>0</v>
      </c>
      <c r="X66" s="10">
        <v>0</v>
      </c>
      <c r="Y66" s="10">
        <v>0</v>
      </c>
      <c r="Z66" s="10">
        <v>0</v>
      </c>
      <c r="AA66" s="10">
        <v>0</v>
      </c>
      <c r="AB66" s="26">
        <f t="shared" si="1"/>
        <v>0</v>
      </c>
      <c r="AC66" s="25">
        <v>0</v>
      </c>
      <c r="AD66" s="10">
        <v>0</v>
      </c>
      <c r="AE66" s="10">
        <v>0</v>
      </c>
      <c r="AF66" s="10">
        <v>4392</v>
      </c>
      <c r="AG66" s="10">
        <v>0</v>
      </c>
      <c r="AH66" s="10">
        <v>0</v>
      </c>
      <c r="AI66" s="10">
        <v>0</v>
      </c>
      <c r="AJ66" s="10">
        <v>0</v>
      </c>
      <c r="AK66" s="10">
        <v>0</v>
      </c>
      <c r="AL66" s="10">
        <v>0</v>
      </c>
      <c r="AM66" s="10">
        <v>0</v>
      </c>
      <c r="AN66" s="10">
        <v>0</v>
      </c>
      <c r="AO66" s="26">
        <f t="shared" si="2"/>
        <v>4392</v>
      </c>
    </row>
    <row r="67" spans="1:41" ht="17.25" customHeight="1" x14ac:dyDescent="0.45">
      <c r="A67" s="2" t="s">
        <v>22</v>
      </c>
      <c r="B67" s="2" t="s">
        <v>38</v>
      </c>
      <c r="C67" s="23">
        <v>2</v>
      </c>
      <c r="D67" s="1">
        <v>0</v>
      </c>
      <c r="E67" s="1">
        <v>7</v>
      </c>
      <c r="F67" s="1">
        <v>0</v>
      </c>
      <c r="G67" s="1">
        <v>5</v>
      </c>
      <c r="H67" s="1">
        <v>3</v>
      </c>
      <c r="I67" s="1">
        <v>28</v>
      </c>
      <c r="J67" s="1">
        <v>0</v>
      </c>
      <c r="K67" s="1">
        <v>1</v>
      </c>
      <c r="L67" s="1">
        <v>0</v>
      </c>
      <c r="M67" s="1">
        <v>5</v>
      </c>
      <c r="N67" s="1">
        <v>1</v>
      </c>
      <c r="O67" s="24">
        <f t="shared" si="0"/>
        <v>52</v>
      </c>
      <c r="P67" s="23">
        <v>0</v>
      </c>
      <c r="Q67" s="1">
        <v>0</v>
      </c>
      <c r="R67" s="1">
        <v>0</v>
      </c>
      <c r="S67" s="1">
        <v>0</v>
      </c>
      <c r="T67" s="1">
        <v>0</v>
      </c>
      <c r="U67" s="1">
        <v>0</v>
      </c>
      <c r="V67" s="1">
        <v>0</v>
      </c>
      <c r="W67" s="1">
        <v>0</v>
      </c>
      <c r="X67" s="1">
        <v>0</v>
      </c>
      <c r="Y67" s="1">
        <v>0</v>
      </c>
      <c r="Z67" s="1">
        <v>0</v>
      </c>
      <c r="AA67" s="1">
        <v>0</v>
      </c>
      <c r="AB67" s="24">
        <f t="shared" si="1"/>
        <v>0</v>
      </c>
      <c r="AC67" s="23">
        <v>15500</v>
      </c>
      <c r="AD67" s="1">
        <v>0</v>
      </c>
      <c r="AE67" s="1">
        <v>20388</v>
      </c>
      <c r="AF67" s="1">
        <v>0</v>
      </c>
      <c r="AG67" s="1">
        <v>26803</v>
      </c>
      <c r="AH67" s="1">
        <v>13479</v>
      </c>
      <c r="AI67" s="1">
        <v>260773</v>
      </c>
      <c r="AJ67" s="1">
        <v>0</v>
      </c>
      <c r="AK67" s="1">
        <v>1300</v>
      </c>
      <c r="AL67" s="1">
        <v>0</v>
      </c>
      <c r="AM67" s="1">
        <v>6803</v>
      </c>
      <c r="AN67" s="1">
        <v>1732</v>
      </c>
      <c r="AO67" s="24">
        <f t="shared" si="2"/>
        <v>346778</v>
      </c>
    </row>
    <row r="68" spans="1:41" ht="17.25" customHeight="1" x14ac:dyDescent="0.45">
      <c r="A68" s="12" t="s">
        <v>22</v>
      </c>
      <c r="B68" s="12" t="s">
        <v>40</v>
      </c>
      <c r="C68" s="25">
        <v>0</v>
      </c>
      <c r="D68" s="10">
        <v>1</v>
      </c>
      <c r="E68" s="10">
        <v>0</v>
      </c>
      <c r="F68" s="10">
        <v>2</v>
      </c>
      <c r="G68" s="10">
        <v>1</v>
      </c>
      <c r="H68" s="10">
        <v>5</v>
      </c>
      <c r="I68" s="10">
        <v>0</v>
      </c>
      <c r="J68" s="10">
        <v>1</v>
      </c>
      <c r="K68" s="10">
        <v>0</v>
      </c>
      <c r="L68" s="10">
        <v>1</v>
      </c>
      <c r="M68" s="10">
        <v>0</v>
      </c>
      <c r="N68" s="10">
        <v>0</v>
      </c>
      <c r="O68" s="26">
        <f t="shared" si="0"/>
        <v>11</v>
      </c>
      <c r="P68" s="25">
        <v>0</v>
      </c>
      <c r="Q68" s="10">
        <v>0</v>
      </c>
      <c r="R68" s="10">
        <v>0</v>
      </c>
      <c r="S68" s="10">
        <v>0</v>
      </c>
      <c r="T68" s="10">
        <v>0</v>
      </c>
      <c r="U68" s="10">
        <v>0</v>
      </c>
      <c r="V68" s="10">
        <v>0</v>
      </c>
      <c r="W68" s="10">
        <v>0</v>
      </c>
      <c r="X68" s="10">
        <v>0</v>
      </c>
      <c r="Y68" s="10">
        <v>0</v>
      </c>
      <c r="Z68" s="10">
        <v>0</v>
      </c>
      <c r="AA68" s="10">
        <v>0</v>
      </c>
      <c r="AB68" s="26">
        <f t="shared" si="1"/>
        <v>0</v>
      </c>
      <c r="AC68" s="25">
        <v>0</v>
      </c>
      <c r="AD68" s="10">
        <v>2352</v>
      </c>
      <c r="AE68" s="10">
        <v>0</v>
      </c>
      <c r="AF68" s="10">
        <v>8728</v>
      </c>
      <c r="AG68" s="10">
        <v>4560</v>
      </c>
      <c r="AH68" s="10">
        <v>57546</v>
      </c>
      <c r="AI68" s="10">
        <v>0</v>
      </c>
      <c r="AJ68" s="10">
        <v>10200</v>
      </c>
      <c r="AK68" s="10">
        <v>0</v>
      </c>
      <c r="AL68" s="10">
        <v>3580</v>
      </c>
      <c r="AM68" s="10">
        <v>0</v>
      </c>
      <c r="AN68" s="10">
        <v>0</v>
      </c>
      <c r="AO68" s="26">
        <f t="shared" si="2"/>
        <v>86966</v>
      </c>
    </row>
    <row r="69" spans="1:41" ht="17.25" customHeight="1" x14ac:dyDescent="0.45">
      <c r="A69" s="2" t="s">
        <v>22</v>
      </c>
      <c r="B69" s="2" t="s">
        <v>13</v>
      </c>
      <c r="C69" s="23">
        <v>1</v>
      </c>
      <c r="D69" s="1">
        <v>0</v>
      </c>
      <c r="E69" s="1">
        <v>0</v>
      </c>
      <c r="F69" s="1">
        <v>1</v>
      </c>
      <c r="G69" s="1">
        <v>1</v>
      </c>
      <c r="H69" s="1">
        <v>0</v>
      </c>
      <c r="I69" s="1">
        <v>0</v>
      </c>
      <c r="J69" s="1">
        <v>0</v>
      </c>
      <c r="K69" s="1">
        <v>0</v>
      </c>
      <c r="L69" s="1">
        <v>0</v>
      </c>
      <c r="M69" s="1">
        <v>0</v>
      </c>
      <c r="N69" s="1">
        <v>0</v>
      </c>
      <c r="O69" s="24">
        <f t="shared" si="0"/>
        <v>3</v>
      </c>
      <c r="P69" s="23">
        <v>108</v>
      </c>
      <c r="Q69" s="1">
        <v>0</v>
      </c>
      <c r="R69" s="1">
        <v>0</v>
      </c>
      <c r="S69" s="1">
        <v>0</v>
      </c>
      <c r="T69" s="1">
        <v>0</v>
      </c>
      <c r="U69" s="1">
        <v>0</v>
      </c>
      <c r="V69" s="1">
        <v>0</v>
      </c>
      <c r="W69" s="1">
        <v>0</v>
      </c>
      <c r="X69" s="1">
        <v>0</v>
      </c>
      <c r="Y69" s="1">
        <v>0</v>
      </c>
      <c r="Z69" s="1">
        <v>0</v>
      </c>
      <c r="AA69" s="1">
        <v>0</v>
      </c>
      <c r="AB69" s="24">
        <f t="shared" si="1"/>
        <v>108</v>
      </c>
      <c r="AC69" s="23">
        <v>0</v>
      </c>
      <c r="AD69" s="1">
        <v>0</v>
      </c>
      <c r="AE69" s="1">
        <v>0</v>
      </c>
      <c r="AF69" s="1">
        <v>7000</v>
      </c>
      <c r="AG69" s="1">
        <v>6000</v>
      </c>
      <c r="AH69" s="1">
        <v>0</v>
      </c>
      <c r="AI69" s="1">
        <v>0</v>
      </c>
      <c r="AJ69" s="1">
        <v>0</v>
      </c>
      <c r="AK69" s="1">
        <v>0</v>
      </c>
      <c r="AL69" s="1">
        <v>0</v>
      </c>
      <c r="AM69" s="1">
        <v>0</v>
      </c>
      <c r="AN69" s="1">
        <v>0</v>
      </c>
      <c r="AO69" s="24">
        <f t="shared" si="2"/>
        <v>13000</v>
      </c>
    </row>
    <row r="70" spans="1:41" ht="17.25" customHeight="1" x14ac:dyDescent="0.45">
      <c r="A70" s="12" t="s">
        <v>22</v>
      </c>
      <c r="B70" s="12" t="s">
        <v>206</v>
      </c>
      <c r="C70" s="25">
        <v>0</v>
      </c>
      <c r="D70" s="10">
        <v>0</v>
      </c>
      <c r="E70" s="10">
        <v>0</v>
      </c>
      <c r="F70" s="10">
        <v>6</v>
      </c>
      <c r="G70" s="10">
        <v>1</v>
      </c>
      <c r="H70" s="10">
        <v>4</v>
      </c>
      <c r="I70" s="10">
        <v>1</v>
      </c>
      <c r="J70" s="10">
        <v>0</v>
      </c>
      <c r="K70" s="10">
        <v>7</v>
      </c>
      <c r="L70" s="10">
        <v>0</v>
      </c>
      <c r="M70" s="10">
        <v>2</v>
      </c>
      <c r="N70" s="10">
        <v>0</v>
      </c>
      <c r="O70" s="26">
        <f t="shared" si="0"/>
        <v>21</v>
      </c>
      <c r="P70" s="25">
        <v>0</v>
      </c>
      <c r="Q70" s="10">
        <v>0</v>
      </c>
      <c r="R70" s="10">
        <v>0</v>
      </c>
      <c r="S70" s="10">
        <v>0</v>
      </c>
      <c r="T70" s="10">
        <v>0</v>
      </c>
      <c r="U70" s="10">
        <v>0</v>
      </c>
      <c r="V70" s="10">
        <v>0</v>
      </c>
      <c r="W70" s="10">
        <v>0</v>
      </c>
      <c r="X70" s="10">
        <v>0</v>
      </c>
      <c r="Y70" s="10">
        <v>0</v>
      </c>
      <c r="Z70" s="10">
        <v>0</v>
      </c>
      <c r="AA70" s="10">
        <v>0</v>
      </c>
      <c r="AB70" s="26">
        <f t="shared" si="1"/>
        <v>0</v>
      </c>
      <c r="AC70" s="25">
        <v>0</v>
      </c>
      <c r="AD70" s="10">
        <v>0</v>
      </c>
      <c r="AE70" s="10">
        <v>0</v>
      </c>
      <c r="AF70" s="10">
        <v>7586</v>
      </c>
      <c r="AG70" s="10">
        <v>805</v>
      </c>
      <c r="AH70" s="10">
        <v>15283</v>
      </c>
      <c r="AI70" s="10">
        <v>10875</v>
      </c>
      <c r="AJ70" s="10">
        <v>0</v>
      </c>
      <c r="AK70" s="10">
        <v>9693</v>
      </c>
      <c r="AL70" s="10">
        <v>0</v>
      </c>
      <c r="AM70" s="10">
        <v>2680</v>
      </c>
      <c r="AN70" s="10">
        <v>0</v>
      </c>
      <c r="AO70" s="26">
        <f t="shared" si="2"/>
        <v>46922</v>
      </c>
    </row>
    <row r="71" spans="1:41" ht="17.25" customHeight="1" x14ac:dyDescent="0.45">
      <c r="A71" s="2" t="s">
        <v>22</v>
      </c>
      <c r="B71" s="2" t="s">
        <v>15</v>
      </c>
      <c r="C71" s="23">
        <v>4</v>
      </c>
      <c r="D71" s="1">
        <v>1</v>
      </c>
      <c r="E71" s="1">
        <v>1</v>
      </c>
      <c r="F71" s="1">
        <v>6</v>
      </c>
      <c r="G71" s="1">
        <v>2</v>
      </c>
      <c r="H71" s="1">
        <v>5</v>
      </c>
      <c r="I71" s="1">
        <v>0</v>
      </c>
      <c r="J71" s="1">
        <v>1</v>
      </c>
      <c r="K71" s="1">
        <v>0</v>
      </c>
      <c r="L71" s="1">
        <v>0</v>
      </c>
      <c r="M71" s="1">
        <v>0</v>
      </c>
      <c r="N71" s="1">
        <v>0</v>
      </c>
      <c r="O71" s="24">
        <f t="shared" si="0"/>
        <v>20</v>
      </c>
      <c r="P71" s="23">
        <v>0</v>
      </c>
      <c r="Q71" s="1">
        <v>0</v>
      </c>
      <c r="R71" s="1">
        <v>0</v>
      </c>
      <c r="S71" s="1">
        <v>0</v>
      </c>
      <c r="T71" s="1">
        <v>0</v>
      </c>
      <c r="U71" s="1">
        <v>0</v>
      </c>
      <c r="V71" s="1">
        <v>0</v>
      </c>
      <c r="W71" s="1">
        <v>0</v>
      </c>
      <c r="X71" s="1">
        <v>0</v>
      </c>
      <c r="Y71" s="1">
        <v>0</v>
      </c>
      <c r="Z71" s="1">
        <v>0</v>
      </c>
      <c r="AA71" s="1">
        <v>0</v>
      </c>
      <c r="AB71" s="24">
        <f t="shared" si="1"/>
        <v>0</v>
      </c>
      <c r="AC71" s="23">
        <v>29822</v>
      </c>
      <c r="AD71" s="1">
        <v>1005</v>
      </c>
      <c r="AE71" s="1">
        <v>595</v>
      </c>
      <c r="AF71" s="1">
        <v>21538</v>
      </c>
      <c r="AG71" s="1">
        <v>15800</v>
      </c>
      <c r="AH71" s="1">
        <v>40816</v>
      </c>
      <c r="AI71" s="1">
        <v>0</v>
      </c>
      <c r="AJ71" s="1">
        <v>5945</v>
      </c>
      <c r="AK71" s="1">
        <v>0</v>
      </c>
      <c r="AL71" s="1">
        <v>0</v>
      </c>
      <c r="AM71" s="1">
        <v>0</v>
      </c>
      <c r="AN71" s="1">
        <v>0</v>
      </c>
      <c r="AO71" s="24">
        <f t="shared" si="2"/>
        <v>115521</v>
      </c>
    </row>
    <row r="72" spans="1:41" ht="17.25" customHeight="1" x14ac:dyDescent="0.45">
      <c r="A72" s="12" t="s">
        <v>22</v>
      </c>
      <c r="B72" s="12" t="s">
        <v>32</v>
      </c>
      <c r="C72" s="25">
        <v>0</v>
      </c>
      <c r="D72" s="10">
        <v>2</v>
      </c>
      <c r="E72" s="10">
        <v>0</v>
      </c>
      <c r="F72" s="10">
        <v>0</v>
      </c>
      <c r="G72" s="10">
        <v>1</v>
      </c>
      <c r="H72" s="10">
        <v>0</v>
      </c>
      <c r="I72" s="10">
        <v>0</v>
      </c>
      <c r="J72" s="10">
        <v>0</v>
      </c>
      <c r="K72" s="10">
        <v>0</v>
      </c>
      <c r="L72" s="10">
        <v>0</v>
      </c>
      <c r="M72" s="10">
        <v>0</v>
      </c>
      <c r="N72" s="10">
        <v>0</v>
      </c>
      <c r="O72" s="26">
        <f t="shared" ref="O72:O135" si="3">SUM(C72:N72)</f>
        <v>3</v>
      </c>
      <c r="P72" s="25">
        <v>0</v>
      </c>
      <c r="Q72" s="10">
        <v>100</v>
      </c>
      <c r="R72" s="10">
        <v>0</v>
      </c>
      <c r="S72" s="10">
        <v>0</v>
      </c>
      <c r="T72" s="10">
        <v>38</v>
      </c>
      <c r="U72" s="10">
        <v>0</v>
      </c>
      <c r="V72" s="10">
        <v>0</v>
      </c>
      <c r="W72" s="10">
        <v>0</v>
      </c>
      <c r="X72" s="10">
        <v>0</v>
      </c>
      <c r="Y72" s="10">
        <v>0</v>
      </c>
      <c r="Z72" s="10">
        <v>0</v>
      </c>
      <c r="AA72" s="10">
        <v>0</v>
      </c>
      <c r="AB72" s="26">
        <f t="shared" ref="AB72:AB135" si="4">SUM(P72:AA72)</f>
        <v>138</v>
      </c>
      <c r="AC72" s="25">
        <v>0</v>
      </c>
      <c r="AD72" s="10">
        <v>0</v>
      </c>
      <c r="AE72" s="10">
        <v>0</v>
      </c>
      <c r="AF72" s="10">
        <v>0</v>
      </c>
      <c r="AG72" s="10">
        <v>0</v>
      </c>
      <c r="AH72" s="10">
        <v>0</v>
      </c>
      <c r="AI72" s="10">
        <v>0</v>
      </c>
      <c r="AJ72" s="10">
        <v>0</v>
      </c>
      <c r="AK72" s="10">
        <v>0</v>
      </c>
      <c r="AL72" s="10">
        <v>0</v>
      </c>
      <c r="AM72" s="10">
        <v>0</v>
      </c>
      <c r="AN72" s="10">
        <v>0</v>
      </c>
      <c r="AO72" s="26">
        <f t="shared" ref="AO72:AO135" si="5">SUM(AC72:AN72)</f>
        <v>0</v>
      </c>
    </row>
    <row r="73" spans="1:41" ht="17.25" customHeight="1" x14ac:dyDescent="0.45">
      <c r="A73" s="2" t="s">
        <v>22</v>
      </c>
      <c r="B73" s="2" t="s">
        <v>34</v>
      </c>
      <c r="C73" s="23">
        <v>0</v>
      </c>
      <c r="D73" s="1">
        <v>0</v>
      </c>
      <c r="E73" s="1">
        <v>0</v>
      </c>
      <c r="F73" s="1">
        <v>0</v>
      </c>
      <c r="G73" s="1">
        <v>0</v>
      </c>
      <c r="H73" s="1">
        <v>0</v>
      </c>
      <c r="I73" s="1">
        <v>0</v>
      </c>
      <c r="J73" s="1">
        <v>0</v>
      </c>
      <c r="K73" s="1">
        <v>0</v>
      </c>
      <c r="L73" s="1">
        <v>1</v>
      </c>
      <c r="M73" s="1">
        <v>0</v>
      </c>
      <c r="N73" s="1">
        <v>0</v>
      </c>
      <c r="O73" s="24">
        <f t="shared" si="3"/>
        <v>1</v>
      </c>
      <c r="P73" s="23">
        <v>0</v>
      </c>
      <c r="Q73" s="1">
        <v>0</v>
      </c>
      <c r="R73" s="1">
        <v>0</v>
      </c>
      <c r="S73" s="1">
        <v>0</v>
      </c>
      <c r="T73" s="1">
        <v>0</v>
      </c>
      <c r="U73" s="1">
        <v>0</v>
      </c>
      <c r="V73" s="1">
        <v>0</v>
      </c>
      <c r="W73" s="1">
        <v>0</v>
      </c>
      <c r="X73" s="1">
        <v>0</v>
      </c>
      <c r="Y73" s="1">
        <v>26</v>
      </c>
      <c r="Z73" s="1">
        <v>0</v>
      </c>
      <c r="AA73" s="1">
        <v>0</v>
      </c>
      <c r="AB73" s="24">
        <f t="shared" si="4"/>
        <v>26</v>
      </c>
      <c r="AC73" s="23">
        <v>0</v>
      </c>
      <c r="AD73" s="1">
        <v>0</v>
      </c>
      <c r="AE73" s="1">
        <v>0</v>
      </c>
      <c r="AF73" s="1">
        <v>0</v>
      </c>
      <c r="AG73" s="1">
        <v>0</v>
      </c>
      <c r="AH73" s="1">
        <v>0</v>
      </c>
      <c r="AI73" s="1">
        <v>0</v>
      </c>
      <c r="AJ73" s="1">
        <v>0</v>
      </c>
      <c r="AK73" s="1">
        <v>0</v>
      </c>
      <c r="AL73" s="1">
        <v>0</v>
      </c>
      <c r="AM73" s="1">
        <v>0</v>
      </c>
      <c r="AN73" s="1">
        <v>0</v>
      </c>
      <c r="AO73" s="24">
        <f t="shared" si="5"/>
        <v>0</v>
      </c>
    </row>
    <row r="74" spans="1:41" ht="17.25" customHeight="1" x14ac:dyDescent="0.45">
      <c r="A74" s="12" t="s">
        <v>42</v>
      </c>
      <c r="B74" s="12" t="s">
        <v>30</v>
      </c>
      <c r="C74" s="25">
        <v>0</v>
      </c>
      <c r="D74" s="10">
        <v>0</v>
      </c>
      <c r="E74" s="10">
        <v>0</v>
      </c>
      <c r="F74" s="10">
        <v>0</v>
      </c>
      <c r="G74" s="10">
        <v>0</v>
      </c>
      <c r="H74" s="10">
        <v>0</v>
      </c>
      <c r="I74" s="10">
        <v>0</v>
      </c>
      <c r="J74" s="10">
        <v>1</v>
      </c>
      <c r="K74" s="10">
        <v>0</v>
      </c>
      <c r="L74" s="10">
        <v>0</v>
      </c>
      <c r="M74" s="10">
        <v>0</v>
      </c>
      <c r="N74" s="10">
        <v>0</v>
      </c>
      <c r="O74" s="26">
        <f t="shared" si="3"/>
        <v>1</v>
      </c>
      <c r="P74" s="25">
        <v>0</v>
      </c>
      <c r="Q74" s="10">
        <v>0</v>
      </c>
      <c r="R74" s="10">
        <v>0</v>
      </c>
      <c r="S74" s="10">
        <v>0</v>
      </c>
      <c r="T74" s="10">
        <v>0</v>
      </c>
      <c r="U74" s="10">
        <v>0</v>
      </c>
      <c r="V74" s="10">
        <v>0</v>
      </c>
      <c r="W74" s="10">
        <v>21</v>
      </c>
      <c r="X74" s="10">
        <v>0</v>
      </c>
      <c r="Y74" s="10">
        <v>0</v>
      </c>
      <c r="Z74" s="10">
        <v>0</v>
      </c>
      <c r="AA74" s="10">
        <v>0</v>
      </c>
      <c r="AB74" s="26">
        <f t="shared" si="4"/>
        <v>21</v>
      </c>
      <c r="AC74" s="25">
        <v>0</v>
      </c>
      <c r="AD74" s="10">
        <v>0</v>
      </c>
      <c r="AE74" s="10">
        <v>0</v>
      </c>
      <c r="AF74" s="10">
        <v>0</v>
      </c>
      <c r="AG74" s="10">
        <v>0</v>
      </c>
      <c r="AH74" s="10">
        <v>0</v>
      </c>
      <c r="AI74" s="10">
        <v>0</v>
      </c>
      <c r="AJ74" s="10">
        <v>0</v>
      </c>
      <c r="AK74" s="10">
        <v>0</v>
      </c>
      <c r="AL74" s="10">
        <v>0</v>
      </c>
      <c r="AM74" s="10">
        <v>0</v>
      </c>
      <c r="AN74" s="10">
        <v>0</v>
      </c>
      <c r="AO74" s="26">
        <f t="shared" si="5"/>
        <v>0</v>
      </c>
    </row>
    <row r="75" spans="1:41" ht="17.25" customHeight="1" x14ac:dyDescent="0.45">
      <c r="A75" s="2" t="s">
        <v>42</v>
      </c>
      <c r="B75" s="2" t="s">
        <v>32</v>
      </c>
      <c r="C75" s="23">
        <v>0</v>
      </c>
      <c r="D75" s="1">
        <v>0</v>
      </c>
      <c r="E75" s="1">
        <v>0</v>
      </c>
      <c r="F75" s="1">
        <v>0</v>
      </c>
      <c r="G75" s="1">
        <v>0</v>
      </c>
      <c r="H75" s="1">
        <v>0</v>
      </c>
      <c r="I75" s="1">
        <v>1</v>
      </c>
      <c r="J75" s="1">
        <v>0</v>
      </c>
      <c r="K75" s="1">
        <v>0</v>
      </c>
      <c r="L75" s="1">
        <v>0</v>
      </c>
      <c r="M75" s="1">
        <v>0</v>
      </c>
      <c r="N75" s="1">
        <v>0</v>
      </c>
      <c r="O75" s="24">
        <f t="shared" si="3"/>
        <v>1</v>
      </c>
      <c r="P75" s="23">
        <v>0</v>
      </c>
      <c r="Q75" s="1">
        <v>0</v>
      </c>
      <c r="R75" s="1">
        <v>0</v>
      </c>
      <c r="S75" s="1">
        <v>0</v>
      </c>
      <c r="T75" s="1">
        <v>0</v>
      </c>
      <c r="U75" s="1">
        <v>0</v>
      </c>
      <c r="V75" s="1">
        <v>43</v>
      </c>
      <c r="W75" s="1">
        <v>0</v>
      </c>
      <c r="X75" s="1">
        <v>0</v>
      </c>
      <c r="Y75" s="1">
        <v>0</v>
      </c>
      <c r="Z75" s="1">
        <v>0</v>
      </c>
      <c r="AA75" s="1">
        <v>0</v>
      </c>
      <c r="AB75" s="24">
        <f t="shared" si="4"/>
        <v>43</v>
      </c>
      <c r="AC75" s="23">
        <v>0</v>
      </c>
      <c r="AD75" s="1">
        <v>0</v>
      </c>
      <c r="AE75" s="1">
        <v>0</v>
      </c>
      <c r="AF75" s="1">
        <v>0</v>
      </c>
      <c r="AG75" s="1">
        <v>0</v>
      </c>
      <c r="AH75" s="1">
        <v>0</v>
      </c>
      <c r="AI75" s="1">
        <v>0</v>
      </c>
      <c r="AJ75" s="1">
        <v>0</v>
      </c>
      <c r="AK75" s="1">
        <v>0</v>
      </c>
      <c r="AL75" s="1">
        <v>0</v>
      </c>
      <c r="AM75" s="1">
        <v>0</v>
      </c>
      <c r="AN75" s="1">
        <v>0</v>
      </c>
      <c r="AO75" s="24">
        <f t="shared" si="5"/>
        <v>0</v>
      </c>
    </row>
    <row r="76" spans="1:41" ht="17.25" customHeight="1" x14ac:dyDescent="0.45">
      <c r="A76" s="12" t="s">
        <v>11</v>
      </c>
      <c r="B76" s="12" t="s">
        <v>10</v>
      </c>
      <c r="C76" s="25">
        <v>0</v>
      </c>
      <c r="D76" s="10">
        <v>0</v>
      </c>
      <c r="E76" s="10">
        <v>0</v>
      </c>
      <c r="F76" s="10">
        <v>2</v>
      </c>
      <c r="G76" s="10">
        <v>0</v>
      </c>
      <c r="H76" s="10">
        <v>0</v>
      </c>
      <c r="I76" s="10">
        <v>0</v>
      </c>
      <c r="J76" s="10">
        <v>0</v>
      </c>
      <c r="K76" s="10">
        <v>0</v>
      </c>
      <c r="L76" s="10">
        <v>0</v>
      </c>
      <c r="M76" s="10">
        <v>0</v>
      </c>
      <c r="N76" s="10">
        <v>0</v>
      </c>
      <c r="O76" s="26">
        <f t="shared" si="3"/>
        <v>2</v>
      </c>
      <c r="P76" s="25">
        <v>0</v>
      </c>
      <c r="Q76" s="10">
        <v>0</v>
      </c>
      <c r="R76" s="10">
        <v>0</v>
      </c>
      <c r="S76" s="10">
        <v>343</v>
      </c>
      <c r="T76" s="10">
        <v>0</v>
      </c>
      <c r="U76" s="10">
        <v>0</v>
      </c>
      <c r="V76" s="10">
        <v>0</v>
      </c>
      <c r="W76" s="10">
        <v>0</v>
      </c>
      <c r="X76" s="10">
        <v>0</v>
      </c>
      <c r="Y76" s="10">
        <v>0</v>
      </c>
      <c r="Z76" s="10">
        <v>0</v>
      </c>
      <c r="AA76" s="10">
        <v>0</v>
      </c>
      <c r="AB76" s="26">
        <f t="shared" si="4"/>
        <v>343</v>
      </c>
      <c r="AC76" s="25">
        <v>0</v>
      </c>
      <c r="AD76" s="10">
        <v>0</v>
      </c>
      <c r="AE76" s="10">
        <v>0</v>
      </c>
      <c r="AF76" s="10">
        <v>0</v>
      </c>
      <c r="AG76" s="10">
        <v>0</v>
      </c>
      <c r="AH76" s="10">
        <v>0</v>
      </c>
      <c r="AI76" s="10">
        <v>0</v>
      </c>
      <c r="AJ76" s="10">
        <v>0</v>
      </c>
      <c r="AK76" s="10">
        <v>0</v>
      </c>
      <c r="AL76" s="10">
        <v>0</v>
      </c>
      <c r="AM76" s="10">
        <v>0</v>
      </c>
      <c r="AN76" s="10">
        <v>0</v>
      </c>
      <c r="AO76" s="26">
        <f t="shared" si="5"/>
        <v>0</v>
      </c>
    </row>
    <row r="77" spans="1:41" ht="17.25" customHeight="1" x14ac:dyDescent="0.45">
      <c r="A77" s="2" t="s">
        <v>11</v>
      </c>
      <c r="B77" s="2" t="s">
        <v>19</v>
      </c>
      <c r="C77" s="23">
        <v>2</v>
      </c>
      <c r="D77" s="1">
        <v>0</v>
      </c>
      <c r="E77" s="1">
        <v>1</v>
      </c>
      <c r="F77" s="1">
        <v>0</v>
      </c>
      <c r="G77" s="1">
        <v>0</v>
      </c>
      <c r="H77" s="1">
        <v>0</v>
      </c>
      <c r="I77" s="1">
        <v>0</v>
      </c>
      <c r="J77" s="1">
        <v>0</v>
      </c>
      <c r="K77" s="1">
        <v>0</v>
      </c>
      <c r="L77" s="1">
        <v>0</v>
      </c>
      <c r="M77" s="1">
        <v>0</v>
      </c>
      <c r="N77" s="1">
        <v>0</v>
      </c>
      <c r="O77" s="24">
        <f t="shared" si="3"/>
        <v>3</v>
      </c>
      <c r="P77" s="23">
        <v>0</v>
      </c>
      <c r="Q77" s="1">
        <v>0</v>
      </c>
      <c r="R77" s="1">
        <v>0</v>
      </c>
      <c r="S77" s="1">
        <v>0</v>
      </c>
      <c r="T77" s="1">
        <v>0</v>
      </c>
      <c r="U77" s="1">
        <v>0</v>
      </c>
      <c r="V77" s="1">
        <v>0</v>
      </c>
      <c r="W77" s="1">
        <v>0</v>
      </c>
      <c r="X77" s="1">
        <v>0</v>
      </c>
      <c r="Y77" s="1">
        <v>0</v>
      </c>
      <c r="Z77" s="1">
        <v>0</v>
      </c>
      <c r="AA77" s="1">
        <v>0</v>
      </c>
      <c r="AB77" s="24">
        <f t="shared" si="4"/>
        <v>0</v>
      </c>
      <c r="AC77" s="23">
        <v>16299</v>
      </c>
      <c r="AD77" s="1">
        <v>0</v>
      </c>
      <c r="AE77" s="1">
        <v>1700</v>
      </c>
      <c r="AF77" s="1">
        <v>0</v>
      </c>
      <c r="AG77" s="1">
        <v>0</v>
      </c>
      <c r="AH77" s="1">
        <v>0</v>
      </c>
      <c r="AI77" s="1">
        <v>0</v>
      </c>
      <c r="AJ77" s="1">
        <v>0</v>
      </c>
      <c r="AK77" s="1">
        <v>0</v>
      </c>
      <c r="AL77" s="1">
        <v>0</v>
      </c>
      <c r="AM77" s="1">
        <v>0</v>
      </c>
      <c r="AN77" s="1">
        <v>0</v>
      </c>
      <c r="AO77" s="24">
        <f t="shared" si="5"/>
        <v>17999</v>
      </c>
    </row>
    <row r="78" spans="1:41" ht="17.25" customHeight="1" x14ac:dyDescent="0.45">
      <c r="A78" s="12" t="s">
        <v>11</v>
      </c>
      <c r="B78" s="12" t="s">
        <v>38</v>
      </c>
      <c r="C78" s="25">
        <v>17</v>
      </c>
      <c r="D78" s="10">
        <v>16</v>
      </c>
      <c r="E78" s="10">
        <v>14</v>
      </c>
      <c r="F78" s="10">
        <v>17</v>
      </c>
      <c r="G78" s="10">
        <v>19</v>
      </c>
      <c r="H78" s="10">
        <v>16</v>
      </c>
      <c r="I78" s="10">
        <v>18</v>
      </c>
      <c r="J78" s="10">
        <v>18</v>
      </c>
      <c r="K78" s="10">
        <v>16</v>
      </c>
      <c r="L78" s="10">
        <v>16</v>
      </c>
      <c r="M78" s="10">
        <v>4</v>
      </c>
      <c r="N78" s="10">
        <v>0</v>
      </c>
      <c r="O78" s="26">
        <f t="shared" si="3"/>
        <v>171</v>
      </c>
      <c r="P78" s="25">
        <v>0</v>
      </c>
      <c r="Q78" s="10">
        <v>0</v>
      </c>
      <c r="R78" s="10">
        <v>0</v>
      </c>
      <c r="S78" s="10">
        <v>0</v>
      </c>
      <c r="T78" s="10">
        <v>0</v>
      </c>
      <c r="U78" s="10">
        <v>0</v>
      </c>
      <c r="V78" s="10">
        <v>0</v>
      </c>
      <c r="W78" s="10">
        <v>0</v>
      </c>
      <c r="X78" s="10">
        <v>0</v>
      </c>
      <c r="Y78" s="10">
        <v>0</v>
      </c>
      <c r="Z78" s="10">
        <v>0</v>
      </c>
      <c r="AA78" s="10">
        <v>0</v>
      </c>
      <c r="AB78" s="26">
        <f t="shared" si="4"/>
        <v>0</v>
      </c>
      <c r="AC78" s="25">
        <v>192450</v>
      </c>
      <c r="AD78" s="10">
        <v>197197</v>
      </c>
      <c r="AE78" s="10">
        <v>202697</v>
      </c>
      <c r="AF78" s="10">
        <v>232867</v>
      </c>
      <c r="AG78" s="10">
        <v>235791</v>
      </c>
      <c r="AH78" s="10">
        <v>132714</v>
      </c>
      <c r="AI78" s="10">
        <v>210551</v>
      </c>
      <c r="AJ78" s="10">
        <v>174497</v>
      </c>
      <c r="AK78" s="10">
        <v>147123</v>
      </c>
      <c r="AL78" s="10">
        <v>178645</v>
      </c>
      <c r="AM78" s="10">
        <v>20314</v>
      </c>
      <c r="AN78" s="10">
        <v>0</v>
      </c>
      <c r="AO78" s="26">
        <f t="shared" si="5"/>
        <v>1924846</v>
      </c>
    </row>
    <row r="79" spans="1:41" ht="17.25" customHeight="1" x14ac:dyDescent="0.45">
      <c r="A79" s="2" t="s">
        <v>11</v>
      </c>
      <c r="B79" s="2" t="s">
        <v>40</v>
      </c>
      <c r="C79" s="23">
        <v>0</v>
      </c>
      <c r="D79" s="1">
        <v>0</v>
      </c>
      <c r="E79" s="1">
        <v>1</v>
      </c>
      <c r="F79" s="1">
        <v>1</v>
      </c>
      <c r="G79" s="1">
        <v>0</v>
      </c>
      <c r="H79" s="1">
        <v>1</v>
      </c>
      <c r="I79" s="1">
        <v>0</v>
      </c>
      <c r="J79" s="1">
        <v>0</v>
      </c>
      <c r="K79" s="1">
        <v>0</v>
      </c>
      <c r="L79" s="1">
        <v>0</v>
      </c>
      <c r="M79" s="1">
        <v>0</v>
      </c>
      <c r="N79" s="1">
        <v>0</v>
      </c>
      <c r="O79" s="24">
        <f t="shared" si="3"/>
        <v>3</v>
      </c>
      <c r="P79" s="23">
        <v>0</v>
      </c>
      <c r="Q79" s="1">
        <v>0</v>
      </c>
      <c r="R79" s="1">
        <v>0</v>
      </c>
      <c r="S79" s="1">
        <v>0</v>
      </c>
      <c r="T79" s="1">
        <v>0</v>
      </c>
      <c r="U79" s="1">
        <v>0</v>
      </c>
      <c r="V79" s="1">
        <v>0</v>
      </c>
      <c r="W79" s="1">
        <v>0</v>
      </c>
      <c r="X79" s="1">
        <v>0</v>
      </c>
      <c r="Y79" s="1">
        <v>0</v>
      </c>
      <c r="Z79" s="1">
        <v>0</v>
      </c>
      <c r="AA79" s="1">
        <v>0</v>
      </c>
      <c r="AB79" s="24">
        <f t="shared" si="4"/>
        <v>0</v>
      </c>
      <c r="AC79" s="23">
        <v>0</v>
      </c>
      <c r="AD79" s="1">
        <v>0</v>
      </c>
      <c r="AE79" s="1">
        <v>11000</v>
      </c>
      <c r="AF79" s="1">
        <v>1820</v>
      </c>
      <c r="AG79" s="1">
        <v>0</v>
      </c>
      <c r="AH79" s="1">
        <v>11730</v>
      </c>
      <c r="AI79" s="1">
        <v>0</v>
      </c>
      <c r="AJ79" s="1">
        <v>0</v>
      </c>
      <c r="AK79" s="1">
        <v>0</v>
      </c>
      <c r="AL79" s="1">
        <v>0</v>
      </c>
      <c r="AM79" s="1">
        <v>0</v>
      </c>
      <c r="AN79" s="1">
        <v>0</v>
      </c>
      <c r="AO79" s="24">
        <f t="shared" si="5"/>
        <v>24550</v>
      </c>
    </row>
    <row r="80" spans="1:41" ht="17.25" customHeight="1" x14ac:dyDescent="0.45">
      <c r="A80" s="12" t="s">
        <v>11</v>
      </c>
      <c r="B80" s="12" t="s">
        <v>23</v>
      </c>
      <c r="C80" s="25">
        <v>0</v>
      </c>
      <c r="D80" s="10">
        <v>0</v>
      </c>
      <c r="E80" s="10">
        <v>0</v>
      </c>
      <c r="F80" s="10">
        <v>0</v>
      </c>
      <c r="G80" s="10">
        <v>0</v>
      </c>
      <c r="H80" s="10">
        <v>0</v>
      </c>
      <c r="I80" s="10">
        <v>0</v>
      </c>
      <c r="J80" s="10">
        <v>0</v>
      </c>
      <c r="K80" s="10">
        <v>0</v>
      </c>
      <c r="L80" s="10">
        <v>0</v>
      </c>
      <c r="M80" s="10">
        <v>0</v>
      </c>
      <c r="N80" s="10">
        <v>1</v>
      </c>
      <c r="O80" s="26">
        <f t="shared" si="3"/>
        <v>1</v>
      </c>
      <c r="P80" s="25">
        <v>0</v>
      </c>
      <c r="Q80" s="10">
        <v>0</v>
      </c>
      <c r="R80" s="10">
        <v>0</v>
      </c>
      <c r="S80" s="10">
        <v>0</v>
      </c>
      <c r="T80" s="10">
        <v>0</v>
      </c>
      <c r="U80" s="10">
        <v>0</v>
      </c>
      <c r="V80" s="10">
        <v>0</v>
      </c>
      <c r="W80" s="10">
        <v>0</v>
      </c>
      <c r="X80" s="10">
        <v>0</v>
      </c>
      <c r="Y80" s="10">
        <v>0</v>
      </c>
      <c r="Z80" s="10">
        <v>0</v>
      </c>
      <c r="AA80" s="10">
        <v>138</v>
      </c>
      <c r="AB80" s="26">
        <f t="shared" si="4"/>
        <v>138</v>
      </c>
      <c r="AC80" s="25">
        <v>0</v>
      </c>
      <c r="AD80" s="10">
        <v>0</v>
      </c>
      <c r="AE80" s="10">
        <v>0</v>
      </c>
      <c r="AF80" s="10">
        <v>0</v>
      </c>
      <c r="AG80" s="10">
        <v>0</v>
      </c>
      <c r="AH80" s="10">
        <v>0</v>
      </c>
      <c r="AI80" s="10">
        <v>0</v>
      </c>
      <c r="AJ80" s="10">
        <v>0</v>
      </c>
      <c r="AK80" s="10">
        <v>0</v>
      </c>
      <c r="AL80" s="10">
        <v>0</v>
      </c>
      <c r="AM80" s="10">
        <v>0</v>
      </c>
      <c r="AN80" s="10">
        <v>0</v>
      </c>
      <c r="AO80" s="26">
        <f t="shared" si="5"/>
        <v>0</v>
      </c>
    </row>
    <row r="81" spans="1:41" ht="17.25" customHeight="1" x14ac:dyDescent="0.45">
      <c r="A81" s="2" t="s">
        <v>11</v>
      </c>
      <c r="B81" s="2" t="s">
        <v>12</v>
      </c>
      <c r="C81" s="23">
        <v>0</v>
      </c>
      <c r="D81" s="1">
        <v>0</v>
      </c>
      <c r="E81" s="1">
        <v>0</v>
      </c>
      <c r="F81" s="1">
        <v>0</v>
      </c>
      <c r="G81" s="1">
        <v>0</v>
      </c>
      <c r="H81" s="1">
        <v>0</v>
      </c>
      <c r="I81" s="1">
        <v>0</v>
      </c>
      <c r="J81" s="1">
        <v>0</v>
      </c>
      <c r="K81" s="1">
        <v>0</v>
      </c>
      <c r="L81" s="1">
        <v>0</v>
      </c>
      <c r="M81" s="1">
        <v>1</v>
      </c>
      <c r="N81" s="1">
        <v>0</v>
      </c>
      <c r="O81" s="24">
        <f t="shared" si="3"/>
        <v>1</v>
      </c>
      <c r="P81" s="23">
        <v>0</v>
      </c>
      <c r="Q81" s="1">
        <v>0</v>
      </c>
      <c r="R81" s="1">
        <v>0</v>
      </c>
      <c r="S81" s="1">
        <v>0</v>
      </c>
      <c r="T81" s="1">
        <v>0</v>
      </c>
      <c r="U81" s="1">
        <v>0</v>
      </c>
      <c r="V81" s="1">
        <v>0</v>
      </c>
      <c r="W81" s="1">
        <v>0</v>
      </c>
      <c r="X81" s="1">
        <v>0</v>
      </c>
      <c r="Y81" s="1">
        <v>0</v>
      </c>
      <c r="Z81" s="1">
        <v>170</v>
      </c>
      <c r="AA81" s="1">
        <v>0</v>
      </c>
      <c r="AB81" s="24">
        <f t="shared" si="4"/>
        <v>170</v>
      </c>
      <c r="AC81" s="23">
        <v>0</v>
      </c>
      <c r="AD81" s="1">
        <v>0</v>
      </c>
      <c r="AE81" s="1">
        <v>0</v>
      </c>
      <c r="AF81" s="1">
        <v>0</v>
      </c>
      <c r="AG81" s="1">
        <v>0</v>
      </c>
      <c r="AH81" s="1">
        <v>0</v>
      </c>
      <c r="AI81" s="1">
        <v>0</v>
      </c>
      <c r="AJ81" s="1">
        <v>0</v>
      </c>
      <c r="AK81" s="1">
        <v>0</v>
      </c>
      <c r="AL81" s="1">
        <v>0</v>
      </c>
      <c r="AM81" s="1">
        <v>0</v>
      </c>
      <c r="AN81" s="1">
        <v>0</v>
      </c>
      <c r="AO81" s="24">
        <f t="shared" si="5"/>
        <v>0</v>
      </c>
    </row>
    <row r="82" spans="1:41" ht="17.25" customHeight="1" x14ac:dyDescent="0.45">
      <c r="A82" s="12" t="s">
        <v>11</v>
      </c>
      <c r="B82" s="12" t="s">
        <v>13</v>
      </c>
      <c r="C82" s="25">
        <v>0</v>
      </c>
      <c r="D82" s="10">
        <v>0</v>
      </c>
      <c r="E82" s="10">
        <v>0</v>
      </c>
      <c r="F82" s="10">
        <v>0</v>
      </c>
      <c r="G82" s="10">
        <v>0</v>
      </c>
      <c r="H82" s="10">
        <v>0</v>
      </c>
      <c r="I82" s="10">
        <v>1</v>
      </c>
      <c r="J82" s="10">
        <v>0</v>
      </c>
      <c r="K82" s="10">
        <v>0</v>
      </c>
      <c r="L82" s="10">
        <v>0</v>
      </c>
      <c r="M82" s="10">
        <v>18</v>
      </c>
      <c r="N82" s="10">
        <v>13</v>
      </c>
      <c r="O82" s="26">
        <f t="shared" si="3"/>
        <v>32</v>
      </c>
      <c r="P82" s="25">
        <v>0</v>
      </c>
      <c r="Q82" s="10">
        <v>0</v>
      </c>
      <c r="R82" s="10">
        <v>0</v>
      </c>
      <c r="S82" s="10">
        <v>0</v>
      </c>
      <c r="T82" s="10">
        <v>0</v>
      </c>
      <c r="U82" s="10">
        <v>0</v>
      </c>
      <c r="V82" s="10">
        <v>108</v>
      </c>
      <c r="W82" s="10">
        <v>0</v>
      </c>
      <c r="X82" s="10">
        <v>0</v>
      </c>
      <c r="Y82" s="10">
        <v>0</v>
      </c>
      <c r="Z82" s="10">
        <v>0</v>
      </c>
      <c r="AA82" s="10">
        <v>0</v>
      </c>
      <c r="AB82" s="26">
        <f t="shared" si="4"/>
        <v>108</v>
      </c>
      <c r="AC82" s="25">
        <v>0</v>
      </c>
      <c r="AD82" s="10">
        <v>0</v>
      </c>
      <c r="AE82" s="10">
        <v>0</v>
      </c>
      <c r="AF82" s="10">
        <v>0</v>
      </c>
      <c r="AG82" s="10">
        <v>0</v>
      </c>
      <c r="AH82" s="10">
        <v>0</v>
      </c>
      <c r="AI82" s="10">
        <v>0</v>
      </c>
      <c r="AJ82" s="10">
        <v>0</v>
      </c>
      <c r="AK82" s="10">
        <v>0</v>
      </c>
      <c r="AL82" s="10">
        <v>0</v>
      </c>
      <c r="AM82" s="10">
        <v>41789</v>
      </c>
      <c r="AN82" s="10">
        <v>31850</v>
      </c>
      <c r="AO82" s="26">
        <f t="shared" si="5"/>
        <v>73639</v>
      </c>
    </row>
    <row r="83" spans="1:41" ht="17.25" customHeight="1" x14ac:dyDescent="0.45">
      <c r="A83" s="2" t="s">
        <v>11</v>
      </c>
      <c r="B83" s="2" t="s">
        <v>27</v>
      </c>
      <c r="C83" s="23">
        <v>0</v>
      </c>
      <c r="D83" s="1">
        <v>0</v>
      </c>
      <c r="E83" s="1">
        <v>1</v>
      </c>
      <c r="F83" s="1">
        <v>0</v>
      </c>
      <c r="G83" s="1">
        <v>0</v>
      </c>
      <c r="H83" s="1">
        <v>0</v>
      </c>
      <c r="I83" s="1">
        <v>0</v>
      </c>
      <c r="J83" s="1">
        <v>0</v>
      </c>
      <c r="K83" s="1">
        <v>0</v>
      </c>
      <c r="L83" s="1">
        <v>0</v>
      </c>
      <c r="M83" s="1">
        <v>0</v>
      </c>
      <c r="N83" s="1">
        <v>0</v>
      </c>
      <c r="O83" s="24">
        <f t="shared" si="3"/>
        <v>1</v>
      </c>
      <c r="P83" s="23">
        <v>0</v>
      </c>
      <c r="Q83" s="1">
        <v>0</v>
      </c>
      <c r="R83" s="1">
        <v>92</v>
      </c>
      <c r="S83" s="1">
        <v>0</v>
      </c>
      <c r="T83" s="1">
        <v>0</v>
      </c>
      <c r="U83" s="1">
        <v>0</v>
      </c>
      <c r="V83" s="1">
        <v>0</v>
      </c>
      <c r="W83" s="1">
        <v>0</v>
      </c>
      <c r="X83" s="1">
        <v>0</v>
      </c>
      <c r="Y83" s="1">
        <v>0</v>
      </c>
      <c r="Z83" s="1">
        <v>0</v>
      </c>
      <c r="AA83" s="1">
        <v>0</v>
      </c>
      <c r="AB83" s="24">
        <f t="shared" si="4"/>
        <v>92</v>
      </c>
      <c r="AC83" s="23">
        <v>0</v>
      </c>
      <c r="AD83" s="1">
        <v>0</v>
      </c>
      <c r="AE83" s="1">
        <v>0</v>
      </c>
      <c r="AF83" s="1">
        <v>0</v>
      </c>
      <c r="AG83" s="1">
        <v>0</v>
      </c>
      <c r="AH83" s="1">
        <v>0</v>
      </c>
      <c r="AI83" s="1">
        <v>0</v>
      </c>
      <c r="AJ83" s="1">
        <v>0</v>
      </c>
      <c r="AK83" s="1">
        <v>0</v>
      </c>
      <c r="AL83" s="1">
        <v>0</v>
      </c>
      <c r="AM83" s="1">
        <v>0</v>
      </c>
      <c r="AN83" s="1">
        <v>0</v>
      </c>
      <c r="AO83" s="24">
        <f t="shared" si="5"/>
        <v>0</v>
      </c>
    </row>
    <row r="84" spans="1:41" ht="17.25" customHeight="1" x14ac:dyDescent="0.45">
      <c r="A84" s="12" t="s">
        <v>11</v>
      </c>
      <c r="B84" s="12" t="s">
        <v>28</v>
      </c>
      <c r="C84" s="25">
        <v>0</v>
      </c>
      <c r="D84" s="10">
        <v>1</v>
      </c>
      <c r="E84" s="10">
        <v>0</v>
      </c>
      <c r="F84" s="10">
        <v>0</v>
      </c>
      <c r="G84" s="10">
        <v>0</v>
      </c>
      <c r="H84" s="10">
        <v>0</v>
      </c>
      <c r="I84" s="10">
        <v>0</v>
      </c>
      <c r="J84" s="10">
        <v>0</v>
      </c>
      <c r="K84" s="10">
        <v>0</v>
      </c>
      <c r="L84" s="10">
        <v>0</v>
      </c>
      <c r="M84" s="10">
        <v>1</v>
      </c>
      <c r="N84" s="10">
        <v>0</v>
      </c>
      <c r="O84" s="26">
        <f t="shared" si="3"/>
        <v>2</v>
      </c>
      <c r="P84" s="25">
        <v>0</v>
      </c>
      <c r="Q84" s="10">
        <v>0</v>
      </c>
      <c r="R84" s="10">
        <v>0</v>
      </c>
      <c r="S84" s="10">
        <v>0</v>
      </c>
      <c r="T84" s="10">
        <v>0</v>
      </c>
      <c r="U84" s="10">
        <v>0</v>
      </c>
      <c r="V84" s="10">
        <v>0</v>
      </c>
      <c r="W84" s="10">
        <v>0</v>
      </c>
      <c r="X84" s="10">
        <v>0</v>
      </c>
      <c r="Y84" s="10">
        <v>0</v>
      </c>
      <c r="Z84" s="10">
        <v>0</v>
      </c>
      <c r="AA84" s="10">
        <v>0</v>
      </c>
      <c r="AB84" s="26">
        <f t="shared" si="4"/>
        <v>0</v>
      </c>
      <c r="AC84" s="25">
        <v>0</v>
      </c>
      <c r="AD84" s="10">
        <v>2300</v>
      </c>
      <c r="AE84" s="10">
        <v>0</v>
      </c>
      <c r="AF84" s="10">
        <v>0</v>
      </c>
      <c r="AG84" s="10">
        <v>0</v>
      </c>
      <c r="AH84" s="10">
        <v>0</v>
      </c>
      <c r="AI84" s="10">
        <v>0</v>
      </c>
      <c r="AJ84" s="10">
        <v>0</v>
      </c>
      <c r="AK84" s="10">
        <v>0</v>
      </c>
      <c r="AL84" s="10">
        <v>0</v>
      </c>
      <c r="AM84" s="10">
        <v>8053</v>
      </c>
      <c r="AN84" s="10">
        <v>0</v>
      </c>
      <c r="AO84" s="26">
        <f t="shared" si="5"/>
        <v>10353</v>
      </c>
    </row>
    <row r="85" spans="1:41" ht="17.25" customHeight="1" x14ac:dyDescent="0.45">
      <c r="A85" s="2" t="s">
        <v>11</v>
      </c>
      <c r="B85" s="2" t="s">
        <v>206</v>
      </c>
      <c r="C85" s="23">
        <v>0</v>
      </c>
      <c r="D85" s="1">
        <v>0</v>
      </c>
      <c r="E85" s="1">
        <v>1</v>
      </c>
      <c r="F85" s="1">
        <v>0</v>
      </c>
      <c r="G85" s="1">
        <v>0</v>
      </c>
      <c r="H85" s="1">
        <v>0</v>
      </c>
      <c r="I85" s="1">
        <v>0</v>
      </c>
      <c r="J85" s="1">
        <v>0</v>
      </c>
      <c r="K85" s="1">
        <v>1</v>
      </c>
      <c r="L85" s="1">
        <v>2</v>
      </c>
      <c r="M85" s="1">
        <v>2</v>
      </c>
      <c r="N85" s="1">
        <v>0</v>
      </c>
      <c r="O85" s="24">
        <f t="shared" si="3"/>
        <v>6</v>
      </c>
      <c r="P85" s="23">
        <v>0</v>
      </c>
      <c r="Q85" s="1">
        <v>0</v>
      </c>
      <c r="R85" s="1">
        <v>0</v>
      </c>
      <c r="S85" s="1">
        <v>0</v>
      </c>
      <c r="T85" s="1">
        <v>0</v>
      </c>
      <c r="U85" s="1">
        <v>0</v>
      </c>
      <c r="V85" s="1">
        <v>0</v>
      </c>
      <c r="W85" s="1">
        <v>0</v>
      </c>
      <c r="X85" s="1">
        <v>0</v>
      </c>
      <c r="Y85" s="1">
        <v>0</v>
      </c>
      <c r="Z85" s="1">
        <v>0</v>
      </c>
      <c r="AA85" s="1">
        <v>0</v>
      </c>
      <c r="AB85" s="24">
        <f t="shared" si="4"/>
        <v>0</v>
      </c>
      <c r="AC85" s="23">
        <v>0</v>
      </c>
      <c r="AD85" s="1">
        <v>0</v>
      </c>
      <c r="AE85" s="1">
        <v>1800</v>
      </c>
      <c r="AF85" s="1">
        <v>0</v>
      </c>
      <c r="AG85" s="1">
        <v>0</v>
      </c>
      <c r="AH85" s="1">
        <v>0</v>
      </c>
      <c r="AI85" s="1">
        <v>0</v>
      </c>
      <c r="AJ85" s="1">
        <v>0</v>
      </c>
      <c r="AK85" s="1">
        <v>200</v>
      </c>
      <c r="AL85" s="1">
        <v>7846</v>
      </c>
      <c r="AM85" s="1">
        <v>744</v>
      </c>
      <c r="AN85" s="1">
        <v>0</v>
      </c>
      <c r="AO85" s="24">
        <f t="shared" si="5"/>
        <v>10590</v>
      </c>
    </row>
    <row r="86" spans="1:41" ht="17.25" customHeight="1" x14ac:dyDescent="0.45">
      <c r="A86" s="12" t="s">
        <v>11</v>
      </c>
      <c r="B86" s="12" t="s">
        <v>14</v>
      </c>
      <c r="C86" s="25">
        <v>31</v>
      </c>
      <c r="D86" s="10">
        <v>22</v>
      </c>
      <c r="E86" s="10">
        <v>25</v>
      </c>
      <c r="F86" s="10">
        <v>3</v>
      </c>
      <c r="G86" s="10">
        <v>2</v>
      </c>
      <c r="H86" s="10">
        <v>6</v>
      </c>
      <c r="I86" s="10">
        <v>1</v>
      </c>
      <c r="J86" s="10">
        <v>0</v>
      </c>
      <c r="K86" s="10">
        <v>0</v>
      </c>
      <c r="L86" s="10">
        <v>0</v>
      </c>
      <c r="M86" s="10">
        <v>0</v>
      </c>
      <c r="N86" s="10">
        <v>0</v>
      </c>
      <c r="O86" s="26">
        <f t="shared" si="3"/>
        <v>90</v>
      </c>
      <c r="P86" s="25">
        <v>862</v>
      </c>
      <c r="Q86" s="10">
        <v>396</v>
      </c>
      <c r="R86" s="10">
        <v>402</v>
      </c>
      <c r="S86" s="10">
        <v>0</v>
      </c>
      <c r="T86" s="10">
        <v>0</v>
      </c>
      <c r="U86" s="10">
        <v>0</v>
      </c>
      <c r="V86" s="10">
        <v>0</v>
      </c>
      <c r="W86" s="10">
        <v>0</v>
      </c>
      <c r="X86" s="10">
        <v>0</v>
      </c>
      <c r="Y86" s="10">
        <v>0</v>
      </c>
      <c r="Z86" s="10">
        <v>0</v>
      </c>
      <c r="AA86" s="10">
        <v>0</v>
      </c>
      <c r="AB86" s="26">
        <f t="shared" si="4"/>
        <v>1660</v>
      </c>
      <c r="AC86" s="25">
        <v>0</v>
      </c>
      <c r="AD86" s="10">
        <v>8054</v>
      </c>
      <c r="AE86" s="10">
        <v>26666</v>
      </c>
      <c r="AF86" s="10">
        <v>13648</v>
      </c>
      <c r="AG86" s="10">
        <v>2695</v>
      </c>
      <c r="AH86" s="10">
        <v>43433</v>
      </c>
      <c r="AI86" s="10">
        <v>230</v>
      </c>
      <c r="AJ86" s="10">
        <v>0</v>
      </c>
      <c r="AK86" s="10">
        <v>0</v>
      </c>
      <c r="AL86" s="10">
        <v>0</v>
      </c>
      <c r="AM86" s="10">
        <v>0</v>
      </c>
      <c r="AN86" s="10">
        <v>0</v>
      </c>
      <c r="AO86" s="26">
        <f t="shared" si="5"/>
        <v>94726</v>
      </c>
    </row>
    <row r="87" spans="1:41" ht="17.25" customHeight="1" x14ac:dyDescent="0.45">
      <c r="A87" s="2" t="s">
        <v>11</v>
      </c>
      <c r="B87" s="2" t="s">
        <v>15</v>
      </c>
      <c r="C87" s="23">
        <v>1</v>
      </c>
      <c r="D87" s="1">
        <v>0</v>
      </c>
      <c r="E87" s="1">
        <v>0</v>
      </c>
      <c r="F87" s="1">
        <v>4</v>
      </c>
      <c r="G87" s="1">
        <v>0</v>
      </c>
      <c r="H87" s="1">
        <v>2</v>
      </c>
      <c r="I87" s="1">
        <v>0</v>
      </c>
      <c r="J87" s="1">
        <v>0</v>
      </c>
      <c r="K87" s="1">
        <v>0</v>
      </c>
      <c r="L87" s="1">
        <v>0</v>
      </c>
      <c r="M87" s="1">
        <v>0</v>
      </c>
      <c r="N87" s="1">
        <v>0</v>
      </c>
      <c r="O87" s="24">
        <f t="shared" si="3"/>
        <v>7</v>
      </c>
      <c r="P87" s="23">
        <v>0</v>
      </c>
      <c r="Q87" s="1">
        <v>0</v>
      </c>
      <c r="R87" s="1">
        <v>0</v>
      </c>
      <c r="S87" s="1">
        <v>0</v>
      </c>
      <c r="T87" s="1">
        <v>0</v>
      </c>
      <c r="U87" s="1">
        <v>0</v>
      </c>
      <c r="V87" s="1">
        <v>0</v>
      </c>
      <c r="W87" s="1">
        <v>0</v>
      </c>
      <c r="X87" s="1">
        <v>0</v>
      </c>
      <c r="Y87" s="1">
        <v>0</v>
      </c>
      <c r="Z87" s="1">
        <v>0</v>
      </c>
      <c r="AA87" s="1">
        <v>0</v>
      </c>
      <c r="AB87" s="24">
        <f t="shared" si="4"/>
        <v>0</v>
      </c>
      <c r="AC87" s="23">
        <v>100</v>
      </c>
      <c r="AD87" s="1">
        <v>0</v>
      </c>
      <c r="AE87" s="1">
        <v>0</v>
      </c>
      <c r="AF87" s="1">
        <v>12752</v>
      </c>
      <c r="AG87" s="1">
        <v>0</v>
      </c>
      <c r="AH87" s="1">
        <v>8263</v>
      </c>
      <c r="AI87" s="1">
        <v>0</v>
      </c>
      <c r="AJ87" s="1">
        <v>0</v>
      </c>
      <c r="AK87" s="1">
        <v>0</v>
      </c>
      <c r="AL87" s="1">
        <v>0</v>
      </c>
      <c r="AM87" s="1">
        <v>0</v>
      </c>
      <c r="AN87" s="1">
        <v>0</v>
      </c>
      <c r="AO87" s="24">
        <f t="shared" si="5"/>
        <v>21115</v>
      </c>
    </row>
    <row r="88" spans="1:41" ht="17.25" customHeight="1" x14ac:dyDescent="0.45">
      <c r="A88" s="12" t="s">
        <v>11</v>
      </c>
      <c r="B88" s="12" t="s">
        <v>32</v>
      </c>
      <c r="C88" s="25">
        <v>18</v>
      </c>
      <c r="D88" s="10">
        <v>20</v>
      </c>
      <c r="E88" s="10">
        <v>27</v>
      </c>
      <c r="F88" s="10">
        <v>17</v>
      </c>
      <c r="G88" s="10">
        <v>23</v>
      </c>
      <c r="H88" s="10">
        <v>17</v>
      </c>
      <c r="I88" s="10">
        <v>18</v>
      </c>
      <c r="J88" s="10">
        <v>18</v>
      </c>
      <c r="K88" s="10">
        <v>18</v>
      </c>
      <c r="L88" s="10">
        <v>19</v>
      </c>
      <c r="M88" s="10">
        <v>35</v>
      </c>
      <c r="N88" s="10">
        <v>29</v>
      </c>
      <c r="O88" s="26">
        <f t="shared" si="3"/>
        <v>259</v>
      </c>
      <c r="P88" s="25">
        <v>47</v>
      </c>
      <c r="Q88" s="10">
        <v>89</v>
      </c>
      <c r="R88" s="10">
        <v>143</v>
      </c>
      <c r="S88" s="10">
        <v>0</v>
      </c>
      <c r="T88" s="10">
        <v>201</v>
      </c>
      <c r="U88" s="10">
        <v>4</v>
      </c>
      <c r="V88" s="10">
        <v>0</v>
      </c>
      <c r="W88" s="10">
        <v>0</v>
      </c>
      <c r="X88" s="10">
        <v>100</v>
      </c>
      <c r="Y88" s="10">
        <v>45</v>
      </c>
      <c r="Z88" s="10">
        <v>101</v>
      </c>
      <c r="AA88" s="10">
        <v>0</v>
      </c>
      <c r="AB88" s="26">
        <f t="shared" si="4"/>
        <v>730</v>
      </c>
      <c r="AC88" s="25">
        <v>130199</v>
      </c>
      <c r="AD88" s="10">
        <v>123961</v>
      </c>
      <c r="AE88" s="10">
        <v>152975</v>
      </c>
      <c r="AF88" s="10">
        <v>158915</v>
      </c>
      <c r="AG88" s="10">
        <v>167589</v>
      </c>
      <c r="AH88" s="10">
        <v>146566</v>
      </c>
      <c r="AI88" s="10">
        <v>175082</v>
      </c>
      <c r="AJ88" s="10">
        <v>238200</v>
      </c>
      <c r="AK88" s="10">
        <v>255756</v>
      </c>
      <c r="AL88" s="10">
        <v>290273</v>
      </c>
      <c r="AM88" s="10">
        <v>204781</v>
      </c>
      <c r="AN88" s="10">
        <v>220276</v>
      </c>
      <c r="AO88" s="26">
        <f t="shared" si="5"/>
        <v>2264573</v>
      </c>
    </row>
    <row r="89" spans="1:41" ht="17.25" customHeight="1" x14ac:dyDescent="0.45">
      <c r="A89" s="2" t="s">
        <v>270</v>
      </c>
      <c r="B89" s="2" t="s">
        <v>48</v>
      </c>
      <c r="C89" s="23">
        <v>0</v>
      </c>
      <c r="D89" s="1">
        <v>0</v>
      </c>
      <c r="E89" s="1">
        <v>1</v>
      </c>
      <c r="F89" s="1">
        <v>0</v>
      </c>
      <c r="G89" s="1">
        <v>0</v>
      </c>
      <c r="H89" s="1">
        <v>0</v>
      </c>
      <c r="I89" s="1">
        <v>0</v>
      </c>
      <c r="J89" s="1">
        <v>0</v>
      </c>
      <c r="K89" s="1">
        <v>0</v>
      </c>
      <c r="L89" s="1">
        <v>0</v>
      </c>
      <c r="M89" s="1">
        <v>0</v>
      </c>
      <c r="N89" s="1">
        <v>0</v>
      </c>
      <c r="O89" s="24">
        <f t="shared" si="3"/>
        <v>1</v>
      </c>
      <c r="P89" s="23">
        <v>0</v>
      </c>
      <c r="Q89" s="1">
        <v>0</v>
      </c>
      <c r="R89" s="1">
        <v>49</v>
      </c>
      <c r="S89" s="1">
        <v>0</v>
      </c>
      <c r="T89" s="1">
        <v>0</v>
      </c>
      <c r="U89" s="1">
        <v>0</v>
      </c>
      <c r="V89" s="1">
        <v>0</v>
      </c>
      <c r="W89" s="1">
        <v>0</v>
      </c>
      <c r="X89" s="1">
        <v>0</v>
      </c>
      <c r="Y89" s="1">
        <v>0</v>
      </c>
      <c r="Z89" s="1">
        <v>0</v>
      </c>
      <c r="AA89" s="1">
        <v>0</v>
      </c>
      <c r="AB89" s="24">
        <f t="shared" si="4"/>
        <v>49</v>
      </c>
      <c r="AC89" s="23">
        <v>0</v>
      </c>
      <c r="AD89" s="1">
        <v>0</v>
      </c>
      <c r="AE89" s="1">
        <v>0</v>
      </c>
      <c r="AF89" s="1">
        <v>0</v>
      </c>
      <c r="AG89" s="1">
        <v>0</v>
      </c>
      <c r="AH89" s="1">
        <v>0</v>
      </c>
      <c r="AI89" s="1">
        <v>0</v>
      </c>
      <c r="AJ89" s="1">
        <v>0</v>
      </c>
      <c r="AK89" s="1">
        <v>0</v>
      </c>
      <c r="AL89" s="1">
        <v>0</v>
      </c>
      <c r="AM89" s="1">
        <v>0</v>
      </c>
      <c r="AN89" s="1">
        <v>0</v>
      </c>
      <c r="AO89" s="24">
        <f t="shared" si="5"/>
        <v>0</v>
      </c>
    </row>
    <row r="90" spans="1:41" ht="17.25" customHeight="1" x14ac:dyDescent="0.45">
      <c r="A90" s="12" t="s">
        <v>38</v>
      </c>
      <c r="B90" s="12" t="s">
        <v>19</v>
      </c>
      <c r="C90" s="25">
        <v>18</v>
      </c>
      <c r="D90" s="10">
        <v>16</v>
      </c>
      <c r="E90" s="10">
        <v>12</v>
      </c>
      <c r="F90" s="10">
        <v>17</v>
      </c>
      <c r="G90" s="10">
        <v>17</v>
      </c>
      <c r="H90" s="10">
        <v>16</v>
      </c>
      <c r="I90" s="10">
        <v>20</v>
      </c>
      <c r="J90" s="10">
        <v>16</v>
      </c>
      <c r="K90" s="10">
        <v>15</v>
      </c>
      <c r="L90" s="10">
        <v>18</v>
      </c>
      <c r="M90" s="10">
        <v>1</v>
      </c>
      <c r="N90" s="10">
        <v>0</v>
      </c>
      <c r="O90" s="26">
        <f t="shared" si="3"/>
        <v>166</v>
      </c>
      <c r="P90" s="25">
        <v>0</v>
      </c>
      <c r="Q90" s="10">
        <v>0</v>
      </c>
      <c r="R90" s="10">
        <v>0</v>
      </c>
      <c r="S90" s="10">
        <v>0</v>
      </c>
      <c r="T90" s="10">
        <v>0</v>
      </c>
      <c r="U90" s="10">
        <v>0</v>
      </c>
      <c r="V90" s="10">
        <v>0</v>
      </c>
      <c r="W90" s="10">
        <v>0</v>
      </c>
      <c r="X90" s="10">
        <v>0</v>
      </c>
      <c r="Y90" s="10">
        <v>0</v>
      </c>
      <c r="Z90" s="10">
        <v>0</v>
      </c>
      <c r="AA90" s="10">
        <v>0</v>
      </c>
      <c r="AB90" s="26">
        <f t="shared" si="4"/>
        <v>0</v>
      </c>
      <c r="AC90" s="25">
        <v>96103</v>
      </c>
      <c r="AD90" s="10">
        <v>81034</v>
      </c>
      <c r="AE90" s="10">
        <v>65542</v>
      </c>
      <c r="AF90" s="10">
        <v>78730</v>
      </c>
      <c r="AG90" s="10">
        <v>90093</v>
      </c>
      <c r="AH90" s="10">
        <v>77042</v>
      </c>
      <c r="AI90" s="10">
        <v>95559</v>
      </c>
      <c r="AJ90" s="10">
        <v>74461</v>
      </c>
      <c r="AK90" s="10">
        <v>73463</v>
      </c>
      <c r="AL90" s="10">
        <v>96526</v>
      </c>
      <c r="AM90" s="10">
        <v>6910</v>
      </c>
      <c r="AN90" s="10">
        <v>0</v>
      </c>
      <c r="AO90" s="26">
        <f t="shared" si="5"/>
        <v>835463</v>
      </c>
    </row>
    <row r="91" spans="1:41" ht="17.25" customHeight="1" x14ac:dyDescent="0.45">
      <c r="A91" s="2" t="s">
        <v>38</v>
      </c>
      <c r="B91" s="2" t="s">
        <v>41</v>
      </c>
      <c r="C91" s="23">
        <v>1</v>
      </c>
      <c r="D91" s="1">
        <v>0</v>
      </c>
      <c r="E91" s="1">
        <v>0</v>
      </c>
      <c r="F91" s="1">
        <v>0</v>
      </c>
      <c r="G91" s="1">
        <v>0</v>
      </c>
      <c r="H91" s="1">
        <v>0</v>
      </c>
      <c r="I91" s="1">
        <v>0</v>
      </c>
      <c r="J91" s="1">
        <v>0</v>
      </c>
      <c r="K91" s="1">
        <v>0</v>
      </c>
      <c r="L91" s="1">
        <v>0</v>
      </c>
      <c r="M91" s="1">
        <v>0</v>
      </c>
      <c r="N91" s="1">
        <v>0</v>
      </c>
      <c r="O91" s="24">
        <f t="shared" si="3"/>
        <v>1</v>
      </c>
      <c r="P91" s="23">
        <v>0</v>
      </c>
      <c r="Q91" s="1">
        <v>0</v>
      </c>
      <c r="R91" s="1">
        <v>0</v>
      </c>
      <c r="S91" s="1">
        <v>0</v>
      </c>
      <c r="T91" s="1">
        <v>0</v>
      </c>
      <c r="U91" s="1">
        <v>0</v>
      </c>
      <c r="V91" s="1">
        <v>0</v>
      </c>
      <c r="W91" s="1">
        <v>0</v>
      </c>
      <c r="X91" s="1">
        <v>0</v>
      </c>
      <c r="Y91" s="1">
        <v>0</v>
      </c>
      <c r="Z91" s="1">
        <v>0</v>
      </c>
      <c r="AA91" s="1">
        <v>0</v>
      </c>
      <c r="AB91" s="24">
        <f t="shared" si="4"/>
        <v>0</v>
      </c>
      <c r="AC91" s="23">
        <v>2196</v>
      </c>
      <c r="AD91" s="1">
        <v>0</v>
      </c>
      <c r="AE91" s="1">
        <v>0</v>
      </c>
      <c r="AF91" s="1">
        <v>0</v>
      </c>
      <c r="AG91" s="1">
        <v>0</v>
      </c>
      <c r="AH91" s="1">
        <v>0</v>
      </c>
      <c r="AI91" s="1">
        <v>0</v>
      </c>
      <c r="AJ91" s="1">
        <v>0</v>
      </c>
      <c r="AK91" s="1">
        <v>0</v>
      </c>
      <c r="AL91" s="1">
        <v>0</v>
      </c>
      <c r="AM91" s="1">
        <v>0</v>
      </c>
      <c r="AN91" s="1">
        <v>0</v>
      </c>
      <c r="AO91" s="24">
        <f t="shared" si="5"/>
        <v>2196</v>
      </c>
    </row>
    <row r="92" spans="1:41" ht="17.25" customHeight="1" x14ac:dyDescent="0.45">
      <c r="A92" s="12" t="s">
        <v>38</v>
      </c>
      <c r="B92" s="12" t="s">
        <v>20</v>
      </c>
      <c r="C92" s="25">
        <v>13</v>
      </c>
      <c r="D92" s="10">
        <v>12</v>
      </c>
      <c r="E92" s="10">
        <v>18</v>
      </c>
      <c r="F92" s="10">
        <v>12</v>
      </c>
      <c r="G92" s="10">
        <v>11</v>
      </c>
      <c r="H92" s="10">
        <v>14</v>
      </c>
      <c r="I92" s="10">
        <v>14</v>
      </c>
      <c r="J92" s="10">
        <v>12</v>
      </c>
      <c r="K92" s="10">
        <v>11</v>
      </c>
      <c r="L92" s="10">
        <v>8</v>
      </c>
      <c r="M92" s="10">
        <v>12</v>
      </c>
      <c r="N92" s="10">
        <v>9</v>
      </c>
      <c r="O92" s="26">
        <f t="shared" si="3"/>
        <v>146</v>
      </c>
      <c r="P92" s="25">
        <v>0</v>
      </c>
      <c r="Q92" s="10">
        <v>0</v>
      </c>
      <c r="R92" s="10">
        <v>0</v>
      </c>
      <c r="S92" s="10">
        <v>0</v>
      </c>
      <c r="T92" s="10">
        <v>0</v>
      </c>
      <c r="U92" s="10">
        <v>0</v>
      </c>
      <c r="V92" s="10">
        <v>0</v>
      </c>
      <c r="W92" s="10">
        <v>0</v>
      </c>
      <c r="X92" s="10">
        <v>0</v>
      </c>
      <c r="Y92" s="10">
        <v>0</v>
      </c>
      <c r="Z92" s="10">
        <v>0</v>
      </c>
      <c r="AA92" s="10">
        <v>0</v>
      </c>
      <c r="AB92" s="26">
        <f t="shared" si="4"/>
        <v>0</v>
      </c>
      <c r="AC92" s="25">
        <v>104677</v>
      </c>
      <c r="AD92" s="10">
        <v>91215</v>
      </c>
      <c r="AE92" s="10">
        <v>133900</v>
      </c>
      <c r="AF92" s="10">
        <v>95089</v>
      </c>
      <c r="AG92" s="10">
        <v>80288</v>
      </c>
      <c r="AH92" s="10">
        <v>120650</v>
      </c>
      <c r="AI92" s="10">
        <v>119240</v>
      </c>
      <c r="AJ92" s="10">
        <v>100229</v>
      </c>
      <c r="AK92" s="10">
        <v>81177</v>
      </c>
      <c r="AL92" s="10">
        <v>64868</v>
      </c>
      <c r="AM92" s="10">
        <v>106234</v>
      </c>
      <c r="AN92" s="10">
        <v>62690</v>
      </c>
      <c r="AO92" s="26">
        <f t="shared" si="5"/>
        <v>1160257</v>
      </c>
    </row>
    <row r="93" spans="1:41" ht="17.25" customHeight="1" x14ac:dyDescent="0.45">
      <c r="A93" s="2" t="s">
        <v>38</v>
      </c>
      <c r="B93" s="2" t="s">
        <v>21</v>
      </c>
      <c r="C93" s="23">
        <v>0</v>
      </c>
      <c r="D93" s="1">
        <v>0</v>
      </c>
      <c r="E93" s="1">
        <v>0</v>
      </c>
      <c r="F93" s="1">
        <v>0</v>
      </c>
      <c r="G93" s="1">
        <v>0</v>
      </c>
      <c r="H93" s="1">
        <v>0</v>
      </c>
      <c r="I93" s="1">
        <v>0</v>
      </c>
      <c r="J93" s="1">
        <v>1</v>
      </c>
      <c r="K93" s="1">
        <v>0</v>
      </c>
      <c r="L93" s="1">
        <v>0</v>
      </c>
      <c r="M93" s="1">
        <v>0</v>
      </c>
      <c r="N93" s="1">
        <v>0</v>
      </c>
      <c r="O93" s="24">
        <f t="shared" si="3"/>
        <v>1</v>
      </c>
      <c r="P93" s="23">
        <v>0</v>
      </c>
      <c r="Q93" s="1">
        <v>0</v>
      </c>
      <c r="R93" s="1">
        <v>0</v>
      </c>
      <c r="S93" s="1">
        <v>0</v>
      </c>
      <c r="T93" s="1">
        <v>0</v>
      </c>
      <c r="U93" s="1">
        <v>0</v>
      </c>
      <c r="V93" s="1">
        <v>0</v>
      </c>
      <c r="W93" s="1">
        <v>0</v>
      </c>
      <c r="X93" s="1">
        <v>0</v>
      </c>
      <c r="Y93" s="1">
        <v>0</v>
      </c>
      <c r="Z93" s="1">
        <v>0</v>
      </c>
      <c r="AA93" s="1">
        <v>0</v>
      </c>
      <c r="AB93" s="24">
        <f t="shared" si="4"/>
        <v>0</v>
      </c>
      <c r="AC93" s="23">
        <v>0</v>
      </c>
      <c r="AD93" s="1">
        <v>0</v>
      </c>
      <c r="AE93" s="1">
        <v>0</v>
      </c>
      <c r="AF93" s="1">
        <v>0</v>
      </c>
      <c r="AG93" s="1">
        <v>0</v>
      </c>
      <c r="AH93" s="1">
        <v>0</v>
      </c>
      <c r="AI93" s="1">
        <v>0</v>
      </c>
      <c r="AJ93" s="1">
        <v>38418</v>
      </c>
      <c r="AK93" s="1">
        <v>0</v>
      </c>
      <c r="AL93" s="1">
        <v>0</v>
      </c>
      <c r="AM93" s="1">
        <v>0</v>
      </c>
      <c r="AN93" s="1">
        <v>0</v>
      </c>
      <c r="AO93" s="24">
        <f t="shared" si="5"/>
        <v>38418</v>
      </c>
    </row>
    <row r="94" spans="1:41" ht="17.25" customHeight="1" x14ac:dyDescent="0.45">
      <c r="A94" s="12" t="s">
        <v>38</v>
      </c>
      <c r="B94" s="12" t="s">
        <v>22</v>
      </c>
      <c r="C94" s="25">
        <v>0</v>
      </c>
      <c r="D94" s="10">
        <v>0</v>
      </c>
      <c r="E94" s="10">
        <v>0</v>
      </c>
      <c r="F94" s="10">
        <v>0</v>
      </c>
      <c r="G94" s="10">
        <v>0</v>
      </c>
      <c r="H94" s="10">
        <v>0</v>
      </c>
      <c r="I94" s="10">
        <v>0</v>
      </c>
      <c r="J94" s="10">
        <v>0</v>
      </c>
      <c r="K94" s="10">
        <v>0</v>
      </c>
      <c r="L94" s="10">
        <v>0</v>
      </c>
      <c r="M94" s="10">
        <v>0</v>
      </c>
      <c r="N94" s="10">
        <v>1</v>
      </c>
      <c r="O94" s="26">
        <f t="shared" si="3"/>
        <v>1</v>
      </c>
      <c r="P94" s="25">
        <v>0</v>
      </c>
      <c r="Q94" s="10">
        <v>0</v>
      </c>
      <c r="R94" s="10">
        <v>0</v>
      </c>
      <c r="S94" s="10">
        <v>0</v>
      </c>
      <c r="T94" s="10">
        <v>0</v>
      </c>
      <c r="U94" s="10">
        <v>0</v>
      </c>
      <c r="V94" s="10">
        <v>0</v>
      </c>
      <c r="W94" s="10">
        <v>0</v>
      </c>
      <c r="X94" s="10">
        <v>0</v>
      </c>
      <c r="Y94" s="10">
        <v>0</v>
      </c>
      <c r="Z94" s="10">
        <v>0</v>
      </c>
      <c r="AA94" s="10">
        <v>0</v>
      </c>
      <c r="AB94" s="26">
        <f t="shared" si="4"/>
        <v>0</v>
      </c>
      <c r="AC94" s="25">
        <v>0</v>
      </c>
      <c r="AD94" s="10">
        <v>0</v>
      </c>
      <c r="AE94" s="10">
        <v>0</v>
      </c>
      <c r="AF94" s="10">
        <v>0</v>
      </c>
      <c r="AG94" s="10">
        <v>0</v>
      </c>
      <c r="AH94" s="10">
        <v>0</v>
      </c>
      <c r="AI94" s="10">
        <v>0</v>
      </c>
      <c r="AJ94" s="10">
        <v>0</v>
      </c>
      <c r="AK94" s="10">
        <v>0</v>
      </c>
      <c r="AL94" s="10">
        <v>0</v>
      </c>
      <c r="AM94" s="10">
        <v>0</v>
      </c>
      <c r="AN94" s="10">
        <v>600</v>
      </c>
      <c r="AO94" s="26">
        <f t="shared" si="5"/>
        <v>600</v>
      </c>
    </row>
    <row r="95" spans="1:41" ht="17.25" customHeight="1" x14ac:dyDescent="0.45">
      <c r="A95" s="2" t="s">
        <v>38</v>
      </c>
      <c r="B95" s="2" t="s">
        <v>11</v>
      </c>
      <c r="C95" s="23">
        <v>0</v>
      </c>
      <c r="D95" s="1">
        <v>0</v>
      </c>
      <c r="E95" s="1">
        <v>0</v>
      </c>
      <c r="F95" s="1">
        <v>0</v>
      </c>
      <c r="G95" s="1">
        <v>0</v>
      </c>
      <c r="H95" s="1">
        <v>0</v>
      </c>
      <c r="I95" s="1">
        <v>0</v>
      </c>
      <c r="J95" s="1">
        <v>0</v>
      </c>
      <c r="K95" s="1">
        <v>0</v>
      </c>
      <c r="L95" s="1">
        <v>0</v>
      </c>
      <c r="M95" s="1">
        <v>14</v>
      </c>
      <c r="N95" s="1">
        <v>13</v>
      </c>
      <c r="O95" s="24">
        <f t="shared" si="3"/>
        <v>27</v>
      </c>
      <c r="P95" s="23">
        <v>0</v>
      </c>
      <c r="Q95" s="1">
        <v>0</v>
      </c>
      <c r="R95" s="1">
        <v>0</v>
      </c>
      <c r="S95" s="1">
        <v>0</v>
      </c>
      <c r="T95" s="1">
        <v>0</v>
      </c>
      <c r="U95" s="1">
        <v>0</v>
      </c>
      <c r="V95" s="1">
        <v>0</v>
      </c>
      <c r="W95" s="1">
        <v>0</v>
      </c>
      <c r="X95" s="1">
        <v>0</v>
      </c>
      <c r="Y95" s="1">
        <v>0</v>
      </c>
      <c r="Z95" s="1">
        <v>0</v>
      </c>
      <c r="AA95" s="1">
        <v>0</v>
      </c>
      <c r="AB95" s="24">
        <f t="shared" si="4"/>
        <v>0</v>
      </c>
      <c r="AC95" s="23">
        <v>0</v>
      </c>
      <c r="AD95" s="1">
        <v>0</v>
      </c>
      <c r="AE95" s="1">
        <v>0</v>
      </c>
      <c r="AF95" s="1">
        <v>0</v>
      </c>
      <c r="AG95" s="1">
        <v>0</v>
      </c>
      <c r="AH95" s="1">
        <v>0</v>
      </c>
      <c r="AI95" s="1">
        <v>0</v>
      </c>
      <c r="AJ95" s="1">
        <v>0</v>
      </c>
      <c r="AK95" s="1">
        <v>0</v>
      </c>
      <c r="AL95" s="1">
        <v>0</v>
      </c>
      <c r="AM95" s="1">
        <v>95796</v>
      </c>
      <c r="AN95" s="1">
        <v>109801</v>
      </c>
      <c r="AO95" s="24">
        <f t="shared" si="5"/>
        <v>205597</v>
      </c>
    </row>
    <row r="96" spans="1:41" ht="17.25" customHeight="1" x14ac:dyDescent="0.45">
      <c r="A96" s="12" t="s">
        <v>38</v>
      </c>
      <c r="B96" s="12" t="s">
        <v>47</v>
      </c>
      <c r="C96" s="25">
        <v>16</v>
      </c>
      <c r="D96" s="10">
        <v>16</v>
      </c>
      <c r="E96" s="10">
        <v>13</v>
      </c>
      <c r="F96" s="10">
        <v>17</v>
      </c>
      <c r="G96" s="10">
        <v>19</v>
      </c>
      <c r="H96" s="10">
        <v>16</v>
      </c>
      <c r="I96" s="10">
        <v>18</v>
      </c>
      <c r="J96" s="10">
        <v>19</v>
      </c>
      <c r="K96" s="10">
        <v>17</v>
      </c>
      <c r="L96" s="10">
        <v>23</v>
      </c>
      <c r="M96" s="10">
        <v>5</v>
      </c>
      <c r="N96" s="10">
        <v>3</v>
      </c>
      <c r="O96" s="26">
        <f t="shared" si="3"/>
        <v>182</v>
      </c>
      <c r="P96" s="25">
        <v>0</v>
      </c>
      <c r="Q96" s="10">
        <v>0</v>
      </c>
      <c r="R96" s="10">
        <v>0</v>
      </c>
      <c r="S96" s="10">
        <v>0</v>
      </c>
      <c r="T96" s="10">
        <v>0</v>
      </c>
      <c r="U96" s="10">
        <v>0</v>
      </c>
      <c r="V96" s="10">
        <v>0</v>
      </c>
      <c r="W96" s="10">
        <v>0</v>
      </c>
      <c r="X96" s="10">
        <v>0</v>
      </c>
      <c r="Y96" s="10">
        <v>0</v>
      </c>
      <c r="Z96" s="10">
        <v>0</v>
      </c>
      <c r="AA96" s="10">
        <v>0</v>
      </c>
      <c r="AB96" s="26">
        <f t="shared" si="4"/>
        <v>0</v>
      </c>
      <c r="AC96" s="25">
        <v>130350</v>
      </c>
      <c r="AD96" s="10">
        <v>134163</v>
      </c>
      <c r="AE96" s="10">
        <v>107095</v>
      </c>
      <c r="AF96" s="10">
        <v>133640</v>
      </c>
      <c r="AG96" s="10">
        <v>154777</v>
      </c>
      <c r="AH96" s="10">
        <v>206617</v>
      </c>
      <c r="AI96" s="10">
        <v>152191</v>
      </c>
      <c r="AJ96" s="10">
        <v>160373</v>
      </c>
      <c r="AK96" s="10">
        <v>139288</v>
      </c>
      <c r="AL96" s="10">
        <v>201347</v>
      </c>
      <c r="AM96" s="10">
        <v>42482</v>
      </c>
      <c r="AN96" s="10">
        <v>18511</v>
      </c>
      <c r="AO96" s="26">
        <f t="shared" si="5"/>
        <v>1580834</v>
      </c>
    </row>
    <row r="97" spans="1:41" ht="17.25" customHeight="1" x14ac:dyDescent="0.45">
      <c r="A97" s="2" t="s">
        <v>38</v>
      </c>
      <c r="B97" s="2" t="s">
        <v>55</v>
      </c>
      <c r="C97" s="23">
        <v>0</v>
      </c>
      <c r="D97" s="1">
        <v>0</v>
      </c>
      <c r="E97" s="1">
        <v>0</v>
      </c>
      <c r="F97" s="1">
        <v>0</v>
      </c>
      <c r="G97" s="1">
        <v>0</v>
      </c>
      <c r="H97" s="1">
        <v>0</v>
      </c>
      <c r="I97" s="1">
        <v>0</v>
      </c>
      <c r="J97" s="1">
        <v>0</v>
      </c>
      <c r="K97" s="1">
        <v>0</v>
      </c>
      <c r="L97" s="1">
        <v>0</v>
      </c>
      <c r="M97" s="1">
        <v>8</v>
      </c>
      <c r="N97" s="1">
        <v>9</v>
      </c>
      <c r="O97" s="24">
        <f t="shared" si="3"/>
        <v>17</v>
      </c>
      <c r="P97" s="23">
        <v>0</v>
      </c>
      <c r="Q97" s="1">
        <v>0</v>
      </c>
      <c r="R97" s="1">
        <v>0</v>
      </c>
      <c r="S97" s="1">
        <v>0</v>
      </c>
      <c r="T97" s="1">
        <v>0</v>
      </c>
      <c r="U97" s="1">
        <v>0</v>
      </c>
      <c r="V97" s="1">
        <v>0</v>
      </c>
      <c r="W97" s="1">
        <v>0</v>
      </c>
      <c r="X97" s="1">
        <v>0</v>
      </c>
      <c r="Y97" s="1">
        <v>0</v>
      </c>
      <c r="Z97" s="1">
        <v>64</v>
      </c>
      <c r="AA97" s="1">
        <v>156</v>
      </c>
      <c r="AB97" s="24">
        <f t="shared" si="4"/>
        <v>220</v>
      </c>
      <c r="AC97" s="23">
        <v>0</v>
      </c>
      <c r="AD97" s="1">
        <v>0</v>
      </c>
      <c r="AE97" s="1">
        <v>0</v>
      </c>
      <c r="AF97" s="1">
        <v>0</v>
      </c>
      <c r="AG97" s="1">
        <v>0</v>
      </c>
      <c r="AH97" s="1">
        <v>0</v>
      </c>
      <c r="AI97" s="1">
        <v>0</v>
      </c>
      <c r="AJ97" s="1">
        <v>0</v>
      </c>
      <c r="AK97" s="1">
        <v>0</v>
      </c>
      <c r="AL97" s="1">
        <v>0</v>
      </c>
      <c r="AM97" s="1">
        <v>0</v>
      </c>
      <c r="AN97" s="1">
        <v>0</v>
      </c>
      <c r="AO97" s="24">
        <f t="shared" si="5"/>
        <v>0</v>
      </c>
    </row>
    <row r="98" spans="1:41" ht="17.25" customHeight="1" x14ac:dyDescent="0.45">
      <c r="A98" s="12" t="s">
        <v>38</v>
      </c>
      <c r="B98" s="12" t="s">
        <v>13</v>
      </c>
      <c r="C98" s="25">
        <v>0</v>
      </c>
      <c r="D98" s="10">
        <v>0</v>
      </c>
      <c r="E98" s="10">
        <v>0</v>
      </c>
      <c r="F98" s="10">
        <v>1</v>
      </c>
      <c r="G98" s="10">
        <v>0</v>
      </c>
      <c r="H98" s="10">
        <v>0</v>
      </c>
      <c r="I98" s="10">
        <v>0</v>
      </c>
      <c r="J98" s="10">
        <v>0</v>
      </c>
      <c r="K98" s="10">
        <v>0</v>
      </c>
      <c r="L98" s="10">
        <v>0</v>
      </c>
      <c r="M98" s="10">
        <v>1</v>
      </c>
      <c r="N98" s="10">
        <v>0</v>
      </c>
      <c r="O98" s="26">
        <f t="shared" si="3"/>
        <v>2</v>
      </c>
      <c r="P98" s="25">
        <v>0</v>
      </c>
      <c r="Q98" s="10">
        <v>0</v>
      </c>
      <c r="R98" s="10">
        <v>0</v>
      </c>
      <c r="S98" s="10">
        <v>36</v>
      </c>
      <c r="T98" s="10">
        <v>0</v>
      </c>
      <c r="U98" s="10">
        <v>0</v>
      </c>
      <c r="V98" s="10">
        <v>0</v>
      </c>
      <c r="W98" s="10">
        <v>0</v>
      </c>
      <c r="X98" s="10">
        <v>0</v>
      </c>
      <c r="Y98" s="10">
        <v>0</v>
      </c>
      <c r="Z98" s="10">
        <v>0</v>
      </c>
      <c r="AA98" s="10">
        <v>0</v>
      </c>
      <c r="AB98" s="26">
        <f t="shared" si="4"/>
        <v>36</v>
      </c>
      <c r="AC98" s="25">
        <v>0</v>
      </c>
      <c r="AD98" s="10">
        <v>0</v>
      </c>
      <c r="AE98" s="10">
        <v>0</v>
      </c>
      <c r="AF98" s="10">
        <v>0</v>
      </c>
      <c r="AG98" s="10">
        <v>0</v>
      </c>
      <c r="AH98" s="10">
        <v>0</v>
      </c>
      <c r="AI98" s="10">
        <v>0</v>
      </c>
      <c r="AJ98" s="10">
        <v>0</v>
      </c>
      <c r="AK98" s="10">
        <v>0</v>
      </c>
      <c r="AL98" s="10">
        <v>0</v>
      </c>
      <c r="AM98" s="10">
        <v>3895</v>
      </c>
      <c r="AN98" s="10">
        <v>0</v>
      </c>
      <c r="AO98" s="26">
        <f t="shared" si="5"/>
        <v>3895</v>
      </c>
    </row>
    <row r="99" spans="1:41" ht="17.25" customHeight="1" x14ac:dyDescent="0.45">
      <c r="A99" s="2" t="s">
        <v>38</v>
      </c>
      <c r="B99" s="2" t="s">
        <v>27</v>
      </c>
      <c r="C99" s="23">
        <v>0</v>
      </c>
      <c r="D99" s="1">
        <v>0</v>
      </c>
      <c r="E99" s="1">
        <v>0</v>
      </c>
      <c r="F99" s="1">
        <v>0</v>
      </c>
      <c r="G99" s="1">
        <v>0</v>
      </c>
      <c r="H99" s="1">
        <v>0</v>
      </c>
      <c r="I99" s="1">
        <v>0</v>
      </c>
      <c r="J99" s="1">
        <v>0</v>
      </c>
      <c r="K99" s="1">
        <v>1</v>
      </c>
      <c r="L99" s="1">
        <v>0</v>
      </c>
      <c r="M99" s="1">
        <v>0</v>
      </c>
      <c r="N99" s="1">
        <v>0</v>
      </c>
      <c r="O99" s="24">
        <f t="shared" si="3"/>
        <v>1</v>
      </c>
      <c r="P99" s="23">
        <v>0</v>
      </c>
      <c r="Q99" s="1">
        <v>0</v>
      </c>
      <c r="R99" s="1">
        <v>0</v>
      </c>
      <c r="S99" s="1">
        <v>0</v>
      </c>
      <c r="T99" s="1">
        <v>0</v>
      </c>
      <c r="U99" s="1">
        <v>0</v>
      </c>
      <c r="V99" s="1">
        <v>0</v>
      </c>
      <c r="W99" s="1">
        <v>0</v>
      </c>
      <c r="X99" s="1">
        <v>0</v>
      </c>
      <c r="Y99" s="1">
        <v>0</v>
      </c>
      <c r="Z99" s="1">
        <v>0</v>
      </c>
      <c r="AA99" s="1">
        <v>0</v>
      </c>
      <c r="AB99" s="24">
        <f t="shared" si="4"/>
        <v>0</v>
      </c>
      <c r="AC99" s="23">
        <v>0</v>
      </c>
      <c r="AD99" s="1">
        <v>0</v>
      </c>
      <c r="AE99" s="1">
        <v>0</v>
      </c>
      <c r="AF99" s="1">
        <v>0</v>
      </c>
      <c r="AG99" s="1">
        <v>0</v>
      </c>
      <c r="AH99" s="1">
        <v>0</v>
      </c>
      <c r="AI99" s="1">
        <v>0</v>
      </c>
      <c r="AJ99" s="1">
        <v>0</v>
      </c>
      <c r="AK99" s="1">
        <v>1040</v>
      </c>
      <c r="AL99" s="1">
        <v>0</v>
      </c>
      <c r="AM99" s="1">
        <v>0</v>
      </c>
      <c r="AN99" s="1">
        <v>0</v>
      </c>
      <c r="AO99" s="24">
        <f t="shared" si="5"/>
        <v>1040</v>
      </c>
    </row>
    <row r="100" spans="1:41" ht="17.25" customHeight="1" x14ac:dyDescent="0.45">
      <c r="A100" s="12" t="s">
        <v>38</v>
      </c>
      <c r="B100" s="12" t="s">
        <v>28</v>
      </c>
      <c r="C100" s="25">
        <v>18</v>
      </c>
      <c r="D100" s="10">
        <v>17</v>
      </c>
      <c r="E100" s="10">
        <v>14</v>
      </c>
      <c r="F100" s="10">
        <v>17</v>
      </c>
      <c r="G100" s="10">
        <v>18</v>
      </c>
      <c r="H100" s="10">
        <v>15</v>
      </c>
      <c r="I100" s="10">
        <v>20</v>
      </c>
      <c r="J100" s="10">
        <v>16</v>
      </c>
      <c r="K100" s="10">
        <v>18</v>
      </c>
      <c r="L100" s="10">
        <v>18</v>
      </c>
      <c r="M100" s="10">
        <v>25</v>
      </c>
      <c r="N100" s="10">
        <v>25</v>
      </c>
      <c r="O100" s="26">
        <f t="shared" si="3"/>
        <v>221</v>
      </c>
      <c r="P100" s="25">
        <v>0</v>
      </c>
      <c r="Q100" s="10">
        <v>0</v>
      </c>
      <c r="R100" s="10">
        <v>0</v>
      </c>
      <c r="S100" s="10">
        <v>0</v>
      </c>
      <c r="T100" s="10">
        <v>0</v>
      </c>
      <c r="U100" s="10">
        <v>0</v>
      </c>
      <c r="V100" s="10">
        <v>0</v>
      </c>
      <c r="W100" s="10">
        <v>0</v>
      </c>
      <c r="X100" s="10">
        <v>0</v>
      </c>
      <c r="Y100" s="10">
        <v>0</v>
      </c>
      <c r="Z100" s="10">
        <v>0</v>
      </c>
      <c r="AA100" s="10">
        <v>0</v>
      </c>
      <c r="AB100" s="26">
        <f t="shared" si="4"/>
        <v>0</v>
      </c>
      <c r="AC100" s="25">
        <v>220952</v>
      </c>
      <c r="AD100" s="10">
        <v>163121</v>
      </c>
      <c r="AE100" s="10">
        <v>141758</v>
      </c>
      <c r="AF100" s="10">
        <v>190553</v>
      </c>
      <c r="AG100" s="10">
        <v>166210</v>
      </c>
      <c r="AH100" s="10">
        <v>142451</v>
      </c>
      <c r="AI100" s="10">
        <v>191861</v>
      </c>
      <c r="AJ100" s="10">
        <v>154069</v>
      </c>
      <c r="AK100" s="10">
        <v>161494</v>
      </c>
      <c r="AL100" s="10">
        <v>163400</v>
      </c>
      <c r="AM100" s="10">
        <v>172861</v>
      </c>
      <c r="AN100" s="10">
        <v>155875</v>
      </c>
      <c r="AO100" s="26">
        <f t="shared" si="5"/>
        <v>2024605</v>
      </c>
    </row>
    <row r="101" spans="1:41" ht="17.25" customHeight="1" x14ac:dyDescent="0.45">
      <c r="A101" s="2" t="s">
        <v>38</v>
      </c>
      <c r="B101" s="2" t="s">
        <v>206</v>
      </c>
      <c r="C101" s="23">
        <v>2</v>
      </c>
      <c r="D101" s="1">
        <v>0</v>
      </c>
      <c r="E101" s="1">
        <v>0</v>
      </c>
      <c r="F101" s="1">
        <v>0</v>
      </c>
      <c r="G101" s="1">
        <v>1</v>
      </c>
      <c r="H101" s="1">
        <v>1</v>
      </c>
      <c r="I101" s="1">
        <v>1</v>
      </c>
      <c r="J101" s="1">
        <v>1</v>
      </c>
      <c r="K101" s="1">
        <v>2</v>
      </c>
      <c r="L101" s="1">
        <v>0</v>
      </c>
      <c r="M101" s="1">
        <v>1</v>
      </c>
      <c r="N101" s="1">
        <v>0</v>
      </c>
      <c r="O101" s="24">
        <f t="shared" si="3"/>
        <v>9</v>
      </c>
      <c r="P101" s="23">
        <v>0</v>
      </c>
      <c r="Q101" s="1">
        <v>0</v>
      </c>
      <c r="R101" s="1">
        <v>0</v>
      </c>
      <c r="S101" s="1">
        <v>0</v>
      </c>
      <c r="T101" s="1">
        <v>0</v>
      </c>
      <c r="U101" s="1">
        <v>0</v>
      </c>
      <c r="V101" s="1">
        <v>0</v>
      </c>
      <c r="W101" s="1">
        <v>0</v>
      </c>
      <c r="X101" s="1">
        <v>0</v>
      </c>
      <c r="Y101" s="1">
        <v>0</v>
      </c>
      <c r="Z101" s="1">
        <v>0</v>
      </c>
      <c r="AA101" s="1">
        <v>0</v>
      </c>
      <c r="AB101" s="24">
        <f t="shared" si="4"/>
        <v>0</v>
      </c>
      <c r="AC101" s="23">
        <v>14670</v>
      </c>
      <c r="AD101" s="1">
        <v>0</v>
      </c>
      <c r="AE101" s="1">
        <v>0</v>
      </c>
      <c r="AF101" s="1">
        <v>0</v>
      </c>
      <c r="AG101" s="1">
        <v>2650</v>
      </c>
      <c r="AH101" s="1">
        <v>2600</v>
      </c>
      <c r="AI101" s="1">
        <v>2500</v>
      </c>
      <c r="AJ101" s="1">
        <v>2580</v>
      </c>
      <c r="AK101" s="1">
        <v>5260</v>
      </c>
      <c r="AL101" s="1">
        <v>0</v>
      </c>
      <c r="AM101" s="1">
        <v>2700</v>
      </c>
      <c r="AN101" s="1">
        <v>0</v>
      </c>
      <c r="AO101" s="24">
        <f t="shared" si="5"/>
        <v>32960</v>
      </c>
    </row>
    <row r="102" spans="1:41" ht="17.25" customHeight="1" x14ac:dyDescent="0.45">
      <c r="A102" s="12" t="s">
        <v>38</v>
      </c>
      <c r="B102" s="12" t="s">
        <v>50</v>
      </c>
      <c r="C102" s="25">
        <v>4</v>
      </c>
      <c r="D102" s="10">
        <v>3</v>
      </c>
      <c r="E102" s="10">
        <v>1</v>
      </c>
      <c r="F102" s="10">
        <v>0</v>
      </c>
      <c r="G102" s="10">
        <v>0</v>
      </c>
      <c r="H102" s="10">
        <v>0</v>
      </c>
      <c r="I102" s="10">
        <v>0</v>
      </c>
      <c r="J102" s="10">
        <v>0</v>
      </c>
      <c r="K102" s="10">
        <v>0</v>
      </c>
      <c r="L102" s="10">
        <v>0</v>
      </c>
      <c r="M102" s="10">
        <v>0</v>
      </c>
      <c r="N102" s="10">
        <v>0</v>
      </c>
      <c r="O102" s="26">
        <f t="shared" si="3"/>
        <v>8</v>
      </c>
      <c r="P102" s="25">
        <v>417</v>
      </c>
      <c r="Q102" s="10">
        <v>410</v>
      </c>
      <c r="R102" s="10">
        <v>136</v>
      </c>
      <c r="S102" s="10">
        <v>0</v>
      </c>
      <c r="T102" s="10">
        <v>0</v>
      </c>
      <c r="U102" s="10">
        <v>0</v>
      </c>
      <c r="V102" s="10">
        <v>0</v>
      </c>
      <c r="W102" s="10">
        <v>0</v>
      </c>
      <c r="X102" s="10">
        <v>0</v>
      </c>
      <c r="Y102" s="10">
        <v>0</v>
      </c>
      <c r="Z102" s="10">
        <v>0</v>
      </c>
      <c r="AA102" s="10">
        <v>0</v>
      </c>
      <c r="AB102" s="26">
        <f t="shared" si="4"/>
        <v>963</v>
      </c>
      <c r="AC102" s="25">
        <v>0</v>
      </c>
      <c r="AD102" s="10">
        <v>0</v>
      </c>
      <c r="AE102" s="10">
        <v>0</v>
      </c>
      <c r="AF102" s="10">
        <v>0</v>
      </c>
      <c r="AG102" s="10">
        <v>0</v>
      </c>
      <c r="AH102" s="10">
        <v>0</v>
      </c>
      <c r="AI102" s="10">
        <v>0</v>
      </c>
      <c r="AJ102" s="10">
        <v>0</v>
      </c>
      <c r="AK102" s="10">
        <v>0</v>
      </c>
      <c r="AL102" s="10">
        <v>0</v>
      </c>
      <c r="AM102" s="10">
        <v>0</v>
      </c>
      <c r="AN102" s="10">
        <v>0</v>
      </c>
      <c r="AO102" s="26">
        <f t="shared" si="5"/>
        <v>0</v>
      </c>
    </row>
    <row r="103" spans="1:41" ht="17.25" customHeight="1" x14ac:dyDescent="0.45">
      <c r="A103" s="2" t="s">
        <v>38</v>
      </c>
      <c r="B103" s="2" t="s">
        <v>15</v>
      </c>
      <c r="C103" s="23">
        <v>17</v>
      </c>
      <c r="D103" s="1">
        <v>17</v>
      </c>
      <c r="E103" s="1">
        <v>15</v>
      </c>
      <c r="F103" s="1">
        <v>20</v>
      </c>
      <c r="G103" s="1">
        <v>20</v>
      </c>
      <c r="H103" s="1">
        <v>21</v>
      </c>
      <c r="I103" s="1">
        <v>18</v>
      </c>
      <c r="J103" s="1">
        <v>18</v>
      </c>
      <c r="K103" s="1">
        <v>19</v>
      </c>
      <c r="L103" s="1">
        <v>15</v>
      </c>
      <c r="M103" s="1">
        <v>15</v>
      </c>
      <c r="N103" s="1">
        <v>16</v>
      </c>
      <c r="O103" s="24">
        <f t="shared" si="3"/>
        <v>211</v>
      </c>
      <c r="P103" s="23">
        <v>0</v>
      </c>
      <c r="Q103" s="1">
        <v>0</v>
      </c>
      <c r="R103" s="1">
        <v>0</v>
      </c>
      <c r="S103" s="1">
        <v>0</v>
      </c>
      <c r="T103" s="1">
        <v>0</v>
      </c>
      <c r="U103" s="1">
        <v>0</v>
      </c>
      <c r="V103" s="1">
        <v>0</v>
      </c>
      <c r="W103" s="1">
        <v>0</v>
      </c>
      <c r="X103" s="1">
        <v>0</v>
      </c>
      <c r="Y103" s="1">
        <v>0</v>
      </c>
      <c r="Z103" s="1">
        <v>0</v>
      </c>
      <c r="AA103" s="1">
        <v>0</v>
      </c>
      <c r="AB103" s="24">
        <f t="shared" si="4"/>
        <v>0</v>
      </c>
      <c r="AC103" s="23">
        <v>139658</v>
      </c>
      <c r="AD103" s="1">
        <v>149981</v>
      </c>
      <c r="AE103" s="1">
        <v>159838</v>
      </c>
      <c r="AF103" s="1">
        <v>183184</v>
      </c>
      <c r="AG103" s="1">
        <v>200862</v>
      </c>
      <c r="AH103" s="1">
        <v>133766</v>
      </c>
      <c r="AI103" s="1">
        <v>164320</v>
      </c>
      <c r="AJ103" s="1">
        <v>127606</v>
      </c>
      <c r="AK103" s="1">
        <v>154011</v>
      </c>
      <c r="AL103" s="1">
        <v>130055</v>
      </c>
      <c r="AM103" s="1">
        <v>120661</v>
      </c>
      <c r="AN103" s="1">
        <v>153866</v>
      </c>
      <c r="AO103" s="24">
        <f t="shared" si="5"/>
        <v>1817808</v>
      </c>
    </row>
    <row r="104" spans="1:41" ht="17.25" customHeight="1" x14ac:dyDescent="0.45">
      <c r="A104" s="12" t="s">
        <v>38</v>
      </c>
      <c r="B104" s="12" t="s">
        <v>32</v>
      </c>
      <c r="C104" s="25">
        <v>19</v>
      </c>
      <c r="D104" s="10">
        <v>16</v>
      </c>
      <c r="E104" s="10">
        <v>14</v>
      </c>
      <c r="F104" s="10">
        <v>16</v>
      </c>
      <c r="G104" s="10">
        <v>18</v>
      </c>
      <c r="H104" s="10">
        <v>16</v>
      </c>
      <c r="I104" s="10">
        <v>18</v>
      </c>
      <c r="J104" s="10">
        <v>17</v>
      </c>
      <c r="K104" s="10">
        <v>16</v>
      </c>
      <c r="L104" s="10">
        <v>18</v>
      </c>
      <c r="M104" s="10">
        <v>1</v>
      </c>
      <c r="N104" s="10">
        <v>1</v>
      </c>
      <c r="O104" s="26">
        <f t="shared" si="3"/>
        <v>170</v>
      </c>
      <c r="P104" s="25">
        <v>45</v>
      </c>
      <c r="Q104" s="10">
        <v>0</v>
      </c>
      <c r="R104" s="10">
        <v>0</v>
      </c>
      <c r="S104" s="10">
        <v>0</v>
      </c>
      <c r="T104" s="10">
        <v>0</v>
      </c>
      <c r="U104" s="10">
        <v>0</v>
      </c>
      <c r="V104" s="10">
        <v>0</v>
      </c>
      <c r="W104" s="10">
        <v>0</v>
      </c>
      <c r="X104" s="10">
        <v>35</v>
      </c>
      <c r="Y104" s="10">
        <v>0</v>
      </c>
      <c r="Z104" s="10">
        <v>0</v>
      </c>
      <c r="AA104" s="10">
        <v>0</v>
      </c>
      <c r="AB104" s="26">
        <f t="shared" si="4"/>
        <v>80</v>
      </c>
      <c r="AC104" s="25">
        <v>147718</v>
      </c>
      <c r="AD104" s="10">
        <v>164580</v>
      </c>
      <c r="AE104" s="10">
        <v>141532</v>
      </c>
      <c r="AF104" s="10">
        <v>170444</v>
      </c>
      <c r="AG104" s="10">
        <v>165336</v>
      </c>
      <c r="AH104" s="10">
        <v>106357</v>
      </c>
      <c r="AI104" s="10">
        <v>153175</v>
      </c>
      <c r="AJ104" s="10">
        <v>114649</v>
      </c>
      <c r="AK104" s="10">
        <v>35515</v>
      </c>
      <c r="AL104" s="10">
        <v>54885</v>
      </c>
      <c r="AM104" s="10">
        <v>2721</v>
      </c>
      <c r="AN104" s="10">
        <v>8100</v>
      </c>
      <c r="AO104" s="26">
        <f t="shared" si="5"/>
        <v>1265012</v>
      </c>
    </row>
    <row r="105" spans="1:41" ht="17.25" customHeight="1" x14ac:dyDescent="0.45">
      <c r="A105" s="2" t="s">
        <v>38</v>
      </c>
      <c r="B105" s="2" t="s">
        <v>36</v>
      </c>
      <c r="C105" s="23">
        <v>0</v>
      </c>
      <c r="D105" s="1">
        <v>3</v>
      </c>
      <c r="E105" s="1">
        <v>1</v>
      </c>
      <c r="F105" s="1">
        <v>0</v>
      </c>
      <c r="G105" s="1">
        <v>1</v>
      </c>
      <c r="H105" s="1">
        <v>0</v>
      </c>
      <c r="I105" s="1">
        <v>0</v>
      </c>
      <c r="J105" s="1">
        <v>0</v>
      </c>
      <c r="K105" s="1">
        <v>0</v>
      </c>
      <c r="L105" s="1">
        <v>0</v>
      </c>
      <c r="M105" s="1">
        <v>0</v>
      </c>
      <c r="N105" s="1">
        <v>0</v>
      </c>
      <c r="O105" s="24">
        <f t="shared" si="3"/>
        <v>5</v>
      </c>
      <c r="P105" s="23">
        <v>0</v>
      </c>
      <c r="Q105" s="1">
        <v>331</v>
      </c>
      <c r="R105" s="1">
        <v>136</v>
      </c>
      <c r="S105" s="1">
        <v>0</v>
      </c>
      <c r="T105" s="1">
        <v>164</v>
      </c>
      <c r="U105" s="1">
        <v>0</v>
      </c>
      <c r="V105" s="1">
        <v>0</v>
      </c>
      <c r="W105" s="1">
        <v>0</v>
      </c>
      <c r="X105" s="1">
        <v>0</v>
      </c>
      <c r="Y105" s="1">
        <v>0</v>
      </c>
      <c r="Z105" s="1">
        <v>0</v>
      </c>
      <c r="AA105" s="1">
        <v>0</v>
      </c>
      <c r="AB105" s="24">
        <f t="shared" si="4"/>
        <v>631</v>
      </c>
      <c r="AC105" s="23">
        <v>0</v>
      </c>
      <c r="AD105" s="1">
        <v>0</v>
      </c>
      <c r="AE105" s="1">
        <v>0</v>
      </c>
      <c r="AF105" s="1">
        <v>0</v>
      </c>
      <c r="AG105" s="1">
        <v>0</v>
      </c>
      <c r="AH105" s="1">
        <v>0</v>
      </c>
      <c r="AI105" s="1">
        <v>0</v>
      </c>
      <c r="AJ105" s="1">
        <v>0</v>
      </c>
      <c r="AK105" s="1">
        <v>0</v>
      </c>
      <c r="AL105" s="1">
        <v>0</v>
      </c>
      <c r="AM105" s="1">
        <v>0</v>
      </c>
      <c r="AN105" s="1">
        <v>0</v>
      </c>
      <c r="AO105" s="24">
        <f t="shared" si="5"/>
        <v>0</v>
      </c>
    </row>
    <row r="106" spans="1:41" ht="17.25" customHeight="1" x14ac:dyDescent="0.45">
      <c r="A106" s="12" t="s">
        <v>51</v>
      </c>
      <c r="B106" s="12" t="s">
        <v>14</v>
      </c>
      <c r="C106" s="25">
        <v>0</v>
      </c>
      <c r="D106" s="10">
        <v>0</v>
      </c>
      <c r="E106" s="10">
        <v>0</v>
      </c>
      <c r="F106" s="10">
        <v>0</v>
      </c>
      <c r="G106" s="10">
        <v>0</v>
      </c>
      <c r="H106" s="10">
        <v>0</v>
      </c>
      <c r="I106" s="10">
        <v>1</v>
      </c>
      <c r="J106" s="10">
        <v>4</v>
      </c>
      <c r="K106" s="10">
        <v>4</v>
      </c>
      <c r="L106" s="10">
        <v>1</v>
      </c>
      <c r="M106" s="10">
        <v>0</v>
      </c>
      <c r="N106" s="10">
        <v>0</v>
      </c>
      <c r="O106" s="26">
        <f t="shared" si="3"/>
        <v>10</v>
      </c>
      <c r="P106" s="25">
        <v>0</v>
      </c>
      <c r="Q106" s="10">
        <v>0</v>
      </c>
      <c r="R106" s="10">
        <v>0</v>
      </c>
      <c r="S106" s="10">
        <v>0</v>
      </c>
      <c r="T106" s="10">
        <v>0</v>
      </c>
      <c r="U106" s="10">
        <v>0</v>
      </c>
      <c r="V106" s="10">
        <v>107</v>
      </c>
      <c r="W106" s="10">
        <v>338</v>
      </c>
      <c r="X106" s="10">
        <v>294</v>
      </c>
      <c r="Y106" s="10">
        <v>67</v>
      </c>
      <c r="Z106" s="10">
        <v>0</v>
      </c>
      <c r="AA106" s="10">
        <v>0</v>
      </c>
      <c r="AB106" s="26">
        <f t="shared" si="4"/>
        <v>806</v>
      </c>
      <c r="AC106" s="25">
        <v>0</v>
      </c>
      <c r="AD106" s="10">
        <v>0</v>
      </c>
      <c r="AE106" s="10">
        <v>0</v>
      </c>
      <c r="AF106" s="10">
        <v>0</v>
      </c>
      <c r="AG106" s="10">
        <v>0</v>
      </c>
      <c r="AH106" s="10">
        <v>0</v>
      </c>
      <c r="AI106" s="10">
        <v>0</v>
      </c>
      <c r="AJ106" s="10">
        <v>0</v>
      </c>
      <c r="AK106" s="10">
        <v>0</v>
      </c>
      <c r="AL106" s="10">
        <v>0</v>
      </c>
      <c r="AM106" s="10">
        <v>0</v>
      </c>
      <c r="AN106" s="10">
        <v>0</v>
      </c>
      <c r="AO106" s="26">
        <f t="shared" si="5"/>
        <v>0</v>
      </c>
    </row>
    <row r="107" spans="1:41" ht="17.25" customHeight="1" x14ac:dyDescent="0.45">
      <c r="A107" s="2" t="s">
        <v>51</v>
      </c>
      <c r="B107" s="2" t="s">
        <v>32</v>
      </c>
      <c r="C107" s="23">
        <v>0</v>
      </c>
      <c r="D107" s="1">
        <v>0</v>
      </c>
      <c r="E107" s="1">
        <v>0</v>
      </c>
      <c r="F107" s="1">
        <v>1</v>
      </c>
      <c r="G107" s="1">
        <v>0</v>
      </c>
      <c r="H107" s="1">
        <v>0</v>
      </c>
      <c r="I107" s="1">
        <v>0</v>
      </c>
      <c r="J107" s="1">
        <v>0</v>
      </c>
      <c r="K107" s="1">
        <v>0</v>
      </c>
      <c r="L107" s="1">
        <v>0</v>
      </c>
      <c r="M107" s="1">
        <v>0</v>
      </c>
      <c r="N107" s="1">
        <v>0</v>
      </c>
      <c r="O107" s="24">
        <f t="shared" si="3"/>
        <v>1</v>
      </c>
      <c r="P107" s="23">
        <v>0</v>
      </c>
      <c r="Q107" s="1">
        <v>0</v>
      </c>
      <c r="R107" s="1">
        <v>0</v>
      </c>
      <c r="S107" s="1">
        <v>8</v>
      </c>
      <c r="T107" s="1">
        <v>0</v>
      </c>
      <c r="U107" s="1">
        <v>0</v>
      </c>
      <c r="V107" s="1">
        <v>0</v>
      </c>
      <c r="W107" s="1">
        <v>0</v>
      </c>
      <c r="X107" s="1">
        <v>0</v>
      </c>
      <c r="Y107" s="1">
        <v>0</v>
      </c>
      <c r="Z107" s="1">
        <v>0</v>
      </c>
      <c r="AA107" s="1">
        <v>0</v>
      </c>
      <c r="AB107" s="24">
        <f t="shared" si="4"/>
        <v>8</v>
      </c>
      <c r="AC107" s="23">
        <v>0</v>
      </c>
      <c r="AD107" s="1">
        <v>0</v>
      </c>
      <c r="AE107" s="1">
        <v>0</v>
      </c>
      <c r="AF107" s="1">
        <v>0</v>
      </c>
      <c r="AG107" s="1">
        <v>0</v>
      </c>
      <c r="AH107" s="1">
        <v>0</v>
      </c>
      <c r="AI107" s="1">
        <v>0</v>
      </c>
      <c r="AJ107" s="1">
        <v>0</v>
      </c>
      <c r="AK107" s="1">
        <v>0</v>
      </c>
      <c r="AL107" s="1">
        <v>0</v>
      </c>
      <c r="AM107" s="1">
        <v>0</v>
      </c>
      <c r="AN107" s="1">
        <v>0</v>
      </c>
      <c r="AO107" s="24">
        <f t="shared" si="5"/>
        <v>0</v>
      </c>
    </row>
    <row r="108" spans="1:41" ht="17.25" customHeight="1" x14ac:dyDescent="0.45">
      <c r="A108" s="12" t="s">
        <v>52</v>
      </c>
      <c r="B108" s="12" t="s">
        <v>14</v>
      </c>
      <c r="C108" s="25">
        <v>29</v>
      </c>
      <c r="D108" s="10">
        <v>24</v>
      </c>
      <c r="E108" s="10">
        <v>26</v>
      </c>
      <c r="F108" s="10">
        <v>17</v>
      </c>
      <c r="G108" s="10">
        <v>17</v>
      </c>
      <c r="H108" s="10">
        <v>16</v>
      </c>
      <c r="I108" s="10">
        <v>17</v>
      </c>
      <c r="J108" s="10">
        <v>17</v>
      </c>
      <c r="K108" s="10">
        <v>16</v>
      </c>
      <c r="L108" s="10">
        <v>16</v>
      </c>
      <c r="M108" s="10">
        <v>17</v>
      </c>
      <c r="N108" s="10">
        <v>18</v>
      </c>
      <c r="O108" s="26">
        <f t="shared" si="3"/>
        <v>230</v>
      </c>
      <c r="P108" s="25">
        <v>777</v>
      </c>
      <c r="Q108" s="10">
        <v>448</v>
      </c>
      <c r="R108" s="10">
        <v>469</v>
      </c>
      <c r="S108" s="10">
        <v>422</v>
      </c>
      <c r="T108" s="10">
        <v>333</v>
      </c>
      <c r="U108" s="10">
        <v>262</v>
      </c>
      <c r="V108" s="10">
        <v>268</v>
      </c>
      <c r="W108" s="10">
        <v>627</v>
      </c>
      <c r="X108" s="10">
        <v>166</v>
      </c>
      <c r="Y108" s="10">
        <v>180</v>
      </c>
      <c r="Z108" s="10">
        <v>386</v>
      </c>
      <c r="AA108" s="10">
        <v>475</v>
      </c>
      <c r="AB108" s="26">
        <f t="shared" si="4"/>
        <v>4813</v>
      </c>
      <c r="AC108" s="25">
        <v>0</v>
      </c>
      <c r="AD108" s="10">
        <v>0</v>
      </c>
      <c r="AE108" s="10">
        <v>0</v>
      </c>
      <c r="AF108" s="10">
        <v>0</v>
      </c>
      <c r="AG108" s="10">
        <v>0</v>
      </c>
      <c r="AH108" s="10">
        <v>0</v>
      </c>
      <c r="AI108" s="10">
        <v>0</v>
      </c>
      <c r="AJ108" s="10">
        <v>0</v>
      </c>
      <c r="AK108" s="10">
        <v>0</v>
      </c>
      <c r="AL108" s="10">
        <v>0</v>
      </c>
      <c r="AM108" s="10">
        <v>0</v>
      </c>
      <c r="AN108" s="10">
        <v>0</v>
      </c>
      <c r="AO108" s="26">
        <f t="shared" si="5"/>
        <v>0</v>
      </c>
    </row>
    <row r="109" spans="1:41" ht="17.25" customHeight="1" x14ac:dyDescent="0.45">
      <c r="A109" s="2" t="s">
        <v>52</v>
      </c>
      <c r="B109" s="2" t="s">
        <v>32</v>
      </c>
      <c r="C109" s="23">
        <v>0</v>
      </c>
      <c r="D109" s="1">
        <v>0</v>
      </c>
      <c r="E109" s="1">
        <v>2</v>
      </c>
      <c r="F109" s="1">
        <v>0</v>
      </c>
      <c r="G109" s="1">
        <v>0</v>
      </c>
      <c r="H109" s="1">
        <v>0</v>
      </c>
      <c r="I109" s="1">
        <v>0</v>
      </c>
      <c r="J109" s="1">
        <v>0</v>
      </c>
      <c r="K109" s="1">
        <v>0</v>
      </c>
      <c r="L109" s="1">
        <v>0</v>
      </c>
      <c r="M109" s="1">
        <v>1</v>
      </c>
      <c r="N109" s="1">
        <v>1</v>
      </c>
      <c r="O109" s="24">
        <f t="shared" si="3"/>
        <v>4</v>
      </c>
      <c r="P109" s="23">
        <v>0</v>
      </c>
      <c r="Q109" s="1">
        <v>0</v>
      </c>
      <c r="R109" s="1">
        <v>70</v>
      </c>
      <c r="S109" s="1">
        <v>0</v>
      </c>
      <c r="T109" s="1">
        <v>0</v>
      </c>
      <c r="U109" s="1">
        <v>0</v>
      </c>
      <c r="V109" s="1">
        <v>0</v>
      </c>
      <c r="W109" s="1">
        <v>0</v>
      </c>
      <c r="X109" s="1">
        <v>0</v>
      </c>
      <c r="Y109" s="1">
        <v>0</v>
      </c>
      <c r="Z109" s="1">
        <v>0</v>
      </c>
      <c r="AA109" s="1">
        <v>2</v>
      </c>
      <c r="AB109" s="24">
        <f t="shared" si="4"/>
        <v>72</v>
      </c>
      <c r="AC109" s="23">
        <v>0</v>
      </c>
      <c r="AD109" s="1">
        <v>0</v>
      </c>
      <c r="AE109" s="1">
        <v>0</v>
      </c>
      <c r="AF109" s="1">
        <v>0</v>
      </c>
      <c r="AG109" s="1">
        <v>0</v>
      </c>
      <c r="AH109" s="1">
        <v>0</v>
      </c>
      <c r="AI109" s="1">
        <v>0</v>
      </c>
      <c r="AJ109" s="1">
        <v>0</v>
      </c>
      <c r="AK109" s="1">
        <v>0</v>
      </c>
      <c r="AL109" s="1">
        <v>0</v>
      </c>
      <c r="AM109" s="1">
        <v>2300</v>
      </c>
      <c r="AN109" s="1">
        <v>0</v>
      </c>
      <c r="AO109" s="24">
        <f t="shared" si="5"/>
        <v>2300</v>
      </c>
    </row>
    <row r="110" spans="1:41" ht="17.25" customHeight="1" x14ac:dyDescent="0.45">
      <c r="A110" s="12" t="s">
        <v>53</v>
      </c>
      <c r="B110" s="12" t="s">
        <v>26</v>
      </c>
      <c r="C110" s="25">
        <v>0</v>
      </c>
      <c r="D110" s="10">
        <v>0</v>
      </c>
      <c r="E110" s="10">
        <v>0</v>
      </c>
      <c r="F110" s="10">
        <v>0</v>
      </c>
      <c r="G110" s="10">
        <v>0</v>
      </c>
      <c r="H110" s="10">
        <v>0</v>
      </c>
      <c r="I110" s="10">
        <v>0</v>
      </c>
      <c r="J110" s="10">
        <v>0</v>
      </c>
      <c r="K110" s="10">
        <v>1</v>
      </c>
      <c r="L110" s="10">
        <v>0</v>
      </c>
      <c r="M110" s="10">
        <v>0</v>
      </c>
      <c r="N110" s="10">
        <v>0</v>
      </c>
      <c r="O110" s="26">
        <f t="shared" si="3"/>
        <v>1</v>
      </c>
      <c r="P110" s="25">
        <v>0</v>
      </c>
      <c r="Q110" s="10">
        <v>0</v>
      </c>
      <c r="R110" s="10">
        <v>0</v>
      </c>
      <c r="S110" s="10">
        <v>0</v>
      </c>
      <c r="T110" s="10">
        <v>0</v>
      </c>
      <c r="U110" s="10">
        <v>0</v>
      </c>
      <c r="V110" s="10">
        <v>0</v>
      </c>
      <c r="W110" s="10">
        <v>0</v>
      </c>
      <c r="X110" s="10">
        <v>24</v>
      </c>
      <c r="Y110" s="10">
        <v>0</v>
      </c>
      <c r="Z110" s="10">
        <v>0</v>
      </c>
      <c r="AA110" s="10">
        <v>0</v>
      </c>
      <c r="AB110" s="26">
        <f t="shared" si="4"/>
        <v>24</v>
      </c>
      <c r="AC110" s="25">
        <v>0</v>
      </c>
      <c r="AD110" s="10">
        <v>0</v>
      </c>
      <c r="AE110" s="10">
        <v>0</v>
      </c>
      <c r="AF110" s="10">
        <v>0</v>
      </c>
      <c r="AG110" s="10">
        <v>0</v>
      </c>
      <c r="AH110" s="10">
        <v>0</v>
      </c>
      <c r="AI110" s="10">
        <v>0</v>
      </c>
      <c r="AJ110" s="10">
        <v>0</v>
      </c>
      <c r="AK110" s="10">
        <v>0</v>
      </c>
      <c r="AL110" s="10">
        <v>0</v>
      </c>
      <c r="AM110" s="10">
        <v>0</v>
      </c>
      <c r="AN110" s="10">
        <v>0</v>
      </c>
      <c r="AO110" s="26">
        <f t="shared" si="5"/>
        <v>0</v>
      </c>
    </row>
    <row r="111" spans="1:41" ht="17.25" customHeight="1" x14ac:dyDescent="0.45">
      <c r="A111" s="2" t="s">
        <v>53</v>
      </c>
      <c r="B111" s="2" t="s">
        <v>14</v>
      </c>
      <c r="C111" s="23">
        <v>0</v>
      </c>
      <c r="D111" s="1">
        <v>12</v>
      </c>
      <c r="E111" s="1">
        <v>13</v>
      </c>
      <c r="F111" s="1">
        <v>17</v>
      </c>
      <c r="G111" s="1">
        <v>18</v>
      </c>
      <c r="H111" s="1">
        <v>16</v>
      </c>
      <c r="I111" s="1">
        <v>22</v>
      </c>
      <c r="J111" s="1">
        <v>21</v>
      </c>
      <c r="K111" s="1">
        <v>22</v>
      </c>
      <c r="L111" s="1">
        <v>22</v>
      </c>
      <c r="M111" s="1">
        <v>25</v>
      </c>
      <c r="N111" s="1">
        <v>26</v>
      </c>
      <c r="O111" s="24">
        <f t="shared" si="3"/>
        <v>214</v>
      </c>
      <c r="P111" s="23">
        <v>0</v>
      </c>
      <c r="Q111" s="1">
        <v>427</v>
      </c>
      <c r="R111" s="1">
        <v>561</v>
      </c>
      <c r="S111" s="1">
        <v>591</v>
      </c>
      <c r="T111" s="1">
        <v>712</v>
      </c>
      <c r="U111" s="1">
        <v>369</v>
      </c>
      <c r="V111" s="1">
        <v>590</v>
      </c>
      <c r="W111" s="1">
        <v>601</v>
      </c>
      <c r="X111" s="1">
        <v>614</v>
      </c>
      <c r="Y111" s="1">
        <v>648</v>
      </c>
      <c r="Z111" s="1">
        <v>790</v>
      </c>
      <c r="AA111" s="1">
        <v>992</v>
      </c>
      <c r="AB111" s="24">
        <f t="shared" si="4"/>
        <v>6895</v>
      </c>
      <c r="AC111" s="23">
        <v>0</v>
      </c>
      <c r="AD111" s="1">
        <v>0</v>
      </c>
      <c r="AE111" s="1">
        <v>0</v>
      </c>
      <c r="AF111" s="1">
        <v>0</v>
      </c>
      <c r="AG111" s="1">
        <v>0</v>
      </c>
      <c r="AH111" s="1">
        <v>0</v>
      </c>
      <c r="AI111" s="1">
        <v>0</v>
      </c>
      <c r="AJ111" s="1">
        <v>0</v>
      </c>
      <c r="AK111" s="1">
        <v>0</v>
      </c>
      <c r="AL111" s="1">
        <v>0</v>
      </c>
      <c r="AM111" s="1">
        <v>0</v>
      </c>
      <c r="AN111" s="1">
        <v>0</v>
      </c>
      <c r="AO111" s="24">
        <f t="shared" si="5"/>
        <v>0</v>
      </c>
    </row>
    <row r="112" spans="1:41" ht="17.25" customHeight="1" x14ac:dyDescent="0.45">
      <c r="A112" s="12" t="s">
        <v>53</v>
      </c>
      <c r="B112" s="12" t="s">
        <v>32</v>
      </c>
      <c r="C112" s="25">
        <v>1</v>
      </c>
      <c r="D112" s="10">
        <v>0</v>
      </c>
      <c r="E112" s="10">
        <v>1</v>
      </c>
      <c r="F112" s="10">
        <v>0</v>
      </c>
      <c r="G112" s="10">
        <v>0</v>
      </c>
      <c r="H112" s="10">
        <v>0</v>
      </c>
      <c r="I112" s="10">
        <v>0</v>
      </c>
      <c r="J112" s="10">
        <v>0</v>
      </c>
      <c r="K112" s="10">
        <v>0</v>
      </c>
      <c r="L112" s="10">
        <v>0</v>
      </c>
      <c r="M112" s="10">
        <v>0</v>
      </c>
      <c r="N112" s="10">
        <v>0</v>
      </c>
      <c r="O112" s="26">
        <f t="shared" si="3"/>
        <v>2</v>
      </c>
      <c r="P112" s="25">
        <v>49</v>
      </c>
      <c r="Q112" s="10">
        <v>0</v>
      </c>
      <c r="R112" s="10">
        <v>50</v>
      </c>
      <c r="S112" s="10">
        <v>0</v>
      </c>
      <c r="T112" s="10">
        <v>0</v>
      </c>
      <c r="U112" s="10">
        <v>0</v>
      </c>
      <c r="V112" s="10">
        <v>0</v>
      </c>
      <c r="W112" s="10">
        <v>0</v>
      </c>
      <c r="X112" s="10">
        <v>0</v>
      </c>
      <c r="Y112" s="10">
        <v>0</v>
      </c>
      <c r="Z112" s="10">
        <v>0</v>
      </c>
      <c r="AA112" s="10">
        <v>0</v>
      </c>
      <c r="AB112" s="26">
        <f t="shared" si="4"/>
        <v>99</v>
      </c>
      <c r="AC112" s="25">
        <v>0</v>
      </c>
      <c r="AD112" s="10">
        <v>0</v>
      </c>
      <c r="AE112" s="10">
        <v>0</v>
      </c>
      <c r="AF112" s="10">
        <v>0</v>
      </c>
      <c r="AG112" s="10">
        <v>0</v>
      </c>
      <c r="AH112" s="10">
        <v>0</v>
      </c>
      <c r="AI112" s="10">
        <v>0</v>
      </c>
      <c r="AJ112" s="10">
        <v>0</v>
      </c>
      <c r="AK112" s="10">
        <v>0</v>
      </c>
      <c r="AL112" s="10">
        <v>0</v>
      </c>
      <c r="AM112" s="10">
        <v>0</v>
      </c>
      <c r="AN112" s="10">
        <v>0</v>
      </c>
      <c r="AO112" s="26">
        <f t="shared" si="5"/>
        <v>0</v>
      </c>
    </row>
    <row r="113" spans="1:41" ht="17.25" customHeight="1" x14ac:dyDescent="0.45">
      <c r="A113" s="2" t="s">
        <v>47</v>
      </c>
      <c r="B113" s="2" t="s">
        <v>45</v>
      </c>
      <c r="C113" s="23">
        <v>0</v>
      </c>
      <c r="D113" s="1">
        <v>0</v>
      </c>
      <c r="E113" s="1">
        <v>0</v>
      </c>
      <c r="F113" s="1">
        <v>0</v>
      </c>
      <c r="G113" s="1">
        <v>0</v>
      </c>
      <c r="H113" s="1">
        <v>0</v>
      </c>
      <c r="I113" s="1">
        <v>0</v>
      </c>
      <c r="J113" s="1">
        <v>0</v>
      </c>
      <c r="K113" s="1">
        <v>2</v>
      </c>
      <c r="L113" s="1">
        <v>0</v>
      </c>
      <c r="M113" s="1">
        <v>0</v>
      </c>
      <c r="N113" s="1">
        <v>0</v>
      </c>
      <c r="O113" s="24">
        <f t="shared" si="3"/>
        <v>2</v>
      </c>
      <c r="P113" s="23">
        <v>0</v>
      </c>
      <c r="Q113" s="1">
        <v>0</v>
      </c>
      <c r="R113" s="1">
        <v>0</v>
      </c>
      <c r="S113" s="1">
        <v>0</v>
      </c>
      <c r="T113" s="1">
        <v>0</v>
      </c>
      <c r="U113" s="1">
        <v>0</v>
      </c>
      <c r="V113" s="1">
        <v>0</v>
      </c>
      <c r="W113" s="1">
        <v>0</v>
      </c>
      <c r="X113" s="1">
        <v>0</v>
      </c>
      <c r="Y113" s="1">
        <v>0</v>
      </c>
      <c r="Z113" s="1">
        <v>0</v>
      </c>
      <c r="AA113" s="1">
        <v>0</v>
      </c>
      <c r="AB113" s="24">
        <f t="shared" si="4"/>
        <v>0</v>
      </c>
      <c r="AC113" s="23">
        <v>0</v>
      </c>
      <c r="AD113" s="1">
        <v>0</v>
      </c>
      <c r="AE113" s="1">
        <v>0</v>
      </c>
      <c r="AF113" s="1">
        <v>0</v>
      </c>
      <c r="AG113" s="1">
        <v>0</v>
      </c>
      <c r="AH113" s="1">
        <v>0</v>
      </c>
      <c r="AI113" s="1">
        <v>0</v>
      </c>
      <c r="AJ113" s="1">
        <v>0</v>
      </c>
      <c r="AK113" s="1">
        <v>4057</v>
      </c>
      <c r="AL113" s="1">
        <v>0</v>
      </c>
      <c r="AM113" s="1">
        <v>0</v>
      </c>
      <c r="AN113" s="1">
        <v>0</v>
      </c>
      <c r="AO113" s="24">
        <f t="shared" si="5"/>
        <v>4057</v>
      </c>
    </row>
    <row r="114" spans="1:41" ht="17.25" customHeight="1" x14ac:dyDescent="0.45">
      <c r="A114" s="12" t="s">
        <v>47</v>
      </c>
      <c r="B114" s="12" t="s">
        <v>21</v>
      </c>
      <c r="C114" s="25">
        <v>17</v>
      </c>
      <c r="D114" s="10">
        <v>16</v>
      </c>
      <c r="E114" s="10">
        <v>14</v>
      </c>
      <c r="F114" s="10">
        <v>17</v>
      </c>
      <c r="G114" s="10">
        <v>19</v>
      </c>
      <c r="H114" s="10">
        <v>16</v>
      </c>
      <c r="I114" s="10">
        <v>18</v>
      </c>
      <c r="J114" s="10">
        <v>16</v>
      </c>
      <c r="K114" s="10">
        <v>12</v>
      </c>
      <c r="L114" s="10">
        <v>18</v>
      </c>
      <c r="M114" s="10">
        <v>1</v>
      </c>
      <c r="N114" s="10">
        <v>0</v>
      </c>
      <c r="O114" s="26">
        <f t="shared" si="3"/>
        <v>164</v>
      </c>
      <c r="P114" s="25">
        <v>0</v>
      </c>
      <c r="Q114" s="10">
        <v>0</v>
      </c>
      <c r="R114" s="10">
        <v>0</v>
      </c>
      <c r="S114" s="10">
        <v>0</v>
      </c>
      <c r="T114" s="10">
        <v>0</v>
      </c>
      <c r="U114" s="10">
        <v>0</v>
      </c>
      <c r="V114" s="10">
        <v>0</v>
      </c>
      <c r="W114" s="10">
        <v>0</v>
      </c>
      <c r="X114" s="10">
        <v>0</v>
      </c>
      <c r="Y114" s="10">
        <v>0</v>
      </c>
      <c r="Z114" s="10">
        <v>0</v>
      </c>
      <c r="AA114" s="10">
        <v>0</v>
      </c>
      <c r="AB114" s="26">
        <f t="shared" si="4"/>
        <v>0</v>
      </c>
      <c r="AC114" s="25">
        <v>4032</v>
      </c>
      <c r="AD114" s="10">
        <v>8395</v>
      </c>
      <c r="AE114" s="10">
        <v>12365</v>
      </c>
      <c r="AF114" s="10">
        <v>17648</v>
      </c>
      <c r="AG114" s="10">
        <v>19445</v>
      </c>
      <c r="AH114" s="10">
        <v>10018</v>
      </c>
      <c r="AI114" s="10">
        <v>4603</v>
      </c>
      <c r="AJ114" s="10">
        <v>41794</v>
      </c>
      <c r="AK114" s="10">
        <v>32580</v>
      </c>
      <c r="AL114" s="10">
        <v>3236</v>
      </c>
      <c r="AM114" s="10">
        <v>50</v>
      </c>
      <c r="AN114" s="10">
        <v>0</v>
      </c>
      <c r="AO114" s="26">
        <f t="shared" si="5"/>
        <v>154166</v>
      </c>
    </row>
    <row r="115" spans="1:41" ht="17.25" customHeight="1" x14ac:dyDescent="0.45">
      <c r="A115" s="2" t="s">
        <v>47</v>
      </c>
      <c r="B115" s="2" t="s">
        <v>38</v>
      </c>
      <c r="C115" s="23">
        <v>0</v>
      </c>
      <c r="D115" s="1">
        <v>0</v>
      </c>
      <c r="E115" s="1">
        <v>0</v>
      </c>
      <c r="F115" s="1">
        <v>0</v>
      </c>
      <c r="G115" s="1">
        <v>0</v>
      </c>
      <c r="H115" s="1">
        <v>0</v>
      </c>
      <c r="I115" s="1">
        <v>0</v>
      </c>
      <c r="J115" s="1">
        <v>2</v>
      </c>
      <c r="K115" s="1">
        <v>3</v>
      </c>
      <c r="L115" s="1">
        <v>0</v>
      </c>
      <c r="M115" s="1">
        <v>1</v>
      </c>
      <c r="N115" s="1">
        <v>0</v>
      </c>
      <c r="O115" s="24">
        <f t="shared" si="3"/>
        <v>6</v>
      </c>
      <c r="P115" s="23">
        <v>0</v>
      </c>
      <c r="Q115" s="1">
        <v>0</v>
      </c>
      <c r="R115" s="1">
        <v>0</v>
      </c>
      <c r="S115" s="1">
        <v>0</v>
      </c>
      <c r="T115" s="1">
        <v>0</v>
      </c>
      <c r="U115" s="1">
        <v>0</v>
      </c>
      <c r="V115" s="1">
        <v>0</v>
      </c>
      <c r="W115" s="1">
        <v>0</v>
      </c>
      <c r="X115" s="1">
        <v>0</v>
      </c>
      <c r="Y115" s="1">
        <v>0</v>
      </c>
      <c r="Z115" s="1">
        <v>0</v>
      </c>
      <c r="AA115" s="1">
        <v>0</v>
      </c>
      <c r="AB115" s="24">
        <f t="shared" si="4"/>
        <v>0</v>
      </c>
      <c r="AC115" s="23">
        <v>0</v>
      </c>
      <c r="AD115" s="1">
        <v>0</v>
      </c>
      <c r="AE115" s="1">
        <v>0</v>
      </c>
      <c r="AF115" s="1">
        <v>0</v>
      </c>
      <c r="AG115" s="1">
        <v>0</v>
      </c>
      <c r="AH115" s="1">
        <v>0</v>
      </c>
      <c r="AI115" s="1">
        <v>0</v>
      </c>
      <c r="AJ115" s="1">
        <v>21370</v>
      </c>
      <c r="AK115" s="1">
        <v>43689</v>
      </c>
      <c r="AL115" s="1">
        <v>0</v>
      </c>
      <c r="AM115" s="1">
        <v>11828</v>
      </c>
      <c r="AN115" s="1">
        <v>0</v>
      </c>
      <c r="AO115" s="24">
        <f t="shared" si="5"/>
        <v>76887</v>
      </c>
    </row>
    <row r="116" spans="1:41" ht="17.25" customHeight="1" x14ac:dyDescent="0.45">
      <c r="A116" s="12" t="s">
        <v>47</v>
      </c>
      <c r="B116" s="12" t="s">
        <v>55</v>
      </c>
      <c r="C116" s="25">
        <v>0</v>
      </c>
      <c r="D116" s="10">
        <v>0</v>
      </c>
      <c r="E116" s="10">
        <v>0</v>
      </c>
      <c r="F116" s="10">
        <v>0</v>
      </c>
      <c r="G116" s="10">
        <v>0</v>
      </c>
      <c r="H116" s="10">
        <v>1</v>
      </c>
      <c r="I116" s="10">
        <v>0</v>
      </c>
      <c r="J116" s="10">
        <v>0</v>
      </c>
      <c r="K116" s="10">
        <v>1</v>
      </c>
      <c r="L116" s="10">
        <v>0</v>
      </c>
      <c r="M116" s="10">
        <v>0</v>
      </c>
      <c r="N116" s="10">
        <v>0</v>
      </c>
      <c r="O116" s="26">
        <f t="shared" si="3"/>
        <v>2</v>
      </c>
      <c r="P116" s="25">
        <v>0</v>
      </c>
      <c r="Q116" s="10">
        <v>0</v>
      </c>
      <c r="R116" s="10">
        <v>0</v>
      </c>
      <c r="S116" s="10">
        <v>0</v>
      </c>
      <c r="T116" s="10">
        <v>0</v>
      </c>
      <c r="U116" s="10">
        <v>0</v>
      </c>
      <c r="V116" s="10">
        <v>0</v>
      </c>
      <c r="W116" s="10">
        <v>0</v>
      </c>
      <c r="X116" s="10">
        <v>0</v>
      </c>
      <c r="Y116" s="10">
        <v>0</v>
      </c>
      <c r="Z116" s="10">
        <v>0</v>
      </c>
      <c r="AA116" s="10">
        <v>0</v>
      </c>
      <c r="AB116" s="26">
        <f t="shared" si="4"/>
        <v>0</v>
      </c>
      <c r="AC116" s="25">
        <v>0</v>
      </c>
      <c r="AD116" s="10">
        <v>0</v>
      </c>
      <c r="AE116" s="10">
        <v>0</v>
      </c>
      <c r="AF116" s="10">
        <v>0</v>
      </c>
      <c r="AG116" s="10">
        <v>0</v>
      </c>
      <c r="AH116" s="10">
        <v>5855</v>
      </c>
      <c r="AI116" s="10">
        <v>0</v>
      </c>
      <c r="AJ116" s="10">
        <v>0</v>
      </c>
      <c r="AK116" s="10">
        <v>1380</v>
      </c>
      <c r="AL116" s="10">
        <v>0</v>
      </c>
      <c r="AM116" s="10">
        <v>0</v>
      </c>
      <c r="AN116" s="10">
        <v>0</v>
      </c>
      <c r="AO116" s="26">
        <f t="shared" si="5"/>
        <v>7235</v>
      </c>
    </row>
    <row r="117" spans="1:41" ht="17.25" customHeight="1" x14ac:dyDescent="0.45">
      <c r="A117" s="2" t="s">
        <v>47</v>
      </c>
      <c r="B117" s="2" t="s">
        <v>39</v>
      </c>
      <c r="C117" s="23">
        <v>0</v>
      </c>
      <c r="D117" s="1">
        <v>0</v>
      </c>
      <c r="E117" s="1">
        <v>15</v>
      </c>
      <c r="F117" s="1">
        <v>21</v>
      </c>
      <c r="G117" s="1">
        <v>9</v>
      </c>
      <c r="H117" s="1">
        <v>8</v>
      </c>
      <c r="I117" s="1">
        <v>9</v>
      </c>
      <c r="J117" s="1">
        <v>9</v>
      </c>
      <c r="K117" s="1">
        <v>6</v>
      </c>
      <c r="L117" s="1">
        <v>0</v>
      </c>
      <c r="M117" s="1">
        <v>0</v>
      </c>
      <c r="N117" s="1">
        <v>0</v>
      </c>
      <c r="O117" s="24">
        <f t="shared" si="3"/>
        <v>77</v>
      </c>
      <c r="P117" s="23">
        <v>0</v>
      </c>
      <c r="Q117" s="1">
        <v>0</v>
      </c>
      <c r="R117" s="1">
        <v>149</v>
      </c>
      <c r="S117" s="1">
        <v>254</v>
      </c>
      <c r="T117" s="1">
        <v>127</v>
      </c>
      <c r="U117" s="1">
        <v>154</v>
      </c>
      <c r="V117" s="1">
        <v>224</v>
      </c>
      <c r="W117" s="1">
        <v>203</v>
      </c>
      <c r="X117" s="1">
        <v>120</v>
      </c>
      <c r="Y117" s="1">
        <v>0</v>
      </c>
      <c r="Z117" s="1">
        <v>0</v>
      </c>
      <c r="AA117" s="1">
        <v>0</v>
      </c>
      <c r="AB117" s="24">
        <f t="shared" si="4"/>
        <v>1231</v>
      </c>
      <c r="AC117" s="23">
        <v>0</v>
      </c>
      <c r="AD117" s="1">
        <v>0</v>
      </c>
      <c r="AE117" s="1">
        <v>0</v>
      </c>
      <c r="AF117" s="1">
        <v>0</v>
      </c>
      <c r="AG117" s="1">
        <v>0</v>
      </c>
      <c r="AH117" s="1">
        <v>0</v>
      </c>
      <c r="AI117" s="1">
        <v>0</v>
      </c>
      <c r="AJ117" s="1">
        <v>0</v>
      </c>
      <c r="AK117" s="1">
        <v>0</v>
      </c>
      <c r="AL117" s="1">
        <v>0</v>
      </c>
      <c r="AM117" s="1">
        <v>0</v>
      </c>
      <c r="AN117" s="1">
        <v>0</v>
      </c>
      <c r="AO117" s="24">
        <f t="shared" si="5"/>
        <v>0</v>
      </c>
    </row>
    <row r="118" spans="1:41" ht="17.25" customHeight="1" x14ac:dyDescent="0.45">
      <c r="A118" s="12" t="s">
        <v>47</v>
      </c>
      <c r="B118" s="12" t="s">
        <v>40</v>
      </c>
      <c r="C118" s="25">
        <v>0</v>
      </c>
      <c r="D118" s="10">
        <v>0</v>
      </c>
      <c r="E118" s="10">
        <v>12</v>
      </c>
      <c r="F118" s="10">
        <v>17</v>
      </c>
      <c r="G118" s="10">
        <v>9</v>
      </c>
      <c r="H118" s="10">
        <v>9</v>
      </c>
      <c r="I118" s="10">
        <v>8</v>
      </c>
      <c r="J118" s="10">
        <v>9</v>
      </c>
      <c r="K118" s="10">
        <v>3</v>
      </c>
      <c r="L118" s="10">
        <v>0</v>
      </c>
      <c r="M118" s="10">
        <v>0</v>
      </c>
      <c r="N118" s="10">
        <v>0</v>
      </c>
      <c r="O118" s="26">
        <f t="shared" si="3"/>
        <v>67</v>
      </c>
      <c r="P118" s="25">
        <v>0</v>
      </c>
      <c r="Q118" s="10">
        <v>0</v>
      </c>
      <c r="R118" s="10">
        <v>105</v>
      </c>
      <c r="S118" s="10">
        <v>205</v>
      </c>
      <c r="T118" s="10">
        <v>123</v>
      </c>
      <c r="U118" s="10">
        <v>105</v>
      </c>
      <c r="V118" s="10">
        <v>195</v>
      </c>
      <c r="W118" s="10">
        <v>156</v>
      </c>
      <c r="X118" s="10">
        <v>21</v>
      </c>
      <c r="Y118" s="10">
        <v>0</v>
      </c>
      <c r="Z118" s="10">
        <v>0</v>
      </c>
      <c r="AA118" s="10">
        <v>0</v>
      </c>
      <c r="AB118" s="26">
        <f t="shared" si="4"/>
        <v>910</v>
      </c>
      <c r="AC118" s="25">
        <v>0</v>
      </c>
      <c r="AD118" s="10">
        <v>0</v>
      </c>
      <c r="AE118" s="10">
        <v>0</v>
      </c>
      <c r="AF118" s="10">
        <v>0</v>
      </c>
      <c r="AG118" s="10">
        <v>0</v>
      </c>
      <c r="AH118" s="10">
        <v>0</v>
      </c>
      <c r="AI118" s="10">
        <v>0</v>
      </c>
      <c r="AJ118" s="10">
        <v>0</v>
      </c>
      <c r="AK118" s="10">
        <v>0</v>
      </c>
      <c r="AL118" s="10">
        <v>0</v>
      </c>
      <c r="AM118" s="10">
        <v>0</v>
      </c>
      <c r="AN118" s="10">
        <v>0</v>
      </c>
      <c r="AO118" s="26">
        <f t="shared" si="5"/>
        <v>0</v>
      </c>
    </row>
    <row r="119" spans="1:41" ht="17.25" customHeight="1" x14ac:dyDescent="0.45">
      <c r="A119" s="2" t="s">
        <v>47</v>
      </c>
      <c r="B119" s="2" t="s">
        <v>28</v>
      </c>
      <c r="C119" s="23">
        <v>16</v>
      </c>
      <c r="D119" s="1">
        <v>17</v>
      </c>
      <c r="E119" s="1">
        <v>14</v>
      </c>
      <c r="F119" s="1">
        <v>17</v>
      </c>
      <c r="G119" s="1">
        <v>20</v>
      </c>
      <c r="H119" s="1">
        <v>16</v>
      </c>
      <c r="I119" s="1">
        <v>17</v>
      </c>
      <c r="J119" s="1">
        <v>20</v>
      </c>
      <c r="K119" s="1">
        <v>18</v>
      </c>
      <c r="L119" s="1">
        <v>23</v>
      </c>
      <c r="M119" s="1">
        <v>22</v>
      </c>
      <c r="N119" s="1">
        <v>20</v>
      </c>
      <c r="O119" s="24">
        <f t="shared" si="3"/>
        <v>220</v>
      </c>
      <c r="P119" s="23">
        <v>0</v>
      </c>
      <c r="Q119" s="1">
        <v>0</v>
      </c>
      <c r="R119" s="1">
        <v>0</v>
      </c>
      <c r="S119" s="1">
        <v>0</v>
      </c>
      <c r="T119" s="1">
        <v>0</v>
      </c>
      <c r="U119" s="1">
        <v>0</v>
      </c>
      <c r="V119" s="1">
        <v>0</v>
      </c>
      <c r="W119" s="1">
        <v>0</v>
      </c>
      <c r="X119" s="1">
        <v>0</v>
      </c>
      <c r="Y119" s="1">
        <v>0</v>
      </c>
      <c r="Z119" s="1">
        <v>0</v>
      </c>
      <c r="AA119" s="1">
        <v>0</v>
      </c>
      <c r="AB119" s="24">
        <f t="shared" si="4"/>
        <v>0</v>
      </c>
      <c r="AC119" s="23">
        <v>32920</v>
      </c>
      <c r="AD119" s="1">
        <v>34165</v>
      </c>
      <c r="AE119" s="1">
        <v>26614</v>
      </c>
      <c r="AF119" s="1">
        <v>35608</v>
      </c>
      <c r="AG119" s="1">
        <v>42565</v>
      </c>
      <c r="AH119" s="1">
        <v>59079</v>
      </c>
      <c r="AI119" s="1">
        <v>40478</v>
      </c>
      <c r="AJ119" s="1">
        <v>43470</v>
      </c>
      <c r="AK119" s="1">
        <v>39320</v>
      </c>
      <c r="AL119" s="1">
        <v>56829</v>
      </c>
      <c r="AM119" s="1">
        <v>28672</v>
      </c>
      <c r="AN119" s="1">
        <v>29358</v>
      </c>
      <c r="AO119" s="24">
        <f t="shared" si="5"/>
        <v>469078</v>
      </c>
    </row>
    <row r="120" spans="1:41" ht="17.25" customHeight="1" x14ac:dyDescent="0.45">
      <c r="A120" s="12" t="s">
        <v>47</v>
      </c>
      <c r="B120" s="12" t="s">
        <v>15</v>
      </c>
      <c r="C120" s="25">
        <v>13</v>
      </c>
      <c r="D120" s="10">
        <v>12</v>
      </c>
      <c r="E120" s="10">
        <v>18</v>
      </c>
      <c r="F120" s="10">
        <v>12</v>
      </c>
      <c r="G120" s="10">
        <v>12</v>
      </c>
      <c r="H120" s="10">
        <v>14</v>
      </c>
      <c r="I120" s="10">
        <v>13</v>
      </c>
      <c r="J120" s="10">
        <v>11</v>
      </c>
      <c r="K120" s="10">
        <v>11</v>
      </c>
      <c r="L120" s="10">
        <v>8</v>
      </c>
      <c r="M120" s="10">
        <v>7</v>
      </c>
      <c r="N120" s="10">
        <v>6</v>
      </c>
      <c r="O120" s="26">
        <f t="shared" si="3"/>
        <v>137</v>
      </c>
      <c r="P120" s="25">
        <v>0</v>
      </c>
      <c r="Q120" s="10">
        <v>0</v>
      </c>
      <c r="R120" s="10">
        <v>0</v>
      </c>
      <c r="S120" s="10">
        <v>0</v>
      </c>
      <c r="T120" s="10">
        <v>0</v>
      </c>
      <c r="U120" s="10">
        <v>0</v>
      </c>
      <c r="V120" s="10">
        <v>0</v>
      </c>
      <c r="W120" s="10">
        <v>0</v>
      </c>
      <c r="X120" s="10">
        <v>0</v>
      </c>
      <c r="Y120" s="10">
        <v>0</v>
      </c>
      <c r="Z120" s="10">
        <v>0</v>
      </c>
      <c r="AA120" s="10">
        <v>0</v>
      </c>
      <c r="AB120" s="26">
        <f t="shared" si="4"/>
        <v>0</v>
      </c>
      <c r="AC120" s="25">
        <v>163444</v>
      </c>
      <c r="AD120" s="10">
        <v>101557</v>
      </c>
      <c r="AE120" s="10">
        <v>139292</v>
      </c>
      <c r="AF120" s="10">
        <v>96862</v>
      </c>
      <c r="AG120" s="10">
        <v>98906</v>
      </c>
      <c r="AH120" s="10">
        <v>119931</v>
      </c>
      <c r="AI120" s="10">
        <v>111459</v>
      </c>
      <c r="AJ120" s="10">
        <v>95573</v>
      </c>
      <c r="AK120" s="10">
        <v>94650</v>
      </c>
      <c r="AL120" s="10">
        <v>72777</v>
      </c>
      <c r="AM120" s="10">
        <v>67006</v>
      </c>
      <c r="AN120" s="10">
        <v>47807</v>
      </c>
      <c r="AO120" s="26">
        <f t="shared" si="5"/>
        <v>1209264</v>
      </c>
    </row>
    <row r="121" spans="1:41" ht="17.25" customHeight="1" x14ac:dyDescent="0.45">
      <c r="A121" s="2" t="s">
        <v>47</v>
      </c>
      <c r="B121" s="2" t="s">
        <v>32</v>
      </c>
      <c r="C121" s="23">
        <v>0</v>
      </c>
      <c r="D121" s="1">
        <v>0</v>
      </c>
      <c r="E121" s="1">
        <v>0</v>
      </c>
      <c r="F121" s="1">
        <v>0</v>
      </c>
      <c r="G121" s="1">
        <v>0</v>
      </c>
      <c r="H121" s="1">
        <v>0</v>
      </c>
      <c r="I121" s="1">
        <v>1</v>
      </c>
      <c r="J121" s="1">
        <v>0</v>
      </c>
      <c r="K121" s="1">
        <v>0</v>
      </c>
      <c r="L121" s="1">
        <v>0</v>
      </c>
      <c r="M121" s="1">
        <v>0</v>
      </c>
      <c r="N121" s="1">
        <v>0</v>
      </c>
      <c r="O121" s="24">
        <f t="shared" si="3"/>
        <v>1</v>
      </c>
      <c r="P121" s="23">
        <v>0</v>
      </c>
      <c r="Q121" s="1">
        <v>0</v>
      </c>
      <c r="R121" s="1">
        <v>0</v>
      </c>
      <c r="S121" s="1">
        <v>0</v>
      </c>
      <c r="T121" s="1">
        <v>0</v>
      </c>
      <c r="U121" s="1">
        <v>0</v>
      </c>
      <c r="V121" s="1">
        <v>2</v>
      </c>
      <c r="W121" s="1">
        <v>0</v>
      </c>
      <c r="X121" s="1">
        <v>0</v>
      </c>
      <c r="Y121" s="1">
        <v>0</v>
      </c>
      <c r="Z121" s="1">
        <v>0</v>
      </c>
      <c r="AA121" s="1">
        <v>0</v>
      </c>
      <c r="AB121" s="24">
        <f t="shared" si="4"/>
        <v>2</v>
      </c>
      <c r="AC121" s="23">
        <v>0</v>
      </c>
      <c r="AD121" s="1">
        <v>0</v>
      </c>
      <c r="AE121" s="1">
        <v>0</v>
      </c>
      <c r="AF121" s="1">
        <v>0</v>
      </c>
      <c r="AG121" s="1">
        <v>0</v>
      </c>
      <c r="AH121" s="1">
        <v>0</v>
      </c>
      <c r="AI121" s="1">
        <v>0</v>
      </c>
      <c r="AJ121" s="1">
        <v>0</v>
      </c>
      <c r="AK121" s="1">
        <v>0</v>
      </c>
      <c r="AL121" s="1">
        <v>0</v>
      </c>
      <c r="AM121" s="1">
        <v>0</v>
      </c>
      <c r="AN121" s="1">
        <v>0</v>
      </c>
      <c r="AO121" s="24">
        <f t="shared" si="5"/>
        <v>0</v>
      </c>
    </row>
    <row r="122" spans="1:41" ht="17.25" customHeight="1" x14ac:dyDescent="0.45">
      <c r="A122" s="12" t="s">
        <v>55</v>
      </c>
      <c r="B122" s="12" t="s">
        <v>19</v>
      </c>
      <c r="C122" s="25">
        <v>0</v>
      </c>
      <c r="D122" s="10">
        <v>0</v>
      </c>
      <c r="E122" s="10">
        <v>0</v>
      </c>
      <c r="F122" s="10">
        <v>0</v>
      </c>
      <c r="G122" s="10">
        <v>0</v>
      </c>
      <c r="H122" s="10">
        <v>0</v>
      </c>
      <c r="I122" s="10">
        <v>7</v>
      </c>
      <c r="J122" s="10">
        <v>9</v>
      </c>
      <c r="K122" s="10">
        <v>9</v>
      </c>
      <c r="L122" s="10">
        <v>9</v>
      </c>
      <c r="M122" s="10">
        <v>9</v>
      </c>
      <c r="N122" s="10">
        <v>8</v>
      </c>
      <c r="O122" s="26">
        <f t="shared" si="3"/>
        <v>51</v>
      </c>
      <c r="P122" s="25">
        <v>0</v>
      </c>
      <c r="Q122" s="10">
        <v>0</v>
      </c>
      <c r="R122" s="10">
        <v>0</v>
      </c>
      <c r="S122" s="10">
        <v>0</v>
      </c>
      <c r="T122" s="10">
        <v>0</v>
      </c>
      <c r="U122" s="10">
        <v>0</v>
      </c>
      <c r="V122" s="10">
        <v>135</v>
      </c>
      <c r="W122" s="10">
        <v>275</v>
      </c>
      <c r="X122" s="10">
        <v>175</v>
      </c>
      <c r="Y122" s="10">
        <v>142</v>
      </c>
      <c r="Z122" s="10">
        <v>128</v>
      </c>
      <c r="AA122" s="10">
        <v>199</v>
      </c>
      <c r="AB122" s="26">
        <f t="shared" si="4"/>
        <v>1054</v>
      </c>
      <c r="AC122" s="25">
        <v>0</v>
      </c>
      <c r="AD122" s="10">
        <v>0</v>
      </c>
      <c r="AE122" s="10">
        <v>0</v>
      </c>
      <c r="AF122" s="10">
        <v>0</v>
      </c>
      <c r="AG122" s="10">
        <v>0</v>
      </c>
      <c r="AH122" s="10">
        <v>0</v>
      </c>
      <c r="AI122" s="10">
        <v>0</v>
      </c>
      <c r="AJ122" s="10">
        <v>0</v>
      </c>
      <c r="AK122" s="10">
        <v>0</v>
      </c>
      <c r="AL122" s="10">
        <v>0</v>
      </c>
      <c r="AM122" s="10">
        <v>0</v>
      </c>
      <c r="AN122" s="10">
        <v>0</v>
      </c>
      <c r="AO122" s="26">
        <f t="shared" si="5"/>
        <v>0</v>
      </c>
    </row>
    <row r="123" spans="1:41" ht="17.25" customHeight="1" x14ac:dyDescent="0.45">
      <c r="A123" s="2" t="s">
        <v>55</v>
      </c>
      <c r="B123" s="2" t="s">
        <v>21</v>
      </c>
      <c r="C123" s="23">
        <v>18</v>
      </c>
      <c r="D123" s="1">
        <v>16</v>
      </c>
      <c r="E123" s="1">
        <v>13</v>
      </c>
      <c r="F123" s="1">
        <v>17</v>
      </c>
      <c r="G123" s="1">
        <v>17</v>
      </c>
      <c r="H123" s="1">
        <v>16</v>
      </c>
      <c r="I123" s="1">
        <v>19</v>
      </c>
      <c r="J123" s="1">
        <v>16</v>
      </c>
      <c r="K123" s="1">
        <v>15</v>
      </c>
      <c r="L123" s="1">
        <v>18</v>
      </c>
      <c r="M123" s="1">
        <v>16</v>
      </c>
      <c r="N123" s="1">
        <v>13</v>
      </c>
      <c r="O123" s="24">
        <f t="shared" si="3"/>
        <v>194</v>
      </c>
      <c r="P123" s="23">
        <v>0</v>
      </c>
      <c r="Q123" s="1">
        <v>0</v>
      </c>
      <c r="R123" s="1">
        <v>0</v>
      </c>
      <c r="S123" s="1">
        <v>0</v>
      </c>
      <c r="T123" s="1">
        <v>0</v>
      </c>
      <c r="U123" s="1">
        <v>0</v>
      </c>
      <c r="V123" s="1">
        <v>0</v>
      </c>
      <c r="W123" s="1">
        <v>0</v>
      </c>
      <c r="X123" s="1">
        <v>0</v>
      </c>
      <c r="Y123" s="1">
        <v>0</v>
      </c>
      <c r="Z123" s="1">
        <v>0</v>
      </c>
      <c r="AA123" s="1">
        <v>0</v>
      </c>
      <c r="AB123" s="24">
        <f t="shared" si="4"/>
        <v>0</v>
      </c>
      <c r="AC123" s="23">
        <v>53635</v>
      </c>
      <c r="AD123" s="1">
        <v>40696</v>
      </c>
      <c r="AE123" s="1">
        <v>31531</v>
      </c>
      <c r="AF123" s="1">
        <v>46439</v>
      </c>
      <c r="AG123" s="1">
        <v>46821</v>
      </c>
      <c r="AH123" s="1">
        <v>42413</v>
      </c>
      <c r="AI123" s="1">
        <v>48283</v>
      </c>
      <c r="AJ123" s="1">
        <v>40676</v>
      </c>
      <c r="AK123" s="1">
        <v>39707</v>
      </c>
      <c r="AL123" s="1">
        <v>47485</v>
      </c>
      <c r="AM123" s="1">
        <v>45888</v>
      </c>
      <c r="AN123" s="1">
        <v>46014</v>
      </c>
      <c r="AO123" s="24">
        <f t="shared" si="5"/>
        <v>529588</v>
      </c>
    </row>
    <row r="124" spans="1:41" ht="17.25" customHeight="1" x14ac:dyDescent="0.45">
      <c r="A124" s="12" t="s">
        <v>55</v>
      </c>
      <c r="B124" s="12" t="s">
        <v>38</v>
      </c>
      <c r="C124" s="25">
        <v>0</v>
      </c>
      <c r="D124" s="10">
        <v>0</v>
      </c>
      <c r="E124" s="10">
        <v>0</v>
      </c>
      <c r="F124" s="10">
        <v>0</v>
      </c>
      <c r="G124" s="10">
        <v>0</v>
      </c>
      <c r="H124" s="10">
        <v>0</v>
      </c>
      <c r="I124" s="10">
        <v>0</v>
      </c>
      <c r="J124" s="10">
        <v>0</v>
      </c>
      <c r="K124" s="10">
        <v>0</v>
      </c>
      <c r="L124" s="10">
        <v>0</v>
      </c>
      <c r="M124" s="10">
        <v>8</v>
      </c>
      <c r="N124" s="10">
        <v>9</v>
      </c>
      <c r="O124" s="26">
        <f t="shared" si="3"/>
        <v>17</v>
      </c>
      <c r="P124" s="25">
        <v>0</v>
      </c>
      <c r="Q124" s="10">
        <v>0</v>
      </c>
      <c r="R124" s="10">
        <v>0</v>
      </c>
      <c r="S124" s="10">
        <v>0</v>
      </c>
      <c r="T124" s="10">
        <v>0</v>
      </c>
      <c r="U124" s="10">
        <v>0</v>
      </c>
      <c r="V124" s="10">
        <v>0</v>
      </c>
      <c r="W124" s="10">
        <v>0</v>
      </c>
      <c r="X124" s="10">
        <v>0</v>
      </c>
      <c r="Y124" s="10">
        <v>0</v>
      </c>
      <c r="Z124" s="10">
        <v>77</v>
      </c>
      <c r="AA124" s="10">
        <v>178</v>
      </c>
      <c r="AB124" s="26">
        <f t="shared" si="4"/>
        <v>255</v>
      </c>
      <c r="AC124" s="25">
        <v>0</v>
      </c>
      <c r="AD124" s="10">
        <v>0</v>
      </c>
      <c r="AE124" s="10">
        <v>0</v>
      </c>
      <c r="AF124" s="10">
        <v>0</v>
      </c>
      <c r="AG124" s="10">
        <v>0</v>
      </c>
      <c r="AH124" s="10">
        <v>0</v>
      </c>
      <c r="AI124" s="10">
        <v>0</v>
      </c>
      <c r="AJ124" s="10">
        <v>0</v>
      </c>
      <c r="AK124" s="10">
        <v>0</v>
      </c>
      <c r="AL124" s="10">
        <v>0</v>
      </c>
      <c r="AM124" s="10">
        <v>0</v>
      </c>
      <c r="AN124" s="10">
        <v>0</v>
      </c>
      <c r="AO124" s="26">
        <f t="shared" si="5"/>
        <v>0</v>
      </c>
    </row>
    <row r="125" spans="1:41" ht="17.25" customHeight="1" x14ac:dyDescent="0.45">
      <c r="A125" s="2" t="s">
        <v>55</v>
      </c>
      <c r="B125" s="2" t="s">
        <v>39</v>
      </c>
      <c r="C125" s="23">
        <v>17</v>
      </c>
      <c r="D125" s="1">
        <v>17</v>
      </c>
      <c r="E125" s="1">
        <v>26</v>
      </c>
      <c r="F125" s="1">
        <v>23</v>
      </c>
      <c r="G125" s="1">
        <v>27</v>
      </c>
      <c r="H125" s="1">
        <v>26</v>
      </c>
      <c r="I125" s="1">
        <v>31</v>
      </c>
      <c r="J125" s="1">
        <v>31</v>
      </c>
      <c r="K125" s="1">
        <v>30</v>
      </c>
      <c r="L125" s="1">
        <v>31</v>
      </c>
      <c r="M125" s="1">
        <v>30</v>
      </c>
      <c r="N125" s="1">
        <v>31</v>
      </c>
      <c r="O125" s="24">
        <f t="shared" si="3"/>
        <v>320</v>
      </c>
      <c r="P125" s="23">
        <v>313</v>
      </c>
      <c r="Q125" s="1">
        <v>335</v>
      </c>
      <c r="R125" s="1">
        <v>659</v>
      </c>
      <c r="S125" s="1">
        <v>611</v>
      </c>
      <c r="T125" s="1">
        <v>587</v>
      </c>
      <c r="U125" s="1">
        <v>531</v>
      </c>
      <c r="V125" s="1">
        <v>865</v>
      </c>
      <c r="W125" s="1">
        <v>835</v>
      </c>
      <c r="X125" s="1">
        <v>630</v>
      </c>
      <c r="Y125" s="1">
        <v>888</v>
      </c>
      <c r="Z125" s="1">
        <v>810</v>
      </c>
      <c r="AA125" s="1">
        <v>1110</v>
      </c>
      <c r="AB125" s="24">
        <f t="shared" si="4"/>
        <v>8174</v>
      </c>
      <c r="AC125" s="23">
        <v>0</v>
      </c>
      <c r="AD125" s="1">
        <v>0</v>
      </c>
      <c r="AE125" s="1">
        <v>0</v>
      </c>
      <c r="AF125" s="1">
        <v>0</v>
      </c>
      <c r="AG125" s="1">
        <v>0</v>
      </c>
      <c r="AH125" s="1">
        <v>0</v>
      </c>
      <c r="AI125" s="1">
        <v>0</v>
      </c>
      <c r="AJ125" s="1">
        <v>0</v>
      </c>
      <c r="AK125" s="1">
        <v>0</v>
      </c>
      <c r="AL125" s="1">
        <v>0</v>
      </c>
      <c r="AM125" s="1">
        <v>0</v>
      </c>
      <c r="AN125" s="1">
        <v>0</v>
      </c>
      <c r="AO125" s="24">
        <f t="shared" si="5"/>
        <v>0</v>
      </c>
    </row>
    <row r="126" spans="1:41" ht="17.25" customHeight="1" x14ac:dyDescent="0.45">
      <c r="A126" s="12" t="s">
        <v>55</v>
      </c>
      <c r="B126" s="12" t="s">
        <v>40</v>
      </c>
      <c r="C126" s="25">
        <v>26</v>
      </c>
      <c r="D126" s="10">
        <v>25</v>
      </c>
      <c r="E126" s="10">
        <v>28</v>
      </c>
      <c r="F126" s="10">
        <v>28</v>
      </c>
      <c r="G126" s="10">
        <v>28</v>
      </c>
      <c r="H126" s="10">
        <v>24</v>
      </c>
      <c r="I126" s="10">
        <v>20</v>
      </c>
      <c r="J126" s="10">
        <v>23</v>
      </c>
      <c r="K126" s="10">
        <v>21</v>
      </c>
      <c r="L126" s="10">
        <v>17</v>
      </c>
      <c r="M126" s="10">
        <v>22</v>
      </c>
      <c r="N126" s="10">
        <v>27</v>
      </c>
      <c r="O126" s="26">
        <f t="shared" si="3"/>
        <v>289</v>
      </c>
      <c r="P126" s="25">
        <v>363</v>
      </c>
      <c r="Q126" s="10">
        <v>429</v>
      </c>
      <c r="R126" s="10">
        <v>532</v>
      </c>
      <c r="S126" s="10">
        <v>605</v>
      </c>
      <c r="T126" s="10">
        <v>575</v>
      </c>
      <c r="U126" s="10">
        <v>397</v>
      </c>
      <c r="V126" s="10">
        <v>528</v>
      </c>
      <c r="W126" s="10">
        <v>617</v>
      </c>
      <c r="X126" s="10">
        <v>597</v>
      </c>
      <c r="Y126" s="10">
        <v>577</v>
      </c>
      <c r="Z126" s="10">
        <v>709</v>
      </c>
      <c r="AA126" s="10">
        <v>907</v>
      </c>
      <c r="AB126" s="26">
        <f t="shared" si="4"/>
        <v>6836</v>
      </c>
      <c r="AC126" s="25">
        <v>0</v>
      </c>
      <c r="AD126" s="10">
        <v>0</v>
      </c>
      <c r="AE126" s="10">
        <v>0</v>
      </c>
      <c r="AF126" s="10">
        <v>2324</v>
      </c>
      <c r="AG126" s="10">
        <v>2204</v>
      </c>
      <c r="AH126" s="10">
        <v>0</v>
      </c>
      <c r="AI126" s="10">
        <v>0</v>
      </c>
      <c r="AJ126" s="10">
        <v>0</v>
      </c>
      <c r="AK126" s="10">
        <v>0</v>
      </c>
      <c r="AL126" s="10">
        <v>0</v>
      </c>
      <c r="AM126" s="10">
        <v>0</v>
      </c>
      <c r="AN126" s="10">
        <v>0</v>
      </c>
      <c r="AO126" s="26">
        <f t="shared" si="5"/>
        <v>4528</v>
      </c>
    </row>
    <row r="127" spans="1:41" ht="17.25" customHeight="1" x14ac:dyDescent="0.45">
      <c r="A127" s="2" t="s">
        <v>55</v>
      </c>
      <c r="B127" s="2" t="s">
        <v>17</v>
      </c>
      <c r="C127" s="23">
        <v>9</v>
      </c>
      <c r="D127" s="1">
        <v>8</v>
      </c>
      <c r="E127" s="1">
        <v>9</v>
      </c>
      <c r="F127" s="1">
        <v>8</v>
      </c>
      <c r="G127" s="1">
        <v>17</v>
      </c>
      <c r="H127" s="1">
        <v>12</v>
      </c>
      <c r="I127" s="1">
        <v>14</v>
      </c>
      <c r="J127" s="1">
        <v>13</v>
      </c>
      <c r="K127" s="1">
        <v>13</v>
      </c>
      <c r="L127" s="1">
        <v>13</v>
      </c>
      <c r="M127" s="1">
        <v>13</v>
      </c>
      <c r="N127" s="1">
        <v>13</v>
      </c>
      <c r="O127" s="24">
        <f t="shared" si="3"/>
        <v>142</v>
      </c>
      <c r="P127" s="23">
        <v>193</v>
      </c>
      <c r="Q127" s="1">
        <v>179</v>
      </c>
      <c r="R127" s="1">
        <v>254</v>
      </c>
      <c r="S127" s="1">
        <v>209</v>
      </c>
      <c r="T127" s="1">
        <v>268</v>
      </c>
      <c r="U127" s="1">
        <v>214</v>
      </c>
      <c r="V127" s="1">
        <v>341</v>
      </c>
      <c r="W127" s="1">
        <v>331</v>
      </c>
      <c r="X127" s="1">
        <v>272</v>
      </c>
      <c r="Y127" s="1">
        <v>246</v>
      </c>
      <c r="Z127" s="1">
        <v>345</v>
      </c>
      <c r="AA127" s="1">
        <v>406</v>
      </c>
      <c r="AB127" s="24">
        <f t="shared" si="4"/>
        <v>3258</v>
      </c>
      <c r="AC127" s="23">
        <v>0</v>
      </c>
      <c r="AD127" s="1">
        <v>0</v>
      </c>
      <c r="AE127" s="1">
        <v>0</v>
      </c>
      <c r="AF127" s="1">
        <v>0</v>
      </c>
      <c r="AG127" s="1">
        <v>0</v>
      </c>
      <c r="AH127" s="1">
        <v>0</v>
      </c>
      <c r="AI127" s="1">
        <v>0</v>
      </c>
      <c r="AJ127" s="1">
        <v>0</v>
      </c>
      <c r="AK127" s="1">
        <v>0</v>
      </c>
      <c r="AL127" s="1">
        <v>0</v>
      </c>
      <c r="AM127" s="1">
        <v>0</v>
      </c>
      <c r="AN127" s="1">
        <v>0</v>
      </c>
      <c r="AO127" s="24">
        <f t="shared" si="5"/>
        <v>0</v>
      </c>
    </row>
    <row r="128" spans="1:41" ht="17.25" customHeight="1" x14ac:dyDescent="0.45">
      <c r="A128" s="12" t="s">
        <v>55</v>
      </c>
      <c r="B128" s="12" t="s">
        <v>28</v>
      </c>
      <c r="C128" s="25">
        <v>0</v>
      </c>
      <c r="D128" s="10">
        <v>0</v>
      </c>
      <c r="E128" s="10">
        <v>0</v>
      </c>
      <c r="F128" s="10">
        <v>0</v>
      </c>
      <c r="G128" s="10">
        <v>0</v>
      </c>
      <c r="H128" s="10">
        <v>0</v>
      </c>
      <c r="I128" s="10">
        <v>0</v>
      </c>
      <c r="J128" s="10">
        <v>1</v>
      </c>
      <c r="K128" s="10">
        <v>0</v>
      </c>
      <c r="L128" s="10">
        <v>0</v>
      </c>
      <c r="M128" s="10">
        <v>0</v>
      </c>
      <c r="N128" s="10">
        <v>0</v>
      </c>
      <c r="O128" s="26">
        <f t="shared" si="3"/>
        <v>1</v>
      </c>
      <c r="P128" s="25">
        <v>0</v>
      </c>
      <c r="Q128" s="10">
        <v>0</v>
      </c>
      <c r="R128" s="10">
        <v>0</v>
      </c>
      <c r="S128" s="10">
        <v>0</v>
      </c>
      <c r="T128" s="10">
        <v>0</v>
      </c>
      <c r="U128" s="10">
        <v>0</v>
      </c>
      <c r="V128" s="10">
        <v>0</v>
      </c>
      <c r="W128" s="10">
        <v>0</v>
      </c>
      <c r="X128" s="10">
        <v>0</v>
      </c>
      <c r="Y128" s="10">
        <v>0</v>
      </c>
      <c r="Z128" s="10">
        <v>0</v>
      </c>
      <c r="AA128" s="10">
        <v>0</v>
      </c>
      <c r="AB128" s="26">
        <f t="shared" si="4"/>
        <v>0</v>
      </c>
      <c r="AC128" s="25">
        <v>0</v>
      </c>
      <c r="AD128" s="10">
        <v>0</v>
      </c>
      <c r="AE128" s="10">
        <v>0</v>
      </c>
      <c r="AF128" s="10">
        <v>0</v>
      </c>
      <c r="AG128" s="10">
        <v>0</v>
      </c>
      <c r="AH128" s="10">
        <v>0</v>
      </c>
      <c r="AI128" s="10">
        <v>0</v>
      </c>
      <c r="AJ128" s="10">
        <v>2079</v>
      </c>
      <c r="AK128" s="10">
        <v>0</v>
      </c>
      <c r="AL128" s="10">
        <v>0</v>
      </c>
      <c r="AM128" s="10">
        <v>0</v>
      </c>
      <c r="AN128" s="10">
        <v>0</v>
      </c>
      <c r="AO128" s="26">
        <f t="shared" si="5"/>
        <v>2079</v>
      </c>
    </row>
    <row r="129" spans="1:41" ht="17.25" customHeight="1" x14ac:dyDescent="0.45">
      <c r="A129" s="2" t="s">
        <v>39</v>
      </c>
      <c r="B129" s="2" t="s">
        <v>19</v>
      </c>
      <c r="C129" s="23">
        <v>0</v>
      </c>
      <c r="D129" s="1">
        <v>0</v>
      </c>
      <c r="E129" s="1">
        <v>0</v>
      </c>
      <c r="F129" s="1">
        <v>0</v>
      </c>
      <c r="G129" s="1">
        <v>13</v>
      </c>
      <c r="H129" s="1">
        <v>0</v>
      </c>
      <c r="I129" s="1">
        <v>0</v>
      </c>
      <c r="J129" s="1">
        <v>0</v>
      </c>
      <c r="K129" s="1">
        <v>0</v>
      </c>
      <c r="L129" s="1">
        <v>0</v>
      </c>
      <c r="M129" s="1">
        <v>0</v>
      </c>
      <c r="N129" s="1">
        <v>0</v>
      </c>
      <c r="O129" s="24">
        <f t="shared" si="3"/>
        <v>13</v>
      </c>
      <c r="P129" s="23">
        <v>0</v>
      </c>
      <c r="Q129" s="1">
        <v>0</v>
      </c>
      <c r="R129" s="1">
        <v>0</v>
      </c>
      <c r="S129" s="1">
        <v>0</v>
      </c>
      <c r="T129" s="1">
        <v>0</v>
      </c>
      <c r="U129" s="1">
        <v>0</v>
      </c>
      <c r="V129" s="1">
        <v>0</v>
      </c>
      <c r="W129" s="1">
        <v>0</v>
      </c>
      <c r="X129" s="1">
        <v>0</v>
      </c>
      <c r="Y129" s="1">
        <v>0</v>
      </c>
      <c r="Z129" s="1">
        <v>0</v>
      </c>
      <c r="AA129" s="1">
        <v>0</v>
      </c>
      <c r="AB129" s="24">
        <f t="shared" si="4"/>
        <v>0</v>
      </c>
      <c r="AC129" s="23">
        <v>0</v>
      </c>
      <c r="AD129" s="1">
        <v>0</v>
      </c>
      <c r="AE129" s="1">
        <v>0</v>
      </c>
      <c r="AF129" s="1">
        <v>0</v>
      </c>
      <c r="AG129" s="1">
        <v>57939</v>
      </c>
      <c r="AH129" s="1">
        <v>0</v>
      </c>
      <c r="AI129" s="1">
        <v>0</v>
      </c>
      <c r="AJ129" s="1">
        <v>0</v>
      </c>
      <c r="AK129" s="1">
        <v>0</v>
      </c>
      <c r="AL129" s="1">
        <v>0</v>
      </c>
      <c r="AM129" s="1">
        <v>0</v>
      </c>
      <c r="AN129" s="1">
        <v>0</v>
      </c>
      <c r="AO129" s="24">
        <f t="shared" si="5"/>
        <v>57939</v>
      </c>
    </row>
    <row r="130" spans="1:41" ht="17.25" customHeight="1" x14ac:dyDescent="0.45">
      <c r="A130" s="12" t="s">
        <v>39</v>
      </c>
      <c r="B130" s="12" t="s">
        <v>47</v>
      </c>
      <c r="C130" s="25">
        <v>0</v>
      </c>
      <c r="D130" s="10">
        <v>0</v>
      </c>
      <c r="E130" s="10">
        <v>15</v>
      </c>
      <c r="F130" s="10">
        <v>21</v>
      </c>
      <c r="G130" s="10">
        <v>9</v>
      </c>
      <c r="H130" s="10">
        <v>8</v>
      </c>
      <c r="I130" s="10">
        <v>9</v>
      </c>
      <c r="J130" s="10">
        <v>9</v>
      </c>
      <c r="K130" s="10">
        <v>6</v>
      </c>
      <c r="L130" s="10">
        <v>0</v>
      </c>
      <c r="M130" s="10">
        <v>0</v>
      </c>
      <c r="N130" s="10">
        <v>0</v>
      </c>
      <c r="O130" s="26">
        <f t="shared" si="3"/>
        <v>77</v>
      </c>
      <c r="P130" s="25">
        <v>0</v>
      </c>
      <c r="Q130" s="10">
        <v>0</v>
      </c>
      <c r="R130" s="10">
        <v>155</v>
      </c>
      <c r="S130" s="10">
        <v>244</v>
      </c>
      <c r="T130" s="10">
        <v>125</v>
      </c>
      <c r="U130" s="10">
        <v>132</v>
      </c>
      <c r="V130" s="10">
        <v>232</v>
      </c>
      <c r="W130" s="10">
        <v>192</v>
      </c>
      <c r="X130" s="10">
        <v>114</v>
      </c>
      <c r="Y130" s="10">
        <v>0</v>
      </c>
      <c r="Z130" s="10">
        <v>0</v>
      </c>
      <c r="AA130" s="10">
        <v>0</v>
      </c>
      <c r="AB130" s="26">
        <f t="shared" si="4"/>
        <v>1194</v>
      </c>
      <c r="AC130" s="25">
        <v>0</v>
      </c>
      <c r="AD130" s="10">
        <v>0</v>
      </c>
      <c r="AE130" s="10">
        <v>0</v>
      </c>
      <c r="AF130" s="10">
        <v>0</v>
      </c>
      <c r="AG130" s="10">
        <v>0</v>
      </c>
      <c r="AH130" s="10">
        <v>0</v>
      </c>
      <c r="AI130" s="10">
        <v>0</v>
      </c>
      <c r="AJ130" s="10">
        <v>0</v>
      </c>
      <c r="AK130" s="10">
        <v>0</v>
      </c>
      <c r="AL130" s="10">
        <v>0</v>
      </c>
      <c r="AM130" s="10">
        <v>0</v>
      </c>
      <c r="AN130" s="10">
        <v>0</v>
      </c>
      <c r="AO130" s="26">
        <f t="shared" si="5"/>
        <v>0</v>
      </c>
    </row>
    <row r="131" spans="1:41" ht="17.25" customHeight="1" x14ac:dyDescent="0.45">
      <c r="A131" s="2" t="s">
        <v>39</v>
      </c>
      <c r="B131" s="2" t="s">
        <v>55</v>
      </c>
      <c r="C131" s="23">
        <v>17</v>
      </c>
      <c r="D131" s="1">
        <v>17</v>
      </c>
      <c r="E131" s="1">
        <v>26</v>
      </c>
      <c r="F131" s="1">
        <v>23</v>
      </c>
      <c r="G131" s="1">
        <v>27</v>
      </c>
      <c r="H131" s="1">
        <v>26</v>
      </c>
      <c r="I131" s="1">
        <v>31</v>
      </c>
      <c r="J131" s="1">
        <v>31</v>
      </c>
      <c r="K131" s="1">
        <v>30</v>
      </c>
      <c r="L131" s="1">
        <v>31</v>
      </c>
      <c r="M131" s="1">
        <v>30</v>
      </c>
      <c r="N131" s="1">
        <v>31</v>
      </c>
      <c r="O131" s="24">
        <f t="shared" si="3"/>
        <v>320</v>
      </c>
      <c r="P131" s="23">
        <v>480</v>
      </c>
      <c r="Q131" s="1">
        <v>388</v>
      </c>
      <c r="R131" s="1">
        <v>659</v>
      </c>
      <c r="S131" s="1">
        <v>634</v>
      </c>
      <c r="T131" s="1">
        <v>625</v>
      </c>
      <c r="U131" s="1">
        <v>583</v>
      </c>
      <c r="V131" s="1">
        <v>932</v>
      </c>
      <c r="W131" s="1">
        <v>773</v>
      </c>
      <c r="X131" s="1">
        <v>620</v>
      </c>
      <c r="Y131" s="1">
        <v>902</v>
      </c>
      <c r="Z131" s="1">
        <v>857</v>
      </c>
      <c r="AA131" s="1">
        <v>1071</v>
      </c>
      <c r="AB131" s="24">
        <f t="shared" si="4"/>
        <v>8524</v>
      </c>
      <c r="AC131" s="23">
        <v>0</v>
      </c>
      <c r="AD131" s="1">
        <v>0</v>
      </c>
      <c r="AE131" s="1">
        <v>0</v>
      </c>
      <c r="AF131" s="1">
        <v>0</v>
      </c>
      <c r="AG131" s="1">
        <v>0</v>
      </c>
      <c r="AH131" s="1">
        <v>0</v>
      </c>
      <c r="AI131" s="1">
        <v>0</v>
      </c>
      <c r="AJ131" s="1">
        <v>0</v>
      </c>
      <c r="AK131" s="1">
        <v>0</v>
      </c>
      <c r="AL131" s="1">
        <v>0</v>
      </c>
      <c r="AM131" s="1">
        <v>0</v>
      </c>
      <c r="AN131" s="1">
        <v>0</v>
      </c>
      <c r="AO131" s="24">
        <f t="shared" si="5"/>
        <v>0</v>
      </c>
    </row>
    <row r="132" spans="1:41" ht="17.25" customHeight="1" x14ac:dyDescent="0.45">
      <c r="A132" s="12" t="s">
        <v>56</v>
      </c>
      <c r="B132" s="12" t="s">
        <v>12</v>
      </c>
      <c r="C132" s="25">
        <v>0</v>
      </c>
      <c r="D132" s="10">
        <v>0</v>
      </c>
      <c r="E132" s="10">
        <v>0</v>
      </c>
      <c r="F132" s="10">
        <v>0</v>
      </c>
      <c r="G132" s="10">
        <v>0</v>
      </c>
      <c r="H132" s="10">
        <v>1</v>
      </c>
      <c r="I132" s="10">
        <v>0</v>
      </c>
      <c r="J132" s="10">
        <v>0</v>
      </c>
      <c r="K132" s="10">
        <v>0</v>
      </c>
      <c r="L132" s="10">
        <v>0</v>
      </c>
      <c r="M132" s="10">
        <v>0</v>
      </c>
      <c r="N132" s="10">
        <v>0</v>
      </c>
      <c r="O132" s="26">
        <f t="shared" si="3"/>
        <v>1</v>
      </c>
      <c r="P132" s="25">
        <v>0</v>
      </c>
      <c r="Q132" s="10">
        <v>0</v>
      </c>
      <c r="R132" s="10">
        <v>0</v>
      </c>
      <c r="S132" s="10">
        <v>0</v>
      </c>
      <c r="T132" s="10">
        <v>0</v>
      </c>
      <c r="U132" s="10">
        <v>84</v>
      </c>
      <c r="V132" s="10">
        <v>0</v>
      </c>
      <c r="W132" s="10">
        <v>0</v>
      </c>
      <c r="X132" s="10">
        <v>0</v>
      </c>
      <c r="Y132" s="10">
        <v>0</v>
      </c>
      <c r="Z132" s="10">
        <v>0</v>
      </c>
      <c r="AA132" s="10">
        <v>0</v>
      </c>
      <c r="AB132" s="26">
        <f t="shared" si="4"/>
        <v>84</v>
      </c>
      <c r="AC132" s="25">
        <v>0</v>
      </c>
      <c r="AD132" s="10">
        <v>0</v>
      </c>
      <c r="AE132" s="10">
        <v>0</v>
      </c>
      <c r="AF132" s="10">
        <v>0</v>
      </c>
      <c r="AG132" s="10">
        <v>0</v>
      </c>
      <c r="AH132" s="10">
        <v>0</v>
      </c>
      <c r="AI132" s="10">
        <v>0</v>
      </c>
      <c r="AJ132" s="10">
        <v>0</v>
      </c>
      <c r="AK132" s="10">
        <v>0</v>
      </c>
      <c r="AL132" s="10">
        <v>0</v>
      </c>
      <c r="AM132" s="10">
        <v>0</v>
      </c>
      <c r="AN132" s="10">
        <v>0</v>
      </c>
      <c r="AO132" s="26">
        <f t="shared" si="5"/>
        <v>0</v>
      </c>
    </row>
    <row r="133" spans="1:41" ht="17.25" customHeight="1" x14ac:dyDescent="0.45">
      <c r="A133" s="2" t="s">
        <v>56</v>
      </c>
      <c r="B133" s="2" t="s">
        <v>206</v>
      </c>
      <c r="C133" s="23">
        <v>0</v>
      </c>
      <c r="D133" s="1">
        <v>0</v>
      </c>
      <c r="E133" s="1">
        <v>0</v>
      </c>
      <c r="F133" s="1">
        <v>0</v>
      </c>
      <c r="G133" s="1">
        <v>0</v>
      </c>
      <c r="H133" s="1">
        <v>0</v>
      </c>
      <c r="I133" s="1">
        <v>0</v>
      </c>
      <c r="J133" s="1">
        <v>0</v>
      </c>
      <c r="K133" s="1">
        <v>0</v>
      </c>
      <c r="L133" s="1">
        <v>1</v>
      </c>
      <c r="M133" s="1">
        <v>0</v>
      </c>
      <c r="N133" s="1">
        <v>0</v>
      </c>
      <c r="O133" s="24">
        <f t="shared" si="3"/>
        <v>1</v>
      </c>
      <c r="P133" s="23">
        <v>0</v>
      </c>
      <c r="Q133" s="1">
        <v>0</v>
      </c>
      <c r="R133" s="1">
        <v>0</v>
      </c>
      <c r="S133" s="1">
        <v>0</v>
      </c>
      <c r="T133" s="1">
        <v>0</v>
      </c>
      <c r="U133" s="1">
        <v>0</v>
      </c>
      <c r="V133" s="1">
        <v>0</v>
      </c>
      <c r="W133" s="1">
        <v>0</v>
      </c>
      <c r="X133" s="1">
        <v>0</v>
      </c>
      <c r="Y133" s="1">
        <v>0</v>
      </c>
      <c r="Z133" s="1">
        <v>0</v>
      </c>
      <c r="AA133" s="1">
        <v>0</v>
      </c>
      <c r="AB133" s="24">
        <f t="shared" si="4"/>
        <v>0</v>
      </c>
      <c r="AC133" s="23">
        <v>0</v>
      </c>
      <c r="AD133" s="1">
        <v>0</v>
      </c>
      <c r="AE133" s="1">
        <v>0</v>
      </c>
      <c r="AF133" s="1">
        <v>0</v>
      </c>
      <c r="AG133" s="1">
        <v>0</v>
      </c>
      <c r="AH133" s="1">
        <v>0</v>
      </c>
      <c r="AI133" s="1">
        <v>0</v>
      </c>
      <c r="AJ133" s="1">
        <v>0</v>
      </c>
      <c r="AK133" s="1">
        <v>0</v>
      </c>
      <c r="AL133" s="1">
        <v>2000</v>
      </c>
      <c r="AM133" s="1">
        <v>0</v>
      </c>
      <c r="AN133" s="1">
        <v>0</v>
      </c>
      <c r="AO133" s="24">
        <f t="shared" si="5"/>
        <v>2000</v>
      </c>
    </row>
    <row r="134" spans="1:41" ht="17.25" customHeight="1" x14ac:dyDescent="0.45">
      <c r="A134" s="12" t="s">
        <v>56</v>
      </c>
      <c r="B134" s="12" t="s">
        <v>32</v>
      </c>
      <c r="C134" s="25">
        <v>0</v>
      </c>
      <c r="D134" s="10">
        <v>0</v>
      </c>
      <c r="E134" s="10">
        <v>0</v>
      </c>
      <c r="F134" s="10">
        <v>0</v>
      </c>
      <c r="G134" s="10">
        <v>0</v>
      </c>
      <c r="H134" s="10">
        <v>0</v>
      </c>
      <c r="I134" s="10">
        <v>0</v>
      </c>
      <c r="J134" s="10">
        <v>0</v>
      </c>
      <c r="K134" s="10">
        <v>1</v>
      </c>
      <c r="L134" s="10">
        <v>0</v>
      </c>
      <c r="M134" s="10">
        <v>0</v>
      </c>
      <c r="N134" s="10">
        <v>0</v>
      </c>
      <c r="O134" s="26">
        <f t="shared" si="3"/>
        <v>1</v>
      </c>
      <c r="P134" s="25">
        <v>0</v>
      </c>
      <c r="Q134" s="10">
        <v>0</v>
      </c>
      <c r="R134" s="10">
        <v>0</v>
      </c>
      <c r="S134" s="10">
        <v>0</v>
      </c>
      <c r="T134" s="10">
        <v>0</v>
      </c>
      <c r="U134" s="10">
        <v>0</v>
      </c>
      <c r="V134" s="10">
        <v>0</v>
      </c>
      <c r="W134" s="10">
        <v>0</v>
      </c>
      <c r="X134" s="10">
        <v>27</v>
      </c>
      <c r="Y134" s="10">
        <v>0</v>
      </c>
      <c r="Z134" s="10">
        <v>0</v>
      </c>
      <c r="AA134" s="10">
        <v>0</v>
      </c>
      <c r="AB134" s="26">
        <f t="shared" si="4"/>
        <v>27</v>
      </c>
      <c r="AC134" s="25">
        <v>0</v>
      </c>
      <c r="AD134" s="10">
        <v>0</v>
      </c>
      <c r="AE134" s="10">
        <v>0</v>
      </c>
      <c r="AF134" s="10">
        <v>0</v>
      </c>
      <c r="AG134" s="10">
        <v>0</v>
      </c>
      <c r="AH134" s="10">
        <v>0</v>
      </c>
      <c r="AI134" s="10">
        <v>0</v>
      </c>
      <c r="AJ134" s="10">
        <v>0</v>
      </c>
      <c r="AK134" s="10">
        <v>0</v>
      </c>
      <c r="AL134" s="10">
        <v>0</v>
      </c>
      <c r="AM134" s="10">
        <v>0</v>
      </c>
      <c r="AN134" s="10">
        <v>0</v>
      </c>
      <c r="AO134" s="26">
        <f t="shared" si="5"/>
        <v>0</v>
      </c>
    </row>
    <row r="135" spans="1:41" ht="17.25" customHeight="1" x14ac:dyDescent="0.45">
      <c r="A135" s="2" t="s">
        <v>40</v>
      </c>
      <c r="B135" s="2" t="s">
        <v>20</v>
      </c>
      <c r="C135" s="23">
        <v>9</v>
      </c>
      <c r="D135" s="1">
        <v>3</v>
      </c>
      <c r="E135" s="1">
        <v>0</v>
      </c>
      <c r="F135" s="1">
        <v>0</v>
      </c>
      <c r="G135" s="1">
        <v>6</v>
      </c>
      <c r="H135" s="1">
        <v>0</v>
      </c>
      <c r="I135" s="1">
        <v>0</v>
      </c>
      <c r="J135" s="1">
        <v>0</v>
      </c>
      <c r="K135" s="1">
        <v>0</v>
      </c>
      <c r="L135" s="1">
        <v>12</v>
      </c>
      <c r="M135" s="1">
        <v>0</v>
      </c>
      <c r="N135" s="1">
        <v>0</v>
      </c>
      <c r="O135" s="24">
        <f t="shared" si="3"/>
        <v>30</v>
      </c>
      <c r="P135" s="23">
        <v>0</v>
      </c>
      <c r="Q135" s="1">
        <v>0</v>
      </c>
      <c r="R135" s="1">
        <v>0</v>
      </c>
      <c r="S135" s="1">
        <v>0</v>
      </c>
      <c r="T135" s="1">
        <v>0</v>
      </c>
      <c r="U135" s="1">
        <v>0</v>
      </c>
      <c r="V135" s="1">
        <v>0</v>
      </c>
      <c r="W135" s="1">
        <v>0</v>
      </c>
      <c r="X135" s="1">
        <v>0</v>
      </c>
      <c r="Y135" s="1">
        <v>0</v>
      </c>
      <c r="Z135" s="1">
        <v>0</v>
      </c>
      <c r="AA135" s="1">
        <v>0</v>
      </c>
      <c r="AB135" s="24">
        <f t="shared" si="4"/>
        <v>0</v>
      </c>
      <c r="AC135" s="23">
        <v>134131</v>
      </c>
      <c r="AD135" s="1">
        <v>46543</v>
      </c>
      <c r="AE135" s="1">
        <v>0</v>
      </c>
      <c r="AF135" s="1">
        <v>0</v>
      </c>
      <c r="AG135" s="1">
        <v>78970</v>
      </c>
      <c r="AH135" s="1">
        <v>0</v>
      </c>
      <c r="AI135" s="1">
        <v>0</v>
      </c>
      <c r="AJ135" s="1">
        <v>0</v>
      </c>
      <c r="AK135" s="1">
        <v>0</v>
      </c>
      <c r="AL135" s="1">
        <v>178640</v>
      </c>
      <c r="AM135" s="1">
        <v>0</v>
      </c>
      <c r="AN135" s="1">
        <v>0</v>
      </c>
      <c r="AO135" s="24">
        <f t="shared" si="5"/>
        <v>438284</v>
      </c>
    </row>
    <row r="136" spans="1:41" ht="17.25" customHeight="1" x14ac:dyDescent="0.45">
      <c r="A136" s="12" t="s">
        <v>40</v>
      </c>
      <c r="B136" s="12" t="s">
        <v>21</v>
      </c>
      <c r="C136" s="25">
        <v>0</v>
      </c>
      <c r="D136" s="10">
        <v>0</v>
      </c>
      <c r="E136" s="10">
        <v>1</v>
      </c>
      <c r="F136" s="10">
        <v>0</v>
      </c>
      <c r="G136" s="10">
        <v>0</v>
      </c>
      <c r="H136" s="10">
        <v>0</v>
      </c>
      <c r="I136" s="10">
        <v>0</v>
      </c>
      <c r="J136" s="10">
        <v>0</v>
      </c>
      <c r="K136" s="10">
        <v>0</v>
      </c>
      <c r="L136" s="10">
        <v>0</v>
      </c>
      <c r="M136" s="10">
        <v>1</v>
      </c>
      <c r="N136" s="10">
        <v>0</v>
      </c>
      <c r="O136" s="26">
        <f t="shared" ref="O136:O199" si="6">SUM(C136:N136)</f>
        <v>2</v>
      </c>
      <c r="P136" s="25">
        <v>0</v>
      </c>
      <c r="Q136" s="10">
        <v>0</v>
      </c>
      <c r="R136" s="10">
        <v>0</v>
      </c>
      <c r="S136" s="10">
        <v>0</v>
      </c>
      <c r="T136" s="10">
        <v>0</v>
      </c>
      <c r="U136" s="10">
        <v>0</v>
      </c>
      <c r="V136" s="10">
        <v>0</v>
      </c>
      <c r="W136" s="10">
        <v>0</v>
      </c>
      <c r="X136" s="10">
        <v>0</v>
      </c>
      <c r="Y136" s="10">
        <v>0</v>
      </c>
      <c r="Z136" s="10">
        <v>0</v>
      </c>
      <c r="AA136" s="10">
        <v>0</v>
      </c>
      <c r="AB136" s="26">
        <f t="shared" ref="AB136:AB199" si="7">SUM(P136:AA136)</f>
        <v>0</v>
      </c>
      <c r="AC136" s="25">
        <v>0</v>
      </c>
      <c r="AD136" s="10">
        <v>0</v>
      </c>
      <c r="AE136" s="10">
        <v>16727</v>
      </c>
      <c r="AF136" s="10">
        <v>0</v>
      </c>
      <c r="AG136" s="10">
        <v>0</v>
      </c>
      <c r="AH136" s="10">
        <v>0</v>
      </c>
      <c r="AI136" s="10">
        <v>0</v>
      </c>
      <c r="AJ136" s="10">
        <v>0</v>
      </c>
      <c r="AK136" s="10">
        <v>0</v>
      </c>
      <c r="AL136" s="10">
        <v>0</v>
      </c>
      <c r="AM136" s="10">
        <v>11057</v>
      </c>
      <c r="AN136" s="10">
        <v>0</v>
      </c>
      <c r="AO136" s="26">
        <f t="shared" ref="AO136:AO199" si="8">SUM(AC136:AN136)</f>
        <v>27784</v>
      </c>
    </row>
    <row r="137" spans="1:41" ht="17.25" customHeight="1" x14ac:dyDescent="0.45">
      <c r="A137" s="2" t="s">
        <v>40</v>
      </c>
      <c r="B137" s="2" t="s">
        <v>38</v>
      </c>
      <c r="C137" s="23">
        <v>0</v>
      </c>
      <c r="D137" s="1">
        <v>1</v>
      </c>
      <c r="E137" s="1">
        <v>0</v>
      </c>
      <c r="F137" s="1">
        <v>1</v>
      </c>
      <c r="G137" s="1">
        <v>2</v>
      </c>
      <c r="H137" s="1">
        <v>0</v>
      </c>
      <c r="I137" s="1">
        <v>0</v>
      </c>
      <c r="J137" s="1">
        <v>0</v>
      </c>
      <c r="K137" s="1">
        <v>5</v>
      </c>
      <c r="L137" s="1">
        <v>0</v>
      </c>
      <c r="M137" s="1">
        <v>1</v>
      </c>
      <c r="N137" s="1">
        <v>5</v>
      </c>
      <c r="O137" s="24">
        <f t="shared" si="6"/>
        <v>15</v>
      </c>
      <c r="P137" s="23">
        <v>0</v>
      </c>
      <c r="Q137" s="1">
        <v>0</v>
      </c>
      <c r="R137" s="1">
        <v>0</v>
      </c>
      <c r="S137" s="1">
        <v>0</v>
      </c>
      <c r="T137" s="1">
        <v>0</v>
      </c>
      <c r="U137" s="1">
        <v>0</v>
      </c>
      <c r="V137" s="1">
        <v>0</v>
      </c>
      <c r="W137" s="1">
        <v>0</v>
      </c>
      <c r="X137" s="1">
        <v>0</v>
      </c>
      <c r="Y137" s="1">
        <v>0</v>
      </c>
      <c r="Z137" s="1">
        <v>0</v>
      </c>
      <c r="AA137" s="1">
        <v>0</v>
      </c>
      <c r="AB137" s="24">
        <f t="shared" si="7"/>
        <v>0</v>
      </c>
      <c r="AC137" s="23">
        <v>0</v>
      </c>
      <c r="AD137" s="1">
        <v>3706</v>
      </c>
      <c r="AE137" s="1">
        <v>0</v>
      </c>
      <c r="AF137" s="1">
        <v>4336</v>
      </c>
      <c r="AG137" s="1">
        <v>18285</v>
      </c>
      <c r="AH137" s="1">
        <v>0</v>
      </c>
      <c r="AI137" s="1">
        <v>0</v>
      </c>
      <c r="AJ137" s="1">
        <v>0</v>
      </c>
      <c r="AK137" s="1">
        <v>23170</v>
      </c>
      <c r="AL137" s="1">
        <v>0</v>
      </c>
      <c r="AM137" s="1">
        <v>5105</v>
      </c>
      <c r="AN137" s="1">
        <v>63458</v>
      </c>
      <c r="AO137" s="24">
        <f t="shared" si="8"/>
        <v>118060</v>
      </c>
    </row>
    <row r="138" spans="1:41" ht="17.25" customHeight="1" x14ac:dyDescent="0.45">
      <c r="A138" s="12" t="s">
        <v>40</v>
      </c>
      <c r="B138" s="12" t="s">
        <v>47</v>
      </c>
      <c r="C138" s="25">
        <v>12</v>
      </c>
      <c r="D138" s="10">
        <v>6</v>
      </c>
      <c r="E138" s="10">
        <v>27</v>
      </c>
      <c r="F138" s="10">
        <v>27</v>
      </c>
      <c r="G138" s="10">
        <v>19</v>
      </c>
      <c r="H138" s="10">
        <v>24</v>
      </c>
      <c r="I138" s="10">
        <v>20</v>
      </c>
      <c r="J138" s="10">
        <v>20</v>
      </c>
      <c r="K138" s="10">
        <v>14</v>
      </c>
      <c r="L138" s="10">
        <v>7</v>
      </c>
      <c r="M138" s="10">
        <v>8</v>
      </c>
      <c r="N138" s="10">
        <v>5</v>
      </c>
      <c r="O138" s="26">
        <f t="shared" si="6"/>
        <v>189</v>
      </c>
      <c r="P138" s="25">
        <v>0</v>
      </c>
      <c r="Q138" s="10">
        <v>0</v>
      </c>
      <c r="R138" s="10">
        <v>94</v>
      </c>
      <c r="S138" s="10">
        <v>215</v>
      </c>
      <c r="T138" s="10">
        <v>103</v>
      </c>
      <c r="U138" s="10">
        <v>95</v>
      </c>
      <c r="V138" s="10">
        <v>194</v>
      </c>
      <c r="W138" s="10">
        <v>155</v>
      </c>
      <c r="X138" s="10">
        <v>29</v>
      </c>
      <c r="Y138" s="10">
        <v>0</v>
      </c>
      <c r="Z138" s="10">
        <v>0</v>
      </c>
      <c r="AA138" s="10">
        <v>0</v>
      </c>
      <c r="AB138" s="26">
        <f t="shared" si="7"/>
        <v>885</v>
      </c>
      <c r="AC138" s="25">
        <v>144520</v>
      </c>
      <c r="AD138" s="10">
        <v>77617</v>
      </c>
      <c r="AE138" s="10">
        <v>175236</v>
      </c>
      <c r="AF138" s="10">
        <v>125159</v>
      </c>
      <c r="AG138" s="10">
        <v>121605</v>
      </c>
      <c r="AH138" s="10">
        <v>188982</v>
      </c>
      <c r="AI138" s="10">
        <v>159710</v>
      </c>
      <c r="AJ138" s="10">
        <v>147256</v>
      </c>
      <c r="AK138" s="10">
        <v>126637</v>
      </c>
      <c r="AL138" s="10">
        <v>91069</v>
      </c>
      <c r="AM138" s="10">
        <v>116250</v>
      </c>
      <c r="AN138" s="10">
        <v>61545</v>
      </c>
      <c r="AO138" s="26">
        <f t="shared" si="8"/>
        <v>1535586</v>
      </c>
    </row>
    <row r="139" spans="1:41" ht="17.25" customHeight="1" x14ac:dyDescent="0.45">
      <c r="A139" s="2" t="s">
        <v>40</v>
      </c>
      <c r="B139" s="2" t="s">
        <v>55</v>
      </c>
      <c r="C139" s="23">
        <v>35</v>
      </c>
      <c r="D139" s="1">
        <v>38</v>
      </c>
      <c r="E139" s="1">
        <v>41</v>
      </c>
      <c r="F139" s="1">
        <v>44</v>
      </c>
      <c r="G139" s="1">
        <v>37</v>
      </c>
      <c r="H139" s="1">
        <v>39</v>
      </c>
      <c r="I139" s="1">
        <v>39</v>
      </c>
      <c r="J139" s="1">
        <v>40</v>
      </c>
      <c r="K139" s="1">
        <v>35</v>
      </c>
      <c r="L139" s="1">
        <v>23</v>
      </c>
      <c r="M139" s="1">
        <v>23</v>
      </c>
      <c r="N139" s="1">
        <v>36</v>
      </c>
      <c r="O139" s="24">
        <f t="shared" si="6"/>
        <v>430</v>
      </c>
      <c r="P139" s="23">
        <v>570</v>
      </c>
      <c r="Q139" s="1">
        <v>378</v>
      </c>
      <c r="R139" s="1">
        <v>554</v>
      </c>
      <c r="S139" s="1">
        <v>581</v>
      </c>
      <c r="T139" s="1">
        <v>575</v>
      </c>
      <c r="U139" s="1">
        <v>384</v>
      </c>
      <c r="V139" s="1">
        <v>507</v>
      </c>
      <c r="W139" s="1">
        <v>641</v>
      </c>
      <c r="X139" s="1">
        <v>585</v>
      </c>
      <c r="Y139" s="1">
        <v>579</v>
      </c>
      <c r="Z139" s="1">
        <v>671</v>
      </c>
      <c r="AA139" s="1">
        <v>883</v>
      </c>
      <c r="AB139" s="24">
        <f t="shared" si="7"/>
        <v>6908</v>
      </c>
      <c r="AC139" s="23">
        <v>82347</v>
      </c>
      <c r="AD139" s="1">
        <v>108305</v>
      </c>
      <c r="AE139" s="1">
        <v>117630</v>
      </c>
      <c r="AF139" s="1">
        <v>144879</v>
      </c>
      <c r="AG139" s="1">
        <v>78133</v>
      </c>
      <c r="AH139" s="1">
        <v>119990</v>
      </c>
      <c r="AI139" s="1">
        <v>159024</v>
      </c>
      <c r="AJ139" s="1">
        <v>129835</v>
      </c>
      <c r="AK139" s="1">
        <v>111481</v>
      </c>
      <c r="AL139" s="1">
        <v>55723</v>
      </c>
      <c r="AM139" s="1">
        <v>16384</v>
      </c>
      <c r="AN139" s="1">
        <v>126202</v>
      </c>
      <c r="AO139" s="24">
        <f t="shared" si="8"/>
        <v>1249933</v>
      </c>
    </row>
    <row r="140" spans="1:41" ht="17.25" customHeight="1" x14ac:dyDescent="0.45">
      <c r="A140" s="12" t="s">
        <v>40</v>
      </c>
      <c r="B140" s="12" t="s">
        <v>23</v>
      </c>
      <c r="C140" s="25">
        <v>0</v>
      </c>
      <c r="D140" s="10">
        <v>1</v>
      </c>
      <c r="E140" s="10">
        <v>0</v>
      </c>
      <c r="F140" s="10">
        <v>0</v>
      </c>
      <c r="G140" s="10">
        <v>0</v>
      </c>
      <c r="H140" s="10">
        <v>0</v>
      </c>
      <c r="I140" s="10">
        <v>0</v>
      </c>
      <c r="J140" s="10">
        <v>0</v>
      </c>
      <c r="K140" s="10">
        <v>0</v>
      </c>
      <c r="L140" s="10">
        <v>0</v>
      </c>
      <c r="M140" s="10">
        <v>0</v>
      </c>
      <c r="N140" s="10">
        <v>0</v>
      </c>
      <c r="O140" s="26">
        <f t="shared" si="6"/>
        <v>1</v>
      </c>
      <c r="P140" s="25">
        <v>0</v>
      </c>
      <c r="Q140" s="10">
        <v>26</v>
      </c>
      <c r="R140" s="10">
        <v>0</v>
      </c>
      <c r="S140" s="10">
        <v>0</v>
      </c>
      <c r="T140" s="10">
        <v>0</v>
      </c>
      <c r="U140" s="10">
        <v>0</v>
      </c>
      <c r="V140" s="10">
        <v>0</v>
      </c>
      <c r="W140" s="10">
        <v>0</v>
      </c>
      <c r="X140" s="10">
        <v>0</v>
      </c>
      <c r="Y140" s="10">
        <v>0</v>
      </c>
      <c r="Z140" s="10">
        <v>0</v>
      </c>
      <c r="AA140" s="10">
        <v>0</v>
      </c>
      <c r="AB140" s="26">
        <f t="shared" si="7"/>
        <v>26</v>
      </c>
      <c r="AC140" s="25">
        <v>0</v>
      </c>
      <c r="AD140" s="10">
        <v>0</v>
      </c>
      <c r="AE140" s="10">
        <v>0</v>
      </c>
      <c r="AF140" s="10">
        <v>0</v>
      </c>
      <c r="AG140" s="10">
        <v>0</v>
      </c>
      <c r="AH140" s="10">
        <v>0</v>
      </c>
      <c r="AI140" s="10">
        <v>0</v>
      </c>
      <c r="AJ140" s="10">
        <v>0</v>
      </c>
      <c r="AK140" s="10">
        <v>0</v>
      </c>
      <c r="AL140" s="10">
        <v>0</v>
      </c>
      <c r="AM140" s="10">
        <v>0</v>
      </c>
      <c r="AN140" s="10">
        <v>0</v>
      </c>
      <c r="AO140" s="26">
        <f t="shared" si="8"/>
        <v>0</v>
      </c>
    </row>
    <row r="141" spans="1:41" ht="17.25" customHeight="1" x14ac:dyDescent="0.45">
      <c r="A141" s="2" t="s">
        <v>40</v>
      </c>
      <c r="B141" s="2" t="s">
        <v>13</v>
      </c>
      <c r="C141" s="23">
        <v>0</v>
      </c>
      <c r="D141" s="1">
        <v>0</v>
      </c>
      <c r="E141" s="1">
        <v>0</v>
      </c>
      <c r="F141" s="1">
        <v>0</v>
      </c>
      <c r="G141" s="1">
        <v>0</v>
      </c>
      <c r="H141" s="1">
        <v>0</v>
      </c>
      <c r="I141" s="1">
        <v>0</v>
      </c>
      <c r="J141" s="1">
        <v>0</v>
      </c>
      <c r="K141" s="1">
        <v>0</v>
      </c>
      <c r="L141" s="1">
        <v>1</v>
      </c>
      <c r="M141" s="1">
        <v>0</v>
      </c>
      <c r="N141" s="1">
        <v>0</v>
      </c>
      <c r="O141" s="24">
        <f t="shared" si="6"/>
        <v>1</v>
      </c>
      <c r="P141" s="23">
        <v>0</v>
      </c>
      <c r="Q141" s="1">
        <v>0</v>
      </c>
      <c r="R141" s="1">
        <v>0</v>
      </c>
      <c r="S141" s="1">
        <v>0</v>
      </c>
      <c r="T141" s="1">
        <v>0</v>
      </c>
      <c r="U141" s="1">
        <v>0</v>
      </c>
      <c r="V141" s="1">
        <v>0</v>
      </c>
      <c r="W141" s="1">
        <v>0</v>
      </c>
      <c r="X141" s="1">
        <v>0</v>
      </c>
      <c r="Y141" s="1">
        <v>120</v>
      </c>
      <c r="Z141" s="1">
        <v>0</v>
      </c>
      <c r="AA141" s="1">
        <v>0</v>
      </c>
      <c r="AB141" s="24">
        <f t="shared" si="7"/>
        <v>120</v>
      </c>
      <c r="AC141" s="23">
        <v>0</v>
      </c>
      <c r="AD141" s="1">
        <v>0</v>
      </c>
      <c r="AE141" s="1">
        <v>0</v>
      </c>
      <c r="AF141" s="1">
        <v>0</v>
      </c>
      <c r="AG141" s="1">
        <v>0</v>
      </c>
      <c r="AH141" s="1">
        <v>0</v>
      </c>
      <c r="AI141" s="1">
        <v>0</v>
      </c>
      <c r="AJ141" s="1">
        <v>0</v>
      </c>
      <c r="AK141" s="1">
        <v>0</v>
      </c>
      <c r="AL141" s="1">
        <v>0</v>
      </c>
      <c r="AM141" s="1">
        <v>0</v>
      </c>
      <c r="AN141" s="1">
        <v>0</v>
      </c>
      <c r="AO141" s="24">
        <f t="shared" si="8"/>
        <v>0</v>
      </c>
    </row>
    <row r="142" spans="1:41" ht="17.25" customHeight="1" x14ac:dyDescent="0.45">
      <c r="A142" s="12" t="s">
        <v>40</v>
      </c>
      <c r="B142" s="12" t="s">
        <v>28</v>
      </c>
      <c r="C142" s="25">
        <v>0</v>
      </c>
      <c r="D142" s="10">
        <v>0</v>
      </c>
      <c r="E142" s="10">
        <v>0</v>
      </c>
      <c r="F142" s="10">
        <v>0</v>
      </c>
      <c r="G142" s="10">
        <v>0</v>
      </c>
      <c r="H142" s="10">
        <v>0</v>
      </c>
      <c r="I142" s="10">
        <v>0</v>
      </c>
      <c r="J142" s="10">
        <v>0</v>
      </c>
      <c r="K142" s="10">
        <v>0</v>
      </c>
      <c r="L142" s="10">
        <v>1</v>
      </c>
      <c r="M142" s="10">
        <v>0</v>
      </c>
      <c r="N142" s="10">
        <v>0</v>
      </c>
      <c r="O142" s="26">
        <f t="shared" si="6"/>
        <v>1</v>
      </c>
      <c r="P142" s="25">
        <v>0</v>
      </c>
      <c r="Q142" s="10">
        <v>0</v>
      </c>
      <c r="R142" s="10">
        <v>0</v>
      </c>
      <c r="S142" s="10">
        <v>0</v>
      </c>
      <c r="T142" s="10">
        <v>0</v>
      </c>
      <c r="U142" s="10">
        <v>0</v>
      </c>
      <c r="V142" s="10">
        <v>0</v>
      </c>
      <c r="W142" s="10">
        <v>0</v>
      </c>
      <c r="X142" s="10">
        <v>0</v>
      </c>
      <c r="Y142" s="10">
        <v>0</v>
      </c>
      <c r="Z142" s="10">
        <v>0</v>
      </c>
      <c r="AA142" s="10">
        <v>0</v>
      </c>
      <c r="AB142" s="26">
        <f t="shared" si="7"/>
        <v>0</v>
      </c>
      <c r="AC142" s="25">
        <v>0</v>
      </c>
      <c r="AD142" s="10">
        <v>0</v>
      </c>
      <c r="AE142" s="10">
        <v>0</v>
      </c>
      <c r="AF142" s="10">
        <v>0</v>
      </c>
      <c r="AG142" s="10">
        <v>0</v>
      </c>
      <c r="AH142" s="10">
        <v>0</v>
      </c>
      <c r="AI142" s="10">
        <v>0</v>
      </c>
      <c r="AJ142" s="10">
        <v>0</v>
      </c>
      <c r="AK142" s="10">
        <v>0</v>
      </c>
      <c r="AL142" s="10">
        <v>6732</v>
      </c>
      <c r="AM142" s="10">
        <v>0</v>
      </c>
      <c r="AN142" s="10">
        <v>0</v>
      </c>
      <c r="AO142" s="26">
        <f t="shared" si="8"/>
        <v>6732</v>
      </c>
    </row>
    <row r="143" spans="1:41" ht="17.25" customHeight="1" x14ac:dyDescent="0.45">
      <c r="A143" s="2" t="s">
        <v>40</v>
      </c>
      <c r="B143" s="2" t="s">
        <v>15</v>
      </c>
      <c r="C143" s="23">
        <v>0</v>
      </c>
      <c r="D143" s="1">
        <v>5</v>
      </c>
      <c r="E143" s="1">
        <v>1</v>
      </c>
      <c r="F143" s="1">
        <v>10</v>
      </c>
      <c r="G143" s="1">
        <v>0</v>
      </c>
      <c r="H143" s="1">
        <v>19</v>
      </c>
      <c r="I143" s="1">
        <v>0</v>
      </c>
      <c r="J143" s="1">
        <v>20</v>
      </c>
      <c r="K143" s="1">
        <v>27</v>
      </c>
      <c r="L143" s="1">
        <v>47</v>
      </c>
      <c r="M143" s="1">
        <v>38</v>
      </c>
      <c r="N143" s="1">
        <v>22</v>
      </c>
      <c r="O143" s="24">
        <f t="shared" si="6"/>
        <v>189</v>
      </c>
      <c r="P143" s="23">
        <v>0</v>
      </c>
      <c r="Q143" s="1">
        <v>0</v>
      </c>
      <c r="R143" s="1">
        <v>0</v>
      </c>
      <c r="S143" s="1">
        <v>0</v>
      </c>
      <c r="T143" s="1">
        <v>0</v>
      </c>
      <c r="U143" s="1">
        <v>0</v>
      </c>
      <c r="V143" s="1">
        <v>0</v>
      </c>
      <c r="W143" s="1">
        <v>0</v>
      </c>
      <c r="X143" s="1">
        <v>0</v>
      </c>
      <c r="Y143" s="1">
        <v>0</v>
      </c>
      <c r="Z143" s="1">
        <v>0</v>
      </c>
      <c r="AA143" s="1">
        <v>0</v>
      </c>
      <c r="AB143" s="24">
        <f t="shared" si="7"/>
        <v>0</v>
      </c>
      <c r="AC143" s="23">
        <v>0</v>
      </c>
      <c r="AD143" s="1">
        <v>20477</v>
      </c>
      <c r="AE143" s="1">
        <v>10164</v>
      </c>
      <c r="AF143" s="1">
        <v>69269</v>
      </c>
      <c r="AG143" s="1">
        <v>0</v>
      </c>
      <c r="AH143" s="1">
        <v>215950</v>
      </c>
      <c r="AI143" s="1">
        <v>0</v>
      </c>
      <c r="AJ143" s="1">
        <v>247341</v>
      </c>
      <c r="AK143" s="1">
        <v>263537</v>
      </c>
      <c r="AL143" s="1">
        <v>409397</v>
      </c>
      <c r="AM143" s="1">
        <v>496139</v>
      </c>
      <c r="AN143" s="1">
        <v>307499</v>
      </c>
      <c r="AO143" s="24">
        <f t="shared" si="8"/>
        <v>2039773</v>
      </c>
    </row>
    <row r="144" spans="1:41" ht="17.25" customHeight="1" x14ac:dyDescent="0.45">
      <c r="A144" s="12" t="s">
        <v>40</v>
      </c>
      <c r="B144" s="12" t="s">
        <v>32</v>
      </c>
      <c r="C144" s="25">
        <v>0</v>
      </c>
      <c r="D144" s="10">
        <v>1</v>
      </c>
      <c r="E144" s="10">
        <v>0</v>
      </c>
      <c r="F144" s="10">
        <v>1</v>
      </c>
      <c r="G144" s="10">
        <v>0</v>
      </c>
      <c r="H144" s="10">
        <v>0</v>
      </c>
      <c r="I144" s="10">
        <v>0</v>
      </c>
      <c r="J144" s="10">
        <v>0</v>
      </c>
      <c r="K144" s="10">
        <v>0</v>
      </c>
      <c r="L144" s="10">
        <v>0</v>
      </c>
      <c r="M144" s="10">
        <v>1</v>
      </c>
      <c r="N144" s="10">
        <v>0</v>
      </c>
      <c r="O144" s="26">
        <f t="shared" si="6"/>
        <v>3</v>
      </c>
      <c r="P144" s="25">
        <v>0</v>
      </c>
      <c r="Q144" s="10">
        <v>1</v>
      </c>
      <c r="R144" s="10">
        <v>0</v>
      </c>
      <c r="S144" s="10">
        <v>42</v>
      </c>
      <c r="T144" s="10">
        <v>0</v>
      </c>
      <c r="U144" s="10">
        <v>0</v>
      </c>
      <c r="V144" s="10">
        <v>0</v>
      </c>
      <c r="W144" s="10">
        <v>0</v>
      </c>
      <c r="X144" s="10">
        <v>0</v>
      </c>
      <c r="Y144" s="10">
        <v>0</v>
      </c>
      <c r="Z144" s="10">
        <v>43</v>
      </c>
      <c r="AA144" s="10">
        <v>0</v>
      </c>
      <c r="AB144" s="26">
        <f t="shared" si="7"/>
        <v>86</v>
      </c>
      <c r="AC144" s="25">
        <v>0</v>
      </c>
      <c r="AD144" s="10">
        <v>0</v>
      </c>
      <c r="AE144" s="10">
        <v>0</v>
      </c>
      <c r="AF144" s="10">
        <v>0</v>
      </c>
      <c r="AG144" s="10">
        <v>0</v>
      </c>
      <c r="AH144" s="10">
        <v>0</v>
      </c>
      <c r="AI144" s="10">
        <v>0</v>
      </c>
      <c r="AJ144" s="10">
        <v>0</v>
      </c>
      <c r="AK144" s="10">
        <v>0</v>
      </c>
      <c r="AL144" s="10">
        <v>0</v>
      </c>
      <c r="AM144" s="10">
        <v>0</v>
      </c>
      <c r="AN144" s="10">
        <v>0</v>
      </c>
      <c r="AO144" s="26">
        <f t="shared" si="8"/>
        <v>0</v>
      </c>
    </row>
    <row r="145" spans="1:41" ht="17.25" customHeight="1" x14ac:dyDescent="0.45">
      <c r="A145" s="2" t="s">
        <v>23</v>
      </c>
      <c r="B145" s="2" t="s">
        <v>10</v>
      </c>
      <c r="C145" s="23">
        <v>46</v>
      </c>
      <c r="D145" s="1">
        <v>53</v>
      </c>
      <c r="E145" s="1">
        <v>59</v>
      </c>
      <c r="F145" s="1">
        <v>60</v>
      </c>
      <c r="G145" s="1">
        <v>54</v>
      </c>
      <c r="H145" s="1">
        <v>56</v>
      </c>
      <c r="I145" s="1">
        <v>62</v>
      </c>
      <c r="J145" s="1">
        <v>61</v>
      </c>
      <c r="K145" s="1">
        <v>53</v>
      </c>
      <c r="L145" s="1">
        <v>49</v>
      </c>
      <c r="M145" s="1">
        <v>26</v>
      </c>
      <c r="N145" s="1">
        <v>23</v>
      </c>
      <c r="O145" s="24">
        <f t="shared" si="6"/>
        <v>602</v>
      </c>
      <c r="P145" s="23">
        <v>0</v>
      </c>
      <c r="Q145" s="1">
        <v>0</v>
      </c>
      <c r="R145" s="1">
        <v>0</v>
      </c>
      <c r="S145" s="1">
        <v>35</v>
      </c>
      <c r="T145" s="1">
        <v>0</v>
      </c>
      <c r="U145" s="1">
        <v>0</v>
      </c>
      <c r="V145" s="1">
        <v>0</v>
      </c>
      <c r="W145" s="1">
        <v>0</v>
      </c>
      <c r="X145" s="1">
        <v>0</v>
      </c>
      <c r="Y145" s="1">
        <v>0</v>
      </c>
      <c r="Z145" s="1">
        <v>0</v>
      </c>
      <c r="AA145" s="1">
        <v>0</v>
      </c>
      <c r="AB145" s="24">
        <f t="shared" si="7"/>
        <v>35</v>
      </c>
      <c r="AC145" s="23">
        <v>254858</v>
      </c>
      <c r="AD145" s="1">
        <v>301001</v>
      </c>
      <c r="AE145" s="1">
        <v>322640</v>
      </c>
      <c r="AF145" s="1">
        <v>345387</v>
      </c>
      <c r="AG145" s="1">
        <v>290973</v>
      </c>
      <c r="AH145" s="1">
        <v>328384</v>
      </c>
      <c r="AI145" s="1">
        <v>332899</v>
      </c>
      <c r="AJ145" s="1">
        <v>323820</v>
      </c>
      <c r="AK145" s="1">
        <v>247687</v>
      </c>
      <c r="AL145" s="1">
        <v>263996</v>
      </c>
      <c r="AM145" s="1">
        <v>157409</v>
      </c>
      <c r="AN145" s="1">
        <v>131416</v>
      </c>
      <c r="AO145" s="24">
        <f t="shared" si="8"/>
        <v>3300470</v>
      </c>
    </row>
    <row r="146" spans="1:41" ht="17.25" customHeight="1" x14ac:dyDescent="0.45">
      <c r="A146" s="12" t="s">
        <v>23</v>
      </c>
      <c r="B146" s="12" t="s">
        <v>11</v>
      </c>
      <c r="C146" s="25">
        <v>0</v>
      </c>
      <c r="D146" s="10">
        <v>0</v>
      </c>
      <c r="E146" s="10">
        <v>0</v>
      </c>
      <c r="F146" s="10">
        <v>0</v>
      </c>
      <c r="G146" s="10">
        <v>0</v>
      </c>
      <c r="H146" s="10">
        <v>0</v>
      </c>
      <c r="I146" s="10">
        <v>0</v>
      </c>
      <c r="J146" s="10">
        <v>4</v>
      </c>
      <c r="K146" s="10">
        <v>0</v>
      </c>
      <c r="L146" s="10">
        <v>0</v>
      </c>
      <c r="M146" s="10">
        <v>0</v>
      </c>
      <c r="N146" s="10">
        <v>0</v>
      </c>
      <c r="O146" s="26">
        <f t="shared" si="6"/>
        <v>4</v>
      </c>
      <c r="P146" s="25">
        <v>0</v>
      </c>
      <c r="Q146" s="10">
        <v>0</v>
      </c>
      <c r="R146" s="10">
        <v>0</v>
      </c>
      <c r="S146" s="10">
        <v>0</v>
      </c>
      <c r="T146" s="10">
        <v>0</v>
      </c>
      <c r="U146" s="10">
        <v>0</v>
      </c>
      <c r="V146" s="10">
        <v>0</v>
      </c>
      <c r="W146" s="10">
        <v>0</v>
      </c>
      <c r="X146" s="10">
        <v>0</v>
      </c>
      <c r="Y146" s="10">
        <v>0</v>
      </c>
      <c r="Z146" s="10">
        <v>0</v>
      </c>
      <c r="AA146" s="10">
        <v>0</v>
      </c>
      <c r="AB146" s="26">
        <f t="shared" si="7"/>
        <v>0</v>
      </c>
      <c r="AC146" s="25">
        <v>0</v>
      </c>
      <c r="AD146" s="10">
        <v>0</v>
      </c>
      <c r="AE146" s="10">
        <v>0</v>
      </c>
      <c r="AF146" s="10">
        <v>0</v>
      </c>
      <c r="AG146" s="10">
        <v>0</v>
      </c>
      <c r="AH146" s="10">
        <v>0</v>
      </c>
      <c r="AI146" s="10">
        <v>0</v>
      </c>
      <c r="AJ146" s="10">
        <v>3611</v>
      </c>
      <c r="AK146" s="10">
        <v>0</v>
      </c>
      <c r="AL146" s="10">
        <v>0</v>
      </c>
      <c r="AM146" s="10">
        <v>0</v>
      </c>
      <c r="AN146" s="10">
        <v>0</v>
      </c>
      <c r="AO146" s="26">
        <f t="shared" si="8"/>
        <v>3611</v>
      </c>
    </row>
    <row r="147" spans="1:41" ht="17.25" customHeight="1" x14ac:dyDescent="0.45">
      <c r="A147" s="2" t="s">
        <v>23</v>
      </c>
      <c r="B147" s="2" t="s">
        <v>13</v>
      </c>
      <c r="C147" s="23">
        <v>0</v>
      </c>
      <c r="D147" s="1">
        <v>0</v>
      </c>
      <c r="E147" s="1">
        <v>0</v>
      </c>
      <c r="F147" s="1">
        <v>2</v>
      </c>
      <c r="G147" s="1">
        <v>0</v>
      </c>
      <c r="H147" s="1">
        <v>4</v>
      </c>
      <c r="I147" s="1">
        <v>8</v>
      </c>
      <c r="J147" s="1">
        <v>4</v>
      </c>
      <c r="K147" s="1">
        <v>0</v>
      </c>
      <c r="L147" s="1">
        <v>0</v>
      </c>
      <c r="M147" s="1">
        <v>0</v>
      </c>
      <c r="N147" s="1">
        <v>4</v>
      </c>
      <c r="O147" s="24">
        <f t="shared" si="6"/>
        <v>22</v>
      </c>
      <c r="P147" s="23">
        <v>0</v>
      </c>
      <c r="Q147" s="1">
        <v>0</v>
      </c>
      <c r="R147" s="1">
        <v>0</v>
      </c>
      <c r="S147" s="1">
        <v>258</v>
      </c>
      <c r="T147" s="1">
        <v>0</v>
      </c>
      <c r="U147" s="1">
        <v>214</v>
      </c>
      <c r="V147" s="1">
        <v>566</v>
      </c>
      <c r="W147" s="1">
        <v>434</v>
      </c>
      <c r="X147" s="1">
        <v>0</v>
      </c>
      <c r="Y147" s="1">
        <v>0</v>
      </c>
      <c r="Z147" s="1">
        <v>0</v>
      </c>
      <c r="AA147" s="1">
        <v>305</v>
      </c>
      <c r="AB147" s="24">
        <f t="shared" si="7"/>
        <v>1777</v>
      </c>
      <c r="AC147" s="23">
        <v>0</v>
      </c>
      <c r="AD147" s="1">
        <v>0</v>
      </c>
      <c r="AE147" s="1">
        <v>0</v>
      </c>
      <c r="AF147" s="1">
        <v>0</v>
      </c>
      <c r="AG147" s="1">
        <v>0</v>
      </c>
      <c r="AH147" s="1">
        <v>0</v>
      </c>
      <c r="AI147" s="1">
        <v>0</v>
      </c>
      <c r="AJ147" s="1">
        <v>0</v>
      </c>
      <c r="AK147" s="1">
        <v>0</v>
      </c>
      <c r="AL147" s="1">
        <v>0</v>
      </c>
      <c r="AM147" s="1">
        <v>0</v>
      </c>
      <c r="AN147" s="1">
        <v>0</v>
      </c>
      <c r="AO147" s="24">
        <f t="shared" si="8"/>
        <v>0</v>
      </c>
    </row>
    <row r="148" spans="1:41" ht="17.25" customHeight="1" x14ac:dyDescent="0.45">
      <c r="A148" s="12" t="s">
        <v>23</v>
      </c>
      <c r="B148" s="12" t="s">
        <v>26</v>
      </c>
      <c r="C148" s="25">
        <v>3</v>
      </c>
      <c r="D148" s="10">
        <v>0</v>
      </c>
      <c r="E148" s="10">
        <v>3</v>
      </c>
      <c r="F148" s="10">
        <v>5</v>
      </c>
      <c r="G148" s="10">
        <v>4</v>
      </c>
      <c r="H148" s="10">
        <v>2</v>
      </c>
      <c r="I148" s="10">
        <v>5</v>
      </c>
      <c r="J148" s="10">
        <v>2</v>
      </c>
      <c r="K148" s="10">
        <v>0</v>
      </c>
      <c r="L148" s="10">
        <v>0</v>
      </c>
      <c r="M148" s="10">
        <v>0</v>
      </c>
      <c r="N148" s="10">
        <v>0</v>
      </c>
      <c r="O148" s="26">
        <f t="shared" si="6"/>
        <v>24</v>
      </c>
      <c r="P148" s="25">
        <v>0</v>
      </c>
      <c r="Q148" s="10">
        <v>0</v>
      </c>
      <c r="R148" s="10">
        <v>0</v>
      </c>
      <c r="S148" s="10">
        <v>0</v>
      </c>
      <c r="T148" s="10">
        <v>0</v>
      </c>
      <c r="U148" s="10">
        <v>0</v>
      </c>
      <c r="V148" s="10">
        <v>0</v>
      </c>
      <c r="W148" s="10">
        <v>0</v>
      </c>
      <c r="X148" s="10">
        <v>0</v>
      </c>
      <c r="Y148" s="10">
        <v>0</v>
      </c>
      <c r="Z148" s="10">
        <v>0</v>
      </c>
      <c r="AA148" s="10">
        <v>0</v>
      </c>
      <c r="AB148" s="26">
        <f t="shared" si="7"/>
        <v>0</v>
      </c>
      <c r="AC148" s="25">
        <v>1</v>
      </c>
      <c r="AD148" s="10">
        <v>0</v>
      </c>
      <c r="AE148" s="10">
        <v>17</v>
      </c>
      <c r="AF148" s="10">
        <v>11</v>
      </c>
      <c r="AG148" s="10">
        <v>109</v>
      </c>
      <c r="AH148" s="10">
        <v>20</v>
      </c>
      <c r="AI148" s="10">
        <v>57</v>
      </c>
      <c r="AJ148" s="10">
        <v>127</v>
      </c>
      <c r="AK148" s="10">
        <v>0</v>
      </c>
      <c r="AL148" s="10">
        <v>0</v>
      </c>
      <c r="AM148" s="10">
        <v>0</v>
      </c>
      <c r="AN148" s="10">
        <v>0</v>
      </c>
      <c r="AO148" s="26">
        <f t="shared" si="8"/>
        <v>342</v>
      </c>
    </row>
    <row r="149" spans="1:41" ht="17.25" customHeight="1" x14ac:dyDescent="0.45">
      <c r="A149" s="2" t="s">
        <v>23</v>
      </c>
      <c r="B149" s="2" t="s">
        <v>28</v>
      </c>
      <c r="C149" s="23">
        <v>44</v>
      </c>
      <c r="D149" s="1">
        <v>41</v>
      </c>
      <c r="E149" s="1">
        <v>38</v>
      </c>
      <c r="F149" s="1">
        <v>41</v>
      </c>
      <c r="G149" s="1">
        <v>44</v>
      </c>
      <c r="H149" s="1">
        <v>41</v>
      </c>
      <c r="I149" s="1">
        <v>42</v>
      </c>
      <c r="J149" s="1">
        <v>44</v>
      </c>
      <c r="K149" s="1">
        <v>40</v>
      </c>
      <c r="L149" s="1">
        <v>42</v>
      </c>
      <c r="M149" s="1">
        <v>42</v>
      </c>
      <c r="N149" s="1">
        <v>45</v>
      </c>
      <c r="O149" s="24">
        <f t="shared" si="6"/>
        <v>504</v>
      </c>
      <c r="P149" s="23">
        <v>0</v>
      </c>
      <c r="Q149" s="1">
        <v>0</v>
      </c>
      <c r="R149" s="1">
        <v>0</v>
      </c>
      <c r="S149" s="1">
        <v>0</v>
      </c>
      <c r="T149" s="1">
        <v>0</v>
      </c>
      <c r="U149" s="1">
        <v>0</v>
      </c>
      <c r="V149" s="1">
        <v>0</v>
      </c>
      <c r="W149" s="1">
        <v>0</v>
      </c>
      <c r="X149" s="1">
        <v>0</v>
      </c>
      <c r="Y149" s="1">
        <v>0</v>
      </c>
      <c r="Z149" s="1">
        <v>0</v>
      </c>
      <c r="AA149" s="1">
        <v>0</v>
      </c>
      <c r="AB149" s="24">
        <f t="shared" si="7"/>
        <v>0</v>
      </c>
      <c r="AC149" s="23">
        <v>384571</v>
      </c>
      <c r="AD149" s="1">
        <v>389649</v>
      </c>
      <c r="AE149" s="1">
        <v>391171</v>
      </c>
      <c r="AF149" s="1">
        <v>342763</v>
      </c>
      <c r="AG149" s="1">
        <v>344359</v>
      </c>
      <c r="AH149" s="1">
        <v>376335</v>
      </c>
      <c r="AI149" s="1">
        <v>408096</v>
      </c>
      <c r="AJ149" s="1">
        <v>392431</v>
      </c>
      <c r="AK149" s="1">
        <v>366175</v>
      </c>
      <c r="AL149" s="1">
        <v>373648</v>
      </c>
      <c r="AM149" s="1">
        <v>461359</v>
      </c>
      <c r="AN149" s="1">
        <v>428587</v>
      </c>
      <c r="AO149" s="24">
        <f t="shared" si="8"/>
        <v>4659144</v>
      </c>
    </row>
    <row r="150" spans="1:41" ht="17.25" customHeight="1" x14ac:dyDescent="0.45">
      <c r="A150" s="12" t="s">
        <v>23</v>
      </c>
      <c r="B150" s="12" t="s">
        <v>30</v>
      </c>
      <c r="C150" s="25">
        <v>0</v>
      </c>
      <c r="D150" s="10">
        <v>0</v>
      </c>
      <c r="E150" s="10">
        <v>0</v>
      </c>
      <c r="F150" s="10">
        <v>0</v>
      </c>
      <c r="G150" s="10">
        <v>0</v>
      </c>
      <c r="H150" s="10">
        <v>0</v>
      </c>
      <c r="I150" s="10">
        <v>0</v>
      </c>
      <c r="J150" s="10">
        <v>0</v>
      </c>
      <c r="K150" s="10">
        <v>0</v>
      </c>
      <c r="L150" s="10">
        <v>1</v>
      </c>
      <c r="M150" s="10">
        <v>1</v>
      </c>
      <c r="N150" s="10">
        <v>0</v>
      </c>
      <c r="O150" s="26">
        <f t="shared" si="6"/>
        <v>2</v>
      </c>
      <c r="P150" s="25">
        <v>0</v>
      </c>
      <c r="Q150" s="10">
        <v>0</v>
      </c>
      <c r="R150" s="10">
        <v>0</v>
      </c>
      <c r="S150" s="10">
        <v>0</v>
      </c>
      <c r="T150" s="10">
        <v>0</v>
      </c>
      <c r="U150" s="10">
        <v>0</v>
      </c>
      <c r="V150" s="10">
        <v>0</v>
      </c>
      <c r="W150" s="10">
        <v>0</v>
      </c>
      <c r="X150" s="10">
        <v>0</v>
      </c>
      <c r="Y150" s="10">
        <v>0</v>
      </c>
      <c r="Z150" s="10">
        <v>0</v>
      </c>
      <c r="AA150" s="10">
        <v>0</v>
      </c>
      <c r="AB150" s="26">
        <f t="shared" si="7"/>
        <v>0</v>
      </c>
      <c r="AC150" s="25">
        <v>0</v>
      </c>
      <c r="AD150" s="10">
        <v>0</v>
      </c>
      <c r="AE150" s="10">
        <v>0</v>
      </c>
      <c r="AF150" s="10">
        <v>0</v>
      </c>
      <c r="AG150" s="10">
        <v>0</v>
      </c>
      <c r="AH150" s="10">
        <v>0</v>
      </c>
      <c r="AI150" s="10">
        <v>0</v>
      </c>
      <c r="AJ150" s="10">
        <v>0</v>
      </c>
      <c r="AK150" s="10">
        <v>0</v>
      </c>
      <c r="AL150" s="10">
        <v>1370</v>
      </c>
      <c r="AM150" s="10">
        <v>1150</v>
      </c>
      <c r="AN150" s="10">
        <v>0</v>
      </c>
      <c r="AO150" s="26">
        <f t="shared" si="8"/>
        <v>2520</v>
      </c>
    </row>
    <row r="151" spans="1:41" ht="17.25" customHeight="1" x14ac:dyDescent="0.45">
      <c r="A151" s="2" t="s">
        <v>23</v>
      </c>
      <c r="B151" s="2" t="s">
        <v>14</v>
      </c>
      <c r="C151" s="23">
        <v>0</v>
      </c>
      <c r="D151" s="1">
        <v>0</v>
      </c>
      <c r="E151" s="1">
        <v>0</v>
      </c>
      <c r="F151" s="1">
        <v>0</v>
      </c>
      <c r="G151" s="1">
        <v>0</v>
      </c>
      <c r="H151" s="1">
        <v>0</v>
      </c>
      <c r="I151" s="1">
        <v>0</v>
      </c>
      <c r="J151" s="1">
        <v>3</v>
      </c>
      <c r="K151" s="1">
        <v>1</v>
      </c>
      <c r="L151" s="1">
        <v>0</v>
      </c>
      <c r="M151" s="1">
        <v>0</v>
      </c>
      <c r="N151" s="1">
        <v>0</v>
      </c>
      <c r="O151" s="24">
        <f t="shared" si="6"/>
        <v>4</v>
      </c>
      <c r="P151" s="23">
        <v>0</v>
      </c>
      <c r="Q151" s="1">
        <v>0</v>
      </c>
      <c r="R151" s="1">
        <v>0</v>
      </c>
      <c r="S151" s="1">
        <v>0</v>
      </c>
      <c r="T151" s="1">
        <v>0</v>
      </c>
      <c r="U151" s="1">
        <v>0</v>
      </c>
      <c r="V151" s="1">
        <v>0</v>
      </c>
      <c r="W151" s="1">
        <v>233</v>
      </c>
      <c r="X151" s="1">
        <v>49</v>
      </c>
      <c r="Y151" s="1">
        <v>0</v>
      </c>
      <c r="Z151" s="1">
        <v>0</v>
      </c>
      <c r="AA151" s="1">
        <v>0</v>
      </c>
      <c r="AB151" s="24">
        <f t="shared" si="7"/>
        <v>282</v>
      </c>
      <c r="AC151" s="23">
        <v>0</v>
      </c>
      <c r="AD151" s="1">
        <v>0</v>
      </c>
      <c r="AE151" s="1">
        <v>0</v>
      </c>
      <c r="AF151" s="1">
        <v>0</v>
      </c>
      <c r="AG151" s="1">
        <v>0</v>
      </c>
      <c r="AH151" s="1">
        <v>0</v>
      </c>
      <c r="AI151" s="1">
        <v>0</v>
      </c>
      <c r="AJ151" s="1">
        <v>0</v>
      </c>
      <c r="AK151" s="1">
        <v>0</v>
      </c>
      <c r="AL151" s="1">
        <v>0</v>
      </c>
      <c r="AM151" s="1">
        <v>0</v>
      </c>
      <c r="AN151" s="1">
        <v>0</v>
      </c>
      <c r="AO151" s="24">
        <f t="shared" si="8"/>
        <v>0</v>
      </c>
    </row>
    <row r="152" spans="1:41" ht="17.25" customHeight="1" x14ac:dyDescent="0.45">
      <c r="A152" s="12" t="s">
        <v>23</v>
      </c>
      <c r="B152" s="12" t="s">
        <v>32</v>
      </c>
      <c r="C152" s="25">
        <v>0</v>
      </c>
      <c r="D152" s="10">
        <v>2</v>
      </c>
      <c r="E152" s="10">
        <v>0</v>
      </c>
      <c r="F152" s="10">
        <v>1</v>
      </c>
      <c r="G152" s="10">
        <v>1</v>
      </c>
      <c r="H152" s="10">
        <v>0</v>
      </c>
      <c r="I152" s="10">
        <v>0</v>
      </c>
      <c r="J152" s="10">
        <v>0</v>
      </c>
      <c r="K152" s="10">
        <v>2</v>
      </c>
      <c r="L152" s="10">
        <v>10</v>
      </c>
      <c r="M152" s="10">
        <v>16</v>
      </c>
      <c r="N152" s="10">
        <v>15</v>
      </c>
      <c r="O152" s="26">
        <f t="shared" si="6"/>
        <v>47</v>
      </c>
      <c r="P152" s="25">
        <v>0</v>
      </c>
      <c r="Q152" s="10">
        <v>51</v>
      </c>
      <c r="R152" s="10">
        <v>0</v>
      </c>
      <c r="S152" s="10">
        <v>0</v>
      </c>
      <c r="T152" s="10">
        <v>0</v>
      </c>
      <c r="U152" s="10">
        <v>0</v>
      </c>
      <c r="V152" s="10">
        <v>0</v>
      </c>
      <c r="W152" s="10">
        <v>0</v>
      </c>
      <c r="X152" s="10">
        <v>0</v>
      </c>
      <c r="Y152" s="10">
        <v>0</v>
      </c>
      <c r="Z152" s="10">
        <v>0</v>
      </c>
      <c r="AA152" s="10">
        <v>33</v>
      </c>
      <c r="AB152" s="26">
        <f t="shared" si="7"/>
        <v>84</v>
      </c>
      <c r="AC152" s="25">
        <v>0</v>
      </c>
      <c r="AD152" s="10">
        <v>0</v>
      </c>
      <c r="AE152" s="10">
        <v>0</v>
      </c>
      <c r="AF152" s="10">
        <v>2880</v>
      </c>
      <c r="AG152" s="10">
        <v>2792</v>
      </c>
      <c r="AH152" s="10">
        <v>0</v>
      </c>
      <c r="AI152" s="10">
        <v>0</v>
      </c>
      <c r="AJ152" s="10">
        <v>0</v>
      </c>
      <c r="AK152" s="10">
        <v>5215</v>
      </c>
      <c r="AL152" s="10">
        <v>21581</v>
      </c>
      <c r="AM152" s="10">
        <v>30239</v>
      </c>
      <c r="AN152" s="10">
        <v>34156</v>
      </c>
      <c r="AO152" s="26">
        <f t="shared" si="8"/>
        <v>96863</v>
      </c>
    </row>
    <row r="153" spans="1:41" ht="17.25" customHeight="1" x14ac:dyDescent="0.45">
      <c r="A153" s="2" t="s">
        <v>23</v>
      </c>
      <c r="B153" s="2" t="s">
        <v>36</v>
      </c>
      <c r="C153" s="23">
        <v>19</v>
      </c>
      <c r="D153" s="1">
        <v>16</v>
      </c>
      <c r="E153" s="1">
        <v>15</v>
      </c>
      <c r="F153" s="1">
        <v>16</v>
      </c>
      <c r="G153" s="1">
        <v>17</v>
      </c>
      <c r="H153" s="1">
        <v>16</v>
      </c>
      <c r="I153" s="1">
        <v>16</v>
      </c>
      <c r="J153" s="1">
        <v>18</v>
      </c>
      <c r="K153" s="1">
        <v>13</v>
      </c>
      <c r="L153" s="1">
        <v>6</v>
      </c>
      <c r="M153" s="1">
        <v>2</v>
      </c>
      <c r="N153" s="1">
        <v>0</v>
      </c>
      <c r="O153" s="24">
        <f t="shared" si="6"/>
        <v>154</v>
      </c>
      <c r="P153" s="23">
        <v>0</v>
      </c>
      <c r="Q153" s="1">
        <v>0</v>
      </c>
      <c r="R153" s="1">
        <v>0</v>
      </c>
      <c r="S153" s="1">
        <v>0</v>
      </c>
      <c r="T153" s="1">
        <v>0</v>
      </c>
      <c r="U153" s="1">
        <v>0</v>
      </c>
      <c r="V153" s="1">
        <v>0</v>
      </c>
      <c r="W153" s="1">
        <v>0</v>
      </c>
      <c r="X153" s="1">
        <v>0</v>
      </c>
      <c r="Y153" s="1">
        <v>0</v>
      </c>
      <c r="Z153" s="1">
        <v>0</v>
      </c>
      <c r="AA153" s="1">
        <v>0</v>
      </c>
      <c r="AB153" s="24">
        <f t="shared" si="7"/>
        <v>0</v>
      </c>
      <c r="AC153" s="23">
        <v>47700</v>
      </c>
      <c r="AD153" s="1">
        <v>42662</v>
      </c>
      <c r="AE153" s="1">
        <v>43398</v>
      </c>
      <c r="AF153" s="1">
        <v>52747</v>
      </c>
      <c r="AG153" s="1">
        <v>51259</v>
      </c>
      <c r="AH153" s="1">
        <v>44217</v>
      </c>
      <c r="AI153" s="1">
        <v>47048</v>
      </c>
      <c r="AJ153" s="1">
        <v>38123</v>
      </c>
      <c r="AK153" s="1">
        <v>12906</v>
      </c>
      <c r="AL153" s="1">
        <v>20137</v>
      </c>
      <c r="AM153" s="1">
        <v>15376</v>
      </c>
      <c r="AN153" s="1">
        <v>0</v>
      </c>
      <c r="AO153" s="24">
        <f t="shared" si="8"/>
        <v>415573</v>
      </c>
    </row>
    <row r="154" spans="1:41" ht="17.25" customHeight="1" x14ac:dyDescent="0.45">
      <c r="A154" s="12" t="s">
        <v>24</v>
      </c>
      <c r="B154" s="12" t="s">
        <v>15</v>
      </c>
      <c r="C154" s="25">
        <v>0</v>
      </c>
      <c r="D154" s="10">
        <v>0</v>
      </c>
      <c r="E154" s="10">
        <v>0</v>
      </c>
      <c r="F154" s="10">
        <v>1</v>
      </c>
      <c r="G154" s="10">
        <v>0</v>
      </c>
      <c r="H154" s="10">
        <v>0</v>
      </c>
      <c r="I154" s="10">
        <v>0</v>
      </c>
      <c r="J154" s="10">
        <v>0</v>
      </c>
      <c r="K154" s="10">
        <v>0</v>
      </c>
      <c r="L154" s="10">
        <v>0</v>
      </c>
      <c r="M154" s="10">
        <v>0</v>
      </c>
      <c r="N154" s="10">
        <v>0</v>
      </c>
      <c r="O154" s="26">
        <f t="shared" si="6"/>
        <v>1</v>
      </c>
      <c r="P154" s="25">
        <v>0</v>
      </c>
      <c r="Q154" s="10">
        <v>0</v>
      </c>
      <c r="R154" s="10">
        <v>0</v>
      </c>
      <c r="S154" s="10">
        <v>33</v>
      </c>
      <c r="T154" s="10">
        <v>0</v>
      </c>
      <c r="U154" s="10">
        <v>0</v>
      </c>
      <c r="V154" s="10">
        <v>0</v>
      </c>
      <c r="W154" s="10">
        <v>0</v>
      </c>
      <c r="X154" s="10">
        <v>0</v>
      </c>
      <c r="Y154" s="10">
        <v>0</v>
      </c>
      <c r="Z154" s="10">
        <v>0</v>
      </c>
      <c r="AA154" s="10">
        <v>0</v>
      </c>
      <c r="AB154" s="26">
        <f t="shared" si="7"/>
        <v>33</v>
      </c>
      <c r="AC154" s="25">
        <v>0</v>
      </c>
      <c r="AD154" s="10">
        <v>0</v>
      </c>
      <c r="AE154" s="10">
        <v>0</v>
      </c>
      <c r="AF154" s="10">
        <v>0</v>
      </c>
      <c r="AG154" s="10">
        <v>0</v>
      </c>
      <c r="AH154" s="10">
        <v>0</v>
      </c>
      <c r="AI154" s="10">
        <v>0</v>
      </c>
      <c r="AJ154" s="10">
        <v>0</v>
      </c>
      <c r="AK154" s="10">
        <v>0</v>
      </c>
      <c r="AL154" s="10">
        <v>0</v>
      </c>
      <c r="AM154" s="10">
        <v>0</v>
      </c>
      <c r="AN154" s="10">
        <v>0</v>
      </c>
      <c r="AO154" s="26">
        <f t="shared" si="8"/>
        <v>0</v>
      </c>
    </row>
    <row r="155" spans="1:41" ht="17.25" customHeight="1" x14ac:dyDescent="0.45">
      <c r="A155" s="2" t="s">
        <v>24</v>
      </c>
      <c r="B155" s="2" t="s">
        <v>32</v>
      </c>
      <c r="C155" s="23">
        <v>0</v>
      </c>
      <c r="D155" s="1">
        <v>0</v>
      </c>
      <c r="E155" s="1">
        <v>0</v>
      </c>
      <c r="F155" s="1">
        <v>0</v>
      </c>
      <c r="G155" s="1">
        <v>0</v>
      </c>
      <c r="H155" s="1">
        <v>0</v>
      </c>
      <c r="I155" s="1">
        <v>0</v>
      </c>
      <c r="J155" s="1">
        <v>1</v>
      </c>
      <c r="K155" s="1">
        <v>1</v>
      </c>
      <c r="L155" s="1">
        <v>0</v>
      </c>
      <c r="M155" s="1">
        <v>0</v>
      </c>
      <c r="N155" s="1">
        <v>0</v>
      </c>
      <c r="O155" s="24">
        <f t="shared" si="6"/>
        <v>2</v>
      </c>
      <c r="P155" s="23">
        <v>0</v>
      </c>
      <c r="Q155" s="1">
        <v>0</v>
      </c>
      <c r="R155" s="1">
        <v>0</v>
      </c>
      <c r="S155" s="1">
        <v>0</v>
      </c>
      <c r="T155" s="1">
        <v>0</v>
      </c>
      <c r="U155" s="1">
        <v>0</v>
      </c>
      <c r="V155" s="1">
        <v>0</v>
      </c>
      <c r="W155" s="1">
        <v>47</v>
      </c>
      <c r="X155" s="1">
        <v>36</v>
      </c>
      <c r="Y155" s="1">
        <v>0</v>
      </c>
      <c r="Z155" s="1">
        <v>0</v>
      </c>
      <c r="AA155" s="1">
        <v>0</v>
      </c>
      <c r="AB155" s="24">
        <f t="shared" si="7"/>
        <v>83</v>
      </c>
      <c r="AC155" s="23">
        <v>0</v>
      </c>
      <c r="AD155" s="1">
        <v>0</v>
      </c>
      <c r="AE155" s="1">
        <v>0</v>
      </c>
      <c r="AF155" s="1">
        <v>0</v>
      </c>
      <c r="AG155" s="1">
        <v>0</v>
      </c>
      <c r="AH155" s="1">
        <v>0</v>
      </c>
      <c r="AI155" s="1">
        <v>0</v>
      </c>
      <c r="AJ155" s="1">
        <v>0</v>
      </c>
      <c r="AK155" s="1">
        <v>0</v>
      </c>
      <c r="AL155" s="1">
        <v>0</v>
      </c>
      <c r="AM155" s="1">
        <v>0</v>
      </c>
      <c r="AN155" s="1">
        <v>0</v>
      </c>
      <c r="AO155" s="24">
        <f t="shared" si="8"/>
        <v>0</v>
      </c>
    </row>
    <row r="156" spans="1:41" ht="17.25" customHeight="1" x14ac:dyDescent="0.45">
      <c r="A156" s="12" t="s">
        <v>12</v>
      </c>
      <c r="B156" s="12" t="s">
        <v>11</v>
      </c>
      <c r="C156" s="25">
        <v>0</v>
      </c>
      <c r="D156" s="10">
        <v>0</v>
      </c>
      <c r="E156" s="10">
        <v>0</v>
      </c>
      <c r="F156" s="10">
        <v>0</v>
      </c>
      <c r="G156" s="10">
        <v>0</v>
      </c>
      <c r="H156" s="10">
        <v>0</v>
      </c>
      <c r="I156" s="10">
        <v>0</v>
      </c>
      <c r="J156" s="10">
        <v>0</v>
      </c>
      <c r="K156" s="10">
        <v>0</v>
      </c>
      <c r="L156" s="10">
        <v>0</v>
      </c>
      <c r="M156" s="10">
        <v>1</v>
      </c>
      <c r="N156" s="10">
        <v>0</v>
      </c>
      <c r="O156" s="26">
        <f t="shared" si="6"/>
        <v>1</v>
      </c>
      <c r="P156" s="25">
        <v>0</v>
      </c>
      <c r="Q156" s="10">
        <v>0</v>
      </c>
      <c r="R156" s="10">
        <v>0</v>
      </c>
      <c r="S156" s="10">
        <v>0</v>
      </c>
      <c r="T156" s="10">
        <v>0</v>
      </c>
      <c r="U156" s="10">
        <v>0</v>
      </c>
      <c r="V156" s="10">
        <v>0</v>
      </c>
      <c r="W156" s="10">
        <v>0</v>
      </c>
      <c r="X156" s="10">
        <v>0</v>
      </c>
      <c r="Y156" s="10">
        <v>0</v>
      </c>
      <c r="Z156" s="10">
        <v>156</v>
      </c>
      <c r="AA156" s="10">
        <v>0</v>
      </c>
      <c r="AB156" s="26">
        <f t="shared" si="7"/>
        <v>156</v>
      </c>
      <c r="AC156" s="25">
        <v>0</v>
      </c>
      <c r="AD156" s="10">
        <v>0</v>
      </c>
      <c r="AE156" s="10">
        <v>0</v>
      </c>
      <c r="AF156" s="10">
        <v>0</v>
      </c>
      <c r="AG156" s="10">
        <v>0</v>
      </c>
      <c r="AH156" s="10">
        <v>0</v>
      </c>
      <c r="AI156" s="10">
        <v>0</v>
      </c>
      <c r="AJ156" s="10">
        <v>0</v>
      </c>
      <c r="AK156" s="10">
        <v>0</v>
      </c>
      <c r="AL156" s="10">
        <v>0</v>
      </c>
      <c r="AM156" s="10">
        <v>0</v>
      </c>
      <c r="AN156" s="10">
        <v>0</v>
      </c>
      <c r="AO156" s="26">
        <f t="shared" si="8"/>
        <v>0</v>
      </c>
    </row>
    <row r="157" spans="1:41" ht="17.25" customHeight="1" x14ac:dyDescent="0.45">
      <c r="A157" s="2" t="s">
        <v>12</v>
      </c>
      <c r="B157" s="2" t="s">
        <v>38</v>
      </c>
      <c r="C157" s="23">
        <v>0</v>
      </c>
      <c r="D157" s="1">
        <v>0</v>
      </c>
      <c r="E157" s="1">
        <v>1</v>
      </c>
      <c r="F157" s="1">
        <v>0</v>
      </c>
      <c r="G157" s="1">
        <v>0</v>
      </c>
      <c r="H157" s="1">
        <v>0</v>
      </c>
      <c r="I157" s="1">
        <v>0</v>
      </c>
      <c r="J157" s="1">
        <v>0</v>
      </c>
      <c r="K157" s="1">
        <v>0</v>
      </c>
      <c r="L157" s="1">
        <v>0</v>
      </c>
      <c r="M157" s="1">
        <v>0</v>
      </c>
      <c r="N157" s="1">
        <v>0</v>
      </c>
      <c r="O157" s="24">
        <f t="shared" si="6"/>
        <v>1</v>
      </c>
      <c r="P157" s="23">
        <v>0</v>
      </c>
      <c r="Q157" s="1">
        <v>0</v>
      </c>
      <c r="R157" s="1">
        <v>5</v>
      </c>
      <c r="S157" s="1">
        <v>0</v>
      </c>
      <c r="T157" s="1">
        <v>0</v>
      </c>
      <c r="U157" s="1">
        <v>0</v>
      </c>
      <c r="V157" s="1">
        <v>0</v>
      </c>
      <c r="W157" s="1">
        <v>0</v>
      </c>
      <c r="X157" s="1">
        <v>0</v>
      </c>
      <c r="Y157" s="1">
        <v>0</v>
      </c>
      <c r="Z157" s="1">
        <v>0</v>
      </c>
      <c r="AA157" s="1">
        <v>0</v>
      </c>
      <c r="AB157" s="24">
        <f t="shared" si="7"/>
        <v>5</v>
      </c>
      <c r="AC157" s="23">
        <v>0</v>
      </c>
      <c r="AD157" s="1">
        <v>0</v>
      </c>
      <c r="AE157" s="1">
        <v>0</v>
      </c>
      <c r="AF157" s="1">
        <v>0</v>
      </c>
      <c r="AG157" s="1">
        <v>0</v>
      </c>
      <c r="AH157" s="1">
        <v>0</v>
      </c>
      <c r="AI157" s="1">
        <v>0</v>
      </c>
      <c r="AJ157" s="1">
        <v>0</v>
      </c>
      <c r="AK157" s="1">
        <v>0</v>
      </c>
      <c r="AL157" s="1">
        <v>0</v>
      </c>
      <c r="AM157" s="1">
        <v>0</v>
      </c>
      <c r="AN157" s="1">
        <v>0</v>
      </c>
      <c r="AO157" s="24">
        <f t="shared" si="8"/>
        <v>0</v>
      </c>
    </row>
    <row r="158" spans="1:41" ht="17.25" customHeight="1" x14ac:dyDescent="0.45">
      <c r="A158" s="12" t="s">
        <v>12</v>
      </c>
      <c r="B158" s="12" t="s">
        <v>13</v>
      </c>
      <c r="C158" s="25">
        <v>12</v>
      </c>
      <c r="D158" s="10">
        <v>1</v>
      </c>
      <c r="E158" s="10">
        <v>0</v>
      </c>
      <c r="F158" s="10">
        <v>0</v>
      </c>
      <c r="G158" s="10">
        <v>0</v>
      </c>
      <c r="H158" s="10">
        <v>0</v>
      </c>
      <c r="I158" s="10">
        <v>0</v>
      </c>
      <c r="J158" s="10">
        <v>0</v>
      </c>
      <c r="K158" s="10">
        <v>0</v>
      </c>
      <c r="L158" s="10">
        <v>0</v>
      </c>
      <c r="M158" s="10">
        <v>1</v>
      </c>
      <c r="N158" s="10">
        <v>0</v>
      </c>
      <c r="O158" s="26">
        <f t="shared" si="6"/>
        <v>14</v>
      </c>
      <c r="P158" s="25">
        <v>60</v>
      </c>
      <c r="Q158" s="10">
        <v>5</v>
      </c>
      <c r="R158" s="10">
        <v>0</v>
      </c>
      <c r="S158" s="10">
        <v>0</v>
      </c>
      <c r="T158" s="10">
        <v>0</v>
      </c>
      <c r="U158" s="10">
        <v>0</v>
      </c>
      <c r="V158" s="10">
        <v>0</v>
      </c>
      <c r="W158" s="10">
        <v>0</v>
      </c>
      <c r="X158" s="10">
        <v>0</v>
      </c>
      <c r="Y158" s="10">
        <v>0</v>
      </c>
      <c r="Z158" s="10">
        <v>166</v>
      </c>
      <c r="AA158" s="10">
        <v>0</v>
      </c>
      <c r="AB158" s="26">
        <f t="shared" si="7"/>
        <v>231</v>
      </c>
      <c r="AC158" s="25">
        <v>0</v>
      </c>
      <c r="AD158" s="10">
        <v>0</v>
      </c>
      <c r="AE158" s="10">
        <v>0</v>
      </c>
      <c r="AF158" s="10">
        <v>0</v>
      </c>
      <c r="AG158" s="10">
        <v>0</v>
      </c>
      <c r="AH158" s="10">
        <v>0</v>
      </c>
      <c r="AI158" s="10">
        <v>0</v>
      </c>
      <c r="AJ158" s="10">
        <v>0</v>
      </c>
      <c r="AK158" s="10">
        <v>0</v>
      </c>
      <c r="AL158" s="10">
        <v>0</v>
      </c>
      <c r="AM158" s="10">
        <v>0</v>
      </c>
      <c r="AN158" s="10">
        <v>0</v>
      </c>
      <c r="AO158" s="26">
        <f t="shared" si="8"/>
        <v>0</v>
      </c>
    </row>
    <row r="159" spans="1:41" ht="17.25" customHeight="1" x14ac:dyDescent="0.45">
      <c r="A159" s="2" t="s">
        <v>12</v>
      </c>
      <c r="B159" s="2" t="s">
        <v>26</v>
      </c>
      <c r="C159" s="23">
        <v>0</v>
      </c>
      <c r="D159" s="1">
        <v>0</v>
      </c>
      <c r="E159" s="1">
        <v>0</v>
      </c>
      <c r="F159" s="1">
        <v>0</v>
      </c>
      <c r="G159" s="1">
        <v>0</v>
      </c>
      <c r="H159" s="1">
        <v>0</v>
      </c>
      <c r="I159" s="1">
        <v>0</v>
      </c>
      <c r="J159" s="1">
        <v>0</v>
      </c>
      <c r="K159" s="1">
        <v>0</v>
      </c>
      <c r="L159" s="1">
        <v>1</v>
      </c>
      <c r="M159" s="1">
        <v>0</v>
      </c>
      <c r="N159" s="1">
        <v>0</v>
      </c>
      <c r="O159" s="24">
        <f t="shared" si="6"/>
        <v>1</v>
      </c>
      <c r="P159" s="23">
        <v>0</v>
      </c>
      <c r="Q159" s="1">
        <v>0</v>
      </c>
      <c r="R159" s="1">
        <v>0</v>
      </c>
      <c r="S159" s="1">
        <v>0</v>
      </c>
      <c r="T159" s="1">
        <v>0</v>
      </c>
      <c r="U159" s="1">
        <v>0</v>
      </c>
      <c r="V159" s="1">
        <v>0</v>
      </c>
      <c r="W159" s="1">
        <v>0</v>
      </c>
      <c r="X159" s="1">
        <v>0</v>
      </c>
      <c r="Y159" s="1">
        <v>74</v>
      </c>
      <c r="Z159" s="1">
        <v>0</v>
      </c>
      <c r="AA159" s="1">
        <v>0</v>
      </c>
      <c r="AB159" s="24">
        <f t="shared" si="7"/>
        <v>74</v>
      </c>
      <c r="AC159" s="23">
        <v>0</v>
      </c>
      <c r="AD159" s="1">
        <v>0</v>
      </c>
      <c r="AE159" s="1">
        <v>0</v>
      </c>
      <c r="AF159" s="1">
        <v>0</v>
      </c>
      <c r="AG159" s="1">
        <v>0</v>
      </c>
      <c r="AH159" s="1">
        <v>0</v>
      </c>
      <c r="AI159" s="1">
        <v>0</v>
      </c>
      <c r="AJ159" s="1">
        <v>0</v>
      </c>
      <c r="AK159" s="1">
        <v>0</v>
      </c>
      <c r="AL159" s="1">
        <v>0</v>
      </c>
      <c r="AM159" s="1">
        <v>0</v>
      </c>
      <c r="AN159" s="1">
        <v>0</v>
      </c>
      <c r="AO159" s="24">
        <f t="shared" si="8"/>
        <v>0</v>
      </c>
    </row>
    <row r="160" spans="1:41" ht="17.25" customHeight="1" x14ac:dyDescent="0.45">
      <c r="A160" s="12" t="s">
        <v>12</v>
      </c>
      <c r="B160" s="12" t="s">
        <v>60</v>
      </c>
      <c r="C160" s="25">
        <v>3</v>
      </c>
      <c r="D160" s="10">
        <v>0</v>
      </c>
      <c r="E160" s="10">
        <v>0</v>
      </c>
      <c r="F160" s="10">
        <v>0</v>
      </c>
      <c r="G160" s="10">
        <v>0</v>
      </c>
      <c r="H160" s="10">
        <v>0</v>
      </c>
      <c r="I160" s="10">
        <v>0</v>
      </c>
      <c r="J160" s="10">
        <v>0</v>
      </c>
      <c r="K160" s="10">
        <v>0</v>
      </c>
      <c r="L160" s="10">
        <v>0</v>
      </c>
      <c r="M160" s="10">
        <v>0</v>
      </c>
      <c r="N160" s="10">
        <v>0</v>
      </c>
      <c r="O160" s="26">
        <f t="shared" si="6"/>
        <v>3</v>
      </c>
      <c r="P160" s="25">
        <v>11</v>
      </c>
      <c r="Q160" s="10">
        <v>0</v>
      </c>
      <c r="R160" s="10">
        <v>0</v>
      </c>
      <c r="S160" s="10">
        <v>0</v>
      </c>
      <c r="T160" s="10">
        <v>0</v>
      </c>
      <c r="U160" s="10">
        <v>0</v>
      </c>
      <c r="V160" s="10">
        <v>0</v>
      </c>
      <c r="W160" s="10">
        <v>0</v>
      </c>
      <c r="X160" s="10">
        <v>0</v>
      </c>
      <c r="Y160" s="10">
        <v>0</v>
      </c>
      <c r="Z160" s="10">
        <v>0</v>
      </c>
      <c r="AA160" s="10">
        <v>0</v>
      </c>
      <c r="AB160" s="26">
        <f t="shared" si="7"/>
        <v>11</v>
      </c>
      <c r="AC160" s="25">
        <v>0</v>
      </c>
      <c r="AD160" s="10">
        <v>0</v>
      </c>
      <c r="AE160" s="10">
        <v>0</v>
      </c>
      <c r="AF160" s="10">
        <v>0</v>
      </c>
      <c r="AG160" s="10">
        <v>0</v>
      </c>
      <c r="AH160" s="10">
        <v>0</v>
      </c>
      <c r="AI160" s="10">
        <v>0</v>
      </c>
      <c r="AJ160" s="10">
        <v>0</v>
      </c>
      <c r="AK160" s="10">
        <v>0</v>
      </c>
      <c r="AL160" s="10">
        <v>0</v>
      </c>
      <c r="AM160" s="10">
        <v>0</v>
      </c>
      <c r="AN160" s="10">
        <v>0</v>
      </c>
      <c r="AO160" s="26">
        <f t="shared" si="8"/>
        <v>0</v>
      </c>
    </row>
    <row r="161" spans="1:41" ht="17.25" customHeight="1" x14ac:dyDescent="0.45">
      <c r="A161" s="2" t="s">
        <v>12</v>
      </c>
      <c r="B161" s="2" t="s">
        <v>29</v>
      </c>
      <c r="C161" s="23">
        <v>3</v>
      </c>
      <c r="D161" s="1">
        <v>0</v>
      </c>
      <c r="E161" s="1">
        <v>0</v>
      </c>
      <c r="F161" s="1">
        <v>0</v>
      </c>
      <c r="G161" s="1">
        <v>0</v>
      </c>
      <c r="H161" s="1">
        <v>0</v>
      </c>
      <c r="I161" s="1">
        <v>0</v>
      </c>
      <c r="J161" s="1">
        <v>0</v>
      </c>
      <c r="K161" s="1">
        <v>0</v>
      </c>
      <c r="L161" s="1">
        <v>0</v>
      </c>
      <c r="M161" s="1">
        <v>0</v>
      </c>
      <c r="N161" s="1">
        <v>0</v>
      </c>
      <c r="O161" s="24">
        <f t="shared" si="6"/>
        <v>3</v>
      </c>
      <c r="P161" s="23">
        <v>15</v>
      </c>
      <c r="Q161" s="1">
        <v>0</v>
      </c>
      <c r="R161" s="1">
        <v>0</v>
      </c>
      <c r="S161" s="1">
        <v>0</v>
      </c>
      <c r="T161" s="1">
        <v>0</v>
      </c>
      <c r="U161" s="1">
        <v>0</v>
      </c>
      <c r="V161" s="1">
        <v>0</v>
      </c>
      <c r="W161" s="1">
        <v>0</v>
      </c>
      <c r="X161" s="1">
        <v>0</v>
      </c>
      <c r="Y161" s="1">
        <v>0</v>
      </c>
      <c r="Z161" s="1">
        <v>0</v>
      </c>
      <c r="AA161" s="1">
        <v>0</v>
      </c>
      <c r="AB161" s="24">
        <f t="shared" si="7"/>
        <v>15</v>
      </c>
      <c r="AC161" s="23">
        <v>0</v>
      </c>
      <c r="AD161" s="1">
        <v>0</v>
      </c>
      <c r="AE161" s="1">
        <v>0</v>
      </c>
      <c r="AF161" s="1">
        <v>0</v>
      </c>
      <c r="AG161" s="1">
        <v>0</v>
      </c>
      <c r="AH161" s="1">
        <v>0</v>
      </c>
      <c r="AI161" s="1">
        <v>0</v>
      </c>
      <c r="AJ161" s="1">
        <v>0</v>
      </c>
      <c r="AK161" s="1">
        <v>0</v>
      </c>
      <c r="AL161" s="1">
        <v>0</v>
      </c>
      <c r="AM161" s="1">
        <v>0</v>
      </c>
      <c r="AN161" s="1">
        <v>0</v>
      </c>
      <c r="AO161" s="24">
        <f t="shared" si="8"/>
        <v>0</v>
      </c>
    </row>
    <row r="162" spans="1:41" ht="17.25" customHeight="1" x14ac:dyDescent="0.45">
      <c r="A162" s="12" t="s">
        <v>12</v>
      </c>
      <c r="B162" s="12" t="s">
        <v>14</v>
      </c>
      <c r="C162" s="25">
        <v>18</v>
      </c>
      <c r="D162" s="10">
        <v>1</v>
      </c>
      <c r="E162" s="10">
        <v>0</v>
      </c>
      <c r="F162" s="10">
        <v>0</v>
      </c>
      <c r="G162" s="10">
        <v>0</v>
      </c>
      <c r="H162" s="10">
        <v>0</v>
      </c>
      <c r="I162" s="10">
        <v>0</v>
      </c>
      <c r="J162" s="10">
        <v>0</v>
      </c>
      <c r="K162" s="10">
        <v>0</v>
      </c>
      <c r="L162" s="10">
        <v>0</v>
      </c>
      <c r="M162" s="10">
        <v>0</v>
      </c>
      <c r="N162" s="10">
        <v>0</v>
      </c>
      <c r="O162" s="26">
        <f t="shared" si="6"/>
        <v>19</v>
      </c>
      <c r="P162" s="25">
        <v>68</v>
      </c>
      <c r="Q162" s="10">
        <v>5</v>
      </c>
      <c r="R162" s="10">
        <v>0</v>
      </c>
      <c r="S162" s="10">
        <v>0</v>
      </c>
      <c r="T162" s="10">
        <v>0</v>
      </c>
      <c r="U162" s="10">
        <v>0</v>
      </c>
      <c r="V162" s="10">
        <v>0</v>
      </c>
      <c r="W162" s="10">
        <v>0</v>
      </c>
      <c r="X162" s="10">
        <v>0</v>
      </c>
      <c r="Y162" s="10">
        <v>0</v>
      </c>
      <c r="Z162" s="10">
        <v>0</v>
      </c>
      <c r="AA162" s="10">
        <v>0</v>
      </c>
      <c r="AB162" s="26">
        <f t="shared" si="7"/>
        <v>73</v>
      </c>
      <c r="AC162" s="25">
        <v>0</v>
      </c>
      <c r="AD162" s="10">
        <v>0</v>
      </c>
      <c r="AE162" s="10">
        <v>0</v>
      </c>
      <c r="AF162" s="10">
        <v>0</v>
      </c>
      <c r="AG162" s="10">
        <v>0</v>
      </c>
      <c r="AH162" s="10">
        <v>0</v>
      </c>
      <c r="AI162" s="10">
        <v>0</v>
      </c>
      <c r="AJ162" s="10">
        <v>0</v>
      </c>
      <c r="AK162" s="10">
        <v>0</v>
      </c>
      <c r="AL162" s="10">
        <v>0</v>
      </c>
      <c r="AM162" s="10">
        <v>0</v>
      </c>
      <c r="AN162" s="10">
        <v>0</v>
      </c>
      <c r="AO162" s="26">
        <f t="shared" si="8"/>
        <v>0</v>
      </c>
    </row>
    <row r="163" spans="1:41" ht="17.25" customHeight="1" x14ac:dyDescent="0.45">
      <c r="A163" s="2" t="s">
        <v>12</v>
      </c>
      <c r="B163" s="2" t="s">
        <v>31</v>
      </c>
      <c r="C163" s="23">
        <v>1</v>
      </c>
      <c r="D163" s="1">
        <v>0</v>
      </c>
      <c r="E163" s="1">
        <v>0</v>
      </c>
      <c r="F163" s="1">
        <v>0</v>
      </c>
      <c r="G163" s="1">
        <v>0</v>
      </c>
      <c r="H163" s="1">
        <v>0</v>
      </c>
      <c r="I163" s="1">
        <v>0</v>
      </c>
      <c r="J163" s="1">
        <v>0</v>
      </c>
      <c r="K163" s="1">
        <v>0</v>
      </c>
      <c r="L163" s="1">
        <v>0</v>
      </c>
      <c r="M163" s="1">
        <v>0</v>
      </c>
      <c r="N163" s="1">
        <v>0</v>
      </c>
      <c r="O163" s="24">
        <f t="shared" si="6"/>
        <v>1</v>
      </c>
      <c r="P163" s="23">
        <v>5</v>
      </c>
      <c r="Q163" s="1">
        <v>0</v>
      </c>
      <c r="R163" s="1">
        <v>0</v>
      </c>
      <c r="S163" s="1">
        <v>0</v>
      </c>
      <c r="T163" s="1">
        <v>0</v>
      </c>
      <c r="U163" s="1">
        <v>0</v>
      </c>
      <c r="V163" s="1">
        <v>0</v>
      </c>
      <c r="W163" s="1">
        <v>0</v>
      </c>
      <c r="X163" s="1">
        <v>0</v>
      </c>
      <c r="Y163" s="1">
        <v>0</v>
      </c>
      <c r="Z163" s="1">
        <v>0</v>
      </c>
      <c r="AA163" s="1">
        <v>0</v>
      </c>
      <c r="AB163" s="24">
        <f t="shared" si="7"/>
        <v>5</v>
      </c>
      <c r="AC163" s="23">
        <v>0</v>
      </c>
      <c r="AD163" s="1">
        <v>0</v>
      </c>
      <c r="AE163" s="1">
        <v>0</v>
      </c>
      <c r="AF163" s="1">
        <v>0</v>
      </c>
      <c r="AG163" s="1">
        <v>0</v>
      </c>
      <c r="AH163" s="1">
        <v>0</v>
      </c>
      <c r="AI163" s="1">
        <v>0</v>
      </c>
      <c r="AJ163" s="1">
        <v>0</v>
      </c>
      <c r="AK163" s="1">
        <v>0</v>
      </c>
      <c r="AL163" s="1">
        <v>0</v>
      </c>
      <c r="AM163" s="1">
        <v>0</v>
      </c>
      <c r="AN163" s="1">
        <v>0</v>
      </c>
      <c r="AO163" s="24">
        <f t="shared" si="8"/>
        <v>0</v>
      </c>
    </row>
    <row r="164" spans="1:41" ht="17.25" customHeight="1" x14ac:dyDescent="0.45">
      <c r="A164" s="12" t="s">
        <v>12</v>
      </c>
      <c r="B164" s="12" t="s">
        <v>15</v>
      </c>
      <c r="C164" s="25">
        <v>2</v>
      </c>
      <c r="D164" s="10">
        <v>4</v>
      </c>
      <c r="E164" s="10">
        <v>1</v>
      </c>
      <c r="F164" s="10">
        <v>0</v>
      </c>
      <c r="G164" s="10">
        <v>0</v>
      </c>
      <c r="H164" s="10">
        <v>0</v>
      </c>
      <c r="I164" s="10">
        <v>0</v>
      </c>
      <c r="J164" s="10">
        <v>0</v>
      </c>
      <c r="K164" s="10">
        <v>0</v>
      </c>
      <c r="L164" s="10">
        <v>0</v>
      </c>
      <c r="M164" s="10">
        <v>0</v>
      </c>
      <c r="N164" s="10">
        <v>0</v>
      </c>
      <c r="O164" s="26">
        <f t="shared" si="6"/>
        <v>7</v>
      </c>
      <c r="P164" s="25">
        <v>10</v>
      </c>
      <c r="Q164" s="10">
        <v>20</v>
      </c>
      <c r="R164" s="10">
        <v>5</v>
      </c>
      <c r="S164" s="10">
        <v>0</v>
      </c>
      <c r="T164" s="10">
        <v>0</v>
      </c>
      <c r="U164" s="10">
        <v>0</v>
      </c>
      <c r="V164" s="10">
        <v>0</v>
      </c>
      <c r="W164" s="10">
        <v>0</v>
      </c>
      <c r="X164" s="10">
        <v>0</v>
      </c>
      <c r="Y164" s="10">
        <v>0</v>
      </c>
      <c r="Z164" s="10">
        <v>0</v>
      </c>
      <c r="AA164" s="10">
        <v>0</v>
      </c>
      <c r="AB164" s="26">
        <f t="shared" si="7"/>
        <v>35</v>
      </c>
      <c r="AC164" s="25">
        <v>0</v>
      </c>
      <c r="AD164" s="10">
        <v>0</v>
      </c>
      <c r="AE164" s="10">
        <v>0</v>
      </c>
      <c r="AF164" s="10">
        <v>0</v>
      </c>
      <c r="AG164" s="10">
        <v>0</v>
      </c>
      <c r="AH164" s="10">
        <v>0</v>
      </c>
      <c r="AI164" s="10">
        <v>0</v>
      </c>
      <c r="AJ164" s="10">
        <v>0</v>
      </c>
      <c r="AK164" s="10">
        <v>0</v>
      </c>
      <c r="AL164" s="10">
        <v>0</v>
      </c>
      <c r="AM164" s="10">
        <v>0</v>
      </c>
      <c r="AN164" s="10">
        <v>0</v>
      </c>
      <c r="AO164" s="26">
        <f t="shared" si="8"/>
        <v>0</v>
      </c>
    </row>
    <row r="165" spans="1:41" ht="17.25" customHeight="1" x14ac:dyDescent="0.45">
      <c r="A165" s="2" t="s">
        <v>58</v>
      </c>
      <c r="B165" s="2" t="s">
        <v>32</v>
      </c>
      <c r="C165" s="23">
        <v>0</v>
      </c>
      <c r="D165" s="1">
        <v>1</v>
      </c>
      <c r="E165" s="1">
        <v>1</v>
      </c>
      <c r="F165" s="1">
        <v>0</v>
      </c>
      <c r="G165" s="1">
        <v>0</v>
      </c>
      <c r="H165" s="1">
        <v>0</v>
      </c>
      <c r="I165" s="1">
        <v>0</v>
      </c>
      <c r="J165" s="1">
        <v>1</v>
      </c>
      <c r="K165" s="1">
        <v>0</v>
      </c>
      <c r="L165" s="1">
        <v>0</v>
      </c>
      <c r="M165" s="1">
        <v>0</v>
      </c>
      <c r="N165" s="1">
        <v>0</v>
      </c>
      <c r="O165" s="24">
        <f t="shared" si="6"/>
        <v>3</v>
      </c>
      <c r="P165" s="23">
        <v>0</v>
      </c>
      <c r="Q165" s="1">
        <v>48</v>
      </c>
      <c r="R165" s="1">
        <v>30</v>
      </c>
      <c r="S165" s="1">
        <v>0</v>
      </c>
      <c r="T165" s="1">
        <v>0</v>
      </c>
      <c r="U165" s="1">
        <v>0</v>
      </c>
      <c r="V165" s="1">
        <v>0</v>
      </c>
      <c r="W165" s="1">
        <v>23</v>
      </c>
      <c r="X165" s="1">
        <v>0</v>
      </c>
      <c r="Y165" s="1">
        <v>0</v>
      </c>
      <c r="Z165" s="1">
        <v>0</v>
      </c>
      <c r="AA165" s="1">
        <v>0</v>
      </c>
      <c r="AB165" s="24">
        <f t="shared" si="7"/>
        <v>101</v>
      </c>
      <c r="AC165" s="23">
        <v>0</v>
      </c>
      <c r="AD165" s="1">
        <v>0</v>
      </c>
      <c r="AE165" s="1">
        <v>0</v>
      </c>
      <c r="AF165" s="1">
        <v>0</v>
      </c>
      <c r="AG165" s="1">
        <v>0</v>
      </c>
      <c r="AH165" s="1">
        <v>0</v>
      </c>
      <c r="AI165" s="1">
        <v>0</v>
      </c>
      <c r="AJ165" s="1">
        <v>0</v>
      </c>
      <c r="AK165" s="1">
        <v>0</v>
      </c>
      <c r="AL165" s="1">
        <v>0</v>
      </c>
      <c r="AM165" s="1">
        <v>0</v>
      </c>
      <c r="AN165" s="1">
        <v>0</v>
      </c>
      <c r="AO165" s="24">
        <f t="shared" si="8"/>
        <v>0</v>
      </c>
    </row>
    <row r="166" spans="1:41" ht="17.25" customHeight="1" x14ac:dyDescent="0.45">
      <c r="A166" s="12" t="s">
        <v>13</v>
      </c>
      <c r="B166" s="12" t="s">
        <v>19</v>
      </c>
      <c r="C166" s="25">
        <v>0</v>
      </c>
      <c r="D166" s="10">
        <v>0</v>
      </c>
      <c r="E166" s="10">
        <v>0</v>
      </c>
      <c r="F166" s="10">
        <v>0</v>
      </c>
      <c r="G166" s="10">
        <v>15</v>
      </c>
      <c r="H166" s="10">
        <v>4</v>
      </c>
      <c r="I166" s="10">
        <v>0</v>
      </c>
      <c r="J166" s="10">
        <v>1</v>
      </c>
      <c r="K166" s="10">
        <v>2</v>
      </c>
      <c r="L166" s="10">
        <v>0</v>
      </c>
      <c r="M166" s="10">
        <v>30</v>
      </c>
      <c r="N166" s="10">
        <v>14</v>
      </c>
      <c r="O166" s="26">
        <f t="shared" si="6"/>
        <v>66</v>
      </c>
      <c r="P166" s="25">
        <v>0</v>
      </c>
      <c r="Q166" s="10">
        <v>0</v>
      </c>
      <c r="R166" s="10">
        <v>0</v>
      </c>
      <c r="S166" s="10">
        <v>0</v>
      </c>
      <c r="T166" s="10">
        <v>32</v>
      </c>
      <c r="U166" s="10">
        <v>0</v>
      </c>
      <c r="V166" s="10">
        <v>0</v>
      </c>
      <c r="W166" s="10">
        <v>0</v>
      </c>
      <c r="X166" s="10">
        <v>136</v>
      </c>
      <c r="Y166" s="10">
        <v>0</v>
      </c>
      <c r="Z166" s="10">
        <v>0</v>
      </c>
      <c r="AA166" s="10">
        <v>0</v>
      </c>
      <c r="AB166" s="26">
        <f t="shared" si="7"/>
        <v>168</v>
      </c>
      <c r="AC166" s="25">
        <v>0</v>
      </c>
      <c r="AD166" s="10">
        <v>0</v>
      </c>
      <c r="AE166" s="10">
        <v>0</v>
      </c>
      <c r="AF166" s="10">
        <v>0</v>
      </c>
      <c r="AG166" s="10">
        <v>1211</v>
      </c>
      <c r="AH166" s="10">
        <v>17925</v>
      </c>
      <c r="AI166" s="10">
        <v>0</v>
      </c>
      <c r="AJ166" s="10">
        <v>6218</v>
      </c>
      <c r="AK166" s="10">
        <v>4212</v>
      </c>
      <c r="AL166" s="10">
        <v>0</v>
      </c>
      <c r="AM166" s="10">
        <v>165482</v>
      </c>
      <c r="AN166" s="10">
        <v>89573</v>
      </c>
      <c r="AO166" s="26">
        <f t="shared" si="8"/>
        <v>284621</v>
      </c>
    </row>
    <row r="167" spans="1:41" ht="17.25" customHeight="1" x14ac:dyDescent="0.45">
      <c r="A167" s="2" t="s">
        <v>13</v>
      </c>
      <c r="B167" s="2" t="s">
        <v>20</v>
      </c>
      <c r="C167" s="23">
        <v>10</v>
      </c>
      <c r="D167" s="1">
        <v>12</v>
      </c>
      <c r="E167" s="1">
        <v>14</v>
      </c>
      <c r="F167" s="1">
        <v>23</v>
      </c>
      <c r="G167" s="1">
        <v>21</v>
      </c>
      <c r="H167" s="1">
        <v>22</v>
      </c>
      <c r="I167" s="1">
        <v>20</v>
      </c>
      <c r="J167" s="1">
        <v>18</v>
      </c>
      <c r="K167" s="1">
        <v>16</v>
      </c>
      <c r="L167" s="1">
        <v>6</v>
      </c>
      <c r="M167" s="1">
        <v>15</v>
      </c>
      <c r="N167" s="1">
        <v>0</v>
      </c>
      <c r="O167" s="24">
        <f t="shared" si="6"/>
        <v>177</v>
      </c>
      <c r="P167" s="23">
        <v>5</v>
      </c>
      <c r="Q167" s="1">
        <v>0</v>
      </c>
      <c r="R167" s="1">
        <v>0</v>
      </c>
      <c r="S167" s="1">
        <v>92</v>
      </c>
      <c r="T167" s="1">
        <v>56</v>
      </c>
      <c r="U167" s="1">
        <v>29</v>
      </c>
      <c r="V167" s="1">
        <v>56</v>
      </c>
      <c r="W167" s="1">
        <v>0</v>
      </c>
      <c r="X167" s="1">
        <v>114</v>
      </c>
      <c r="Y167" s="1">
        <v>0</v>
      </c>
      <c r="Z167" s="1">
        <v>0</v>
      </c>
      <c r="AA167" s="1">
        <v>0</v>
      </c>
      <c r="AB167" s="24">
        <f t="shared" si="7"/>
        <v>352</v>
      </c>
      <c r="AC167" s="23">
        <v>49238</v>
      </c>
      <c r="AD167" s="1">
        <v>57092</v>
      </c>
      <c r="AE167" s="1">
        <v>65412</v>
      </c>
      <c r="AF167" s="1">
        <v>86320</v>
      </c>
      <c r="AG167" s="1">
        <v>46267</v>
      </c>
      <c r="AH167" s="1">
        <v>75429</v>
      </c>
      <c r="AI167" s="1">
        <v>85529</v>
      </c>
      <c r="AJ167" s="1">
        <v>91091</v>
      </c>
      <c r="AK167" s="1">
        <v>72673</v>
      </c>
      <c r="AL167" s="1">
        <v>28023</v>
      </c>
      <c r="AM167" s="1">
        <v>94122</v>
      </c>
      <c r="AN167" s="1">
        <v>0</v>
      </c>
      <c r="AO167" s="24">
        <f t="shared" si="8"/>
        <v>751196</v>
      </c>
    </row>
    <row r="168" spans="1:41" ht="17.25" customHeight="1" x14ac:dyDescent="0.45">
      <c r="A168" s="12" t="s">
        <v>13</v>
      </c>
      <c r="B168" s="12" t="s">
        <v>44</v>
      </c>
      <c r="C168" s="25">
        <v>0</v>
      </c>
      <c r="D168" s="10">
        <v>0</v>
      </c>
      <c r="E168" s="10">
        <v>0</v>
      </c>
      <c r="F168" s="10">
        <v>0</v>
      </c>
      <c r="G168" s="10">
        <v>0</v>
      </c>
      <c r="H168" s="10">
        <v>0</v>
      </c>
      <c r="I168" s="10">
        <v>0</v>
      </c>
      <c r="J168" s="10">
        <v>0</v>
      </c>
      <c r="K168" s="10">
        <v>0</v>
      </c>
      <c r="L168" s="10">
        <v>1</v>
      </c>
      <c r="M168" s="10">
        <v>0</v>
      </c>
      <c r="N168" s="10">
        <v>0</v>
      </c>
      <c r="O168" s="26">
        <f t="shared" si="6"/>
        <v>1</v>
      </c>
      <c r="P168" s="25">
        <v>0</v>
      </c>
      <c r="Q168" s="10">
        <v>0</v>
      </c>
      <c r="R168" s="10">
        <v>0</v>
      </c>
      <c r="S168" s="10">
        <v>0</v>
      </c>
      <c r="T168" s="10">
        <v>0</v>
      </c>
      <c r="U168" s="10">
        <v>0</v>
      </c>
      <c r="V168" s="10">
        <v>0</v>
      </c>
      <c r="W168" s="10">
        <v>0</v>
      </c>
      <c r="X168" s="10">
        <v>0</v>
      </c>
      <c r="Y168" s="10">
        <v>33</v>
      </c>
      <c r="Z168" s="10">
        <v>0</v>
      </c>
      <c r="AA168" s="10">
        <v>0</v>
      </c>
      <c r="AB168" s="26">
        <f t="shared" si="7"/>
        <v>33</v>
      </c>
      <c r="AC168" s="25">
        <v>0</v>
      </c>
      <c r="AD168" s="10">
        <v>0</v>
      </c>
      <c r="AE168" s="10">
        <v>0</v>
      </c>
      <c r="AF168" s="10">
        <v>0</v>
      </c>
      <c r="AG168" s="10">
        <v>0</v>
      </c>
      <c r="AH168" s="10">
        <v>0</v>
      </c>
      <c r="AI168" s="10">
        <v>0</v>
      </c>
      <c r="AJ168" s="10">
        <v>0</v>
      </c>
      <c r="AK168" s="10">
        <v>0</v>
      </c>
      <c r="AL168" s="10">
        <v>0</v>
      </c>
      <c r="AM168" s="10">
        <v>0</v>
      </c>
      <c r="AN168" s="10">
        <v>0</v>
      </c>
      <c r="AO168" s="26">
        <f t="shared" si="8"/>
        <v>0</v>
      </c>
    </row>
    <row r="169" spans="1:41" ht="17.25" customHeight="1" x14ac:dyDescent="0.45">
      <c r="A169" s="2" t="s">
        <v>13</v>
      </c>
      <c r="B169" s="2" t="s">
        <v>21</v>
      </c>
      <c r="C169" s="23">
        <v>0</v>
      </c>
      <c r="D169" s="1">
        <v>0</v>
      </c>
      <c r="E169" s="1">
        <v>0</v>
      </c>
      <c r="F169" s="1">
        <v>0</v>
      </c>
      <c r="G169" s="1">
        <v>0</v>
      </c>
      <c r="H169" s="1">
        <v>0</v>
      </c>
      <c r="I169" s="1">
        <v>0</v>
      </c>
      <c r="J169" s="1">
        <v>0</v>
      </c>
      <c r="K169" s="1">
        <v>0</v>
      </c>
      <c r="L169" s="1">
        <v>0</v>
      </c>
      <c r="M169" s="1">
        <v>1</v>
      </c>
      <c r="N169" s="1">
        <v>13</v>
      </c>
      <c r="O169" s="24">
        <f t="shared" si="6"/>
        <v>14</v>
      </c>
      <c r="P169" s="23">
        <v>0</v>
      </c>
      <c r="Q169" s="1">
        <v>0</v>
      </c>
      <c r="R169" s="1">
        <v>0</v>
      </c>
      <c r="S169" s="1">
        <v>0</v>
      </c>
      <c r="T169" s="1">
        <v>0</v>
      </c>
      <c r="U169" s="1">
        <v>0</v>
      </c>
      <c r="V169" s="1">
        <v>0</v>
      </c>
      <c r="W169" s="1">
        <v>0</v>
      </c>
      <c r="X169" s="1">
        <v>0</v>
      </c>
      <c r="Y169" s="1">
        <v>0</v>
      </c>
      <c r="Z169" s="1">
        <v>0</v>
      </c>
      <c r="AA169" s="1">
        <v>0</v>
      </c>
      <c r="AB169" s="24">
        <f t="shared" si="7"/>
        <v>0</v>
      </c>
      <c r="AC169" s="23">
        <v>0</v>
      </c>
      <c r="AD169" s="1">
        <v>0</v>
      </c>
      <c r="AE169" s="1">
        <v>0</v>
      </c>
      <c r="AF169" s="1">
        <v>0</v>
      </c>
      <c r="AG169" s="1">
        <v>0</v>
      </c>
      <c r="AH169" s="1">
        <v>0</v>
      </c>
      <c r="AI169" s="1">
        <v>0</v>
      </c>
      <c r="AJ169" s="1">
        <v>0</v>
      </c>
      <c r="AK169" s="1">
        <v>0</v>
      </c>
      <c r="AL169" s="1">
        <v>0</v>
      </c>
      <c r="AM169" s="1">
        <v>8157</v>
      </c>
      <c r="AN169" s="1">
        <v>84634</v>
      </c>
      <c r="AO169" s="24">
        <f t="shared" si="8"/>
        <v>92791</v>
      </c>
    </row>
    <row r="170" spans="1:41" ht="17.25" customHeight="1" x14ac:dyDescent="0.45">
      <c r="A170" s="12" t="s">
        <v>13</v>
      </c>
      <c r="B170" s="12" t="s">
        <v>22</v>
      </c>
      <c r="C170" s="25">
        <v>1</v>
      </c>
      <c r="D170" s="10">
        <v>0</v>
      </c>
      <c r="E170" s="10">
        <v>0</v>
      </c>
      <c r="F170" s="10">
        <v>1</v>
      </c>
      <c r="G170" s="10">
        <v>1</v>
      </c>
      <c r="H170" s="10">
        <v>0</v>
      </c>
      <c r="I170" s="10">
        <v>2</v>
      </c>
      <c r="J170" s="10">
        <v>0</v>
      </c>
      <c r="K170" s="10">
        <v>0</v>
      </c>
      <c r="L170" s="10">
        <v>0</v>
      </c>
      <c r="M170" s="10">
        <v>0</v>
      </c>
      <c r="N170" s="10">
        <v>0</v>
      </c>
      <c r="O170" s="26">
        <f t="shared" si="6"/>
        <v>5</v>
      </c>
      <c r="P170" s="25">
        <v>114</v>
      </c>
      <c r="Q170" s="10">
        <v>0</v>
      </c>
      <c r="R170" s="10">
        <v>0</v>
      </c>
      <c r="S170" s="10">
        <v>0</v>
      </c>
      <c r="T170" s="10">
        <v>0</v>
      </c>
      <c r="U170" s="10">
        <v>0</v>
      </c>
      <c r="V170" s="10">
        <v>0</v>
      </c>
      <c r="W170" s="10">
        <v>0</v>
      </c>
      <c r="X170" s="10">
        <v>0</v>
      </c>
      <c r="Y170" s="10">
        <v>0</v>
      </c>
      <c r="Z170" s="10">
        <v>0</v>
      </c>
      <c r="AA170" s="10">
        <v>0</v>
      </c>
      <c r="AB170" s="26">
        <f t="shared" si="7"/>
        <v>114</v>
      </c>
      <c r="AC170" s="25">
        <v>0</v>
      </c>
      <c r="AD170" s="10">
        <v>0</v>
      </c>
      <c r="AE170" s="10">
        <v>0</v>
      </c>
      <c r="AF170" s="10">
        <v>3272</v>
      </c>
      <c r="AG170" s="10">
        <v>595</v>
      </c>
      <c r="AH170" s="10">
        <v>0</v>
      </c>
      <c r="AI170" s="10">
        <v>2180</v>
      </c>
      <c r="AJ170" s="10">
        <v>0</v>
      </c>
      <c r="AK170" s="10">
        <v>0</v>
      </c>
      <c r="AL170" s="10">
        <v>0</v>
      </c>
      <c r="AM170" s="10">
        <v>0</v>
      </c>
      <c r="AN170" s="10">
        <v>0</v>
      </c>
      <c r="AO170" s="26">
        <f t="shared" si="8"/>
        <v>6047</v>
      </c>
    </row>
    <row r="171" spans="1:41" ht="17.25" customHeight="1" x14ac:dyDescent="0.45">
      <c r="A171" s="2" t="s">
        <v>13</v>
      </c>
      <c r="B171" s="2" t="s">
        <v>11</v>
      </c>
      <c r="C171" s="23">
        <v>0</v>
      </c>
      <c r="D171" s="1">
        <v>0</v>
      </c>
      <c r="E171" s="1">
        <v>1</v>
      </c>
      <c r="F171" s="1">
        <v>0</v>
      </c>
      <c r="G171" s="1">
        <v>0</v>
      </c>
      <c r="H171" s="1">
        <v>0</v>
      </c>
      <c r="I171" s="1">
        <v>1</v>
      </c>
      <c r="J171" s="1">
        <v>0</v>
      </c>
      <c r="K171" s="1">
        <v>0</v>
      </c>
      <c r="L171" s="1">
        <v>0</v>
      </c>
      <c r="M171" s="1">
        <v>17</v>
      </c>
      <c r="N171" s="1">
        <v>15</v>
      </c>
      <c r="O171" s="24">
        <f t="shared" si="6"/>
        <v>34</v>
      </c>
      <c r="P171" s="23">
        <v>0</v>
      </c>
      <c r="Q171" s="1">
        <v>0</v>
      </c>
      <c r="R171" s="1">
        <v>0</v>
      </c>
      <c r="S171" s="1">
        <v>0</v>
      </c>
      <c r="T171" s="1">
        <v>0</v>
      </c>
      <c r="U171" s="1">
        <v>0</v>
      </c>
      <c r="V171" s="1">
        <v>107</v>
      </c>
      <c r="W171" s="1">
        <v>0</v>
      </c>
      <c r="X171" s="1">
        <v>0</v>
      </c>
      <c r="Y171" s="1">
        <v>0</v>
      </c>
      <c r="Z171" s="1">
        <v>132</v>
      </c>
      <c r="AA171" s="1">
        <v>0</v>
      </c>
      <c r="AB171" s="24">
        <f t="shared" si="7"/>
        <v>239</v>
      </c>
      <c r="AC171" s="23">
        <v>0</v>
      </c>
      <c r="AD171" s="1">
        <v>0</v>
      </c>
      <c r="AE171" s="1">
        <v>12500</v>
      </c>
      <c r="AF171" s="1">
        <v>0</v>
      </c>
      <c r="AG171" s="1">
        <v>0</v>
      </c>
      <c r="AH171" s="1">
        <v>0</v>
      </c>
      <c r="AI171" s="1">
        <v>0</v>
      </c>
      <c r="AJ171" s="1">
        <v>0</v>
      </c>
      <c r="AK171" s="1">
        <v>0</v>
      </c>
      <c r="AL171" s="1">
        <v>0</v>
      </c>
      <c r="AM171" s="1">
        <v>34583</v>
      </c>
      <c r="AN171" s="1">
        <v>29698</v>
      </c>
      <c r="AO171" s="24">
        <f t="shared" si="8"/>
        <v>76781</v>
      </c>
    </row>
    <row r="172" spans="1:41" ht="17.25" customHeight="1" x14ac:dyDescent="0.45">
      <c r="A172" s="12" t="s">
        <v>13</v>
      </c>
      <c r="B172" s="12" t="s">
        <v>38</v>
      </c>
      <c r="C172" s="25">
        <v>4</v>
      </c>
      <c r="D172" s="10">
        <v>1</v>
      </c>
      <c r="E172" s="10">
        <v>0</v>
      </c>
      <c r="F172" s="10">
        <v>3</v>
      </c>
      <c r="G172" s="10">
        <v>3</v>
      </c>
      <c r="H172" s="10">
        <v>7</v>
      </c>
      <c r="I172" s="10">
        <v>0</v>
      </c>
      <c r="J172" s="10">
        <v>0</v>
      </c>
      <c r="K172" s="10">
        <v>0</v>
      </c>
      <c r="L172" s="10">
        <v>0</v>
      </c>
      <c r="M172" s="10">
        <v>1</v>
      </c>
      <c r="N172" s="10">
        <v>0</v>
      </c>
      <c r="O172" s="26">
        <f t="shared" si="6"/>
        <v>19</v>
      </c>
      <c r="P172" s="25">
        <v>12</v>
      </c>
      <c r="Q172" s="10">
        <v>5</v>
      </c>
      <c r="R172" s="10">
        <v>0</v>
      </c>
      <c r="S172" s="10">
        <v>41</v>
      </c>
      <c r="T172" s="10">
        <v>0</v>
      </c>
      <c r="U172" s="10">
        <v>0</v>
      </c>
      <c r="V172" s="10">
        <v>0</v>
      </c>
      <c r="W172" s="10">
        <v>0</v>
      </c>
      <c r="X172" s="10">
        <v>0</v>
      </c>
      <c r="Y172" s="10">
        <v>0</v>
      </c>
      <c r="Z172" s="10">
        <v>0</v>
      </c>
      <c r="AA172" s="10">
        <v>0</v>
      </c>
      <c r="AB172" s="26">
        <f t="shared" si="7"/>
        <v>58</v>
      </c>
      <c r="AC172" s="25">
        <v>2050</v>
      </c>
      <c r="AD172" s="10">
        <v>0</v>
      </c>
      <c r="AE172" s="10">
        <v>0</v>
      </c>
      <c r="AF172" s="10">
        <v>25172</v>
      </c>
      <c r="AG172" s="10">
        <v>29479</v>
      </c>
      <c r="AH172" s="10">
        <v>24672</v>
      </c>
      <c r="AI172" s="10">
        <v>0</v>
      </c>
      <c r="AJ172" s="10">
        <v>0</v>
      </c>
      <c r="AK172" s="10">
        <v>0</v>
      </c>
      <c r="AL172" s="10">
        <v>0</v>
      </c>
      <c r="AM172" s="10">
        <v>5755</v>
      </c>
      <c r="AN172" s="10">
        <v>0</v>
      </c>
      <c r="AO172" s="26">
        <f t="shared" si="8"/>
        <v>87128</v>
      </c>
    </row>
    <row r="173" spans="1:41" ht="17.25" customHeight="1" x14ac:dyDescent="0.45">
      <c r="A173" s="2" t="s">
        <v>13</v>
      </c>
      <c r="B173" s="2" t="s">
        <v>40</v>
      </c>
      <c r="C173" s="23">
        <v>0</v>
      </c>
      <c r="D173" s="1">
        <v>0</v>
      </c>
      <c r="E173" s="1">
        <v>0</v>
      </c>
      <c r="F173" s="1">
        <v>0</v>
      </c>
      <c r="G173" s="1">
        <v>0</v>
      </c>
      <c r="H173" s="1">
        <v>0</v>
      </c>
      <c r="I173" s="1">
        <v>0</v>
      </c>
      <c r="J173" s="1">
        <v>0</v>
      </c>
      <c r="K173" s="1">
        <v>0</v>
      </c>
      <c r="L173" s="1">
        <v>1</v>
      </c>
      <c r="M173" s="1">
        <v>0</v>
      </c>
      <c r="N173" s="1">
        <v>0</v>
      </c>
      <c r="O173" s="24">
        <f t="shared" si="6"/>
        <v>1</v>
      </c>
      <c r="P173" s="23">
        <v>0</v>
      </c>
      <c r="Q173" s="1">
        <v>0</v>
      </c>
      <c r="R173" s="1">
        <v>0</v>
      </c>
      <c r="S173" s="1">
        <v>0</v>
      </c>
      <c r="T173" s="1">
        <v>0</v>
      </c>
      <c r="U173" s="1">
        <v>0</v>
      </c>
      <c r="V173" s="1">
        <v>0</v>
      </c>
      <c r="W173" s="1">
        <v>0</v>
      </c>
      <c r="X173" s="1">
        <v>0</v>
      </c>
      <c r="Y173" s="1">
        <v>111</v>
      </c>
      <c r="Z173" s="1">
        <v>0</v>
      </c>
      <c r="AA173" s="1">
        <v>0</v>
      </c>
      <c r="AB173" s="24">
        <f t="shared" si="7"/>
        <v>111</v>
      </c>
      <c r="AC173" s="23">
        <v>0</v>
      </c>
      <c r="AD173" s="1">
        <v>0</v>
      </c>
      <c r="AE173" s="1">
        <v>0</v>
      </c>
      <c r="AF173" s="1">
        <v>0</v>
      </c>
      <c r="AG173" s="1">
        <v>0</v>
      </c>
      <c r="AH173" s="1">
        <v>0</v>
      </c>
      <c r="AI173" s="1">
        <v>0</v>
      </c>
      <c r="AJ173" s="1">
        <v>0</v>
      </c>
      <c r="AK173" s="1">
        <v>0</v>
      </c>
      <c r="AL173" s="1">
        <v>0</v>
      </c>
      <c r="AM173" s="1">
        <v>0</v>
      </c>
      <c r="AN173" s="1">
        <v>0</v>
      </c>
      <c r="AO173" s="24">
        <f t="shared" si="8"/>
        <v>0</v>
      </c>
    </row>
    <row r="174" spans="1:41" ht="17.25" customHeight="1" x14ac:dyDescent="0.45">
      <c r="A174" s="12" t="s">
        <v>13</v>
      </c>
      <c r="B174" s="12" t="s">
        <v>23</v>
      </c>
      <c r="C174" s="25">
        <v>0</v>
      </c>
      <c r="D174" s="10">
        <v>0</v>
      </c>
      <c r="E174" s="10">
        <v>0</v>
      </c>
      <c r="F174" s="10">
        <v>2</v>
      </c>
      <c r="G174" s="10">
        <v>0</v>
      </c>
      <c r="H174" s="10">
        <v>4</v>
      </c>
      <c r="I174" s="10">
        <v>8</v>
      </c>
      <c r="J174" s="10">
        <v>4</v>
      </c>
      <c r="K174" s="10">
        <v>0</v>
      </c>
      <c r="L174" s="10">
        <v>0</v>
      </c>
      <c r="M174" s="10">
        <v>0</v>
      </c>
      <c r="N174" s="10">
        <v>3</v>
      </c>
      <c r="O174" s="26">
        <f t="shared" si="6"/>
        <v>21</v>
      </c>
      <c r="P174" s="25">
        <v>0</v>
      </c>
      <c r="Q174" s="10">
        <v>0</v>
      </c>
      <c r="R174" s="10">
        <v>0</v>
      </c>
      <c r="S174" s="10">
        <v>119</v>
      </c>
      <c r="T174" s="10">
        <v>0</v>
      </c>
      <c r="U174" s="10">
        <v>262</v>
      </c>
      <c r="V174" s="10">
        <v>640</v>
      </c>
      <c r="W174" s="10">
        <v>297</v>
      </c>
      <c r="X174" s="10">
        <v>0</v>
      </c>
      <c r="Y174" s="10">
        <v>0</v>
      </c>
      <c r="Z174" s="10">
        <v>0</v>
      </c>
      <c r="AA174" s="10">
        <v>306</v>
      </c>
      <c r="AB174" s="26">
        <f t="shared" si="7"/>
        <v>1624</v>
      </c>
      <c r="AC174" s="25">
        <v>0</v>
      </c>
      <c r="AD174" s="10">
        <v>0</v>
      </c>
      <c r="AE174" s="10">
        <v>0</v>
      </c>
      <c r="AF174" s="10">
        <v>0</v>
      </c>
      <c r="AG174" s="10">
        <v>0</v>
      </c>
      <c r="AH174" s="10">
        <v>0</v>
      </c>
      <c r="AI174" s="10">
        <v>0</v>
      </c>
      <c r="AJ174" s="10">
        <v>0</v>
      </c>
      <c r="AK174" s="10">
        <v>0</v>
      </c>
      <c r="AL174" s="10">
        <v>0</v>
      </c>
      <c r="AM174" s="10">
        <v>0</v>
      </c>
      <c r="AN174" s="10">
        <v>0</v>
      </c>
      <c r="AO174" s="26">
        <f t="shared" si="8"/>
        <v>0</v>
      </c>
    </row>
    <row r="175" spans="1:41" ht="17.25" customHeight="1" x14ac:dyDescent="0.45">
      <c r="A175" s="2" t="s">
        <v>13</v>
      </c>
      <c r="B175" s="2" t="s">
        <v>12</v>
      </c>
      <c r="C175" s="23">
        <v>0</v>
      </c>
      <c r="D175" s="1">
        <v>0</v>
      </c>
      <c r="E175" s="1">
        <v>0</v>
      </c>
      <c r="F175" s="1">
        <v>0</v>
      </c>
      <c r="G175" s="1">
        <v>0</v>
      </c>
      <c r="H175" s="1">
        <v>0</v>
      </c>
      <c r="I175" s="1">
        <v>0</v>
      </c>
      <c r="J175" s="1">
        <v>0</v>
      </c>
      <c r="K175" s="1">
        <v>0</v>
      </c>
      <c r="L175" s="1">
        <v>0</v>
      </c>
      <c r="M175" s="1">
        <v>1</v>
      </c>
      <c r="N175" s="1">
        <v>0</v>
      </c>
      <c r="O175" s="24">
        <f t="shared" si="6"/>
        <v>1</v>
      </c>
      <c r="P175" s="23">
        <v>0</v>
      </c>
      <c r="Q175" s="1">
        <v>0</v>
      </c>
      <c r="R175" s="1">
        <v>0</v>
      </c>
      <c r="S175" s="1">
        <v>0</v>
      </c>
      <c r="T175" s="1">
        <v>0</v>
      </c>
      <c r="U175" s="1">
        <v>0</v>
      </c>
      <c r="V175" s="1">
        <v>0</v>
      </c>
      <c r="W175" s="1">
        <v>0</v>
      </c>
      <c r="X175" s="1">
        <v>0</v>
      </c>
      <c r="Y175" s="1">
        <v>0</v>
      </c>
      <c r="Z175" s="1">
        <v>173</v>
      </c>
      <c r="AA175" s="1">
        <v>0</v>
      </c>
      <c r="AB175" s="24">
        <f t="shared" si="7"/>
        <v>173</v>
      </c>
      <c r="AC175" s="23">
        <v>0</v>
      </c>
      <c r="AD175" s="1">
        <v>0</v>
      </c>
      <c r="AE175" s="1">
        <v>0</v>
      </c>
      <c r="AF175" s="1">
        <v>0</v>
      </c>
      <c r="AG175" s="1">
        <v>0</v>
      </c>
      <c r="AH175" s="1">
        <v>0</v>
      </c>
      <c r="AI175" s="1">
        <v>0</v>
      </c>
      <c r="AJ175" s="1">
        <v>0</v>
      </c>
      <c r="AK175" s="1">
        <v>0</v>
      </c>
      <c r="AL175" s="1">
        <v>0</v>
      </c>
      <c r="AM175" s="1">
        <v>0</v>
      </c>
      <c r="AN175" s="1">
        <v>0</v>
      </c>
      <c r="AO175" s="24">
        <f t="shared" si="8"/>
        <v>0</v>
      </c>
    </row>
    <row r="176" spans="1:41" ht="17.25" customHeight="1" x14ac:dyDescent="0.45">
      <c r="A176" s="12" t="s">
        <v>13</v>
      </c>
      <c r="B176" s="12" t="s">
        <v>26</v>
      </c>
      <c r="C176" s="25">
        <v>0</v>
      </c>
      <c r="D176" s="10">
        <v>0</v>
      </c>
      <c r="E176" s="10">
        <v>0</v>
      </c>
      <c r="F176" s="10">
        <v>0</v>
      </c>
      <c r="G176" s="10">
        <v>0</v>
      </c>
      <c r="H176" s="10">
        <v>0</v>
      </c>
      <c r="I176" s="10">
        <v>0</v>
      </c>
      <c r="J176" s="10">
        <v>0</v>
      </c>
      <c r="K176" s="10">
        <v>0</v>
      </c>
      <c r="L176" s="10">
        <v>0</v>
      </c>
      <c r="M176" s="10">
        <v>0</v>
      </c>
      <c r="N176" s="10">
        <v>1</v>
      </c>
      <c r="O176" s="26">
        <f t="shared" si="6"/>
        <v>1</v>
      </c>
      <c r="P176" s="25">
        <v>0</v>
      </c>
      <c r="Q176" s="10">
        <v>0</v>
      </c>
      <c r="R176" s="10">
        <v>0</v>
      </c>
      <c r="S176" s="10">
        <v>0</v>
      </c>
      <c r="T176" s="10">
        <v>0</v>
      </c>
      <c r="U176" s="10">
        <v>0</v>
      </c>
      <c r="V176" s="10">
        <v>0</v>
      </c>
      <c r="W176" s="10">
        <v>0</v>
      </c>
      <c r="X176" s="10">
        <v>0</v>
      </c>
      <c r="Y176" s="10">
        <v>0</v>
      </c>
      <c r="Z176" s="10">
        <v>0</v>
      </c>
      <c r="AA176" s="10">
        <v>177</v>
      </c>
      <c r="AB176" s="26">
        <f t="shared" si="7"/>
        <v>177</v>
      </c>
      <c r="AC176" s="25">
        <v>0</v>
      </c>
      <c r="AD176" s="10">
        <v>0</v>
      </c>
      <c r="AE176" s="10">
        <v>0</v>
      </c>
      <c r="AF176" s="10">
        <v>0</v>
      </c>
      <c r="AG176" s="10">
        <v>0</v>
      </c>
      <c r="AH176" s="10">
        <v>0</v>
      </c>
      <c r="AI176" s="10">
        <v>0</v>
      </c>
      <c r="AJ176" s="10">
        <v>0</v>
      </c>
      <c r="AK176" s="10">
        <v>0</v>
      </c>
      <c r="AL176" s="10">
        <v>0</v>
      </c>
      <c r="AM176" s="10">
        <v>0</v>
      </c>
      <c r="AN176" s="10">
        <v>0</v>
      </c>
      <c r="AO176" s="26">
        <f t="shared" si="8"/>
        <v>0</v>
      </c>
    </row>
    <row r="177" spans="1:41" ht="17.25" customHeight="1" x14ac:dyDescent="0.45">
      <c r="A177" s="2" t="s">
        <v>13</v>
      </c>
      <c r="B177" s="2" t="s">
        <v>60</v>
      </c>
      <c r="C177" s="23">
        <v>80</v>
      </c>
      <c r="D177" s="1">
        <v>95</v>
      </c>
      <c r="E177" s="1">
        <v>97</v>
      </c>
      <c r="F177" s="1">
        <v>92</v>
      </c>
      <c r="G177" s="1">
        <v>88</v>
      </c>
      <c r="H177" s="1">
        <v>86</v>
      </c>
      <c r="I177" s="1">
        <v>93</v>
      </c>
      <c r="J177" s="1">
        <v>93</v>
      </c>
      <c r="K177" s="1">
        <v>90</v>
      </c>
      <c r="L177" s="1">
        <v>93</v>
      </c>
      <c r="M177" s="1">
        <v>100</v>
      </c>
      <c r="N177" s="1">
        <v>114</v>
      </c>
      <c r="O177" s="24">
        <f t="shared" si="6"/>
        <v>1121</v>
      </c>
      <c r="P177" s="23">
        <v>582</v>
      </c>
      <c r="Q177" s="1">
        <v>714</v>
      </c>
      <c r="R177" s="1">
        <v>742</v>
      </c>
      <c r="S177" s="1">
        <v>689</v>
      </c>
      <c r="T177" s="1">
        <v>651</v>
      </c>
      <c r="U177" s="1">
        <v>593</v>
      </c>
      <c r="V177" s="1">
        <v>655</v>
      </c>
      <c r="W177" s="1">
        <v>645</v>
      </c>
      <c r="X177" s="1">
        <v>734</v>
      </c>
      <c r="Y177" s="1">
        <v>777</v>
      </c>
      <c r="Z177" s="1">
        <v>796</v>
      </c>
      <c r="AA177" s="1">
        <v>917</v>
      </c>
      <c r="AB177" s="24">
        <f t="shared" si="7"/>
        <v>8495</v>
      </c>
      <c r="AC177" s="23">
        <v>0</v>
      </c>
      <c r="AD177" s="1">
        <v>0</v>
      </c>
      <c r="AE177" s="1">
        <v>0</v>
      </c>
      <c r="AF177" s="1">
        <v>0</v>
      </c>
      <c r="AG177" s="1">
        <v>0</v>
      </c>
      <c r="AH177" s="1">
        <v>0</v>
      </c>
      <c r="AI177" s="1">
        <v>0</v>
      </c>
      <c r="AJ177" s="1">
        <v>0</v>
      </c>
      <c r="AK177" s="1">
        <v>0</v>
      </c>
      <c r="AL177" s="1">
        <v>0</v>
      </c>
      <c r="AM177" s="1">
        <v>0</v>
      </c>
      <c r="AN177" s="1">
        <v>0</v>
      </c>
      <c r="AO177" s="24">
        <f t="shared" si="8"/>
        <v>0</v>
      </c>
    </row>
    <row r="178" spans="1:41" ht="17.25" customHeight="1" x14ac:dyDescent="0.45">
      <c r="A178" s="12" t="s">
        <v>13</v>
      </c>
      <c r="B178" s="12" t="s">
        <v>27</v>
      </c>
      <c r="C178" s="25">
        <v>0</v>
      </c>
      <c r="D178" s="10">
        <v>0</v>
      </c>
      <c r="E178" s="10">
        <v>1</v>
      </c>
      <c r="F178" s="10">
        <v>0</v>
      </c>
      <c r="G178" s="10">
        <v>0</v>
      </c>
      <c r="H178" s="10">
        <v>1</v>
      </c>
      <c r="I178" s="10">
        <v>0</v>
      </c>
      <c r="J178" s="10">
        <v>1</v>
      </c>
      <c r="K178" s="10">
        <v>0</v>
      </c>
      <c r="L178" s="10">
        <v>0</v>
      </c>
      <c r="M178" s="10">
        <v>0</v>
      </c>
      <c r="N178" s="10">
        <v>2</v>
      </c>
      <c r="O178" s="26">
        <f t="shared" si="6"/>
        <v>5</v>
      </c>
      <c r="P178" s="25">
        <v>0</v>
      </c>
      <c r="Q178" s="10">
        <v>0</v>
      </c>
      <c r="R178" s="10">
        <v>44</v>
      </c>
      <c r="S178" s="10">
        <v>0</v>
      </c>
      <c r="T178" s="10">
        <v>0</v>
      </c>
      <c r="U178" s="10">
        <v>0</v>
      </c>
      <c r="V178" s="10">
        <v>0</v>
      </c>
      <c r="W178" s="10">
        <v>0</v>
      </c>
      <c r="X178" s="10">
        <v>0</v>
      </c>
      <c r="Y178" s="10">
        <v>0</v>
      </c>
      <c r="Z178" s="10">
        <v>0</v>
      </c>
      <c r="AA178" s="10">
        <v>210</v>
      </c>
      <c r="AB178" s="26">
        <f t="shared" si="7"/>
        <v>254</v>
      </c>
      <c r="AC178" s="25">
        <v>0</v>
      </c>
      <c r="AD178" s="10">
        <v>0</v>
      </c>
      <c r="AE178" s="10">
        <v>0</v>
      </c>
      <c r="AF178" s="10">
        <v>0</v>
      </c>
      <c r="AG178" s="10">
        <v>0</v>
      </c>
      <c r="AH178" s="10">
        <v>450</v>
      </c>
      <c r="AI178" s="10">
        <v>0</v>
      </c>
      <c r="AJ178" s="10">
        <v>1500</v>
      </c>
      <c r="AK178" s="10">
        <v>0</v>
      </c>
      <c r="AL178" s="10">
        <v>0</v>
      </c>
      <c r="AM178" s="10">
        <v>0</v>
      </c>
      <c r="AN178" s="10">
        <v>0</v>
      </c>
      <c r="AO178" s="26">
        <f t="shared" si="8"/>
        <v>1950</v>
      </c>
    </row>
    <row r="179" spans="1:41" ht="17.25" customHeight="1" x14ac:dyDescent="0.45">
      <c r="A179" s="2" t="s">
        <v>13</v>
      </c>
      <c r="B179" s="2" t="s">
        <v>28</v>
      </c>
      <c r="C179" s="23">
        <v>50</v>
      </c>
      <c r="D179" s="1">
        <v>46</v>
      </c>
      <c r="E179" s="1">
        <v>44</v>
      </c>
      <c r="F179" s="1">
        <v>47</v>
      </c>
      <c r="G179" s="1">
        <v>48</v>
      </c>
      <c r="H179" s="1">
        <v>60</v>
      </c>
      <c r="I179" s="1">
        <v>58</v>
      </c>
      <c r="J179" s="1">
        <v>46</v>
      </c>
      <c r="K179" s="1">
        <v>46</v>
      </c>
      <c r="L179" s="1">
        <v>48</v>
      </c>
      <c r="M179" s="1">
        <v>58</v>
      </c>
      <c r="N179" s="1">
        <v>51</v>
      </c>
      <c r="O179" s="24">
        <f t="shared" si="6"/>
        <v>602</v>
      </c>
      <c r="P179" s="23">
        <v>101</v>
      </c>
      <c r="Q179" s="1">
        <v>0</v>
      </c>
      <c r="R179" s="1">
        <v>0</v>
      </c>
      <c r="S179" s="1">
        <v>0</v>
      </c>
      <c r="T179" s="1">
        <v>0</v>
      </c>
      <c r="U179" s="1">
        <v>0</v>
      </c>
      <c r="V179" s="1">
        <v>0</v>
      </c>
      <c r="W179" s="1">
        <v>0</v>
      </c>
      <c r="X179" s="1">
        <v>0</v>
      </c>
      <c r="Y179" s="1">
        <v>0</v>
      </c>
      <c r="Z179" s="1">
        <v>0</v>
      </c>
      <c r="AA179" s="1">
        <v>0</v>
      </c>
      <c r="AB179" s="24">
        <f t="shared" si="7"/>
        <v>101</v>
      </c>
      <c r="AC179" s="23">
        <v>632635</v>
      </c>
      <c r="AD179" s="1">
        <v>489198</v>
      </c>
      <c r="AE179" s="1">
        <v>456761</v>
      </c>
      <c r="AF179" s="1">
        <v>518036</v>
      </c>
      <c r="AG179" s="1">
        <v>544692</v>
      </c>
      <c r="AH179" s="1">
        <v>562041</v>
      </c>
      <c r="AI179" s="1">
        <v>591756</v>
      </c>
      <c r="AJ179" s="1">
        <v>524779</v>
      </c>
      <c r="AK179" s="1">
        <v>592916</v>
      </c>
      <c r="AL179" s="1">
        <v>529618</v>
      </c>
      <c r="AM179" s="1">
        <v>584971</v>
      </c>
      <c r="AN179" s="1">
        <v>501039</v>
      </c>
      <c r="AO179" s="24">
        <f t="shared" si="8"/>
        <v>6528442</v>
      </c>
    </row>
    <row r="180" spans="1:41" ht="17.25" customHeight="1" x14ac:dyDescent="0.45">
      <c r="A180" s="12" t="s">
        <v>13</v>
      </c>
      <c r="B180" s="12" t="s">
        <v>29</v>
      </c>
      <c r="C180" s="25">
        <v>8</v>
      </c>
      <c r="D180" s="10">
        <v>5</v>
      </c>
      <c r="E180" s="10">
        <v>0</v>
      </c>
      <c r="F180" s="10">
        <v>1</v>
      </c>
      <c r="G180" s="10">
        <v>0</v>
      </c>
      <c r="H180" s="10">
        <v>0</v>
      </c>
      <c r="I180" s="10">
        <v>0</v>
      </c>
      <c r="J180" s="10">
        <v>0</v>
      </c>
      <c r="K180" s="10">
        <v>0</v>
      </c>
      <c r="L180" s="10">
        <v>0</v>
      </c>
      <c r="M180" s="10">
        <v>0</v>
      </c>
      <c r="N180" s="10">
        <v>0</v>
      </c>
      <c r="O180" s="26">
        <f t="shared" si="6"/>
        <v>14</v>
      </c>
      <c r="P180" s="25">
        <v>35</v>
      </c>
      <c r="Q180" s="10">
        <v>25</v>
      </c>
      <c r="R180" s="10">
        <v>0</v>
      </c>
      <c r="S180" s="10">
        <v>33</v>
      </c>
      <c r="T180" s="10">
        <v>0</v>
      </c>
      <c r="U180" s="10">
        <v>0</v>
      </c>
      <c r="V180" s="10">
        <v>0</v>
      </c>
      <c r="W180" s="10">
        <v>0</v>
      </c>
      <c r="X180" s="10">
        <v>0</v>
      </c>
      <c r="Y180" s="10">
        <v>0</v>
      </c>
      <c r="Z180" s="10">
        <v>0</v>
      </c>
      <c r="AA180" s="10">
        <v>0</v>
      </c>
      <c r="AB180" s="26">
        <f t="shared" si="7"/>
        <v>93</v>
      </c>
      <c r="AC180" s="25">
        <v>0</v>
      </c>
      <c r="AD180" s="10">
        <v>0</v>
      </c>
      <c r="AE180" s="10">
        <v>0</v>
      </c>
      <c r="AF180" s="10">
        <v>0</v>
      </c>
      <c r="AG180" s="10">
        <v>0</v>
      </c>
      <c r="AH180" s="10">
        <v>0</v>
      </c>
      <c r="AI180" s="10">
        <v>0</v>
      </c>
      <c r="AJ180" s="10">
        <v>0</v>
      </c>
      <c r="AK180" s="10">
        <v>0</v>
      </c>
      <c r="AL180" s="10">
        <v>0</v>
      </c>
      <c r="AM180" s="10">
        <v>0</v>
      </c>
      <c r="AN180" s="10">
        <v>0</v>
      </c>
      <c r="AO180" s="26">
        <f t="shared" si="8"/>
        <v>0</v>
      </c>
    </row>
    <row r="181" spans="1:41" ht="17.25" customHeight="1" x14ac:dyDescent="0.45">
      <c r="A181" s="2" t="s">
        <v>13</v>
      </c>
      <c r="B181" s="2" t="s">
        <v>206</v>
      </c>
      <c r="C181" s="23">
        <v>1</v>
      </c>
      <c r="D181" s="1">
        <v>0</v>
      </c>
      <c r="E181" s="1">
        <v>0</v>
      </c>
      <c r="F181" s="1">
        <v>2</v>
      </c>
      <c r="G181" s="1">
        <v>0</v>
      </c>
      <c r="H181" s="1">
        <v>0</v>
      </c>
      <c r="I181" s="1">
        <v>0</v>
      </c>
      <c r="J181" s="1">
        <v>0</v>
      </c>
      <c r="K181" s="1">
        <v>0</v>
      </c>
      <c r="L181" s="1">
        <v>1</v>
      </c>
      <c r="M181" s="1">
        <v>0</v>
      </c>
      <c r="N181" s="1">
        <v>1</v>
      </c>
      <c r="O181" s="24">
        <f t="shared" si="6"/>
        <v>5</v>
      </c>
      <c r="P181" s="23">
        <v>0</v>
      </c>
      <c r="Q181" s="1">
        <v>0</v>
      </c>
      <c r="R181" s="1">
        <v>0</v>
      </c>
      <c r="S181" s="1">
        <v>0</v>
      </c>
      <c r="T181" s="1">
        <v>0</v>
      </c>
      <c r="U181" s="1">
        <v>0</v>
      </c>
      <c r="V181" s="1">
        <v>0</v>
      </c>
      <c r="W181" s="1">
        <v>0</v>
      </c>
      <c r="X181" s="1">
        <v>0</v>
      </c>
      <c r="Y181" s="1">
        <v>0</v>
      </c>
      <c r="Z181" s="1">
        <v>0</v>
      </c>
      <c r="AA181" s="1">
        <v>0</v>
      </c>
      <c r="AB181" s="24">
        <f t="shared" si="7"/>
        <v>0</v>
      </c>
      <c r="AC181" s="23">
        <v>1500</v>
      </c>
      <c r="AD181" s="1">
        <v>0</v>
      </c>
      <c r="AE181" s="1">
        <v>0</v>
      </c>
      <c r="AF181" s="1">
        <v>3100</v>
      </c>
      <c r="AG181" s="1">
        <v>0</v>
      </c>
      <c r="AH181" s="1">
        <v>0</v>
      </c>
      <c r="AI181" s="1">
        <v>0</v>
      </c>
      <c r="AJ181" s="1">
        <v>0</v>
      </c>
      <c r="AK181" s="1">
        <v>0</v>
      </c>
      <c r="AL181" s="1">
        <v>1000</v>
      </c>
      <c r="AM181" s="1">
        <v>0</v>
      </c>
      <c r="AN181" s="1">
        <v>4640</v>
      </c>
      <c r="AO181" s="24">
        <f t="shared" si="8"/>
        <v>10240</v>
      </c>
    </row>
    <row r="182" spans="1:41" ht="17.25" customHeight="1" x14ac:dyDescent="0.45">
      <c r="A182" s="12" t="s">
        <v>13</v>
      </c>
      <c r="B182" s="12" t="s">
        <v>30</v>
      </c>
      <c r="C182" s="25">
        <v>1</v>
      </c>
      <c r="D182" s="10">
        <v>1</v>
      </c>
      <c r="E182" s="10">
        <v>0</v>
      </c>
      <c r="F182" s="10">
        <v>1</v>
      </c>
      <c r="G182" s="10">
        <v>4</v>
      </c>
      <c r="H182" s="10">
        <v>0</v>
      </c>
      <c r="I182" s="10">
        <v>0</v>
      </c>
      <c r="J182" s="10">
        <v>0</v>
      </c>
      <c r="K182" s="10">
        <v>0</v>
      </c>
      <c r="L182" s="10">
        <v>0</v>
      </c>
      <c r="M182" s="10">
        <v>2</v>
      </c>
      <c r="N182" s="10">
        <v>0</v>
      </c>
      <c r="O182" s="26">
        <f t="shared" si="6"/>
        <v>9</v>
      </c>
      <c r="P182" s="25">
        <v>104</v>
      </c>
      <c r="Q182" s="10">
        <v>0</v>
      </c>
      <c r="R182" s="10">
        <v>0</v>
      </c>
      <c r="S182" s="10">
        <v>36</v>
      </c>
      <c r="T182" s="10">
        <v>0</v>
      </c>
      <c r="U182" s="10">
        <v>0</v>
      </c>
      <c r="V182" s="10">
        <v>0</v>
      </c>
      <c r="W182" s="10">
        <v>0</v>
      </c>
      <c r="X182" s="10">
        <v>0</v>
      </c>
      <c r="Y182" s="10">
        <v>0</v>
      </c>
      <c r="Z182" s="10">
        <v>0</v>
      </c>
      <c r="AA182" s="10">
        <v>0</v>
      </c>
      <c r="AB182" s="26">
        <f t="shared" si="7"/>
        <v>140</v>
      </c>
      <c r="AC182" s="25">
        <v>0</v>
      </c>
      <c r="AD182" s="10">
        <v>2500</v>
      </c>
      <c r="AE182" s="10">
        <v>0</v>
      </c>
      <c r="AF182" s="10">
        <v>0</v>
      </c>
      <c r="AG182" s="10">
        <v>54391</v>
      </c>
      <c r="AH182" s="10">
        <v>0</v>
      </c>
      <c r="AI182" s="10">
        <v>0</v>
      </c>
      <c r="AJ182" s="10">
        <v>0</v>
      </c>
      <c r="AK182" s="10">
        <v>0</v>
      </c>
      <c r="AL182" s="10">
        <v>0</v>
      </c>
      <c r="AM182" s="10">
        <v>2048</v>
      </c>
      <c r="AN182" s="10">
        <v>0</v>
      </c>
      <c r="AO182" s="26">
        <f t="shared" si="8"/>
        <v>58939</v>
      </c>
    </row>
    <row r="183" spans="1:41" ht="17.25" customHeight="1" x14ac:dyDescent="0.45">
      <c r="A183" s="2" t="s">
        <v>13</v>
      </c>
      <c r="B183" s="2" t="s">
        <v>14</v>
      </c>
      <c r="C183" s="23">
        <v>3</v>
      </c>
      <c r="D183" s="1">
        <v>0</v>
      </c>
      <c r="E183" s="1">
        <v>1</v>
      </c>
      <c r="F183" s="1">
        <v>2</v>
      </c>
      <c r="G183" s="1">
        <v>0</v>
      </c>
      <c r="H183" s="1">
        <v>0</v>
      </c>
      <c r="I183" s="1">
        <v>0</v>
      </c>
      <c r="J183" s="1">
        <v>0</v>
      </c>
      <c r="K183" s="1">
        <v>0</v>
      </c>
      <c r="L183" s="1">
        <v>0</v>
      </c>
      <c r="M183" s="1">
        <v>1</v>
      </c>
      <c r="N183" s="1">
        <v>0</v>
      </c>
      <c r="O183" s="24">
        <f t="shared" si="6"/>
        <v>7</v>
      </c>
      <c r="P183" s="23">
        <v>12</v>
      </c>
      <c r="Q183" s="1">
        <v>0</v>
      </c>
      <c r="R183" s="1">
        <v>61</v>
      </c>
      <c r="S183" s="1">
        <v>10</v>
      </c>
      <c r="T183" s="1">
        <v>0</v>
      </c>
      <c r="U183" s="1">
        <v>0</v>
      </c>
      <c r="V183" s="1">
        <v>0</v>
      </c>
      <c r="W183" s="1">
        <v>0</v>
      </c>
      <c r="X183" s="1">
        <v>0</v>
      </c>
      <c r="Y183" s="1">
        <v>0</v>
      </c>
      <c r="Z183" s="1">
        <v>100</v>
      </c>
      <c r="AA183" s="1">
        <v>0</v>
      </c>
      <c r="AB183" s="24">
        <f t="shared" si="7"/>
        <v>183</v>
      </c>
      <c r="AC183" s="23">
        <v>0</v>
      </c>
      <c r="AD183" s="1">
        <v>0</v>
      </c>
      <c r="AE183" s="1">
        <v>0</v>
      </c>
      <c r="AF183" s="1">
        <v>0</v>
      </c>
      <c r="AG183" s="1">
        <v>0</v>
      </c>
      <c r="AH183" s="1">
        <v>0</v>
      </c>
      <c r="AI183" s="1">
        <v>0</v>
      </c>
      <c r="AJ183" s="1">
        <v>0</v>
      </c>
      <c r="AK183" s="1">
        <v>0</v>
      </c>
      <c r="AL183" s="1">
        <v>0</v>
      </c>
      <c r="AM183" s="1">
        <v>0</v>
      </c>
      <c r="AN183" s="1">
        <v>0</v>
      </c>
      <c r="AO183" s="24">
        <f t="shared" si="8"/>
        <v>0</v>
      </c>
    </row>
    <row r="184" spans="1:41" ht="17.25" customHeight="1" x14ac:dyDescent="0.45">
      <c r="A184" s="12" t="s">
        <v>13</v>
      </c>
      <c r="B184" s="12" t="s">
        <v>50</v>
      </c>
      <c r="C184" s="25">
        <v>12</v>
      </c>
      <c r="D184" s="10">
        <v>1</v>
      </c>
      <c r="E184" s="10">
        <v>0</v>
      </c>
      <c r="F184" s="10">
        <v>0</v>
      </c>
      <c r="G184" s="10">
        <v>0</v>
      </c>
      <c r="H184" s="10">
        <v>0</v>
      </c>
      <c r="I184" s="10">
        <v>0</v>
      </c>
      <c r="J184" s="10">
        <v>0</v>
      </c>
      <c r="K184" s="10">
        <v>0</v>
      </c>
      <c r="L184" s="10">
        <v>0</v>
      </c>
      <c r="M184" s="10">
        <v>0</v>
      </c>
      <c r="N184" s="10">
        <v>0</v>
      </c>
      <c r="O184" s="26">
        <f t="shared" si="6"/>
        <v>13</v>
      </c>
      <c r="P184" s="25">
        <v>1520</v>
      </c>
      <c r="Q184" s="10">
        <v>20</v>
      </c>
      <c r="R184" s="10">
        <v>0</v>
      </c>
      <c r="S184" s="10">
        <v>0</v>
      </c>
      <c r="T184" s="10">
        <v>0</v>
      </c>
      <c r="U184" s="10">
        <v>0</v>
      </c>
      <c r="V184" s="10">
        <v>0</v>
      </c>
      <c r="W184" s="10">
        <v>0</v>
      </c>
      <c r="X184" s="10">
        <v>0</v>
      </c>
      <c r="Y184" s="10">
        <v>0</v>
      </c>
      <c r="Z184" s="10">
        <v>0</v>
      </c>
      <c r="AA184" s="10">
        <v>0</v>
      </c>
      <c r="AB184" s="26">
        <f t="shared" si="7"/>
        <v>1540</v>
      </c>
      <c r="AC184" s="25">
        <v>0</v>
      </c>
      <c r="AD184" s="10">
        <v>0</v>
      </c>
      <c r="AE184" s="10">
        <v>0</v>
      </c>
      <c r="AF184" s="10">
        <v>0</v>
      </c>
      <c r="AG184" s="10">
        <v>0</v>
      </c>
      <c r="AH184" s="10">
        <v>0</v>
      </c>
      <c r="AI184" s="10">
        <v>0</v>
      </c>
      <c r="AJ184" s="10">
        <v>0</v>
      </c>
      <c r="AK184" s="10">
        <v>0</v>
      </c>
      <c r="AL184" s="10">
        <v>0</v>
      </c>
      <c r="AM184" s="10">
        <v>0</v>
      </c>
      <c r="AN184" s="10">
        <v>0</v>
      </c>
      <c r="AO184" s="26">
        <f t="shared" si="8"/>
        <v>0</v>
      </c>
    </row>
    <row r="185" spans="1:41" ht="17.25" customHeight="1" x14ac:dyDescent="0.45">
      <c r="A185" s="2" t="s">
        <v>13</v>
      </c>
      <c r="B185" s="2" t="s">
        <v>15</v>
      </c>
      <c r="C185" s="23">
        <v>2</v>
      </c>
      <c r="D185" s="1">
        <v>5</v>
      </c>
      <c r="E185" s="1">
        <v>3</v>
      </c>
      <c r="F185" s="1">
        <v>10</v>
      </c>
      <c r="G185" s="1">
        <v>12</v>
      </c>
      <c r="H185" s="1">
        <v>17</v>
      </c>
      <c r="I185" s="1">
        <v>0</v>
      </c>
      <c r="J185" s="1">
        <v>5</v>
      </c>
      <c r="K185" s="1">
        <v>0</v>
      </c>
      <c r="L185" s="1">
        <v>4</v>
      </c>
      <c r="M185" s="1">
        <v>1</v>
      </c>
      <c r="N185" s="1">
        <v>1</v>
      </c>
      <c r="O185" s="24">
        <f t="shared" si="6"/>
        <v>60</v>
      </c>
      <c r="P185" s="23">
        <v>10</v>
      </c>
      <c r="Q185" s="1">
        <v>128</v>
      </c>
      <c r="R185" s="1">
        <v>5</v>
      </c>
      <c r="S185" s="1">
        <v>179</v>
      </c>
      <c r="T185" s="1">
        <v>50</v>
      </c>
      <c r="U185" s="1">
        <v>30</v>
      </c>
      <c r="V185" s="1">
        <v>0</v>
      </c>
      <c r="W185" s="1">
        <v>0</v>
      </c>
      <c r="X185" s="1">
        <v>0</v>
      </c>
      <c r="Y185" s="1">
        <v>111</v>
      </c>
      <c r="Z185" s="1">
        <v>0</v>
      </c>
      <c r="AA185" s="1">
        <v>0</v>
      </c>
      <c r="AB185" s="24">
        <f t="shared" si="7"/>
        <v>513</v>
      </c>
      <c r="AC185" s="23">
        <v>0</v>
      </c>
      <c r="AD185" s="1">
        <v>0</v>
      </c>
      <c r="AE185" s="1">
        <v>19159</v>
      </c>
      <c r="AF185" s="1">
        <v>2100</v>
      </c>
      <c r="AG185" s="1">
        <v>20000</v>
      </c>
      <c r="AH185" s="1">
        <v>80736</v>
      </c>
      <c r="AI185" s="1">
        <v>0</v>
      </c>
      <c r="AJ185" s="1">
        <v>259822</v>
      </c>
      <c r="AK185" s="1">
        <v>0</v>
      </c>
      <c r="AL185" s="1">
        <v>19708</v>
      </c>
      <c r="AM185" s="1">
        <v>2516</v>
      </c>
      <c r="AN185" s="1">
        <v>15951</v>
      </c>
      <c r="AO185" s="24">
        <f t="shared" si="8"/>
        <v>419992</v>
      </c>
    </row>
    <row r="186" spans="1:41" ht="17.25" customHeight="1" x14ac:dyDescent="0.45">
      <c r="A186" s="12" t="s">
        <v>13</v>
      </c>
      <c r="B186" s="12" t="s">
        <v>32</v>
      </c>
      <c r="C186" s="25">
        <v>19</v>
      </c>
      <c r="D186" s="10">
        <v>18</v>
      </c>
      <c r="E186" s="10">
        <v>21</v>
      </c>
      <c r="F186" s="10">
        <v>19</v>
      </c>
      <c r="G186" s="10">
        <v>58</v>
      </c>
      <c r="H186" s="10">
        <v>36</v>
      </c>
      <c r="I186" s="10">
        <v>28</v>
      </c>
      <c r="J186" s="10">
        <v>19</v>
      </c>
      <c r="K186" s="10">
        <v>21</v>
      </c>
      <c r="L186" s="10">
        <v>23</v>
      </c>
      <c r="M186" s="10">
        <v>27</v>
      </c>
      <c r="N186" s="10">
        <v>15</v>
      </c>
      <c r="O186" s="26">
        <f t="shared" si="6"/>
        <v>304</v>
      </c>
      <c r="P186" s="25">
        <v>0</v>
      </c>
      <c r="Q186" s="10">
        <v>49</v>
      </c>
      <c r="R186" s="10">
        <v>262</v>
      </c>
      <c r="S186" s="10">
        <v>8</v>
      </c>
      <c r="T186" s="10">
        <v>103</v>
      </c>
      <c r="U186" s="10">
        <v>0</v>
      </c>
      <c r="V186" s="10">
        <v>50</v>
      </c>
      <c r="W186" s="10">
        <v>0</v>
      </c>
      <c r="X186" s="10">
        <v>24</v>
      </c>
      <c r="Y186" s="10">
        <v>294</v>
      </c>
      <c r="Z186" s="10">
        <v>321</v>
      </c>
      <c r="AA186" s="10">
        <v>124</v>
      </c>
      <c r="AB186" s="26">
        <f t="shared" si="7"/>
        <v>1235</v>
      </c>
      <c r="AC186" s="25">
        <v>279747</v>
      </c>
      <c r="AD186" s="10">
        <v>270863</v>
      </c>
      <c r="AE186" s="10">
        <v>434376</v>
      </c>
      <c r="AF186" s="10">
        <v>314366</v>
      </c>
      <c r="AG186" s="10">
        <v>387768</v>
      </c>
      <c r="AH186" s="10">
        <v>305044</v>
      </c>
      <c r="AI186" s="10">
        <v>327179</v>
      </c>
      <c r="AJ186" s="10">
        <v>236999</v>
      </c>
      <c r="AK186" s="10">
        <v>193580</v>
      </c>
      <c r="AL186" s="10">
        <v>304405</v>
      </c>
      <c r="AM186" s="10">
        <v>180819</v>
      </c>
      <c r="AN186" s="10">
        <v>120815</v>
      </c>
      <c r="AO186" s="26">
        <f t="shared" si="8"/>
        <v>3355961</v>
      </c>
    </row>
    <row r="187" spans="1:41" ht="17.25" customHeight="1" x14ac:dyDescent="0.45">
      <c r="A187" s="2" t="s">
        <v>13</v>
      </c>
      <c r="B187" s="2" t="s">
        <v>36</v>
      </c>
      <c r="C187" s="23">
        <v>34</v>
      </c>
      <c r="D187" s="1">
        <v>17</v>
      </c>
      <c r="E187" s="1">
        <v>2</v>
      </c>
      <c r="F187" s="1">
        <v>16</v>
      </c>
      <c r="G187" s="1">
        <v>15</v>
      </c>
      <c r="H187" s="1">
        <v>2</v>
      </c>
      <c r="I187" s="1">
        <v>10</v>
      </c>
      <c r="J187" s="1">
        <v>13</v>
      </c>
      <c r="K187" s="1">
        <v>0</v>
      </c>
      <c r="L187" s="1">
        <v>0</v>
      </c>
      <c r="M187" s="1">
        <v>0</v>
      </c>
      <c r="N187" s="1">
        <v>0</v>
      </c>
      <c r="O187" s="24">
        <f t="shared" si="6"/>
        <v>109</v>
      </c>
      <c r="P187" s="23">
        <v>3669</v>
      </c>
      <c r="Q187" s="1">
        <v>1834</v>
      </c>
      <c r="R187" s="1">
        <v>263</v>
      </c>
      <c r="S187" s="1">
        <v>1935</v>
      </c>
      <c r="T187" s="1">
        <v>1653</v>
      </c>
      <c r="U187" s="1">
        <v>301</v>
      </c>
      <c r="V187" s="1">
        <v>1453</v>
      </c>
      <c r="W187" s="1">
        <v>1726</v>
      </c>
      <c r="X187" s="1">
        <v>0</v>
      </c>
      <c r="Y187" s="1">
        <v>0</v>
      </c>
      <c r="Z187" s="1">
        <v>0</v>
      </c>
      <c r="AA187" s="1">
        <v>0</v>
      </c>
      <c r="AB187" s="24">
        <f t="shared" si="7"/>
        <v>12834</v>
      </c>
      <c r="AC187" s="23">
        <v>0</v>
      </c>
      <c r="AD187" s="1">
        <v>0</v>
      </c>
      <c r="AE187" s="1">
        <v>0</v>
      </c>
      <c r="AF187" s="1">
        <v>0</v>
      </c>
      <c r="AG187" s="1">
        <v>0</v>
      </c>
      <c r="AH187" s="1">
        <v>0</v>
      </c>
      <c r="AI187" s="1">
        <v>0</v>
      </c>
      <c r="AJ187" s="1">
        <v>0</v>
      </c>
      <c r="AK187" s="1">
        <v>0</v>
      </c>
      <c r="AL187" s="1">
        <v>0</v>
      </c>
      <c r="AM187" s="1">
        <v>0</v>
      </c>
      <c r="AN187" s="1">
        <v>0</v>
      </c>
      <c r="AO187" s="24">
        <f t="shared" si="8"/>
        <v>0</v>
      </c>
    </row>
    <row r="188" spans="1:41" ht="17.25" customHeight="1" x14ac:dyDescent="0.45">
      <c r="A188" s="12" t="s">
        <v>25</v>
      </c>
      <c r="B188" s="12" t="s">
        <v>13</v>
      </c>
      <c r="C188" s="25">
        <v>0</v>
      </c>
      <c r="D188" s="10">
        <v>1</v>
      </c>
      <c r="E188" s="10">
        <v>0</v>
      </c>
      <c r="F188" s="10">
        <v>0</v>
      </c>
      <c r="G188" s="10">
        <v>0</v>
      </c>
      <c r="H188" s="10">
        <v>0</v>
      </c>
      <c r="I188" s="10">
        <v>0</v>
      </c>
      <c r="J188" s="10">
        <v>0</v>
      </c>
      <c r="K188" s="10">
        <v>0</v>
      </c>
      <c r="L188" s="10">
        <v>0</v>
      </c>
      <c r="M188" s="10">
        <v>0</v>
      </c>
      <c r="N188" s="10">
        <v>0</v>
      </c>
      <c r="O188" s="26">
        <f t="shared" si="6"/>
        <v>1</v>
      </c>
      <c r="P188" s="25">
        <v>0</v>
      </c>
      <c r="Q188" s="10">
        <v>24</v>
      </c>
      <c r="R188" s="10">
        <v>0</v>
      </c>
      <c r="S188" s="10">
        <v>0</v>
      </c>
      <c r="T188" s="10">
        <v>0</v>
      </c>
      <c r="U188" s="10">
        <v>0</v>
      </c>
      <c r="V188" s="10">
        <v>0</v>
      </c>
      <c r="W188" s="10">
        <v>0</v>
      </c>
      <c r="X188" s="10">
        <v>0</v>
      </c>
      <c r="Y188" s="10">
        <v>0</v>
      </c>
      <c r="Z188" s="10">
        <v>0</v>
      </c>
      <c r="AA188" s="10">
        <v>0</v>
      </c>
      <c r="AB188" s="26">
        <f t="shared" si="7"/>
        <v>24</v>
      </c>
      <c r="AC188" s="25">
        <v>0</v>
      </c>
      <c r="AD188" s="10">
        <v>0</v>
      </c>
      <c r="AE188" s="10">
        <v>0</v>
      </c>
      <c r="AF188" s="10">
        <v>0</v>
      </c>
      <c r="AG188" s="10">
        <v>0</v>
      </c>
      <c r="AH188" s="10">
        <v>0</v>
      </c>
      <c r="AI188" s="10">
        <v>0</v>
      </c>
      <c r="AJ188" s="10">
        <v>0</v>
      </c>
      <c r="AK188" s="10">
        <v>0</v>
      </c>
      <c r="AL188" s="10">
        <v>0</v>
      </c>
      <c r="AM188" s="10">
        <v>0</v>
      </c>
      <c r="AN188" s="10">
        <v>0</v>
      </c>
      <c r="AO188" s="26">
        <f t="shared" si="8"/>
        <v>0</v>
      </c>
    </row>
    <row r="189" spans="1:41" ht="17.25" customHeight="1" x14ac:dyDescent="0.45">
      <c r="A189" s="2" t="s">
        <v>59</v>
      </c>
      <c r="B189" s="2" t="s">
        <v>44</v>
      </c>
      <c r="C189" s="23">
        <v>0</v>
      </c>
      <c r="D189" s="1">
        <v>11</v>
      </c>
      <c r="E189" s="1">
        <v>13</v>
      </c>
      <c r="F189" s="1">
        <v>13</v>
      </c>
      <c r="G189" s="1">
        <v>13</v>
      </c>
      <c r="H189" s="1">
        <v>13</v>
      </c>
      <c r="I189" s="1">
        <v>13</v>
      </c>
      <c r="J189" s="1">
        <v>14</v>
      </c>
      <c r="K189" s="1">
        <v>13</v>
      </c>
      <c r="L189" s="1">
        <v>14</v>
      </c>
      <c r="M189" s="1">
        <v>13</v>
      </c>
      <c r="N189" s="1">
        <v>13</v>
      </c>
      <c r="O189" s="24">
        <f t="shared" si="6"/>
        <v>143</v>
      </c>
      <c r="P189" s="23">
        <v>0</v>
      </c>
      <c r="Q189" s="1">
        <v>159</v>
      </c>
      <c r="R189" s="1">
        <v>323</v>
      </c>
      <c r="S189" s="1">
        <v>215</v>
      </c>
      <c r="T189" s="1">
        <v>202</v>
      </c>
      <c r="U189" s="1">
        <v>200</v>
      </c>
      <c r="V189" s="1">
        <v>172</v>
      </c>
      <c r="W189" s="1">
        <v>165</v>
      </c>
      <c r="X189" s="1">
        <v>125</v>
      </c>
      <c r="Y189" s="1">
        <v>178</v>
      </c>
      <c r="Z189" s="1">
        <v>139</v>
      </c>
      <c r="AA189" s="1">
        <v>278</v>
      </c>
      <c r="AB189" s="24">
        <f t="shared" si="7"/>
        <v>2156</v>
      </c>
      <c r="AC189" s="23">
        <v>0</v>
      </c>
      <c r="AD189" s="1">
        <v>0</v>
      </c>
      <c r="AE189" s="1">
        <v>0</v>
      </c>
      <c r="AF189" s="1">
        <v>0</v>
      </c>
      <c r="AG189" s="1">
        <v>0</v>
      </c>
      <c r="AH189" s="1">
        <v>0</v>
      </c>
      <c r="AI189" s="1">
        <v>0</v>
      </c>
      <c r="AJ189" s="1">
        <v>0</v>
      </c>
      <c r="AK189" s="1">
        <v>0</v>
      </c>
      <c r="AL189" s="1">
        <v>0</v>
      </c>
      <c r="AM189" s="1">
        <v>0</v>
      </c>
      <c r="AN189" s="1">
        <v>0</v>
      </c>
      <c r="AO189" s="24">
        <f t="shared" si="8"/>
        <v>0</v>
      </c>
    </row>
    <row r="190" spans="1:41" ht="17.25" customHeight="1" x14ac:dyDescent="0.45">
      <c r="A190" s="12" t="s">
        <v>59</v>
      </c>
      <c r="B190" s="12" t="s">
        <v>206</v>
      </c>
      <c r="C190" s="25">
        <v>0</v>
      </c>
      <c r="D190" s="10">
        <v>0</v>
      </c>
      <c r="E190" s="10">
        <v>0</v>
      </c>
      <c r="F190" s="10">
        <v>0</v>
      </c>
      <c r="G190" s="10">
        <v>1</v>
      </c>
      <c r="H190" s="10">
        <v>0</v>
      </c>
      <c r="I190" s="10">
        <v>0</v>
      </c>
      <c r="J190" s="10">
        <v>0</v>
      </c>
      <c r="K190" s="10">
        <v>0</v>
      </c>
      <c r="L190" s="10">
        <v>0</v>
      </c>
      <c r="M190" s="10">
        <v>0</v>
      </c>
      <c r="N190" s="10">
        <v>0</v>
      </c>
      <c r="O190" s="26">
        <f t="shared" si="6"/>
        <v>1</v>
      </c>
      <c r="P190" s="25">
        <v>0</v>
      </c>
      <c r="Q190" s="10">
        <v>0</v>
      </c>
      <c r="R190" s="10">
        <v>0</v>
      </c>
      <c r="S190" s="10">
        <v>0</v>
      </c>
      <c r="T190" s="10">
        <v>0</v>
      </c>
      <c r="U190" s="10">
        <v>0</v>
      </c>
      <c r="V190" s="10">
        <v>0</v>
      </c>
      <c r="W190" s="10">
        <v>0</v>
      </c>
      <c r="X190" s="10">
        <v>0</v>
      </c>
      <c r="Y190" s="10">
        <v>0</v>
      </c>
      <c r="Z190" s="10">
        <v>0</v>
      </c>
      <c r="AA190" s="10">
        <v>0</v>
      </c>
      <c r="AB190" s="26">
        <f t="shared" si="7"/>
        <v>0</v>
      </c>
      <c r="AC190" s="25">
        <v>0</v>
      </c>
      <c r="AD190" s="10">
        <v>0</v>
      </c>
      <c r="AE190" s="10">
        <v>0</v>
      </c>
      <c r="AF190" s="10">
        <v>0</v>
      </c>
      <c r="AG190" s="10">
        <v>250</v>
      </c>
      <c r="AH190" s="10">
        <v>0</v>
      </c>
      <c r="AI190" s="10">
        <v>0</v>
      </c>
      <c r="AJ190" s="10">
        <v>0</v>
      </c>
      <c r="AK190" s="10">
        <v>0</v>
      </c>
      <c r="AL190" s="10">
        <v>0</v>
      </c>
      <c r="AM190" s="10">
        <v>0</v>
      </c>
      <c r="AN190" s="10">
        <v>0</v>
      </c>
      <c r="AO190" s="26">
        <f t="shared" si="8"/>
        <v>250</v>
      </c>
    </row>
    <row r="191" spans="1:41" ht="17.25" customHeight="1" x14ac:dyDescent="0.45">
      <c r="A191" s="2" t="s">
        <v>59</v>
      </c>
      <c r="B191" s="2" t="s">
        <v>32</v>
      </c>
      <c r="C191" s="23">
        <v>0</v>
      </c>
      <c r="D191" s="1">
        <v>0</v>
      </c>
      <c r="E191" s="1">
        <v>0</v>
      </c>
      <c r="F191" s="1">
        <v>0</v>
      </c>
      <c r="G191" s="1">
        <v>0</v>
      </c>
      <c r="H191" s="1">
        <v>1</v>
      </c>
      <c r="I191" s="1">
        <v>0</v>
      </c>
      <c r="J191" s="1">
        <v>0</v>
      </c>
      <c r="K191" s="1">
        <v>0</v>
      </c>
      <c r="L191" s="1">
        <v>0</v>
      </c>
      <c r="M191" s="1">
        <v>0</v>
      </c>
      <c r="N191" s="1">
        <v>0</v>
      </c>
      <c r="O191" s="24">
        <f t="shared" si="6"/>
        <v>1</v>
      </c>
      <c r="P191" s="23">
        <v>0</v>
      </c>
      <c r="Q191" s="1">
        <v>0</v>
      </c>
      <c r="R191" s="1">
        <v>0</v>
      </c>
      <c r="S191" s="1">
        <v>0</v>
      </c>
      <c r="T191" s="1">
        <v>0</v>
      </c>
      <c r="U191" s="1">
        <v>0</v>
      </c>
      <c r="V191" s="1">
        <v>0</v>
      </c>
      <c r="W191" s="1">
        <v>0</v>
      </c>
      <c r="X191" s="1">
        <v>0</v>
      </c>
      <c r="Y191" s="1">
        <v>0</v>
      </c>
      <c r="Z191" s="1">
        <v>0</v>
      </c>
      <c r="AA191" s="1">
        <v>0</v>
      </c>
      <c r="AB191" s="24">
        <f t="shared" si="7"/>
        <v>0</v>
      </c>
      <c r="AC191" s="23">
        <v>0</v>
      </c>
      <c r="AD191" s="1">
        <v>0</v>
      </c>
      <c r="AE191" s="1">
        <v>0</v>
      </c>
      <c r="AF191" s="1">
        <v>0</v>
      </c>
      <c r="AG191" s="1">
        <v>0</v>
      </c>
      <c r="AH191" s="1">
        <v>4146</v>
      </c>
      <c r="AI191" s="1">
        <v>0</v>
      </c>
      <c r="AJ191" s="1">
        <v>0</v>
      </c>
      <c r="AK191" s="1">
        <v>0</v>
      </c>
      <c r="AL191" s="1">
        <v>0</v>
      </c>
      <c r="AM191" s="1">
        <v>0</v>
      </c>
      <c r="AN191" s="1">
        <v>0</v>
      </c>
      <c r="AO191" s="24">
        <f t="shared" si="8"/>
        <v>4146</v>
      </c>
    </row>
    <row r="192" spans="1:41" ht="17.25" customHeight="1" x14ac:dyDescent="0.45">
      <c r="A192" s="12" t="s">
        <v>59</v>
      </c>
      <c r="B192" s="12" t="s">
        <v>33</v>
      </c>
      <c r="C192" s="25">
        <v>0</v>
      </c>
      <c r="D192" s="10">
        <v>0</v>
      </c>
      <c r="E192" s="10">
        <v>0</v>
      </c>
      <c r="F192" s="10">
        <v>0</v>
      </c>
      <c r="G192" s="10">
        <v>0</v>
      </c>
      <c r="H192" s="10">
        <v>0</v>
      </c>
      <c r="I192" s="10">
        <v>0</v>
      </c>
      <c r="J192" s="10">
        <v>0</v>
      </c>
      <c r="K192" s="10">
        <v>1</v>
      </c>
      <c r="L192" s="10">
        <v>0</v>
      </c>
      <c r="M192" s="10">
        <v>0</v>
      </c>
      <c r="N192" s="10">
        <v>0</v>
      </c>
      <c r="O192" s="26">
        <f t="shared" si="6"/>
        <v>1</v>
      </c>
      <c r="P192" s="25">
        <v>0</v>
      </c>
      <c r="Q192" s="10">
        <v>0</v>
      </c>
      <c r="R192" s="10">
        <v>0</v>
      </c>
      <c r="S192" s="10">
        <v>0</v>
      </c>
      <c r="T192" s="10">
        <v>0</v>
      </c>
      <c r="U192" s="10">
        <v>0</v>
      </c>
      <c r="V192" s="10">
        <v>0</v>
      </c>
      <c r="W192" s="10">
        <v>0</v>
      </c>
      <c r="X192" s="10">
        <v>0</v>
      </c>
      <c r="Y192" s="10">
        <v>0</v>
      </c>
      <c r="Z192" s="10">
        <v>0</v>
      </c>
      <c r="AA192" s="10">
        <v>0</v>
      </c>
      <c r="AB192" s="26">
        <f t="shared" si="7"/>
        <v>0</v>
      </c>
      <c r="AC192" s="25">
        <v>0</v>
      </c>
      <c r="AD192" s="10">
        <v>0</v>
      </c>
      <c r="AE192" s="10">
        <v>0</v>
      </c>
      <c r="AF192" s="10">
        <v>0</v>
      </c>
      <c r="AG192" s="10">
        <v>0</v>
      </c>
      <c r="AH192" s="10">
        <v>0</v>
      </c>
      <c r="AI192" s="10">
        <v>0</v>
      </c>
      <c r="AJ192" s="10">
        <v>0</v>
      </c>
      <c r="AK192" s="10">
        <v>3565</v>
      </c>
      <c r="AL192" s="10">
        <v>0</v>
      </c>
      <c r="AM192" s="10">
        <v>0</v>
      </c>
      <c r="AN192" s="10">
        <v>0</v>
      </c>
      <c r="AO192" s="26">
        <f t="shared" si="8"/>
        <v>3565</v>
      </c>
    </row>
    <row r="193" spans="1:41" ht="17.25" customHeight="1" x14ac:dyDescent="0.45">
      <c r="A193" s="2" t="s">
        <v>26</v>
      </c>
      <c r="B193" s="2" t="s">
        <v>11</v>
      </c>
      <c r="C193" s="23">
        <v>5</v>
      </c>
      <c r="D193" s="1">
        <v>5</v>
      </c>
      <c r="E193" s="1">
        <v>4</v>
      </c>
      <c r="F193" s="1">
        <v>4</v>
      </c>
      <c r="G193" s="1">
        <v>5</v>
      </c>
      <c r="H193" s="1">
        <v>2</v>
      </c>
      <c r="I193" s="1">
        <v>5</v>
      </c>
      <c r="J193" s="1">
        <v>2</v>
      </c>
      <c r="K193" s="1">
        <v>0</v>
      </c>
      <c r="L193" s="1">
        <v>0</v>
      </c>
      <c r="M193" s="1">
        <v>0</v>
      </c>
      <c r="N193" s="1">
        <v>0</v>
      </c>
      <c r="O193" s="24">
        <f t="shared" si="6"/>
        <v>32</v>
      </c>
      <c r="P193" s="23">
        <v>0</v>
      </c>
      <c r="Q193" s="1">
        <v>0</v>
      </c>
      <c r="R193" s="1">
        <v>0</v>
      </c>
      <c r="S193" s="1">
        <v>0</v>
      </c>
      <c r="T193" s="1">
        <v>0</v>
      </c>
      <c r="U193" s="1">
        <v>0</v>
      </c>
      <c r="V193" s="1">
        <v>0</v>
      </c>
      <c r="W193" s="1">
        <v>0</v>
      </c>
      <c r="X193" s="1">
        <v>0</v>
      </c>
      <c r="Y193" s="1">
        <v>0</v>
      </c>
      <c r="Z193" s="1">
        <v>0</v>
      </c>
      <c r="AA193" s="1">
        <v>0</v>
      </c>
      <c r="AB193" s="24">
        <f t="shared" si="7"/>
        <v>0</v>
      </c>
      <c r="AC193" s="23">
        <v>20149</v>
      </c>
      <c r="AD193" s="1">
        <v>19938</v>
      </c>
      <c r="AE193" s="1">
        <v>17613</v>
      </c>
      <c r="AF193" s="1">
        <v>17351</v>
      </c>
      <c r="AG193" s="1">
        <v>19446</v>
      </c>
      <c r="AH193" s="1">
        <v>9060</v>
      </c>
      <c r="AI193" s="1">
        <v>18693</v>
      </c>
      <c r="AJ193" s="1">
        <v>5588</v>
      </c>
      <c r="AK193" s="1">
        <v>0</v>
      </c>
      <c r="AL193" s="1">
        <v>0</v>
      </c>
      <c r="AM193" s="1">
        <v>0</v>
      </c>
      <c r="AN193" s="1">
        <v>0</v>
      </c>
      <c r="AO193" s="24">
        <f t="shared" si="8"/>
        <v>127838</v>
      </c>
    </row>
    <row r="194" spans="1:41" ht="17.25" customHeight="1" x14ac:dyDescent="0.45">
      <c r="A194" s="12" t="s">
        <v>26</v>
      </c>
      <c r="B194" s="12" t="s">
        <v>51</v>
      </c>
      <c r="C194" s="25">
        <v>0</v>
      </c>
      <c r="D194" s="10">
        <v>0</v>
      </c>
      <c r="E194" s="10">
        <v>0</v>
      </c>
      <c r="F194" s="10">
        <v>0</v>
      </c>
      <c r="G194" s="10">
        <v>0</v>
      </c>
      <c r="H194" s="10">
        <v>0</v>
      </c>
      <c r="I194" s="10">
        <v>0</v>
      </c>
      <c r="J194" s="10">
        <v>0</v>
      </c>
      <c r="K194" s="10">
        <v>0</v>
      </c>
      <c r="L194" s="10">
        <v>1</v>
      </c>
      <c r="M194" s="10">
        <v>0</v>
      </c>
      <c r="N194" s="10">
        <v>0</v>
      </c>
      <c r="O194" s="26">
        <f t="shared" si="6"/>
        <v>1</v>
      </c>
      <c r="P194" s="25">
        <v>0</v>
      </c>
      <c r="Q194" s="10">
        <v>0</v>
      </c>
      <c r="R194" s="10">
        <v>0</v>
      </c>
      <c r="S194" s="10">
        <v>0</v>
      </c>
      <c r="T194" s="10">
        <v>0</v>
      </c>
      <c r="U194" s="10">
        <v>0</v>
      </c>
      <c r="V194" s="10">
        <v>0</v>
      </c>
      <c r="W194" s="10">
        <v>0</v>
      </c>
      <c r="X194" s="10">
        <v>0</v>
      </c>
      <c r="Y194" s="10">
        <v>74</v>
      </c>
      <c r="Z194" s="10">
        <v>0</v>
      </c>
      <c r="AA194" s="10">
        <v>0</v>
      </c>
      <c r="AB194" s="26">
        <f t="shared" si="7"/>
        <v>74</v>
      </c>
      <c r="AC194" s="25">
        <v>0</v>
      </c>
      <c r="AD194" s="10">
        <v>0</v>
      </c>
      <c r="AE194" s="10">
        <v>0</v>
      </c>
      <c r="AF194" s="10">
        <v>0</v>
      </c>
      <c r="AG194" s="10">
        <v>0</v>
      </c>
      <c r="AH194" s="10">
        <v>0</v>
      </c>
      <c r="AI194" s="10">
        <v>0</v>
      </c>
      <c r="AJ194" s="10">
        <v>0</v>
      </c>
      <c r="AK194" s="10">
        <v>0</v>
      </c>
      <c r="AL194" s="10">
        <v>0</v>
      </c>
      <c r="AM194" s="10">
        <v>0</v>
      </c>
      <c r="AN194" s="10">
        <v>0</v>
      </c>
      <c r="AO194" s="26">
        <f t="shared" si="8"/>
        <v>0</v>
      </c>
    </row>
    <row r="195" spans="1:41" ht="17.25" customHeight="1" x14ac:dyDescent="0.45">
      <c r="A195" s="2" t="s">
        <v>26</v>
      </c>
      <c r="B195" s="2" t="s">
        <v>53</v>
      </c>
      <c r="C195" s="23">
        <v>0</v>
      </c>
      <c r="D195" s="1">
        <v>0</v>
      </c>
      <c r="E195" s="1">
        <v>0</v>
      </c>
      <c r="F195" s="1">
        <v>0</v>
      </c>
      <c r="G195" s="1">
        <v>0</v>
      </c>
      <c r="H195" s="1">
        <v>0</v>
      </c>
      <c r="I195" s="1">
        <v>0</v>
      </c>
      <c r="J195" s="1">
        <v>0</v>
      </c>
      <c r="K195" s="1">
        <v>0</v>
      </c>
      <c r="L195" s="1">
        <v>1</v>
      </c>
      <c r="M195" s="1">
        <v>0</v>
      </c>
      <c r="N195" s="1">
        <v>0</v>
      </c>
      <c r="O195" s="24">
        <f t="shared" si="6"/>
        <v>1</v>
      </c>
      <c r="P195" s="23">
        <v>0</v>
      </c>
      <c r="Q195" s="1">
        <v>0</v>
      </c>
      <c r="R195" s="1">
        <v>0</v>
      </c>
      <c r="S195" s="1">
        <v>0</v>
      </c>
      <c r="T195" s="1">
        <v>0</v>
      </c>
      <c r="U195" s="1">
        <v>0</v>
      </c>
      <c r="V195" s="1">
        <v>0</v>
      </c>
      <c r="W195" s="1">
        <v>0</v>
      </c>
      <c r="X195" s="1">
        <v>0</v>
      </c>
      <c r="Y195" s="1">
        <v>26</v>
      </c>
      <c r="Z195" s="1">
        <v>0</v>
      </c>
      <c r="AA195" s="1">
        <v>0</v>
      </c>
      <c r="AB195" s="24">
        <f t="shared" si="7"/>
        <v>26</v>
      </c>
      <c r="AC195" s="23">
        <v>0</v>
      </c>
      <c r="AD195" s="1">
        <v>0</v>
      </c>
      <c r="AE195" s="1">
        <v>0</v>
      </c>
      <c r="AF195" s="1">
        <v>0</v>
      </c>
      <c r="AG195" s="1">
        <v>0</v>
      </c>
      <c r="AH195" s="1">
        <v>0</v>
      </c>
      <c r="AI195" s="1">
        <v>0</v>
      </c>
      <c r="AJ195" s="1">
        <v>0</v>
      </c>
      <c r="AK195" s="1">
        <v>0</v>
      </c>
      <c r="AL195" s="1">
        <v>0</v>
      </c>
      <c r="AM195" s="1">
        <v>0</v>
      </c>
      <c r="AN195" s="1">
        <v>0</v>
      </c>
      <c r="AO195" s="24">
        <f t="shared" si="8"/>
        <v>0</v>
      </c>
    </row>
    <row r="196" spans="1:41" ht="17.25" customHeight="1" x14ac:dyDescent="0.45">
      <c r="A196" s="12" t="s">
        <v>26</v>
      </c>
      <c r="B196" s="12" t="s">
        <v>13</v>
      </c>
      <c r="C196" s="25">
        <v>0</v>
      </c>
      <c r="D196" s="10">
        <v>0</v>
      </c>
      <c r="E196" s="10">
        <v>0</v>
      </c>
      <c r="F196" s="10">
        <v>0</v>
      </c>
      <c r="G196" s="10">
        <v>0</v>
      </c>
      <c r="H196" s="10">
        <v>0</v>
      </c>
      <c r="I196" s="10">
        <v>0</v>
      </c>
      <c r="J196" s="10">
        <v>0</v>
      </c>
      <c r="K196" s="10">
        <v>0</v>
      </c>
      <c r="L196" s="10">
        <v>0</v>
      </c>
      <c r="M196" s="10">
        <v>0</v>
      </c>
      <c r="N196" s="10">
        <v>1</v>
      </c>
      <c r="O196" s="26">
        <f t="shared" si="6"/>
        <v>1</v>
      </c>
      <c r="P196" s="25">
        <v>0</v>
      </c>
      <c r="Q196" s="10">
        <v>0</v>
      </c>
      <c r="R196" s="10">
        <v>0</v>
      </c>
      <c r="S196" s="10">
        <v>0</v>
      </c>
      <c r="T196" s="10">
        <v>0</v>
      </c>
      <c r="U196" s="10">
        <v>0</v>
      </c>
      <c r="V196" s="10">
        <v>0</v>
      </c>
      <c r="W196" s="10">
        <v>0</v>
      </c>
      <c r="X196" s="10">
        <v>0</v>
      </c>
      <c r="Y196" s="10">
        <v>0</v>
      </c>
      <c r="Z196" s="10">
        <v>0</v>
      </c>
      <c r="AA196" s="10">
        <v>161</v>
      </c>
      <c r="AB196" s="26">
        <f t="shared" si="7"/>
        <v>161</v>
      </c>
      <c r="AC196" s="25">
        <v>0</v>
      </c>
      <c r="AD196" s="10">
        <v>0</v>
      </c>
      <c r="AE196" s="10">
        <v>0</v>
      </c>
      <c r="AF196" s="10">
        <v>0</v>
      </c>
      <c r="AG196" s="10">
        <v>0</v>
      </c>
      <c r="AH196" s="10">
        <v>0</v>
      </c>
      <c r="AI196" s="10">
        <v>0</v>
      </c>
      <c r="AJ196" s="10">
        <v>0</v>
      </c>
      <c r="AK196" s="10">
        <v>0</v>
      </c>
      <c r="AL196" s="10">
        <v>0</v>
      </c>
      <c r="AM196" s="10">
        <v>0</v>
      </c>
      <c r="AN196" s="10">
        <v>0</v>
      </c>
      <c r="AO196" s="26">
        <f t="shared" si="8"/>
        <v>0</v>
      </c>
    </row>
    <row r="197" spans="1:41" ht="17.25" customHeight="1" x14ac:dyDescent="0.45">
      <c r="A197" s="2" t="s">
        <v>26</v>
      </c>
      <c r="B197" s="2" t="s">
        <v>32</v>
      </c>
      <c r="C197" s="23">
        <v>0</v>
      </c>
      <c r="D197" s="1">
        <v>0</v>
      </c>
      <c r="E197" s="1">
        <v>0</v>
      </c>
      <c r="F197" s="1">
        <v>0</v>
      </c>
      <c r="G197" s="1">
        <v>0</v>
      </c>
      <c r="H197" s="1">
        <v>0</v>
      </c>
      <c r="I197" s="1">
        <v>0</v>
      </c>
      <c r="J197" s="1">
        <v>0</v>
      </c>
      <c r="K197" s="1">
        <v>1</v>
      </c>
      <c r="L197" s="1">
        <v>0</v>
      </c>
      <c r="M197" s="1">
        <v>0</v>
      </c>
      <c r="N197" s="1">
        <v>0</v>
      </c>
      <c r="O197" s="24">
        <f t="shared" si="6"/>
        <v>1</v>
      </c>
      <c r="P197" s="23">
        <v>0</v>
      </c>
      <c r="Q197" s="1">
        <v>0</v>
      </c>
      <c r="R197" s="1">
        <v>0</v>
      </c>
      <c r="S197" s="1">
        <v>0</v>
      </c>
      <c r="T197" s="1">
        <v>0</v>
      </c>
      <c r="U197" s="1">
        <v>0</v>
      </c>
      <c r="V197" s="1">
        <v>0</v>
      </c>
      <c r="W197" s="1">
        <v>0</v>
      </c>
      <c r="X197" s="1">
        <v>50</v>
      </c>
      <c r="Y197" s="1">
        <v>0</v>
      </c>
      <c r="Z197" s="1">
        <v>0</v>
      </c>
      <c r="AA197" s="1">
        <v>0</v>
      </c>
      <c r="AB197" s="24">
        <f t="shared" si="7"/>
        <v>50</v>
      </c>
      <c r="AC197" s="23">
        <v>0</v>
      </c>
      <c r="AD197" s="1">
        <v>0</v>
      </c>
      <c r="AE197" s="1">
        <v>0</v>
      </c>
      <c r="AF197" s="1">
        <v>0</v>
      </c>
      <c r="AG197" s="1">
        <v>0</v>
      </c>
      <c r="AH197" s="1">
        <v>0</v>
      </c>
      <c r="AI197" s="1">
        <v>0</v>
      </c>
      <c r="AJ197" s="1">
        <v>0</v>
      </c>
      <c r="AK197" s="1">
        <v>0</v>
      </c>
      <c r="AL197" s="1">
        <v>0</v>
      </c>
      <c r="AM197" s="1">
        <v>0</v>
      </c>
      <c r="AN197" s="1">
        <v>0</v>
      </c>
      <c r="AO197" s="24">
        <f t="shared" si="8"/>
        <v>0</v>
      </c>
    </row>
    <row r="198" spans="1:41" ht="17.25" customHeight="1" x14ac:dyDescent="0.45">
      <c r="A198" s="12" t="s">
        <v>243</v>
      </c>
      <c r="B198" s="12" t="s">
        <v>14</v>
      </c>
      <c r="C198" s="25">
        <v>17</v>
      </c>
      <c r="D198" s="10">
        <v>16</v>
      </c>
      <c r="E198" s="10">
        <v>18</v>
      </c>
      <c r="F198" s="10">
        <v>16</v>
      </c>
      <c r="G198" s="10">
        <v>17</v>
      </c>
      <c r="H198" s="10">
        <v>18</v>
      </c>
      <c r="I198" s="10">
        <v>17</v>
      </c>
      <c r="J198" s="10">
        <v>17</v>
      </c>
      <c r="K198" s="10">
        <v>18</v>
      </c>
      <c r="L198" s="10">
        <v>18</v>
      </c>
      <c r="M198" s="10">
        <v>16</v>
      </c>
      <c r="N198" s="10">
        <v>18</v>
      </c>
      <c r="O198" s="26">
        <f t="shared" si="6"/>
        <v>206</v>
      </c>
      <c r="P198" s="25">
        <v>269</v>
      </c>
      <c r="Q198" s="10">
        <v>260</v>
      </c>
      <c r="R198" s="10">
        <v>359</v>
      </c>
      <c r="S198" s="10">
        <v>382</v>
      </c>
      <c r="T198" s="10">
        <v>399</v>
      </c>
      <c r="U198" s="10">
        <v>341</v>
      </c>
      <c r="V198" s="10">
        <v>480</v>
      </c>
      <c r="W198" s="10">
        <v>462</v>
      </c>
      <c r="X198" s="10">
        <v>402</v>
      </c>
      <c r="Y198" s="10">
        <v>383</v>
      </c>
      <c r="Z198" s="10">
        <v>409</v>
      </c>
      <c r="AA198" s="10">
        <v>651</v>
      </c>
      <c r="AB198" s="26">
        <f t="shared" si="7"/>
        <v>4797</v>
      </c>
      <c r="AC198" s="25">
        <v>0</v>
      </c>
      <c r="AD198" s="10">
        <v>0</v>
      </c>
      <c r="AE198" s="10">
        <v>0</v>
      </c>
      <c r="AF198" s="10">
        <v>0</v>
      </c>
      <c r="AG198" s="10">
        <v>0</v>
      </c>
      <c r="AH198" s="10">
        <v>0</v>
      </c>
      <c r="AI198" s="10">
        <v>0</v>
      </c>
      <c r="AJ198" s="10">
        <v>0</v>
      </c>
      <c r="AK198" s="10">
        <v>0</v>
      </c>
      <c r="AL198" s="10">
        <v>0</v>
      </c>
      <c r="AM198" s="10">
        <v>0</v>
      </c>
      <c r="AN198" s="10">
        <v>0</v>
      </c>
      <c r="AO198" s="26">
        <f t="shared" si="8"/>
        <v>0</v>
      </c>
    </row>
    <row r="199" spans="1:41" ht="17.25" customHeight="1" x14ac:dyDescent="0.45">
      <c r="A199" s="2" t="s">
        <v>60</v>
      </c>
      <c r="B199" s="2" t="s">
        <v>13</v>
      </c>
      <c r="C199" s="23">
        <v>79</v>
      </c>
      <c r="D199" s="1">
        <v>94</v>
      </c>
      <c r="E199" s="1">
        <v>97</v>
      </c>
      <c r="F199" s="1">
        <v>92</v>
      </c>
      <c r="G199" s="1">
        <v>88</v>
      </c>
      <c r="H199" s="1">
        <v>86</v>
      </c>
      <c r="I199" s="1">
        <v>93</v>
      </c>
      <c r="J199" s="1">
        <v>93</v>
      </c>
      <c r="K199" s="1">
        <v>90</v>
      </c>
      <c r="L199" s="1">
        <v>93</v>
      </c>
      <c r="M199" s="1">
        <v>99</v>
      </c>
      <c r="N199" s="1">
        <v>113</v>
      </c>
      <c r="O199" s="24">
        <f t="shared" si="6"/>
        <v>1117</v>
      </c>
      <c r="P199" s="23">
        <v>349</v>
      </c>
      <c r="Q199" s="1">
        <v>402</v>
      </c>
      <c r="R199" s="1">
        <v>418</v>
      </c>
      <c r="S199" s="1">
        <v>469</v>
      </c>
      <c r="T199" s="1">
        <v>408</v>
      </c>
      <c r="U199" s="1">
        <v>340</v>
      </c>
      <c r="V199" s="1">
        <v>335</v>
      </c>
      <c r="W199" s="1">
        <v>371</v>
      </c>
      <c r="X199" s="1">
        <v>350</v>
      </c>
      <c r="Y199" s="1">
        <v>430</v>
      </c>
      <c r="Z199" s="1">
        <v>401</v>
      </c>
      <c r="AA199" s="1">
        <v>399</v>
      </c>
      <c r="AB199" s="24">
        <f t="shared" si="7"/>
        <v>4672</v>
      </c>
      <c r="AC199" s="23">
        <v>0</v>
      </c>
      <c r="AD199" s="1">
        <v>0</v>
      </c>
      <c r="AE199" s="1">
        <v>0</v>
      </c>
      <c r="AF199" s="1">
        <v>0</v>
      </c>
      <c r="AG199" s="1">
        <v>0</v>
      </c>
      <c r="AH199" s="1">
        <v>0</v>
      </c>
      <c r="AI199" s="1">
        <v>0</v>
      </c>
      <c r="AJ199" s="1">
        <v>0</v>
      </c>
      <c r="AK199" s="1">
        <v>0</v>
      </c>
      <c r="AL199" s="1">
        <v>0</v>
      </c>
      <c r="AM199" s="1">
        <v>0</v>
      </c>
      <c r="AN199" s="1">
        <v>0</v>
      </c>
      <c r="AO199" s="24">
        <f t="shared" si="8"/>
        <v>0</v>
      </c>
    </row>
    <row r="200" spans="1:41" ht="17.25" customHeight="1" x14ac:dyDescent="0.45">
      <c r="A200" s="12" t="s">
        <v>60</v>
      </c>
      <c r="B200" s="12" t="s">
        <v>30</v>
      </c>
      <c r="C200" s="25">
        <v>0</v>
      </c>
      <c r="D200" s="10">
        <v>0</v>
      </c>
      <c r="E200" s="10">
        <v>0</v>
      </c>
      <c r="F200" s="10">
        <v>0</v>
      </c>
      <c r="G200" s="10">
        <v>2</v>
      </c>
      <c r="H200" s="10">
        <v>0</v>
      </c>
      <c r="I200" s="10">
        <v>0</v>
      </c>
      <c r="J200" s="10">
        <v>0</v>
      </c>
      <c r="K200" s="10">
        <v>0</v>
      </c>
      <c r="L200" s="10">
        <v>0</v>
      </c>
      <c r="M200" s="10">
        <v>0</v>
      </c>
      <c r="N200" s="10">
        <v>0</v>
      </c>
      <c r="O200" s="26">
        <f t="shared" ref="O200:O263" si="9">SUM(C200:N200)</f>
        <v>2</v>
      </c>
      <c r="P200" s="25">
        <v>0</v>
      </c>
      <c r="Q200" s="10">
        <v>0</v>
      </c>
      <c r="R200" s="10">
        <v>0</v>
      </c>
      <c r="S200" s="10">
        <v>0</v>
      </c>
      <c r="T200" s="10">
        <v>0</v>
      </c>
      <c r="U200" s="10">
        <v>0</v>
      </c>
      <c r="V200" s="10">
        <v>0</v>
      </c>
      <c r="W200" s="10">
        <v>0</v>
      </c>
      <c r="X200" s="10">
        <v>0</v>
      </c>
      <c r="Y200" s="10">
        <v>0</v>
      </c>
      <c r="Z200" s="10">
        <v>0</v>
      </c>
      <c r="AA200" s="10">
        <v>0</v>
      </c>
      <c r="AB200" s="26">
        <f t="shared" ref="AB200:AB263" si="10">SUM(P200:AA200)</f>
        <v>0</v>
      </c>
      <c r="AC200" s="25">
        <v>0</v>
      </c>
      <c r="AD200" s="10">
        <v>0</v>
      </c>
      <c r="AE200" s="10">
        <v>0</v>
      </c>
      <c r="AF200" s="10">
        <v>0</v>
      </c>
      <c r="AG200" s="10">
        <v>1100</v>
      </c>
      <c r="AH200" s="10">
        <v>0</v>
      </c>
      <c r="AI200" s="10">
        <v>0</v>
      </c>
      <c r="AJ200" s="10">
        <v>0</v>
      </c>
      <c r="AK200" s="10">
        <v>0</v>
      </c>
      <c r="AL200" s="10">
        <v>0</v>
      </c>
      <c r="AM200" s="10">
        <v>0</v>
      </c>
      <c r="AN200" s="10">
        <v>0</v>
      </c>
      <c r="AO200" s="26">
        <f t="shared" ref="AO200:AO263" si="11">SUM(AC200:AN200)</f>
        <v>1100</v>
      </c>
    </row>
    <row r="201" spans="1:41" ht="17.25" customHeight="1" x14ac:dyDescent="0.45">
      <c r="A201" s="2" t="s">
        <v>60</v>
      </c>
      <c r="B201" s="2" t="s">
        <v>50</v>
      </c>
      <c r="C201" s="23">
        <v>1</v>
      </c>
      <c r="D201" s="1">
        <v>0</v>
      </c>
      <c r="E201" s="1">
        <v>0</v>
      </c>
      <c r="F201" s="1">
        <v>0</v>
      </c>
      <c r="G201" s="1">
        <v>0</v>
      </c>
      <c r="H201" s="1">
        <v>0</v>
      </c>
      <c r="I201" s="1">
        <v>0</v>
      </c>
      <c r="J201" s="1">
        <v>0</v>
      </c>
      <c r="K201" s="1">
        <v>0</v>
      </c>
      <c r="L201" s="1">
        <v>0</v>
      </c>
      <c r="M201" s="1">
        <v>0</v>
      </c>
      <c r="N201" s="1">
        <v>0</v>
      </c>
      <c r="O201" s="24">
        <f t="shared" si="9"/>
        <v>1</v>
      </c>
      <c r="P201" s="23">
        <v>127</v>
      </c>
      <c r="Q201" s="1">
        <v>0</v>
      </c>
      <c r="R201" s="1">
        <v>0</v>
      </c>
      <c r="S201" s="1">
        <v>0</v>
      </c>
      <c r="T201" s="1">
        <v>0</v>
      </c>
      <c r="U201" s="1">
        <v>0</v>
      </c>
      <c r="V201" s="1">
        <v>0</v>
      </c>
      <c r="W201" s="1">
        <v>0</v>
      </c>
      <c r="X201" s="1">
        <v>0</v>
      </c>
      <c r="Y201" s="1">
        <v>0</v>
      </c>
      <c r="Z201" s="1">
        <v>0</v>
      </c>
      <c r="AA201" s="1">
        <v>0</v>
      </c>
      <c r="AB201" s="24">
        <f t="shared" si="10"/>
        <v>127</v>
      </c>
      <c r="AC201" s="23">
        <v>0</v>
      </c>
      <c r="AD201" s="1">
        <v>0</v>
      </c>
      <c r="AE201" s="1">
        <v>0</v>
      </c>
      <c r="AF201" s="1">
        <v>0</v>
      </c>
      <c r="AG201" s="1">
        <v>0</v>
      </c>
      <c r="AH201" s="1">
        <v>0</v>
      </c>
      <c r="AI201" s="1">
        <v>0</v>
      </c>
      <c r="AJ201" s="1">
        <v>0</v>
      </c>
      <c r="AK201" s="1">
        <v>0</v>
      </c>
      <c r="AL201" s="1">
        <v>0</v>
      </c>
      <c r="AM201" s="1">
        <v>0</v>
      </c>
      <c r="AN201" s="1">
        <v>0</v>
      </c>
      <c r="AO201" s="24">
        <f t="shared" si="11"/>
        <v>0</v>
      </c>
    </row>
    <row r="202" spans="1:41" ht="17.25" customHeight="1" x14ac:dyDescent="0.45">
      <c r="A202" s="12" t="s">
        <v>60</v>
      </c>
      <c r="B202" s="12" t="s">
        <v>36</v>
      </c>
      <c r="C202" s="25">
        <v>3</v>
      </c>
      <c r="D202" s="10">
        <v>1</v>
      </c>
      <c r="E202" s="10">
        <v>0</v>
      </c>
      <c r="F202" s="10">
        <v>0</v>
      </c>
      <c r="G202" s="10">
        <v>0</v>
      </c>
      <c r="H202" s="10">
        <v>0</v>
      </c>
      <c r="I202" s="10">
        <v>0</v>
      </c>
      <c r="J202" s="10">
        <v>0</v>
      </c>
      <c r="K202" s="10">
        <v>0</v>
      </c>
      <c r="L202" s="10">
        <v>0</v>
      </c>
      <c r="M202" s="10">
        <v>0</v>
      </c>
      <c r="N202" s="10">
        <v>0</v>
      </c>
      <c r="O202" s="26">
        <f t="shared" si="9"/>
        <v>4</v>
      </c>
      <c r="P202" s="25">
        <v>364</v>
      </c>
      <c r="Q202" s="10">
        <v>126</v>
      </c>
      <c r="R202" s="10">
        <v>0</v>
      </c>
      <c r="S202" s="10">
        <v>0</v>
      </c>
      <c r="T202" s="10">
        <v>0</v>
      </c>
      <c r="U202" s="10">
        <v>0</v>
      </c>
      <c r="V202" s="10">
        <v>0</v>
      </c>
      <c r="W202" s="10">
        <v>0</v>
      </c>
      <c r="X202" s="10">
        <v>0</v>
      </c>
      <c r="Y202" s="10">
        <v>0</v>
      </c>
      <c r="Z202" s="10">
        <v>0</v>
      </c>
      <c r="AA202" s="10">
        <v>0</v>
      </c>
      <c r="AB202" s="26">
        <f t="shared" si="10"/>
        <v>490</v>
      </c>
      <c r="AC202" s="25">
        <v>0</v>
      </c>
      <c r="AD202" s="10">
        <v>0</v>
      </c>
      <c r="AE202" s="10">
        <v>0</v>
      </c>
      <c r="AF202" s="10">
        <v>0</v>
      </c>
      <c r="AG202" s="10">
        <v>0</v>
      </c>
      <c r="AH202" s="10">
        <v>0</v>
      </c>
      <c r="AI202" s="10">
        <v>0</v>
      </c>
      <c r="AJ202" s="10">
        <v>0</v>
      </c>
      <c r="AK202" s="10">
        <v>0</v>
      </c>
      <c r="AL202" s="10">
        <v>0</v>
      </c>
      <c r="AM202" s="10">
        <v>0</v>
      </c>
      <c r="AN202" s="10">
        <v>0</v>
      </c>
      <c r="AO202" s="26">
        <f t="shared" si="11"/>
        <v>0</v>
      </c>
    </row>
    <row r="203" spans="1:41" ht="17.25" customHeight="1" x14ac:dyDescent="0.45">
      <c r="A203" s="2" t="s">
        <v>27</v>
      </c>
      <c r="B203" s="2" t="s">
        <v>19</v>
      </c>
      <c r="C203" s="23">
        <v>0</v>
      </c>
      <c r="D203" s="1">
        <v>0</v>
      </c>
      <c r="E203" s="1">
        <v>0</v>
      </c>
      <c r="F203" s="1">
        <v>0</v>
      </c>
      <c r="G203" s="1">
        <v>1</v>
      </c>
      <c r="H203" s="1">
        <v>0</v>
      </c>
      <c r="I203" s="1">
        <v>0</v>
      </c>
      <c r="J203" s="1">
        <v>0</v>
      </c>
      <c r="K203" s="1">
        <v>1</v>
      </c>
      <c r="L203" s="1">
        <v>0</v>
      </c>
      <c r="M203" s="1">
        <v>0</v>
      </c>
      <c r="N203" s="1">
        <v>0</v>
      </c>
      <c r="O203" s="24">
        <f t="shared" si="9"/>
        <v>2</v>
      </c>
      <c r="P203" s="23">
        <v>0</v>
      </c>
      <c r="Q203" s="1">
        <v>0</v>
      </c>
      <c r="R203" s="1">
        <v>0</v>
      </c>
      <c r="S203" s="1">
        <v>0</v>
      </c>
      <c r="T203" s="1">
        <v>0</v>
      </c>
      <c r="U203" s="1">
        <v>0</v>
      </c>
      <c r="V203" s="1">
        <v>0</v>
      </c>
      <c r="W203" s="1">
        <v>0</v>
      </c>
      <c r="X203" s="1">
        <v>0</v>
      </c>
      <c r="Y203" s="1">
        <v>0</v>
      </c>
      <c r="Z203" s="1">
        <v>0</v>
      </c>
      <c r="AA203" s="1">
        <v>0</v>
      </c>
      <c r="AB203" s="24">
        <f t="shared" si="10"/>
        <v>0</v>
      </c>
      <c r="AC203" s="23">
        <v>0</v>
      </c>
      <c r="AD203" s="1">
        <v>0</v>
      </c>
      <c r="AE203" s="1">
        <v>0</v>
      </c>
      <c r="AF203" s="1">
        <v>0</v>
      </c>
      <c r="AG203" s="1">
        <v>11108</v>
      </c>
      <c r="AH203" s="1">
        <v>0</v>
      </c>
      <c r="AI203" s="1">
        <v>0</v>
      </c>
      <c r="AJ203" s="1">
        <v>0</v>
      </c>
      <c r="AK203" s="1">
        <v>76277</v>
      </c>
      <c r="AL203" s="1">
        <v>0</v>
      </c>
      <c r="AM203" s="1">
        <v>0</v>
      </c>
      <c r="AN203" s="1">
        <v>0</v>
      </c>
      <c r="AO203" s="24">
        <f t="shared" si="11"/>
        <v>87385</v>
      </c>
    </row>
    <row r="204" spans="1:41" ht="17.25" customHeight="1" x14ac:dyDescent="0.45">
      <c r="A204" s="12" t="s">
        <v>27</v>
      </c>
      <c r="B204" s="12" t="s">
        <v>22</v>
      </c>
      <c r="C204" s="25">
        <v>0</v>
      </c>
      <c r="D204" s="10">
        <v>0</v>
      </c>
      <c r="E204" s="10">
        <v>0</v>
      </c>
      <c r="F204" s="10">
        <v>0</v>
      </c>
      <c r="G204" s="10">
        <v>0</v>
      </c>
      <c r="H204" s="10">
        <v>0</v>
      </c>
      <c r="I204" s="10">
        <v>0</v>
      </c>
      <c r="J204" s="10">
        <v>2</v>
      </c>
      <c r="K204" s="10">
        <v>0</v>
      </c>
      <c r="L204" s="10">
        <v>0</v>
      </c>
      <c r="M204" s="10">
        <v>0</v>
      </c>
      <c r="N204" s="10">
        <v>0</v>
      </c>
      <c r="O204" s="26">
        <f t="shared" si="9"/>
        <v>2</v>
      </c>
      <c r="P204" s="25">
        <v>0</v>
      </c>
      <c r="Q204" s="10">
        <v>0</v>
      </c>
      <c r="R204" s="10">
        <v>0</v>
      </c>
      <c r="S204" s="10">
        <v>0</v>
      </c>
      <c r="T204" s="10">
        <v>0</v>
      </c>
      <c r="U204" s="10">
        <v>0</v>
      </c>
      <c r="V204" s="10">
        <v>0</v>
      </c>
      <c r="W204" s="10">
        <v>0</v>
      </c>
      <c r="X204" s="10">
        <v>0</v>
      </c>
      <c r="Y204" s="10">
        <v>0</v>
      </c>
      <c r="Z204" s="10">
        <v>0</v>
      </c>
      <c r="AA204" s="10">
        <v>0</v>
      </c>
      <c r="AB204" s="26">
        <f t="shared" si="10"/>
        <v>0</v>
      </c>
      <c r="AC204" s="25">
        <v>0</v>
      </c>
      <c r="AD204" s="10">
        <v>0</v>
      </c>
      <c r="AE204" s="10">
        <v>0</v>
      </c>
      <c r="AF204" s="10">
        <v>0</v>
      </c>
      <c r="AG204" s="10">
        <v>0</v>
      </c>
      <c r="AH204" s="10">
        <v>0</v>
      </c>
      <c r="AI204" s="10">
        <v>0</v>
      </c>
      <c r="AJ204" s="10">
        <v>23316</v>
      </c>
      <c r="AK204" s="10">
        <v>0</v>
      </c>
      <c r="AL204" s="10">
        <v>0</v>
      </c>
      <c r="AM204" s="10">
        <v>0</v>
      </c>
      <c r="AN204" s="10">
        <v>0</v>
      </c>
      <c r="AO204" s="26">
        <f t="shared" si="11"/>
        <v>23316</v>
      </c>
    </row>
    <row r="205" spans="1:41" ht="17.25" customHeight="1" x14ac:dyDescent="0.45">
      <c r="A205" s="2" t="s">
        <v>27</v>
      </c>
      <c r="B205" s="2" t="s">
        <v>11</v>
      </c>
      <c r="C205" s="23">
        <v>0</v>
      </c>
      <c r="D205" s="1">
        <v>0</v>
      </c>
      <c r="E205" s="1">
        <v>1</v>
      </c>
      <c r="F205" s="1">
        <v>0</v>
      </c>
      <c r="G205" s="1">
        <v>0</v>
      </c>
      <c r="H205" s="1">
        <v>0</v>
      </c>
      <c r="I205" s="1">
        <v>0</v>
      </c>
      <c r="J205" s="1">
        <v>0</v>
      </c>
      <c r="K205" s="1">
        <v>0</v>
      </c>
      <c r="L205" s="1">
        <v>0</v>
      </c>
      <c r="M205" s="1">
        <v>0</v>
      </c>
      <c r="N205" s="1">
        <v>1</v>
      </c>
      <c r="O205" s="24">
        <f t="shared" si="9"/>
        <v>2</v>
      </c>
      <c r="P205" s="23">
        <v>0</v>
      </c>
      <c r="Q205" s="1">
        <v>0</v>
      </c>
      <c r="R205" s="1">
        <v>88</v>
      </c>
      <c r="S205" s="1">
        <v>0</v>
      </c>
      <c r="T205" s="1">
        <v>0</v>
      </c>
      <c r="U205" s="1">
        <v>0</v>
      </c>
      <c r="V205" s="1">
        <v>0</v>
      </c>
      <c r="W205" s="1">
        <v>0</v>
      </c>
      <c r="X205" s="1">
        <v>0</v>
      </c>
      <c r="Y205" s="1">
        <v>0</v>
      </c>
      <c r="Z205" s="1">
        <v>0</v>
      </c>
      <c r="AA205" s="1">
        <v>143</v>
      </c>
      <c r="AB205" s="24">
        <f t="shared" si="10"/>
        <v>231</v>
      </c>
      <c r="AC205" s="23">
        <v>0</v>
      </c>
      <c r="AD205" s="1">
        <v>0</v>
      </c>
      <c r="AE205" s="1">
        <v>0</v>
      </c>
      <c r="AF205" s="1">
        <v>0</v>
      </c>
      <c r="AG205" s="1">
        <v>0</v>
      </c>
      <c r="AH205" s="1">
        <v>0</v>
      </c>
      <c r="AI205" s="1">
        <v>0</v>
      </c>
      <c r="AJ205" s="1">
        <v>0</v>
      </c>
      <c r="AK205" s="1">
        <v>0</v>
      </c>
      <c r="AL205" s="1">
        <v>0</v>
      </c>
      <c r="AM205" s="1">
        <v>0</v>
      </c>
      <c r="AN205" s="1">
        <v>0</v>
      </c>
      <c r="AO205" s="24">
        <f t="shared" si="11"/>
        <v>0</v>
      </c>
    </row>
    <row r="206" spans="1:41" ht="17.25" customHeight="1" x14ac:dyDescent="0.45">
      <c r="A206" s="12" t="s">
        <v>27</v>
      </c>
      <c r="B206" s="12" t="s">
        <v>38</v>
      </c>
      <c r="C206" s="25">
        <v>0</v>
      </c>
      <c r="D206" s="10">
        <v>1</v>
      </c>
      <c r="E206" s="10">
        <v>0</v>
      </c>
      <c r="F206" s="10">
        <v>0</v>
      </c>
      <c r="G206" s="10">
        <v>3</v>
      </c>
      <c r="H206" s="10">
        <v>0</v>
      </c>
      <c r="I206" s="10">
        <v>0</v>
      </c>
      <c r="J206" s="10">
        <v>9</v>
      </c>
      <c r="K206" s="10">
        <v>4</v>
      </c>
      <c r="L206" s="10">
        <v>0</v>
      </c>
      <c r="M206" s="10">
        <v>3</v>
      </c>
      <c r="N206" s="10">
        <v>0</v>
      </c>
      <c r="O206" s="26">
        <f t="shared" si="9"/>
        <v>20</v>
      </c>
      <c r="P206" s="25">
        <v>0</v>
      </c>
      <c r="Q206" s="10">
        <v>0</v>
      </c>
      <c r="R206" s="10">
        <v>0</v>
      </c>
      <c r="S206" s="10">
        <v>0</v>
      </c>
      <c r="T206" s="10">
        <v>0</v>
      </c>
      <c r="U206" s="10">
        <v>0</v>
      </c>
      <c r="V206" s="10">
        <v>0</v>
      </c>
      <c r="W206" s="10">
        <v>0</v>
      </c>
      <c r="X206" s="10">
        <v>0</v>
      </c>
      <c r="Y206" s="10">
        <v>0</v>
      </c>
      <c r="Z206" s="10">
        <v>0</v>
      </c>
      <c r="AA206" s="10">
        <v>0</v>
      </c>
      <c r="AB206" s="26">
        <f t="shared" si="10"/>
        <v>0</v>
      </c>
      <c r="AC206" s="25">
        <v>0</v>
      </c>
      <c r="AD206" s="10">
        <v>5878</v>
      </c>
      <c r="AE206" s="10">
        <v>0</v>
      </c>
      <c r="AF206" s="10">
        <v>0</v>
      </c>
      <c r="AG206" s="10">
        <v>8243</v>
      </c>
      <c r="AH206" s="10">
        <v>0</v>
      </c>
      <c r="AI206" s="10">
        <v>0</v>
      </c>
      <c r="AJ206" s="10">
        <v>76903</v>
      </c>
      <c r="AK206" s="10">
        <v>10757</v>
      </c>
      <c r="AL206" s="10">
        <v>0</v>
      </c>
      <c r="AM206" s="10">
        <v>5867</v>
      </c>
      <c r="AN206" s="10">
        <v>0</v>
      </c>
      <c r="AO206" s="26">
        <f t="shared" si="11"/>
        <v>107648</v>
      </c>
    </row>
    <row r="207" spans="1:41" ht="17.25" customHeight="1" x14ac:dyDescent="0.45">
      <c r="A207" s="2" t="s">
        <v>27</v>
      </c>
      <c r="B207" s="2" t="s">
        <v>40</v>
      </c>
      <c r="C207" s="23">
        <v>0</v>
      </c>
      <c r="D207" s="1">
        <v>0</v>
      </c>
      <c r="E207" s="1">
        <v>0</v>
      </c>
      <c r="F207" s="1">
        <v>0</v>
      </c>
      <c r="G207" s="1">
        <v>0</v>
      </c>
      <c r="H207" s="1">
        <v>0</v>
      </c>
      <c r="I207" s="1">
        <v>0</v>
      </c>
      <c r="J207" s="1">
        <v>0</v>
      </c>
      <c r="K207" s="1">
        <v>2</v>
      </c>
      <c r="L207" s="1">
        <v>0</v>
      </c>
      <c r="M207" s="1">
        <v>0</v>
      </c>
      <c r="N207" s="1">
        <v>0</v>
      </c>
      <c r="O207" s="24">
        <f t="shared" si="9"/>
        <v>2</v>
      </c>
      <c r="P207" s="23">
        <v>0</v>
      </c>
      <c r="Q207" s="1">
        <v>0</v>
      </c>
      <c r="R207" s="1">
        <v>0</v>
      </c>
      <c r="S207" s="1">
        <v>0</v>
      </c>
      <c r="T207" s="1">
        <v>0</v>
      </c>
      <c r="U207" s="1">
        <v>0</v>
      </c>
      <c r="V207" s="1">
        <v>0</v>
      </c>
      <c r="W207" s="1">
        <v>0</v>
      </c>
      <c r="X207" s="1">
        <v>0</v>
      </c>
      <c r="Y207" s="1">
        <v>0</v>
      </c>
      <c r="Z207" s="1">
        <v>0</v>
      </c>
      <c r="AA207" s="1">
        <v>0</v>
      </c>
      <c r="AB207" s="24">
        <f t="shared" si="10"/>
        <v>0</v>
      </c>
      <c r="AC207" s="23">
        <v>0</v>
      </c>
      <c r="AD207" s="1">
        <v>0</v>
      </c>
      <c r="AE207" s="1">
        <v>0</v>
      </c>
      <c r="AF207" s="1">
        <v>0</v>
      </c>
      <c r="AG207" s="1">
        <v>0</v>
      </c>
      <c r="AH207" s="1">
        <v>0</v>
      </c>
      <c r="AI207" s="1">
        <v>0</v>
      </c>
      <c r="AJ207" s="1">
        <v>0</v>
      </c>
      <c r="AK207" s="1">
        <v>10036</v>
      </c>
      <c r="AL207" s="1">
        <v>0</v>
      </c>
      <c r="AM207" s="1">
        <v>0</v>
      </c>
      <c r="AN207" s="1">
        <v>0</v>
      </c>
      <c r="AO207" s="24">
        <f t="shared" si="11"/>
        <v>10036</v>
      </c>
    </row>
    <row r="208" spans="1:41" ht="17.25" customHeight="1" x14ac:dyDescent="0.45">
      <c r="A208" s="12" t="s">
        <v>27</v>
      </c>
      <c r="B208" s="12" t="s">
        <v>13</v>
      </c>
      <c r="C208" s="25">
        <v>0</v>
      </c>
      <c r="D208" s="10">
        <v>0</v>
      </c>
      <c r="E208" s="10">
        <v>1</v>
      </c>
      <c r="F208" s="10">
        <v>0</v>
      </c>
      <c r="G208" s="10">
        <v>0</v>
      </c>
      <c r="H208" s="10">
        <v>0</v>
      </c>
      <c r="I208" s="10">
        <v>0</v>
      </c>
      <c r="J208" s="10">
        <v>0</v>
      </c>
      <c r="K208" s="10">
        <v>0</v>
      </c>
      <c r="L208" s="10">
        <v>0</v>
      </c>
      <c r="M208" s="10">
        <v>0</v>
      </c>
      <c r="N208" s="10">
        <v>0</v>
      </c>
      <c r="O208" s="26">
        <f t="shared" si="9"/>
        <v>1</v>
      </c>
      <c r="P208" s="25">
        <v>0</v>
      </c>
      <c r="Q208" s="10">
        <v>0</v>
      </c>
      <c r="R208" s="10">
        <v>43</v>
      </c>
      <c r="S208" s="10">
        <v>0</v>
      </c>
      <c r="T208" s="10">
        <v>0</v>
      </c>
      <c r="U208" s="10">
        <v>0</v>
      </c>
      <c r="V208" s="10">
        <v>0</v>
      </c>
      <c r="W208" s="10">
        <v>0</v>
      </c>
      <c r="X208" s="10">
        <v>0</v>
      </c>
      <c r="Y208" s="10">
        <v>0</v>
      </c>
      <c r="Z208" s="10">
        <v>0</v>
      </c>
      <c r="AA208" s="10">
        <v>0</v>
      </c>
      <c r="AB208" s="26">
        <f t="shared" si="10"/>
        <v>43</v>
      </c>
      <c r="AC208" s="25">
        <v>0</v>
      </c>
      <c r="AD208" s="10">
        <v>0</v>
      </c>
      <c r="AE208" s="10">
        <v>0</v>
      </c>
      <c r="AF208" s="10">
        <v>0</v>
      </c>
      <c r="AG208" s="10">
        <v>0</v>
      </c>
      <c r="AH208" s="10">
        <v>0</v>
      </c>
      <c r="AI208" s="10">
        <v>0</v>
      </c>
      <c r="AJ208" s="10">
        <v>0</v>
      </c>
      <c r="AK208" s="10">
        <v>0</v>
      </c>
      <c r="AL208" s="10">
        <v>0</v>
      </c>
      <c r="AM208" s="10">
        <v>0</v>
      </c>
      <c r="AN208" s="10">
        <v>0</v>
      </c>
      <c r="AO208" s="26">
        <f t="shared" si="11"/>
        <v>0</v>
      </c>
    </row>
    <row r="209" spans="1:41" ht="17.25" customHeight="1" x14ac:dyDescent="0.45">
      <c r="A209" s="2" t="s">
        <v>27</v>
      </c>
      <c r="B209" s="2" t="s">
        <v>206</v>
      </c>
      <c r="C209" s="23">
        <v>0</v>
      </c>
      <c r="D209" s="1">
        <v>1</v>
      </c>
      <c r="E209" s="1">
        <v>0</v>
      </c>
      <c r="F209" s="1">
        <v>1</v>
      </c>
      <c r="G209" s="1">
        <v>0</v>
      </c>
      <c r="H209" s="1">
        <v>1</v>
      </c>
      <c r="I209" s="1">
        <v>1</v>
      </c>
      <c r="J209" s="1">
        <v>5</v>
      </c>
      <c r="K209" s="1">
        <v>1</v>
      </c>
      <c r="L209" s="1">
        <v>6</v>
      </c>
      <c r="M209" s="1">
        <v>0</v>
      </c>
      <c r="N209" s="1">
        <v>0</v>
      </c>
      <c r="O209" s="24">
        <f t="shared" si="9"/>
        <v>16</v>
      </c>
      <c r="P209" s="23">
        <v>0</v>
      </c>
      <c r="Q209" s="1">
        <v>0</v>
      </c>
      <c r="R209" s="1">
        <v>0</v>
      </c>
      <c r="S209" s="1">
        <v>0</v>
      </c>
      <c r="T209" s="1">
        <v>0</v>
      </c>
      <c r="U209" s="1">
        <v>0</v>
      </c>
      <c r="V209" s="1">
        <v>0</v>
      </c>
      <c r="W209" s="1">
        <v>0</v>
      </c>
      <c r="X209" s="1">
        <v>0</v>
      </c>
      <c r="Y209" s="1">
        <v>0</v>
      </c>
      <c r="Z209" s="1">
        <v>0</v>
      </c>
      <c r="AA209" s="1">
        <v>0</v>
      </c>
      <c r="AB209" s="24">
        <f t="shared" si="10"/>
        <v>0</v>
      </c>
      <c r="AC209" s="23">
        <v>0</v>
      </c>
      <c r="AD209" s="1">
        <v>3000</v>
      </c>
      <c r="AE209" s="1">
        <v>0</v>
      </c>
      <c r="AF209" s="1">
        <v>2600</v>
      </c>
      <c r="AG209" s="1">
        <v>0</v>
      </c>
      <c r="AH209" s="1">
        <v>8060</v>
      </c>
      <c r="AI209" s="1">
        <v>4111</v>
      </c>
      <c r="AJ209" s="1">
        <v>44611</v>
      </c>
      <c r="AK209" s="1">
        <v>8800</v>
      </c>
      <c r="AL209" s="1">
        <v>29008</v>
      </c>
      <c r="AM209" s="1">
        <v>0</v>
      </c>
      <c r="AN209" s="1">
        <v>0</v>
      </c>
      <c r="AO209" s="24">
        <f t="shared" si="11"/>
        <v>100190</v>
      </c>
    </row>
    <row r="210" spans="1:41" ht="17.25" customHeight="1" x14ac:dyDescent="0.45">
      <c r="A210" s="12" t="s">
        <v>27</v>
      </c>
      <c r="B210" s="12" t="s">
        <v>30</v>
      </c>
      <c r="C210" s="25">
        <v>0</v>
      </c>
      <c r="D210" s="10">
        <v>0</v>
      </c>
      <c r="E210" s="10">
        <v>0</v>
      </c>
      <c r="F210" s="10">
        <v>0</v>
      </c>
      <c r="G210" s="10">
        <v>0</v>
      </c>
      <c r="H210" s="10">
        <v>0</v>
      </c>
      <c r="I210" s="10">
        <v>0</v>
      </c>
      <c r="J210" s="10">
        <v>1</v>
      </c>
      <c r="K210" s="10">
        <v>0</v>
      </c>
      <c r="L210" s="10">
        <v>0</v>
      </c>
      <c r="M210" s="10">
        <v>0</v>
      </c>
      <c r="N210" s="10">
        <v>0</v>
      </c>
      <c r="O210" s="26">
        <f t="shared" si="9"/>
        <v>1</v>
      </c>
      <c r="P210" s="25">
        <v>0</v>
      </c>
      <c r="Q210" s="10">
        <v>0</v>
      </c>
      <c r="R210" s="10">
        <v>0</v>
      </c>
      <c r="S210" s="10">
        <v>0</v>
      </c>
      <c r="T210" s="10">
        <v>0</v>
      </c>
      <c r="U210" s="10">
        <v>0</v>
      </c>
      <c r="V210" s="10">
        <v>0</v>
      </c>
      <c r="W210" s="10">
        <v>0</v>
      </c>
      <c r="X210" s="10">
        <v>0</v>
      </c>
      <c r="Y210" s="10">
        <v>0</v>
      </c>
      <c r="Z210" s="10">
        <v>0</v>
      </c>
      <c r="AA210" s="10">
        <v>0</v>
      </c>
      <c r="AB210" s="26">
        <f t="shared" si="10"/>
        <v>0</v>
      </c>
      <c r="AC210" s="25">
        <v>0</v>
      </c>
      <c r="AD210" s="10">
        <v>0</v>
      </c>
      <c r="AE210" s="10">
        <v>0</v>
      </c>
      <c r="AF210" s="10">
        <v>0</v>
      </c>
      <c r="AG210" s="10">
        <v>0</v>
      </c>
      <c r="AH210" s="10">
        <v>0</v>
      </c>
      <c r="AI210" s="10">
        <v>0</v>
      </c>
      <c r="AJ210" s="10">
        <v>8200</v>
      </c>
      <c r="AK210" s="10">
        <v>0</v>
      </c>
      <c r="AL210" s="10">
        <v>0</v>
      </c>
      <c r="AM210" s="10">
        <v>0</v>
      </c>
      <c r="AN210" s="10">
        <v>0</v>
      </c>
      <c r="AO210" s="26">
        <f t="shared" si="11"/>
        <v>8200</v>
      </c>
    </row>
    <row r="211" spans="1:41" ht="17.25" customHeight="1" x14ac:dyDescent="0.45">
      <c r="A211" s="2" t="s">
        <v>27</v>
      </c>
      <c r="B211" s="2" t="s">
        <v>32</v>
      </c>
      <c r="C211" s="23">
        <v>0</v>
      </c>
      <c r="D211" s="1">
        <v>0</v>
      </c>
      <c r="E211" s="1">
        <v>0</v>
      </c>
      <c r="F211" s="1">
        <v>0</v>
      </c>
      <c r="G211" s="1">
        <v>0</v>
      </c>
      <c r="H211" s="1">
        <v>0</v>
      </c>
      <c r="I211" s="1">
        <v>0</v>
      </c>
      <c r="J211" s="1">
        <v>0</v>
      </c>
      <c r="K211" s="1">
        <v>0</v>
      </c>
      <c r="L211" s="1">
        <v>1</v>
      </c>
      <c r="M211" s="1">
        <v>0</v>
      </c>
      <c r="N211" s="1">
        <v>0</v>
      </c>
      <c r="O211" s="24">
        <f t="shared" si="9"/>
        <v>1</v>
      </c>
      <c r="P211" s="23">
        <v>0</v>
      </c>
      <c r="Q211" s="1">
        <v>0</v>
      </c>
      <c r="R211" s="1">
        <v>0</v>
      </c>
      <c r="S211" s="1">
        <v>0</v>
      </c>
      <c r="T211" s="1">
        <v>0</v>
      </c>
      <c r="U211" s="1">
        <v>0</v>
      </c>
      <c r="V211" s="1">
        <v>0</v>
      </c>
      <c r="W211" s="1">
        <v>0</v>
      </c>
      <c r="X211" s="1">
        <v>0</v>
      </c>
      <c r="Y211" s="1">
        <v>6</v>
      </c>
      <c r="Z211" s="1">
        <v>0</v>
      </c>
      <c r="AA211" s="1">
        <v>0</v>
      </c>
      <c r="AB211" s="24">
        <f t="shared" si="10"/>
        <v>6</v>
      </c>
      <c r="AC211" s="23">
        <v>0</v>
      </c>
      <c r="AD211" s="1">
        <v>0</v>
      </c>
      <c r="AE211" s="1">
        <v>0</v>
      </c>
      <c r="AF211" s="1">
        <v>0</v>
      </c>
      <c r="AG211" s="1">
        <v>0</v>
      </c>
      <c r="AH211" s="1">
        <v>0</v>
      </c>
      <c r="AI211" s="1">
        <v>0</v>
      </c>
      <c r="AJ211" s="1">
        <v>0</v>
      </c>
      <c r="AK211" s="1">
        <v>0</v>
      </c>
      <c r="AL211" s="1">
        <v>0</v>
      </c>
      <c r="AM211" s="1">
        <v>0</v>
      </c>
      <c r="AN211" s="1">
        <v>0</v>
      </c>
      <c r="AO211" s="24">
        <f t="shared" si="11"/>
        <v>0</v>
      </c>
    </row>
    <row r="212" spans="1:41" ht="17.25" customHeight="1" x14ac:dyDescent="0.45">
      <c r="A212" s="12" t="s">
        <v>27</v>
      </c>
      <c r="B212" s="12" t="s">
        <v>35</v>
      </c>
      <c r="C212" s="25">
        <v>0</v>
      </c>
      <c r="D212" s="10">
        <v>0</v>
      </c>
      <c r="E212" s="10">
        <v>0</v>
      </c>
      <c r="F212" s="10">
        <v>0</v>
      </c>
      <c r="G212" s="10">
        <v>0</v>
      </c>
      <c r="H212" s="10">
        <v>0</v>
      </c>
      <c r="I212" s="10">
        <v>0</v>
      </c>
      <c r="J212" s="10">
        <v>0</v>
      </c>
      <c r="K212" s="10">
        <v>0</v>
      </c>
      <c r="L212" s="10">
        <v>0</v>
      </c>
      <c r="M212" s="10">
        <v>1</v>
      </c>
      <c r="N212" s="10">
        <v>0</v>
      </c>
      <c r="O212" s="26">
        <f t="shared" si="9"/>
        <v>1</v>
      </c>
      <c r="P212" s="25">
        <v>0</v>
      </c>
      <c r="Q212" s="10">
        <v>0</v>
      </c>
      <c r="R212" s="10">
        <v>0</v>
      </c>
      <c r="S212" s="10">
        <v>0</v>
      </c>
      <c r="T212" s="10">
        <v>0</v>
      </c>
      <c r="U212" s="10">
        <v>0</v>
      </c>
      <c r="V212" s="10">
        <v>0</v>
      </c>
      <c r="W212" s="10">
        <v>0</v>
      </c>
      <c r="X212" s="10">
        <v>0</v>
      </c>
      <c r="Y212" s="10">
        <v>0</v>
      </c>
      <c r="Z212" s="10">
        <v>25</v>
      </c>
      <c r="AA212" s="10">
        <v>0</v>
      </c>
      <c r="AB212" s="26">
        <f t="shared" si="10"/>
        <v>25</v>
      </c>
      <c r="AC212" s="25">
        <v>0</v>
      </c>
      <c r="AD212" s="10">
        <v>0</v>
      </c>
      <c r="AE212" s="10">
        <v>0</v>
      </c>
      <c r="AF212" s="10">
        <v>0</v>
      </c>
      <c r="AG212" s="10">
        <v>0</v>
      </c>
      <c r="AH212" s="10">
        <v>0</v>
      </c>
      <c r="AI212" s="10">
        <v>0</v>
      </c>
      <c r="AJ212" s="10">
        <v>0</v>
      </c>
      <c r="AK212" s="10">
        <v>0</v>
      </c>
      <c r="AL212" s="10">
        <v>0</v>
      </c>
      <c r="AM212" s="10">
        <v>0</v>
      </c>
      <c r="AN212" s="10">
        <v>0</v>
      </c>
      <c r="AO212" s="26">
        <f t="shared" si="11"/>
        <v>0</v>
      </c>
    </row>
    <row r="213" spans="1:41" ht="17.25" customHeight="1" x14ac:dyDescent="0.45">
      <c r="A213" s="2" t="s">
        <v>17</v>
      </c>
      <c r="B213" s="2" t="s">
        <v>55</v>
      </c>
      <c r="C213" s="23">
        <v>9</v>
      </c>
      <c r="D213" s="1">
        <v>8</v>
      </c>
      <c r="E213" s="1">
        <v>9</v>
      </c>
      <c r="F213" s="1">
        <v>8</v>
      </c>
      <c r="G213" s="1">
        <v>17</v>
      </c>
      <c r="H213" s="1">
        <v>12</v>
      </c>
      <c r="I213" s="1">
        <v>14</v>
      </c>
      <c r="J213" s="1">
        <v>13</v>
      </c>
      <c r="K213" s="1">
        <v>13</v>
      </c>
      <c r="L213" s="1">
        <v>13</v>
      </c>
      <c r="M213" s="1">
        <v>13</v>
      </c>
      <c r="N213" s="1">
        <v>13</v>
      </c>
      <c r="O213" s="24">
        <f t="shared" si="9"/>
        <v>142</v>
      </c>
      <c r="P213" s="23">
        <v>199</v>
      </c>
      <c r="Q213" s="1">
        <v>182</v>
      </c>
      <c r="R213" s="1">
        <v>237</v>
      </c>
      <c r="S213" s="1">
        <v>227</v>
      </c>
      <c r="T213" s="1">
        <v>289</v>
      </c>
      <c r="U213" s="1">
        <v>217</v>
      </c>
      <c r="V213" s="1">
        <v>319</v>
      </c>
      <c r="W213" s="1">
        <v>325</v>
      </c>
      <c r="X213" s="1">
        <v>318</v>
      </c>
      <c r="Y213" s="1">
        <v>280</v>
      </c>
      <c r="Z213" s="1">
        <v>331</v>
      </c>
      <c r="AA213" s="1">
        <v>374</v>
      </c>
      <c r="AB213" s="24">
        <f t="shared" si="10"/>
        <v>3298</v>
      </c>
      <c r="AC213" s="23">
        <v>0</v>
      </c>
      <c r="AD213" s="1">
        <v>0</v>
      </c>
      <c r="AE213" s="1">
        <v>0</v>
      </c>
      <c r="AF213" s="1">
        <v>0</v>
      </c>
      <c r="AG213" s="1">
        <v>0</v>
      </c>
      <c r="AH213" s="1">
        <v>0</v>
      </c>
      <c r="AI213" s="1">
        <v>0</v>
      </c>
      <c r="AJ213" s="1">
        <v>0</v>
      </c>
      <c r="AK213" s="1">
        <v>0</v>
      </c>
      <c r="AL213" s="1">
        <v>0</v>
      </c>
      <c r="AM213" s="1">
        <v>0</v>
      </c>
      <c r="AN213" s="1">
        <v>0</v>
      </c>
      <c r="AO213" s="24">
        <f t="shared" si="11"/>
        <v>0</v>
      </c>
    </row>
    <row r="214" spans="1:41" ht="17.25" customHeight="1" x14ac:dyDescent="0.45">
      <c r="A214" s="12" t="s">
        <v>17</v>
      </c>
      <c r="B214" s="12" t="s">
        <v>13</v>
      </c>
      <c r="C214" s="25">
        <v>1</v>
      </c>
      <c r="D214" s="10">
        <v>0</v>
      </c>
      <c r="E214" s="10">
        <v>0</v>
      </c>
      <c r="F214" s="10">
        <v>0</v>
      </c>
      <c r="G214" s="10">
        <v>0</v>
      </c>
      <c r="H214" s="10">
        <v>0</v>
      </c>
      <c r="I214" s="10">
        <v>0</v>
      </c>
      <c r="J214" s="10">
        <v>0</v>
      </c>
      <c r="K214" s="10">
        <v>0</v>
      </c>
      <c r="L214" s="10">
        <v>0</v>
      </c>
      <c r="M214" s="10">
        <v>0</v>
      </c>
      <c r="N214" s="10">
        <v>0</v>
      </c>
      <c r="O214" s="26">
        <f t="shared" si="9"/>
        <v>1</v>
      </c>
      <c r="P214" s="25">
        <v>85</v>
      </c>
      <c r="Q214" s="10">
        <v>0</v>
      </c>
      <c r="R214" s="10">
        <v>0</v>
      </c>
      <c r="S214" s="10">
        <v>0</v>
      </c>
      <c r="T214" s="10">
        <v>0</v>
      </c>
      <c r="U214" s="10">
        <v>0</v>
      </c>
      <c r="V214" s="10">
        <v>0</v>
      </c>
      <c r="W214" s="10">
        <v>0</v>
      </c>
      <c r="X214" s="10">
        <v>0</v>
      </c>
      <c r="Y214" s="10">
        <v>0</v>
      </c>
      <c r="Z214" s="10">
        <v>0</v>
      </c>
      <c r="AA214" s="10">
        <v>0</v>
      </c>
      <c r="AB214" s="26">
        <f t="shared" si="10"/>
        <v>85</v>
      </c>
      <c r="AC214" s="25">
        <v>0</v>
      </c>
      <c r="AD214" s="10">
        <v>0</v>
      </c>
      <c r="AE214" s="10">
        <v>0</v>
      </c>
      <c r="AF214" s="10">
        <v>0</v>
      </c>
      <c r="AG214" s="10">
        <v>0</v>
      </c>
      <c r="AH214" s="10">
        <v>0</v>
      </c>
      <c r="AI214" s="10">
        <v>0</v>
      </c>
      <c r="AJ214" s="10">
        <v>0</v>
      </c>
      <c r="AK214" s="10">
        <v>0</v>
      </c>
      <c r="AL214" s="10">
        <v>0</v>
      </c>
      <c r="AM214" s="10">
        <v>0</v>
      </c>
      <c r="AN214" s="10">
        <v>0</v>
      </c>
      <c r="AO214" s="26">
        <f t="shared" si="11"/>
        <v>0</v>
      </c>
    </row>
    <row r="215" spans="1:41" ht="17.25" customHeight="1" x14ac:dyDescent="0.45">
      <c r="A215" s="2" t="s">
        <v>17</v>
      </c>
      <c r="B215" s="2" t="s">
        <v>14</v>
      </c>
      <c r="C215" s="23">
        <v>0</v>
      </c>
      <c r="D215" s="1">
        <v>0</v>
      </c>
      <c r="E215" s="1">
        <v>0</v>
      </c>
      <c r="F215" s="1">
        <v>0</v>
      </c>
      <c r="G215" s="1">
        <v>0</v>
      </c>
      <c r="H215" s="1">
        <v>0</v>
      </c>
      <c r="I215" s="1">
        <v>0</v>
      </c>
      <c r="J215" s="1">
        <v>0</v>
      </c>
      <c r="K215" s="1">
        <v>8</v>
      </c>
      <c r="L215" s="1">
        <v>8</v>
      </c>
      <c r="M215" s="1">
        <v>9</v>
      </c>
      <c r="N215" s="1">
        <v>9</v>
      </c>
      <c r="O215" s="24">
        <f t="shared" si="9"/>
        <v>34</v>
      </c>
      <c r="P215" s="23">
        <v>0</v>
      </c>
      <c r="Q215" s="1">
        <v>0</v>
      </c>
      <c r="R215" s="1">
        <v>0</v>
      </c>
      <c r="S215" s="1">
        <v>0</v>
      </c>
      <c r="T215" s="1">
        <v>0</v>
      </c>
      <c r="U215" s="1">
        <v>0</v>
      </c>
      <c r="V215" s="1">
        <v>0</v>
      </c>
      <c r="W215" s="1">
        <v>0</v>
      </c>
      <c r="X215" s="1">
        <v>104</v>
      </c>
      <c r="Y215" s="1">
        <v>97</v>
      </c>
      <c r="Z215" s="1">
        <v>170</v>
      </c>
      <c r="AA215" s="1">
        <v>215</v>
      </c>
      <c r="AB215" s="24">
        <f t="shared" si="10"/>
        <v>586</v>
      </c>
      <c r="AC215" s="23">
        <v>0</v>
      </c>
      <c r="AD215" s="1">
        <v>0</v>
      </c>
      <c r="AE215" s="1">
        <v>0</v>
      </c>
      <c r="AF215" s="1">
        <v>0</v>
      </c>
      <c r="AG215" s="1">
        <v>0</v>
      </c>
      <c r="AH215" s="1">
        <v>0</v>
      </c>
      <c r="AI215" s="1">
        <v>0</v>
      </c>
      <c r="AJ215" s="1">
        <v>0</v>
      </c>
      <c r="AK215" s="1">
        <v>0</v>
      </c>
      <c r="AL215" s="1">
        <v>0</v>
      </c>
      <c r="AM215" s="1">
        <v>0</v>
      </c>
      <c r="AN215" s="1">
        <v>0</v>
      </c>
      <c r="AO215" s="24">
        <f t="shared" si="11"/>
        <v>0</v>
      </c>
    </row>
    <row r="216" spans="1:41" ht="17.25" customHeight="1" x14ac:dyDescent="0.45">
      <c r="A216" s="12" t="s">
        <v>17</v>
      </c>
      <c r="B216" s="12" t="s">
        <v>32</v>
      </c>
      <c r="C216" s="25">
        <v>1</v>
      </c>
      <c r="D216" s="10">
        <v>1</v>
      </c>
      <c r="E216" s="10">
        <v>2</v>
      </c>
      <c r="F216" s="10">
        <v>0</v>
      </c>
      <c r="G216" s="10">
        <v>0</v>
      </c>
      <c r="H216" s="10">
        <v>0</v>
      </c>
      <c r="I216" s="10">
        <v>0</v>
      </c>
      <c r="J216" s="10">
        <v>0</v>
      </c>
      <c r="K216" s="10">
        <v>1</v>
      </c>
      <c r="L216" s="10">
        <v>0</v>
      </c>
      <c r="M216" s="10">
        <v>0</v>
      </c>
      <c r="N216" s="10">
        <v>0</v>
      </c>
      <c r="O216" s="26">
        <f t="shared" si="9"/>
        <v>5</v>
      </c>
      <c r="P216" s="25">
        <v>7</v>
      </c>
      <c r="Q216" s="10">
        <v>24</v>
      </c>
      <c r="R216" s="10">
        <v>6</v>
      </c>
      <c r="S216" s="10">
        <v>0</v>
      </c>
      <c r="T216" s="10">
        <v>0</v>
      </c>
      <c r="U216" s="10">
        <v>0</v>
      </c>
      <c r="V216" s="10">
        <v>0</v>
      </c>
      <c r="W216" s="10">
        <v>0</v>
      </c>
      <c r="X216" s="10">
        <v>47</v>
      </c>
      <c r="Y216" s="10">
        <v>0</v>
      </c>
      <c r="Z216" s="10">
        <v>0</v>
      </c>
      <c r="AA216" s="10">
        <v>0</v>
      </c>
      <c r="AB216" s="26">
        <f t="shared" si="10"/>
        <v>84</v>
      </c>
      <c r="AC216" s="25">
        <v>0</v>
      </c>
      <c r="AD216" s="10">
        <v>0</v>
      </c>
      <c r="AE216" s="10">
        <v>0</v>
      </c>
      <c r="AF216" s="10">
        <v>0</v>
      </c>
      <c r="AG216" s="10">
        <v>0</v>
      </c>
      <c r="AH216" s="10">
        <v>0</v>
      </c>
      <c r="AI216" s="10">
        <v>0</v>
      </c>
      <c r="AJ216" s="10">
        <v>0</v>
      </c>
      <c r="AK216" s="10">
        <v>0</v>
      </c>
      <c r="AL216" s="10">
        <v>0</v>
      </c>
      <c r="AM216" s="10">
        <v>0</v>
      </c>
      <c r="AN216" s="10">
        <v>0</v>
      </c>
      <c r="AO216" s="26">
        <f t="shared" si="11"/>
        <v>0</v>
      </c>
    </row>
    <row r="217" spans="1:41" ht="17.25" customHeight="1" x14ac:dyDescent="0.45">
      <c r="A217" s="2" t="s">
        <v>28</v>
      </c>
      <c r="B217" s="2" t="s">
        <v>10</v>
      </c>
      <c r="C217" s="23">
        <v>0</v>
      </c>
      <c r="D217" s="1">
        <v>0</v>
      </c>
      <c r="E217" s="1">
        <v>1</v>
      </c>
      <c r="F217" s="1">
        <v>0</v>
      </c>
      <c r="G217" s="1">
        <v>0</v>
      </c>
      <c r="H217" s="1">
        <v>0</v>
      </c>
      <c r="I217" s="1">
        <v>1</v>
      </c>
      <c r="J217" s="1">
        <v>0</v>
      </c>
      <c r="K217" s="1">
        <v>0</v>
      </c>
      <c r="L217" s="1">
        <v>1</v>
      </c>
      <c r="M217" s="1">
        <v>2</v>
      </c>
      <c r="N217" s="1">
        <v>13</v>
      </c>
      <c r="O217" s="24">
        <f t="shared" si="9"/>
        <v>18</v>
      </c>
      <c r="P217" s="23">
        <v>0</v>
      </c>
      <c r="Q217" s="1">
        <v>0</v>
      </c>
      <c r="R217" s="1">
        <v>179</v>
      </c>
      <c r="S217" s="1">
        <v>0</v>
      </c>
      <c r="T217" s="1">
        <v>0</v>
      </c>
      <c r="U217" s="1">
        <v>0</v>
      </c>
      <c r="V217" s="1">
        <v>0</v>
      </c>
      <c r="W217" s="1">
        <v>0</v>
      </c>
      <c r="X217" s="1">
        <v>0</v>
      </c>
      <c r="Y217" s="1">
        <v>0</v>
      </c>
      <c r="Z217" s="1">
        <v>0</v>
      </c>
      <c r="AA217" s="1">
        <v>0</v>
      </c>
      <c r="AB217" s="24">
        <f t="shared" si="10"/>
        <v>179</v>
      </c>
      <c r="AC217" s="23">
        <v>0</v>
      </c>
      <c r="AD217" s="1">
        <v>0</v>
      </c>
      <c r="AE217" s="1">
        <v>0</v>
      </c>
      <c r="AF217" s="1">
        <v>0</v>
      </c>
      <c r="AG217" s="1">
        <v>0</v>
      </c>
      <c r="AH217" s="1">
        <v>0</v>
      </c>
      <c r="AI217" s="1">
        <v>15576</v>
      </c>
      <c r="AJ217" s="1">
        <v>0</v>
      </c>
      <c r="AK217" s="1">
        <v>0</v>
      </c>
      <c r="AL217" s="1">
        <v>10244</v>
      </c>
      <c r="AM217" s="1">
        <v>25752</v>
      </c>
      <c r="AN217" s="1">
        <v>152607</v>
      </c>
      <c r="AO217" s="24">
        <f t="shared" si="11"/>
        <v>204179</v>
      </c>
    </row>
    <row r="218" spans="1:41" ht="17.25" customHeight="1" x14ac:dyDescent="0.45">
      <c r="A218" s="12" t="s">
        <v>28</v>
      </c>
      <c r="B218" s="12" t="s">
        <v>19</v>
      </c>
      <c r="C218" s="25">
        <v>0</v>
      </c>
      <c r="D218" s="10">
        <v>0</v>
      </c>
      <c r="E218" s="10">
        <v>0</v>
      </c>
      <c r="F218" s="10">
        <v>3</v>
      </c>
      <c r="G218" s="10">
        <v>1</v>
      </c>
      <c r="H218" s="10">
        <v>1</v>
      </c>
      <c r="I218" s="10">
        <v>1</v>
      </c>
      <c r="J218" s="10">
        <v>1</v>
      </c>
      <c r="K218" s="10">
        <v>0</v>
      </c>
      <c r="L218" s="10">
        <v>5</v>
      </c>
      <c r="M218" s="10">
        <v>1</v>
      </c>
      <c r="N218" s="10">
        <v>13</v>
      </c>
      <c r="O218" s="26">
        <f t="shared" si="9"/>
        <v>26</v>
      </c>
      <c r="P218" s="25">
        <v>0</v>
      </c>
      <c r="Q218" s="10">
        <v>0</v>
      </c>
      <c r="R218" s="10">
        <v>0</v>
      </c>
      <c r="S218" s="10">
        <v>0</v>
      </c>
      <c r="T218" s="10">
        <v>0</v>
      </c>
      <c r="U218" s="10">
        <v>0</v>
      </c>
      <c r="V218" s="10">
        <v>0</v>
      </c>
      <c r="W218" s="10">
        <v>0</v>
      </c>
      <c r="X218" s="10">
        <v>0</v>
      </c>
      <c r="Y218" s="10">
        <v>0</v>
      </c>
      <c r="Z218" s="10">
        <v>0</v>
      </c>
      <c r="AA218" s="10">
        <v>0</v>
      </c>
      <c r="AB218" s="26">
        <f t="shared" si="10"/>
        <v>0</v>
      </c>
      <c r="AC218" s="25">
        <v>0</v>
      </c>
      <c r="AD218" s="10">
        <v>0</v>
      </c>
      <c r="AE218" s="10">
        <v>0</v>
      </c>
      <c r="AF218" s="10">
        <v>11308</v>
      </c>
      <c r="AG218" s="10">
        <v>2520</v>
      </c>
      <c r="AH218" s="10">
        <v>4692</v>
      </c>
      <c r="AI218" s="10">
        <v>1320</v>
      </c>
      <c r="AJ218" s="10">
        <v>18170</v>
      </c>
      <c r="AK218" s="10">
        <v>0</v>
      </c>
      <c r="AL218" s="10">
        <v>20455</v>
      </c>
      <c r="AM218" s="10">
        <v>14797</v>
      </c>
      <c r="AN218" s="10">
        <v>173089</v>
      </c>
      <c r="AO218" s="26">
        <f t="shared" si="11"/>
        <v>246351</v>
      </c>
    </row>
    <row r="219" spans="1:41" ht="17.25" customHeight="1" x14ac:dyDescent="0.45">
      <c r="A219" s="2" t="s">
        <v>28</v>
      </c>
      <c r="B219" s="2" t="s">
        <v>20</v>
      </c>
      <c r="C219" s="23">
        <v>17</v>
      </c>
      <c r="D219" s="1">
        <v>17</v>
      </c>
      <c r="E219" s="1">
        <v>13</v>
      </c>
      <c r="F219" s="1">
        <v>18</v>
      </c>
      <c r="G219" s="1">
        <v>19</v>
      </c>
      <c r="H219" s="1">
        <v>16</v>
      </c>
      <c r="I219" s="1">
        <v>18</v>
      </c>
      <c r="J219" s="1">
        <v>19</v>
      </c>
      <c r="K219" s="1">
        <v>19</v>
      </c>
      <c r="L219" s="1">
        <v>23</v>
      </c>
      <c r="M219" s="1">
        <v>15</v>
      </c>
      <c r="N219" s="1">
        <v>15</v>
      </c>
      <c r="O219" s="24">
        <f t="shared" si="9"/>
        <v>209</v>
      </c>
      <c r="P219" s="23">
        <v>0</v>
      </c>
      <c r="Q219" s="1">
        <v>0</v>
      </c>
      <c r="R219" s="1">
        <v>0</v>
      </c>
      <c r="S219" s="1">
        <v>0</v>
      </c>
      <c r="T219" s="1">
        <v>0</v>
      </c>
      <c r="U219" s="1">
        <v>0</v>
      </c>
      <c r="V219" s="1">
        <v>0</v>
      </c>
      <c r="W219" s="1">
        <v>0</v>
      </c>
      <c r="X219" s="1">
        <v>0</v>
      </c>
      <c r="Y219" s="1">
        <v>0</v>
      </c>
      <c r="Z219" s="1">
        <v>0</v>
      </c>
      <c r="AA219" s="1">
        <v>0</v>
      </c>
      <c r="AB219" s="24">
        <f t="shared" si="10"/>
        <v>0</v>
      </c>
      <c r="AC219" s="23">
        <v>190974</v>
      </c>
      <c r="AD219" s="1">
        <v>191166</v>
      </c>
      <c r="AE219" s="1">
        <v>145395</v>
      </c>
      <c r="AF219" s="1">
        <v>206500</v>
      </c>
      <c r="AG219" s="1">
        <v>240937</v>
      </c>
      <c r="AH219" s="1">
        <v>198311</v>
      </c>
      <c r="AI219" s="1">
        <v>233022</v>
      </c>
      <c r="AJ219" s="1">
        <v>233758</v>
      </c>
      <c r="AK219" s="1">
        <v>230889</v>
      </c>
      <c r="AL219" s="1">
        <v>281362</v>
      </c>
      <c r="AM219" s="1">
        <v>212314</v>
      </c>
      <c r="AN219" s="1">
        <v>169804</v>
      </c>
      <c r="AO219" s="24">
        <f t="shared" si="11"/>
        <v>2534432</v>
      </c>
    </row>
    <row r="220" spans="1:41" ht="17.25" customHeight="1" x14ac:dyDescent="0.45">
      <c r="A220" s="12" t="s">
        <v>28</v>
      </c>
      <c r="B220" s="12" t="s">
        <v>21</v>
      </c>
      <c r="C220" s="25">
        <v>36</v>
      </c>
      <c r="D220" s="10">
        <v>37</v>
      </c>
      <c r="E220" s="10">
        <v>26</v>
      </c>
      <c r="F220" s="10">
        <v>34</v>
      </c>
      <c r="G220" s="10">
        <v>37</v>
      </c>
      <c r="H220" s="10">
        <v>32</v>
      </c>
      <c r="I220" s="10">
        <v>38</v>
      </c>
      <c r="J220" s="10">
        <v>18</v>
      </c>
      <c r="K220" s="10">
        <v>14</v>
      </c>
      <c r="L220" s="10">
        <v>18</v>
      </c>
      <c r="M220" s="10">
        <v>31</v>
      </c>
      <c r="N220" s="10">
        <v>28</v>
      </c>
      <c r="O220" s="26">
        <f t="shared" si="9"/>
        <v>349</v>
      </c>
      <c r="P220" s="25">
        <v>0</v>
      </c>
      <c r="Q220" s="10">
        <v>0</v>
      </c>
      <c r="R220" s="10">
        <v>0</v>
      </c>
      <c r="S220" s="10">
        <v>0</v>
      </c>
      <c r="T220" s="10">
        <v>0</v>
      </c>
      <c r="U220" s="10">
        <v>0</v>
      </c>
      <c r="V220" s="10">
        <v>0</v>
      </c>
      <c r="W220" s="10">
        <v>0</v>
      </c>
      <c r="X220" s="10">
        <v>0</v>
      </c>
      <c r="Y220" s="10">
        <v>0</v>
      </c>
      <c r="Z220" s="10">
        <v>0</v>
      </c>
      <c r="AA220" s="10">
        <v>0</v>
      </c>
      <c r="AB220" s="26">
        <f t="shared" si="10"/>
        <v>0</v>
      </c>
      <c r="AC220" s="25">
        <v>524016</v>
      </c>
      <c r="AD220" s="10">
        <v>548054</v>
      </c>
      <c r="AE220" s="10">
        <v>390954</v>
      </c>
      <c r="AF220" s="10">
        <v>518565</v>
      </c>
      <c r="AG220" s="10">
        <v>548050</v>
      </c>
      <c r="AH220" s="10">
        <v>473620</v>
      </c>
      <c r="AI220" s="10">
        <v>587985</v>
      </c>
      <c r="AJ220" s="10">
        <v>257995</v>
      </c>
      <c r="AK220" s="10">
        <v>209043</v>
      </c>
      <c r="AL220" s="10">
        <v>271649</v>
      </c>
      <c r="AM220" s="10">
        <v>459839</v>
      </c>
      <c r="AN220" s="10">
        <v>396550</v>
      </c>
      <c r="AO220" s="26">
        <f t="shared" si="11"/>
        <v>5186320</v>
      </c>
    </row>
    <row r="221" spans="1:41" ht="17.25" customHeight="1" x14ac:dyDescent="0.45">
      <c r="A221" s="2" t="s">
        <v>28</v>
      </c>
      <c r="B221" s="2" t="s">
        <v>22</v>
      </c>
      <c r="C221" s="23">
        <v>0</v>
      </c>
      <c r="D221" s="1">
        <v>0</v>
      </c>
      <c r="E221" s="1">
        <v>0</v>
      </c>
      <c r="F221" s="1">
        <v>0</v>
      </c>
      <c r="G221" s="1">
        <v>0</v>
      </c>
      <c r="H221" s="1">
        <v>2</v>
      </c>
      <c r="I221" s="1">
        <v>0</v>
      </c>
      <c r="J221" s="1">
        <v>0</v>
      </c>
      <c r="K221" s="1">
        <v>0</v>
      </c>
      <c r="L221" s="1">
        <v>1</v>
      </c>
      <c r="M221" s="1">
        <v>0</v>
      </c>
      <c r="N221" s="1">
        <v>0</v>
      </c>
      <c r="O221" s="24">
        <f t="shared" si="9"/>
        <v>3</v>
      </c>
      <c r="P221" s="23">
        <v>0</v>
      </c>
      <c r="Q221" s="1">
        <v>0</v>
      </c>
      <c r="R221" s="1">
        <v>0</v>
      </c>
      <c r="S221" s="1">
        <v>0</v>
      </c>
      <c r="T221" s="1">
        <v>0</v>
      </c>
      <c r="U221" s="1">
        <v>0</v>
      </c>
      <c r="V221" s="1">
        <v>0</v>
      </c>
      <c r="W221" s="1">
        <v>0</v>
      </c>
      <c r="X221" s="1">
        <v>0</v>
      </c>
      <c r="Y221" s="1">
        <v>0</v>
      </c>
      <c r="Z221" s="1">
        <v>0</v>
      </c>
      <c r="AA221" s="1">
        <v>0</v>
      </c>
      <c r="AB221" s="24">
        <f t="shared" si="10"/>
        <v>0</v>
      </c>
      <c r="AC221" s="23">
        <v>0</v>
      </c>
      <c r="AD221" s="1">
        <v>0</v>
      </c>
      <c r="AE221" s="1">
        <v>0</v>
      </c>
      <c r="AF221" s="1">
        <v>0</v>
      </c>
      <c r="AG221" s="1">
        <v>0</v>
      </c>
      <c r="AH221" s="1">
        <v>5025</v>
      </c>
      <c r="AI221" s="1">
        <v>0</v>
      </c>
      <c r="AJ221" s="1">
        <v>0</v>
      </c>
      <c r="AK221" s="1">
        <v>0</v>
      </c>
      <c r="AL221" s="1">
        <v>3580</v>
      </c>
      <c r="AM221" s="1">
        <v>0</v>
      </c>
      <c r="AN221" s="1">
        <v>0</v>
      </c>
      <c r="AO221" s="24">
        <f t="shared" si="11"/>
        <v>8605</v>
      </c>
    </row>
    <row r="222" spans="1:41" ht="17.25" customHeight="1" x14ac:dyDescent="0.45">
      <c r="A222" s="12" t="s">
        <v>28</v>
      </c>
      <c r="B222" s="12" t="s">
        <v>11</v>
      </c>
      <c r="C222" s="25">
        <v>0</v>
      </c>
      <c r="D222" s="10">
        <v>0</v>
      </c>
      <c r="E222" s="10">
        <v>1</v>
      </c>
      <c r="F222" s="10">
        <v>0</v>
      </c>
      <c r="G222" s="10">
        <v>0</v>
      </c>
      <c r="H222" s="10">
        <v>0</v>
      </c>
      <c r="I222" s="10">
        <v>0</v>
      </c>
      <c r="J222" s="10">
        <v>0</v>
      </c>
      <c r="K222" s="10">
        <v>1</v>
      </c>
      <c r="L222" s="10">
        <v>1</v>
      </c>
      <c r="M222" s="10">
        <v>0</v>
      </c>
      <c r="N222" s="10">
        <v>0</v>
      </c>
      <c r="O222" s="26">
        <f t="shared" si="9"/>
        <v>3</v>
      </c>
      <c r="P222" s="25">
        <v>0</v>
      </c>
      <c r="Q222" s="10">
        <v>0</v>
      </c>
      <c r="R222" s="10">
        <v>0</v>
      </c>
      <c r="S222" s="10">
        <v>0</v>
      </c>
      <c r="T222" s="10">
        <v>0</v>
      </c>
      <c r="U222" s="10">
        <v>0</v>
      </c>
      <c r="V222" s="10">
        <v>0</v>
      </c>
      <c r="W222" s="10">
        <v>0</v>
      </c>
      <c r="X222" s="10">
        <v>0</v>
      </c>
      <c r="Y222" s="10">
        <v>0</v>
      </c>
      <c r="Z222" s="10">
        <v>0</v>
      </c>
      <c r="AA222" s="10">
        <v>0</v>
      </c>
      <c r="AB222" s="26">
        <f t="shared" si="10"/>
        <v>0</v>
      </c>
      <c r="AC222" s="25">
        <v>0</v>
      </c>
      <c r="AD222" s="10">
        <v>0</v>
      </c>
      <c r="AE222" s="10">
        <v>11000</v>
      </c>
      <c r="AF222" s="10">
        <v>0</v>
      </c>
      <c r="AG222" s="10">
        <v>0</v>
      </c>
      <c r="AH222" s="10">
        <v>0</v>
      </c>
      <c r="AI222" s="10">
        <v>0</v>
      </c>
      <c r="AJ222" s="10">
        <v>0</v>
      </c>
      <c r="AK222" s="10">
        <v>2250</v>
      </c>
      <c r="AL222" s="10">
        <v>2780</v>
      </c>
      <c r="AM222" s="10">
        <v>0</v>
      </c>
      <c r="AN222" s="10">
        <v>0</v>
      </c>
      <c r="AO222" s="26">
        <f t="shared" si="11"/>
        <v>16030</v>
      </c>
    </row>
    <row r="223" spans="1:41" ht="17.25" customHeight="1" x14ac:dyDescent="0.45">
      <c r="A223" s="2" t="s">
        <v>28</v>
      </c>
      <c r="B223" s="2" t="s">
        <v>38</v>
      </c>
      <c r="C223" s="23">
        <v>31</v>
      </c>
      <c r="D223" s="1">
        <v>30</v>
      </c>
      <c r="E223" s="1">
        <v>33</v>
      </c>
      <c r="F223" s="1">
        <v>30</v>
      </c>
      <c r="G223" s="1">
        <v>40</v>
      </c>
      <c r="H223" s="1">
        <v>34</v>
      </c>
      <c r="I223" s="1">
        <v>37</v>
      </c>
      <c r="J223" s="1">
        <v>32</v>
      </c>
      <c r="K223" s="1">
        <v>37</v>
      </c>
      <c r="L223" s="1">
        <v>35</v>
      </c>
      <c r="M223" s="1">
        <v>30</v>
      </c>
      <c r="N223" s="1">
        <v>22</v>
      </c>
      <c r="O223" s="24">
        <f t="shared" si="9"/>
        <v>391</v>
      </c>
      <c r="P223" s="23">
        <v>0</v>
      </c>
      <c r="Q223" s="1">
        <v>0</v>
      </c>
      <c r="R223" s="1">
        <v>0</v>
      </c>
      <c r="S223" s="1">
        <v>0</v>
      </c>
      <c r="T223" s="1">
        <v>0</v>
      </c>
      <c r="U223" s="1">
        <v>0</v>
      </c>
      <c r="V223" s="1">
        <v>0</v>
      </c>
      <c r="W223" s="1">
        <v>0</v>
      </c>
      <c r="X223" s="1">
        <v>0</v>
      </c>
      <c r="Y223" s="1">
        <v>0</v>
      </c>
      <c r="Z223" s="1">
        <v>0</v>
      </c>
      <c r="AA223" s="1">
        <v>0</v>
      </c>
      <c r="AB223" s="24">
        <f t="shared" si="10"/>
        <v>0</v>
      </c>
      <c r="AC223" s="23">
        <v>401826</v>
      </c>
      <c r="AD223" s="1">
        <v>417067</v>
      </c>
      <c r="AE223" s="1">
        <v>416897</v>
      </c>
      <c r="AF223" s="1">
        <v>410102</v>
      </c>
      <c r="AG223" s="1">
        <v>484580</v>
      </c>
      <c r="AH223" s="1">
        <v>443876</v>
      </c>
      <c r="AI223" s="1">
        <v>502591</v>
      </c>
      <c r="AJ223" s="1">
        <v>461278</v>
      </c>
      <c r="AK223" s="1">
        <v>433039</v>
      </c>
      <c r="AL223" s="1">
        <v>480117</v>
      </c>
      <c r="AM223" s="1">
        <v>393765</v>
      </c>
      <c r="AN223" s="1">
        <v>258402</v>
      </c>
      <c r="AO223" s="24">
        <f t="shared" si="11"/>
        <v>5103540</v>
      </c>
    </row>
    <row r="224" spans="1:41" ht="17.25" customHeight="1" x14ac:dyDescent="0.45">
      <c r="A224" s="12" t="s">
        <v>28</v>
      </c>
      <c r="B224" s="12" t="s">
        <v>47</v>
      </c>
      <c r="C224" s="25">
        <v>0</v>
      </c>
      <c r="D224" s="10">
        <v>1</v>
      </c>
      <c r="E224" s="10">
        <v>0</v>
      </c>
      <c r="F224" s="10">
        <v>2</v>
      </c>
      <c r="G224" s="10">
        <v>0</v>
      </c>
      <c r="H224" s="10">
        <v>0</v>
      </c>
      <c r="I224" s="10">
        <v>0</v>
      </c>
      <c r="J224" s="10">
        <v>0</v>
      </c>
      <c r="K224" s="10">
        <v>1</v>
      </c>
      <c r="L224" s="10">
        <v>1</v>
      </c>
      <c r="M224" s="10">
        <v>0</v>
      </c>
      <c r="N224" s="10">
        <v>4</v>
      </c>
      <c r="O224" s="26">
        <f t="shared" si="9"/>
        <v>9</v>
      </c>
      <c r="P224" s="25">
        <v>0</v>
      </c>
      <c r="Q224" s="10">
        <v>0</v>
      </c>
      <c r="R224" s="10">
        <v>0</v>
      </c>
      <c r="S224" s="10">
        <v>0</v>
      </c>
      <c r="T224" s="10">
        <v>0</v>
      </c>
      <c r="U224" s="10">
        <v>0</v>
      </c>
      <c r="V224" s="10">
        <v>0</v>
      </c>
      <c r="W224" s="10">
        <v>0</v>
      </c>
      <c r="X224" s="10">
        <v>0</v>
      </c>
      <c r="Y224" s="10">
        <v>0</v>
      </c>
      <c r="Z224" s="10">
        <v>0</v>
      </c>
      <c r="AA224" s="10">
        <v>0</v>
      </c>
      <c r="AB224" s="26">
        <f t="shared" si="10"/>
        <v>0</v>
      </c>
      <c r="AC224" s="25">
        <v>0</v>
      </c>
      <c r="AD224" s="10">
        <v>13505</v>
      </c>
      <c r="AE224" s="10">
        <v>0</v>
      </c>
      <c r="AF224" s="10">
        <v>27795</v>
      </c>
      <c r="AG224" s="10">
        <v>0</v>
      </c>
      <c r="AH224" s="10">
        <v>0</v>
      </c>
      <c r="AI224" s="10">
        <v>0</v>
      </c>
      <c r="AJ224" s="10">
        <v>0</v>
      </c>
      <c r="AK224" s="10">
        <v>11280</v>
      </c>
      <c r="AL224" s="10">
        <v>14079</v>
      </c>
      <c r="AM224" s="10">
        <v>0</v>
      </c>
      <c r="AN224" s="10">
        <v>52574</v>
      </c>
      <c r="AO224" s="26">
        <f t="shared" si="11"/>
        <v>119233</v>
      </c>
    </row>
    <row r="225" spans="1:41" ht="17.25" customHeight="1" x14ac:dyDescent="0.45">
      <c r="A225" s="2" t="s">
        <v>28</v>
      </c>
      <c r="B225" s="2" t="s">
        <v>55</v>
      </c>
      <c r="C225" s="23">
        <v>0</v>
      </c>
      <c r="D225" s="1">
        <v>0</v>
      </c>
      <c r="E225" s="1">
        <v>0</v>
      </c>
      <c r="F225" s="1">
        <v>1</v>
      </c>
      <c r="G225" s="1">
        <v>1</v>
      </c>
      <c r="H225" s="1">
        <v>0</v>
      </c>
      <c r="I225" s="1">
        <v>0</v>
      </c>
      <c r="J225" s="1">
        <v>0</v>
      </c>
      <c r="K225" s="1">
        <v>0</v>
      </c>
      <c r="L225" s="1">
        <v>0</v>
      </c>
      <c r="M225" s="1">
        <v>0</v>
      </c>
      <c r="N225" s="1">
        <v>0</v>
      </c>
      <c r="O225" s="24">
        <f t="shared" si="9"/>
        <v>2</v>
      </c>
      <c r="P225" s="23">
        <v>0</v>
      </c>
      <c r="Q225" s="1">
        <v>0</v>
      </c>
      <c r="R225" s="1">
        <v>0</v>
      </c>
      <c r="S225" s="1">
        <v>0</v>
      </c>
      <c r="T225" s="1">
        <v>0</v>
      </c>
      <c r="U225" s="1">
        <v>0</v>
      </c>
      <c r="V225" s="1">
        <v>0</v>
      </c>
      <c r="W225" s="1">
        <v>0</v>
      </c>
      <c r="X225" s="1">
        <v>0</v>
      </c>
      <c r="Y225" s="1">
        <v>0</v>
      </c>
      <c r="Z225" s="1">
        <v>0</v>
      </c>
      <c r="AA225" s="1">
        <v>0</v>
      </c>
      <c r="AB225" s="24">
        <f t="shared" si="10"/>
        <v>0</v>
      </c>
      <c r="AC225" s="23">
        <v>0</v>
      </c>
      <c r="AD225" s="1">
        <v>0</v>
      </c>
      <c r="AE225" s="1">
        <v>0</v>
      </c>
      <c r="AF225" s="1">
        <v>7879</v>
      </c>
      <c r="AG225" s="1">
        <v>7358</v>
      </c>
      <c r="AH225" s="1">
        <v>0</v>
      </c>
      <c r="AI225" s="1">
        <v>0</v>
      </c>
      <c r="AJ225" s="1">
        <v>0</v>
      </c>
      <c r="AK225" s="1">
        <v>0</v>
      </c>
      <c r="AL225" s="1">
        <v>0</v>
      </c>
      <c r="AM225" s="1">
        <v>0</v>
      </c>
      <c r="AN225" s="1">
        <v>0</v>
      </c>
      <c r="AO225" s="24">
        <f t="shared" si="11"/>
        <v>15237</v>
      </c>
    </row>
    <row r="226" spans="1:41" ht="17.25" customHeight="1" x14ac:dyDescent="0.45">
      <c r="A226" s="12" t="s">
        <v>28</v>
      </c>
      <c r="B226" s="12" t="s">
        <v>40</v>
      </c>
      <c r="C226" s="25">
        <v>30</v>
      </c>
      <c r="D226" s="10">
        <v>25</v>
      </c>
      <c r="E226" s="10">
        <v>29</v>
      </c>
      <c r="F226" s="10">
        <v>29</v>
      </c>
      <c r="G226" s="10">
        <v>26</v>
      </c>
      <c r="H226" s="10">
        <v>38</v>
      </c>
      <c r="I226" s="10">
        <v>31</v>
      </c>
      <c r="J226" s="10">
        <v>48</v>
      </c>
      <c r="K226" s="10">
        <v>53</v>
      </c>
      <c r="L226" s="10">
        <v>67</v>
      </c>
      <c r="M226" s="10">
        <v>47</v>
      </c>
      <c r="N226" s="10">
        <v>41</v>
      </c>
      <c r="O226" s="26">
        <f t="shared" si="9"/>
        <v>464</v>
      </c>
      <c r="P226" s="25">
        <v>0</v>
      </c>
      <c r="Q226" s="10">
        <v>0</v>
      </c>
      <c r="R226" s="10">
        <v>0</v>
      </c>
      <c r="S226" s="10">
        <v>0</v>
      </c>
      <c r="T226" s="10">
        <v>0</v>
      </c>
      <c r="U226" s="10">
        <v>0</v>
      </c>
      <c r="V226" s="10">
        <v>0</v>
      </c>
      <c r="W226" s="10">
        <v>0</v>
      </c>
      <c r="X226" s="10">
        <v>0</v>
      </c>
      <c r="Y226" s="10">
        <v>0</v>
      </c>
      <c r="Z226" s="10">
        <v>0</v>
      </c>
      <c r="AA226" s="10">
        <v>0</v>
      </c>
      <c r="AB226" s="26">
        <f t="shared" si="10"/>
        <v>0</v>
      </c>
      <c r="AC226" s="25">
        <v>533135</v>
      </c>
      <c r="AD226" s="10">
        <v>252690</v>
      </c>
      <c r="AE226" s="10">
        <v>319713</v>
      </c>
      <c r="AF226" s="10">
        <v>287716</v>
      </c>
      <c r="AG226" s="10">
        <v>295242</v>
      </c>
      <c r="AH226" s="10">
        <v>385832</v>
      </c>
      <c r="AI226" s="10">
        <v>314036</v>
      </c>
      <c r="AJ226" s="10">
        <v>602050</v>
      </c>
      <c r="AK226" s="10">
        <v>554934</v>
      </c>
      <c r="AL226" s="10">
        <v>788638</v>
      </c>
      <c r="AM226" s="10">
        <v>679303</v>
      </c>
      <c r="AN226" s="10">
        <v>582868</v>
      </c>
      <c r="AO226" s="26">
        <f t="shared" si="11"/>
        <v>5596157</v>
      </c>
    </row>
    <row r="227" spans="1:41" ht="17.25" customHeight="1" x14ac:dyDescent="0.45">
      <c r="A227" s="2" t="s">
        <v>28</v>
      </c>
      <c r="B227" s="2" t="s">
        <v>23</v>
      </c>
      <c r="C227" s="23">
        <v>49</v>
      </c>
      <c r="D227" s="1">
        <v>44</v>
      </c>
      <c r="E227" s="1">
        <v>44</v>
      </c>
      <c r="F227" s="1">
        <v>47</v>
      </c>
      <c r="G227" s="1">
        <v>47</v>
      </c>
      <c r="H227" s="1">
        <v>46</v>
      </c>
      <c r="I227" s="1">
        <v>46</v>
      </c>
      <c r="J227" s="1">
        <v>47</v>
      </c>
      <c r="K227" s="1">
        <v>39</v>
      </c>
      <c r="L227" s="1">
        <v>44</v>
      </c>
      <c r="M227" s="1">
        <v>42</v>
      </c>
      <c r="N227" s="1">
        <v>36</v>
      </c>
      <c r="O227" s="24">
        <f t="shared" si="9"/>
        <v>531</v>
      </c>
      <c r="P227" s="23">
        <v>0</v>
      </c>
      <c r="Q227" s="1">
        <v>0</v>
      </c>
      <c r="R227" s="1">
        <v>0</v>
      </c>
      <c r="S227" s="1">
        <v>0</v>
      </c>
      <c r="T227" s="1">
        <v>0</v>
      </c>
      <c r="U227" s="1">
        <v>0</v>
      </c>
      <c r="V227" s="1">
        <v>0</v>
      </c>
      <c r="W227" s="1">
        <v>0</v>
      </c>
      <c r="X227" s="1">
        <v>0</v>
      </c>
      <c r="Y227" s="1">
        <v>0</v>
      </c>
      <c r="Z227" s="1">
        <v>0</v>
      </c>
      <c r="AA227" s="1">
        <v>0</v>
      </c>
      <c r="AB227" s="24">
        <f t="shared" si="10"/>
        <v>0</v>
      </c>
      <c r="AC227" s="23">
        <v>633364</v>
      </c>
      <c r="AD227" s="1">
        <v>614297</v>
      </c>
      <c r="AE227" s="1">
        <v>725182</v>
      </c>
      <c r="AF227" s="1">
        <v>669679</v>
      </c>
      <c r="AG227" s="1">
        <v>600990</v>
      </c>
      <c r="AH227" s="1">
        <v>614386</v>
      </c>
      <c r="AI227" s="1">
        <v>625446</v>
      </c>
      <c r="AJ227" s="1">
        <v>659300</v>
      </c>
      <c r="AK227" s="1">
        <v>524885</v>
      </c>
      <c r="AL227" s="1">
        <v>571757</v>
      </c>
      <c r="AM227" s="1">
        <v>556970</v>
      </c>
      <c r="AN227" s="1">
        <v>465975</v>
      </c>
      <c r="AO227" s="24">
        <f t="shared" si="11"/>
        <v>7262231</v>
      </c>
    </row>
    <row r="228" spans="1:41" ht="17.25" customHeight="1" x14ac:dyDescent="0.45">
      <c r="A228" s="12" t="s">
        <v>28</v>
      </c>
      <c r="B228" s="12" t="s">
        <v>13</v>
      </c>
      <c r="C228" s="25">
        <v>19</v>
      </c>
      <c r="D228" s="10">
        <v>15</v>
      </c>
      <c r="E228" s="10">
        <v>15</v>
      </c>
      <c r="F228" s="10">
        <v>17</v>
      </c>
      <c r="G228" s="10">
        <v>17</v>
      </c>
      <c r="H228" s="10">
        <v>18</v>
      </c>
      <c r="I228" s="10">
        <v>19</v>
      </c>
      <c r="J228" s="10">
        <v>21</v>
      </c>
      <c r="K228" s="10">
        <v>16</v>
      </c>
      <c r="L228" s="10">
        <v>18</v>
      </c>
      <c r="M228" s="10">
        <v>32</v>
      </c>
      <c r="N228" s="10">
        <v>27</v>
      </c>
      <c r="O228" s="26">
        <f t="shared" si="9"/>
        <v>234</v>
      </c>
      <c r="P228" s="25">
        <v>102</v>
      </c>
      <c r="Q228" s="10">
        <v>0</v>
      </c>
      <c r="R228" s="10">
        <v>0</v>
      </c>
      <c r="S228" s="10">
        <v>0</v>
      </c>
      <c r="T228" s="10">
        <v>0</v>
      </c>
      <c r="U228" s="10">
        <v>0</v>
      </c>
      <c r="V228" s="10">
        <v>0</v>
      </c>
      <c r="W228" s="10">
        <v>0</v>
      </c>
      <c r="X228" s="10">
        <v>0</v>
      </c>
      <c r="Y228" s="10">
        <v>0</v>
      </c>
      <c r="Z228" s="10">
        <v>0</v>
      </c>
      <c r="AA228" s="10">
        <v>0</v>
      </c>
      <c r="AB228" s="26">
        <f t="shared" si="10"/>
        <v>102</v>
      </c>
      <c r="AC228" s="25">
        <v>281501</v>
      </c>
      <c r="AD228" s="10">
        <v>240515</v>
      </c>
      <c r="AE228" s="10">
        <v>235910</v>
      </c>
      <c r="AF228" s="10">
        <v>284736</v>
      </c>
      <c r="AG228" s="10">
        <v>264618</v>
      </c>
      <c r="AH228" s="10">
        <v>263927</v>
      </c>
      <c r="AI228" s="10">
        <v>307151</v>
      </c>
      <c r="AJ228" s="10">
        <v>333833</v>
      </c>
      <c r="AK228" s="10">
        <v>253147</v>
      </c>
      <c r="AL228" s="10">
        <v>291134</v>
      </c>
      <c r="AM228" s="10">
        <v>436414</v>
      </c>
      <c r="AN228" s="10">
        <v>327979</v>
      </c>
      <c r="AO228" s="26">
        <f t="shared" si="11"/>
        <v>3520865</v>
      </c>
    </row>
    <row r="229" spans="1:41" ht="17.25" customHeight="1" x14ac:dyDescent="0.45">
      <c r="A229" s="2" t="s">
        <v>28</v>
      </c>
      <c r="B229" s="2" t="s">
        <v>59</v>
      </c>
      <c r="C229" s="23">
        <v>0</v>
      </c>
      <c r="D229" s="1">
        <v>0</v>
      </c>
      <c r="E229" s="1">
        <v>0</v>
      </c>
      <c r="F229" s="1">
        <v>0</v>
      </c>
      <c r="G229" s="1">
        <v>0</v>
      </c>
      <c r="H229" s="1">
        <v>1</v>
      </c>
      <c r="I229" s="1">
        <v>0</v>
      </c>
      <c r="J229" s="1">
        <v>0</v>
      </c>
      <c r="K229" s="1">
        <v>0</v>
      </c>
      <c r="L229" s="1">
        <v>0</v>
      </c>
      <c r="M229" s="1">
        <v>0</v>
      </c>
      <c r="N229" s="1">
        <v>0</v>
      </c>
      <c r="O229" s="24">
        <f t="shared" si="9"/>
        <v>1</v>
      </c>
      <c r="P229" s="23">
        <v>0</v>
      </c>
      <c r="Q229" s="1">
        <v>0</v>
      </c>
      <c r="R229" s="1">
        <v>0</v>
      </c>
      <c r="S229" s="1">
        <v>0</v>
      </c>
      <c r="T229" s="1">
        <v>0</v>
      </c>
      <c r="U229" s="1">
        <v>0</v>
      </c>
      <c r="V229" s="1">
        <v>0</v>
      </c>
      <c r="W229" s="1">
        <v>0</v>
      </c>
      <c r="X229" s="1">
        <v>0</v>
      </c>
      <c r="Y229" s="1">
        <v>0</v>
      </c>
      <c r="Z229" s="1">
        <v>0</v>
      </c>
      <c r="AA229" s="1">
        <v>0</v>
      </c>
      <c r="AB229" s="24">
        <f t="shared" si="10"/>
        <v>0</v>
      </c>
      <c r="AC229" s="23">
        <v>0</v>
      </c>
      <c r="AD229" s="1">
        <v>0</v>
      </c>
      <c r="AE229" s="1">
        <v>0</v>
      </c>
      <c r="AF229" s="1">
        <v>0</v>
      </c>
      <c r="AG229" s="1">
        <v>0</v>
      </c>
      <c r="AH229" s="1">
        <v>4442</v>
      </c>
      <c r="AI229" s="1">
        <v>0</v>
      </c>
      <c r="AJ229" s="1">
        <v>0</v>
      </c>
      <c r="AK229" s="1">
        <v>0</v>
      </c>
      <c r="AL229" s="1">
        <v>0</v>
      </c>
      <c r="AM229" s="1">
        <v>0</v>
      </c>
      <c r="AN229" s="1">
        <v>0</v>
      </c>
      <c r="AO229" s="24">
        <f t="shared" si="11"/>
        <v>4442</v>
      </c>
    </row>
    <row r="230" spans="1:41" ht="17.25" customHeight="1" x14ac:dyDescent="0.45">
      <c r="A230" s="12" t="s">
        <v>28</v>
      </c>
      <c r="B230" s="12" t="s">
        <v>27</v>
      </c>
      <c r="C230" s="25">
        <v>0</v>
      </c>
      <c r="D230" s="10">
        <v>0</v>
      </c>
      <c r="E230" s="10">
        <v>0</v>
      </c>
      <c r="F230" s="10">
        <v>0</v>
      </c>
      <c r="G230" s="10">
        <v>1</v>
      </c>
      <c r="H230" s="10">
        <v>0</v>
      </c>
      <c r="I230" s="10">
        <v>0</v>
      </c>
      <c r="J230" s="10">
        <v>0</v>
      </c>
      <c r="K230" s="10">
        <v>1</v>
      </c>
      <c r="L230" s="10">
        <v>2</v>
      </c>
      <c r="M230" s="10">
        <v>0</v>
      </c>
      <c r="N230" s="10">
        <v>0</v>
      </c>
      <c r="O230" s="26">
        <f t="shared" si="9"/>
        <v>4</v>
      </c>
      <c r="P230" s="25">
        <v>0</v>
      </c>
      <c r="Q230" s="10">
        <v>0</v>
      </c>
      <c r="R230" s="10">
        <v>0</v>
      </c>
      <c r="S230" s="10">
        <v>0</v>
      </c>
      <c r="T230" s="10">
        <v>0</v>
      </c>
      <c r="U230" s="10">
        <v>0</v>
      </c>
      <c r="V230" s="10">
        <v>0</v>
      </c>
      <c r="W230" s="10">
        <v>0</v>
      </c>
      <c r="X230" s="10">
        <v>0</v>
      </c>
      <c r="Y230" s="10">
        <v>0</v>
      </c>
      <c r="Z230" s="10">
        <v>0</v>
      </c>
      <c r="AA230" s="10">
        <v>0</v>
      </c>
      <c r="AB230" s="26">
        <f t="shared" si="10"/>
        <v>0</v>
      </c>
      <c r="AC230" s="25">
        <v>0</v>
      </c>
      <c r="AD230" s="10">
        <v>0</v>
      </c>
      <c r="AE230" s="10">
        <v>0</v>
      </c>
      <c r="AF230" s="10">
        <v>0</v>
      </c>
      <c r="AG230" s="10">
        <v>1256</v>
      </c>
      <c r="AH230" s="10">
        <v>0</v>
      </c>
      <c r="AI230" s="10">
        <v>0</v>
      </c>
      <c r="AJ230" s="10">
        <v>0</v>
      </c>
      <c r="AK230" s="10">
        <v>170215</v>
      </c>
      <c r="AL230" s="10">
        <v>5050</v>
      </c>
      <c r="AM230" s="10">
        <v>0</v>
      </c>
      <c r="AN230" s="10">
        <v>0</v>
      </c>
      <c r="AO230" s="26">
        <f t="shared" si="11"/>
        <v>176521</v>
      </c>
    </row>
    <row r="231" spans="1:41" ht="17.25" customHeight="1" x14ac:dyDescent="0.45">
      <c r="A231" s="2" t="s">
        <v>28</v>
      </c>
      <c r="B231" s="2" t="s">
        <v>206</v>
      </c>
      <c r="C231" s="23">
        <v>2</v>
      </c>
      <c r="D231" s="1">
        <v>5</v>
      </c>
      <c r="E231" s="1">
        <v>2</v>
      </c>
      <c r="F231" s="1">
        <v>12</v>
      </c>
      <c r="G231" s="1">
        <v>4</v>
      </c>
      <c r="H231" s="1">
        <v>25</v>
      </c>
      <c r="I231" s="1">
        <v>30</v>
      </c>
      <c r="J231" s="1">
        <v>11</v>
      </c>
      <c r="K231" s="1">
        <v>7</v>
      </c>
      <c r="L231" s="1">
        <v>10</v>
      </c>
      <c r="M231" s="1">
        <v>1</v>
      </c>
      <c r="N231" s="1">
        <v>2</v>
      </c>
      <c r="O231" s="24">
        <f t="shared" si="9"/>
        <v>111</v>
      </c>
      <c r="P231" s="23">
        <v>0</v>
      </c>
      <c r="Q231" s="1">
        <v>0</v>
      </c>
      <c r="R231" s="1">
        <v>0</v>
      </c>
      <c r="S231" s="1">
        <v>0</v>
      </c>
      <c r="T231" s="1">
        <v>0</v>
      </c>
      <c r="U231" s="1">
        <v>0</v>
      </c>
      <c r="V231" s="1">
        <v>0</v>
      </c>
      <c r="W231" s="1">
        <v>0</v>
      </c>
      <c r="X231" s="1">
        <v>0</v>
      </c>
      <c r="Y231" s="1">
        <v>0</v>
      </c>
      <c r="Z231" s="1">
        <v>0</v>
      </c>
      <c r="AA231" s="1">
        <v>0</v>
      </c>
      <c r="AB231" s="24">
        <f t="shared" si="10"/>
        <v>0</v>
      </c>
      <c r="AC231" s="23">
        <v>639</v>
      </c>
      <c r="AD231" s="1">
        <v>8846</v>
      </c>
      <c r="AE231" s="1">
        <v>1830</v>
      </c>
      <c r="AF231" s="1">
        <v>20023</v>
      </c>
      <c r="AG231" s="1">
        <v>8958</v>
      </c>
      <c r="AH231" s="1">
        <v>80567</v>
      </c>
      <c r="AI231" s="1">
        <v>82542</v>
      </c>
      <c r="AJ231" s="1">
        <v>48795</v>
      </c>
      <c r="AK231" s="1">
        <v>16247</v>
      </c>
      <c r="AL231" s="1">
        <v>31953</v>
      </c>
      <c r="AM231" s="1">
        <v>1280</v>
      </c>
      <c r="AN231" s="1">
        <v>4755</v>
      </c>
      <c r="AO231" s="24">
        <f t="shared" si="11"/>
        <v>306435</v>
      </c>
    </row>
    <row r="232" spans="1:41" ht="17.25" customHeight="1" x14ac:dyDescent="0.45">
      <c r="A232" s="12" t="s">
        <v>28</v>
      </c>
      <c r="B232" s="12" t="s">
        <v>30</v>
      </c>
      <c r="C232" s="25">
        <v>0</v>
      </c>
      <c r="D232" s="10">
        <v>2</v>
      </c>
      <c r="E232" s="10">
        <v>0</v>
      </c>
      <c r="F232" s="10">
        <v>0</v>
      </c>
      <c r="G232" s="10">
        <v>0</v>
      </c>
      <c r="H232" s="10">
        <v>0</v>
      </c>
      <c r="I232" s="10">
        <v>1</v>
      </c>
      <c r="J232" s="10">
        <v>0</v>
      </c>
      <c r="K232" s="10">
        <v>1</v>
      </c>
      <c r="L232" s="10">
        <v>0</v>
      </c>
      <c r="M232" s="10">
        <v>1</v>
      </c>
      <c r="N232" s="10">
        <v>0</v>
      </c>
      <c r="O232" s="26">
        <f t="shared" si="9"/>
        <v>5</v>
      </c>
      <c r="P232" s="25">
        <v>0</v>
      </c>
      <c r="Q232" s="10">
        <v>0</v>
      </c>
      <c r="R232" s="10">
        <v>0</v>
      </c>
      <c r="S232" s="10">
        <v>0</v>
      </c>
      <c r="T232" s="10">
        <v>0</v>
      </c>
      <c r="U232" s="10">
        <v>0</v>
      </c>
      <c r="V232" s="10">
        <v>0</v>
      </c>
      <c r="W232" s="10">
        <v>0</v>
      </c>
      <c r="X232" s="10">
        <v>0</v>
      </c>
      <c r="Y232" s="10">
        <v>0</v>
      </c>
      <c r="Z232" s="10">
        <v>0</v>
      </c>
      <c r="AA232" s="10">
        <v>0</v>
      </c>
      <c r="AB232" s="26">
        <f t="shared" si="10"/>
        <v>0</v>
      </c>
      <c r="AC232" s="25">
        <v>0</v>
      </c>
      <c r="AD232" s="10">
        <v>4990</v>
      </c>
      <c r="AE232" s="10">
        <v>0</v>
      </c>
      <c r="AF232" s="10">
        <v>0</v>
      </c>
      <c r="AG232" s="10">
        <v>0</v>
      </c>
      <c r="AH232" s="10">
        <v>0</v>
      </c>
      <c r="AI232" s="10">
        <v>2730</v>
      </c>
      <c r="AJ232" s="10">
        <v>0</v>
      </c>
      <c r="AK232" s="10">
        <v>945</v>
      </c>
      <c r="AL232" s="10">
        <v>0</v>
      </c>
      <c r="AM232" s="10">
        <v>2495</v>
      </c>
      <c r="AN232" s="10">
        <v>0</v>
      </c>
      <c r="AO232" s="26">
        <f t="shared" si="11"/>
        <v>11160</v>
      </c>
    </row>
    <row r="233" spans="1:41" ht="17.25" customHeight="1" x14ac:dyDescent="0.45">
      <c r="A233" s="2" t="s">
        <v>28</v>
      </c>
      <c r="B233" s="2" t="s">
        <v>14</v>
      </c>
      <c r="C233" s="23">
        <v>2</v>
      </c>
      <c r="D233" s="1">
        <v>1</v>
      </c>
      <c r="E233" s="1">
        <v>11</v>
      </c>
      <c r="F233" s="1">
        <v>0</v>
      </c>
      <c r="G233" s="1">
        <v>0</v>
      </c>
      <c r="H233" s="1">
        <v>8</v>
      </c>
      <c r="I233" s="1">
        <v>0</v>
      </c>
      <c r="J233" s="1">
        <v>7</v>
      </c>
      <c r="K233" s="1">
        <v>0</v>
      </c>
      <c r="L233" s="1">
        <v>0</v>
      </c>
      <c r="M233" s="1">
        <v>0</v>
      </c>
      <c r="N233" s="1">
        <v>0</v>
      </c>
      <c r="O233" s="24">
        <f t="shared" si="9"/>
        <v>29</v>
      </c>
      <c r="P233" s="23">
        <v>0</v>
      </c>
      <c r="Q233" s="1">
        <v>0</v>
      </c>
      <c r="R233" s="1">
        <v>4</v>
      </c>
      <c r="S233" s="1">
        <v>0</v>
      </c>
      <c r="T233" s="1">
        <v>0</v>
      </c>
      <c r="U233" s="1">
        <v>1</v>
      </c>
      <c r="V233" s="1">
        <v>0</v>
      </c>
      <c r="W233" s="1">
        <v>16</v>
      </c>
      <c r="X233" s="1">
        <v>0</v>
      </c>
      <c r="Y233" s="1">
        <v>0</v>
      </c>
      <c r="Z233" s="1">
        <v>0</v>
      </c>
      <c r="AA233" s="1">
        <v>0</v>
      </c>
      <c r="AB233" s="24">
        <f t="shared" si="10"/>
        <v>21</v>
      </c>
      <c r="AC233" s="23">
        <v>2980</v>
      </c>
      <c r="AD233" s="1">
        <v>330</v>
      </c>
      <c r="AE233" s="1">
        <v>1296</v>
      </c>
      <c r="AF233" s="1">
        <v>0</v>
      </c>
      <c r="AG233" s="1">
        <v>0</v>
      </c>
      <c r="AH233" s="1">
        <v>0</v>
      </c>
      <c r="AI233" s="1">
        <v>0</v>
      </c>
      <c r="AJ233" s="1">
        <v>0</v>
      </c>
      <c r="AK233" s="1">
        <v>0</v>
      </c>
      <c r="AL233" s="1">
        <v>0</v>
      </c>
      <c r="AM233" s="1">
        <v>0</v>
      </c>
      <c r="AN233" s="1">
        <v>0</v>
      </c>
      <c r="AO233" s="24">
        <f t="shared" si="11"/>
        <v>4606</v>
      </c>
    </row>
    <row r="234" spans="1:41" ht="17.25" customHeight="1" x14ac:dyDescent="0.45">
      <c r="A234" s="12" t="s">
        <v>28</v>
      </c>
      <c r="B234" s="12" t="s">
        <v>15</v>
      </c>
      <c r="C234" s="25">
        <v>2</v>
      </c>
      <c r="D234" s="10">
        <v>5</v>
      </c>
      <c r="E234" s="10">
        <v>8</v>
      </c>
      <c r="F234" s="10">
        <v>37</v>
      </c>
      <c r="G234" s="10">
        <v>8</v>
      </c>
      <c r="H234" s="10">
        <v>13</v>
      </c>
      <c r="I234" s="10">
        <v>0</v>
      </c>
      <c r="J234" s="10">
        <v>12</v>
      </c>
      <c r="K234" s="10">
        <v>6</v>
      </c>
      <c r="L234" s="10">
        <v>20</v>
      </c>
      <c r="M234" s="10">
        <v>3</v>
      </c>
      <c r="N234" s="10">
        <v>0</v>
      </c>
      <c r="O234" s="26">
        <f t="shared" si="9"/>
        <v>114</v>
      </c>
      <c r="P234" s="25">
        <v>0</v>
      </c>
      <c r="Q234" s="10">
        <v>0</v>
      </c>
      <c r="R234" s="10">
        <v>0</v>
      </c>
      <c r="S234" s="10">
        <v>0</v>
      </c>
      <c r="T234" s="10">
        <v>0</v>
      </c>
      <c r="U234" s="10">
        <v>0</v>
      </c>
      <c r="V234" s="10">
        <v>0</v>
      </c>
      <c r="W234" s="10">
        <v>0</v>
      </c>
      <c r="X234" s="10">
        <v>0</v>
      </c>
      <c r="Y234" s="10">
        <v>0</v>
      </c>
      <c r="Z234" s="10">
        <v>0</v>
      </c>
      <c r="AA234" s="10">
        <v>0</v>
      </c>
      <c r="AB234" s="26">
        <f t="shared" si="10"/>
        <v>0</v>
      </c>
      <c r="AC234" s="25">
        <v>390</v>
      </c>
      <c r="AD234" s="10">
        <v>4845</v>
      </c>
      <c r="AE234" s="10">
        <v>27125</v>
      </c>
      <c r="AF234" s="10">
        <v>270148</v>
      </c>
      <c r="AG234" s="10">
        <v>59744</v>
      </c>
      <c r="AH234" s="10">
        <v>93767</v>
      </c>
      <c r="AI234" s="10">
        <v>0</v>
      </c>
      <c r="AJ234" s="10">
        <v>115082</v>
      </c>
      <c r="AK234" s="10">
        <v>37430</v>
      </c>
      <c r="AL234" s="10">
        <v>74971</v>
      </c>
      <c r="AM234" s="10">
        <v>14989</v>
      </c>
      <c r="AN234" s="10">
        <v>0</v>
      </c>
      <c r="AO234" s="26">
        <f t="shared" si="11"/>
        <v>698491</v>
      </c>
    </row>
    <row r="235" spans="1:41" ht="17.25" customHeight="1" x14ac:dyDescent="0.45">
      <c r="A235" s="2" t="s">
        <v>28</v>
      </c>
      <c r="B235" s="2" t="s">
        <v>32</v>
      </c>
      <c r="C235" s="23">
        <v>1</v>
      </c>
      <c r="D235" s="1">
        <v>0</v>
      </c>
      <c r="E235" s="1">
        <v>1</v>
      </c>
      <c r="F235" s="1">
        <v>0</v>
      </c>
      <c r="G235" s="1">
        <v>4</v>
      </c>
      <c r="H235" s="1">
        <v>2</v>
      </c>
      <c r="I235" s="1">
        <v>5</v>
      </c>
      <c r="J235" s="1">
        <v>5</v>
      </c>
      <c r="K235" s="1">
        <v>5</v>
      </c>
      <c r="L235" s="1">
        <v>6</v>
      </c>
      <c r="M235" s="1">
        <v>6</v>
      </c>
      <c r="N235" s="1">
        <v>3</v>
      </c>
      <c r="O235" s="24">
        <f t="shared" si="9"/>
        <v>38</v>
      </c>
      <c r="P235" s="23">
        <v>0</v>
      </c>
      <c r="Q235" s="1">
        <v>0</v>
      </c>
      <c r="R235" s="1">
        <v>6</v>
      </c>
      <c r="S235" s="1">
        <v>0</v>
      </c>
      <c r="T235" s="1">
        <v>84</v>
      </c>
      <c r="U235" s="1">
        <v>16</v>
      </c>
      <c r="V235" s="1">
        <v>62</v>
      </c>
      <c r="W235" s="1">
        <v>79</v>
      </c>
      <c r="X235" s="1">
        <v>75</v>
      </c>
      <c r="Y235" s="1">
        <v>97</v>
      </c>
      <c r="Z235" s="1">
        <v>78</v>
      </c>
      <c r="AA235" s="1">
        <v>54</v>
      </c>
      <c r="AB235" s="24">
        <f t="shared" si="10"/>
        <v>551</v>
      </c>
      <c r="AC235" s="23">
        <v>1960</v>
      </c>
      <c r="AD235" s="1">
        <v>0</v>
      </c>
      <c r="AE235" s="1">
        <v>0</v>
      </c>
      <c r="AF235" s="1">
        <v>0</v>
      </c>
      <c r="AG235" s="1">
        <v>3478</v>
      </c>
      <c r="AH235" s="1">
        <v>2614</v>
      </c>
      <c r="AI235" s="1">
        <v>0</v>
      </c>
      <c r="AJ235" s="1">
        <v>0</v>
      </c>
      <c r="AK235" s="1">
        <v>0</v>
      </c>
      <c r="AL235" s="1">
        <v>0</v>
      </c>
      <c r="AM235" s="1">
        <v>8053</v>
      </c>
      <c r="AN235" s="1">
        <v>0</v>
      </c>
      <c r="AO235" s="24">
        <f t="shared" si="11"/>
        <v>16105</v>
      </c>
    </row>
    <row r="236" spans="1:41" ht="17.25" customHeight="1" x14ac:dyDescent="0.45">
      <c r="A236" s="12" t="s">
        <v>28</v>
      </c>
      <c r="B236" s="12" t="s">
        <v>33</v>
      </c>
      <c r="C236" s="25">
        <v>18</v>
      </c>
      <c r="D236" s="10">
        <v>16</v>
      </c>
      <c r="E236" s="10">
        <v>13</v>
      </c>
      <c r="F236" s="10">
        <v>17</v>
      </c>
      <c r="G236" s="10">
        <v>19</v>
      </c>
      <c r="H236" s="10">
        <v>16</v>
      </c>
      <c r="I236" s="10">
        <v>20</v>
      </c>
      <c r="J236" s="10">
        <v>16</v>
      </c>
      <c r="K236" s="10">
        <v>15</v>
      </c>
      <c r="L236" s="10">
        <v>18</v>
      </c>
      <c r="M236" s="10">
        <v>16</v>
      </c>
      <c r="N236" s="10">
        <v>13</v>
      </c>
      <c r="O236" s="26">
        <f t="shared" si="9"/>
        <v>197</v>
      </c>
      <c r="P236" s="25">
        <v>0</v>
      </c>
      <c r="Q236" s="10">
        <v>0</v>
      </c>
      <c r="R236" s="10">
        <v>0</v>
      </c>
      <c r="S236" s="10">
        <v>0</v>
      </c>
      <c r="T236" s="10">
        <v>0</v>
      </c>
      <c r="U236" s="10">
        <v>0</v>
      </c>
      <c r="V236" s="10">
        <v>0</v>
      </c>
      <c r="W236" s="10">
        <v>0</v>
      </c>
      <c r="X236" s="10">
        <v>0</v>
      </c>
      <c r="Y236" s="10">
        <v>0</v>
      </c>
      <c r="Z236" s="10">
        <v>0</v>
      </c>
      <c r="AA236" s="10">
        <v>0</v>
      </c>
      <c r="AB236" s="26">
        <f t="shared" si="10"/>
        <v>0</v>
      </c>
      <c r="AC236" s="25">
        <v>234924</v>
      </c>
      <c r="AD236" s="10">
        <v>215182</v>
      </c>
      <c r="AE236" s="10">
        <v>310436</v>
      </c>
      <c r="AF236" s="10">
        <v>223273</v>
      </c>
      <c r="AG236" s="10">
        <v>259813</v>
      </c>
      <c r="AH236" s="10">
        <v>202422</v>
      </c>
      <c r="AI236" s="10">
        <v>245073</v>
      </c>
      <c r="AJ236" s="10">
        <v>204896</v>
      </c>
      <c r="AK236" s="10">
        <v>203276</v>
      </c>
      <c r="AL236" s="10">
        <v>256992</v>
      </c>
      <c r="AM236" s="10">
        <v>187485</v>
      </c>
      <c r="AN236" s="10">
        <v>181191</v>
      </c>
      <c r="AO236" s="26">
        <f t="shared" si="11"/>
        <v>2724963</v>
      </c>
    </row>
    <row r="237" spans="1:41" ht="17.25" customHeight="1" x14ac:dyDescent="0.45">
      <c r="A237" s="2" t="s">
        <v>28</v>
      </c>
      <c r="B237" s="2" t="s">
        <v>36</v>
      </c>
      <c r="C237" s="23">
        <v>16</v>
      </c>
      <c r="D237" s="1">
        <v>14</v>
      </c>
      <c r="E237" s="1">
        <v>14</v>
      </c>
      <c r="F237" s="1">
        <v>17</v>
      </c>
      <c r="G237" s="1">
        <v>17</v>
      </c>
      <c r="H237" s="1">
        <v>16</v>
      </c>
      <c r="I237" s="1">
        <v>19</v>
      </c>
      <c r="J237" s="1">
        <v>17</v>
      </c>
      <c r="K237" s="1">
        <v>15</v>
      </c>
      <c r="L237" s="1">
        <v>18</v>
      </c>
      <c r="M237" s="1">
        <v>13</v>
      </c>
      <c r="N237" s="1">
        <v>13</v>
      </c>
      <c r="O237" s="24">
        <f t="shared" si="9"/>
        <v>189</v>
      </c>
      <c r="P237" s="23">
        <v>0</v>
      </c>
      <c r="Q237" s="1">
        <v>0</v>
      </c>
      <c r="R237" s="1">
        <v>0</v>
      </c>
      <c r="S237" s="1">
        <v>0</v>
      </c>
      <c r="T237" s="1">
        <v>0</v>
      </c>
      <c r="U237" s="1">
        <v>0</v>
      </c>
      <c r="V237" s="1">
        <v>0</v>
      </c>
      <c r="W237" s="1">
        <v>0</v>
      </c>
      <c r="X237" s="1">
        <v>0</v>
      </c>
      <c r="Y237" s="1">
        <v>0</v>
      </c>
      <c r="Z237" s="1">
        <v>0</v>
      </c>
      <c r="AA237" s="1">
        <v>0</v>
      </c>
      <c r="AB237" s="24">
        <f t="shared" si="10"/>
        <v>0</v>
      </c>
      <c r="AC237" s="23">
        <v>237045</v>
      </c>
      <c r="AD237" s="1">
        <v>125565</v>
      </c>
      <c r="AE237" s="1">
        <v>90571</v>
      </c>
      <c r="AF237" s="1">
        <v>119862</v>
      </c>
      <c r="AG237" s="1">
        <v>172777</v>
      </c>
      <c r="AH237" s="1">
        <v>100926</v>
      </c>
      <c r="AI237" s="1">
        <v>119785</v>
      </c>
      <c r="AJ237" s="1">
        <v>101020</v>
      </c>
      <c r="AK237" s="1">
        <v>93353</v>
      </c>
      <c r="AL237" s="1">
        <v>208528</v>
      </c>
      <c r="AM237" s="1">
        <v>188524</v>
      </c>
      <c r="AN237" s="1">
        <v>119176</v>
      </c>
      <c r="AO237" s="24">
        <f t="shared" si="11"/>
        <v>1677132</v>
      </c>
    </row>
    <row r="238" spans="1:41" ht="17.25" customHeight="1" x14ac:dyDescent="0.45">
      <c r="A238" s="12" t="s">
        <v>28</v>
      </c>
      <c r="B238" s="12" t="s">
        <v>62</v>
      </c>
      <c r="C238" s="25">
        <v>0</v>
      </c>
      <c r="D238" s="10">
        <v>0</v>
      </c>
      <c r="E238" s="10">
        <v>0</v>
      </c>
      <c r="F238" s="10">
        <v>0</v>
      </c>
      <c r="G238" s="10">
        <v>0</v>
      </c>
      <c r="H238" s="10">
        <v>0</v>
      </c>
      <c r="I238" s="10">
        <v>0</v>
      </c>
      <c r="J238" s="10">
        <v>1</v>
      </c>
      <c r="K238" s="10">
        <v>0</v>
      </c>
      <c r="L238" s="10">
        <v>0</v>
      </c>
      <c r="M238" s="10">
        <v>0</v>
      </c>
      <c r="N238" s="10">
        <v>0</v>
      </c>
      <c r="O238" s="26">
        <f t="shared" si="9"/>
        <v>1</v>
      </c>
      <c r="P238" s="25">
        <v>0</v>
      </c>
      <c r="Q238" s="10">
        <v>0</v>
      </c>
      <c r="R238" s="10">
        <v>0</v>
      </c>
      <c r="S238" s="10">
        <v>0</v>
      </c>
      <c r="T238" s="10">
        <v>0</v>
      </c>
      <c r="U238" s="10">
        <v>0</v>
      </c>
      <c r="V238" s="10">
        <v>0</v>
      </c>
      <c r="W238" s="10">
        <v>0</v>
      </c>
      <c r="X238" s="10">
        <v>0</v>
      </c>
      <c r="Y238" s="10">
        <v>0</v>
      </c>
      <c r="Z238" s="10">
        <v>0</v>
      </c>
      <c r="AA238" s="10">
        <v>0</v>
      </c>
      <c r="AB238" s="26">
        <f t="shared" si="10"/>
        <v>0</v>
      </c>
      <c r="AC238" s="25">
        <v>0</v>
      </c>
      <c r="AD238" s="10">
        <v>0</v>
      </c>
      <c r="AE238" s="10">
        <v>0</v>
      </c>
      <c r="AF238" s="10">
        <v>0</v>
      </c>
      <c r="AG238" s="10">
        <v>0</v>
      </c>
      <c r="AH238" s="10">
        <v>0</v>
      </c>
      <c r="AI238" s="10">
        <v>0</v>
      </c>
      <c r="AJ238" s="10">
        <v>8500</v>
      </c>
      <c r="AK238" s="10">
        <v>0</v>
      </c>
      <c r="AL238" s="10">
        <v>0</v>
      </c>
      <c r="AM238" s="10">
        <v>0</v>
      </c>
      <c r="AN238" s="10">
        <v>0</v>
      </c>
      <c r="AO238" s="26">
        <f t="shared" si="11"/>
        <v>8500</v>
      </c>
    </row>
    <row r="239" spans="1:41" ht="17.25" customHeight="1" x14ac:dyDescent="0.45">
      <c r="A239" s="2" t="s">
        <v>29</v>
      </c>
      <c r="B239" s="2" t="s">
        <v>206</v>
      </c>
      <c r="C239" s="23">
        <v>0</v>
      </c>
      <c r="D239" s="1">
        <v>0</v>
      </c>
      <c r="E239" s="1">
        <v>0</v>
      </c>
      <c r="F239" s="1">
        <v>0</v>
      </c>
      <c r="G239" s="1">
        <v>0</v>
      </c>
      <c r="H239" s="1">
        <v>0</v>
      </c>
      <c r="I239" s="1">
        <v>0</v>
      </c>
      <c r="J239" s="1">
        <v>0</v>
      </c>
      <c r="K239" s="1">
        <v>1</v>
      </c>
      <c r="L239" s="1">
        <v>0</v>
      </c>
      <c r="M239" s="1">
        <v>0</v>
      </c>
      <c r="N239" s="1">
        <v>0</v>
      </c>
      <c r="O239" s="24">
        <f t="shared" si="9"/>
        <v>1</v>
      </c>
      <c r="P239" s="23">
        <v>0</v>
      </c>
      <c r="Q239" s="1">
        <v>0</v>
      </c>
      <c r="R239" s="1">
        <v>0</v>
      </c>
      <c r="S239" s="1">
        <v>0</v>
      </c>
      <c r="T239" s="1">
        <v>0</v>
      </c>
      <c r="U239" s="1">
        <v>0</v>
      </c>
      <c r="V239" s="1">
        <v>0</v>
      </c>
      <c r="W239" s="1">
        <v>0</v>
      </c>
      <c r="X239" s="1">
        <v>0</v>
      </c>
      <c r="Y239" s="1">
        <v>0</v>
      </c>
      <c r="Z239" s="1">
        <v>0</v>
      </c>
      <c r="AA239" s="1">
        <v>0</v>
      </c>
      <c r="AB239" s="24">
        <f t="shared" si="10"/>
        <v>0</v>
      </c>
      <c r="AC239" s="23">
        <v>0</v>
      </c>
      <c r="AD239" s="1">
        <v>0</v>
      </c>
      <c r="AE239" s="1">
        <v>0</v>
      </c>
      <c r="AF239" s="1">
        <v>0</v>
      </c>
      <c r="AG239" s="1">
        <v>0</v>
      </c>
      <c r="AH239" s="1">
        <v>0</v>
      </c>
      <c r="AI239" s="1">
        <v>0</v>
      </c>
      <c r="AJ239" s="1">
        <v>0</v>
      </c>
      <c r="AK239" s="1">
        <v>300</v>
      </c>
      <c r="AL239" s="1">
        <v>0</v>
      </c>
      <c r="AM239" s="1">
        <v>0</v>
      </c>
      <c r="AN239" s="1">
        <v>0</v>
      </c>
      <c r="AO239" s="24">
        <f t="shared" si="11"/>
        <v>300</v>
      </c>
    </row>
    <row r="240" spans="1:41" ht="17.25" customHeight="1" x14ac:dyDescent="0.45">
      <c r="A240" s="12" t="s">
        <v>29</v>
      </c>
      <c r="B240" s="12" t="s">
        <v>30</v>
      </c>
      <c r="C240" s="25">
        <v>0</v>
      </c>
      <c r="D240" s="10">
        <v>0</v>
      </c>
      <c r="E240" s="10">
        <v>0</v>
      </c>
      <c r="F240" s="10">
        <v>0</v>
      </c>
      <c r="G240" s="10">
        <v>0</v>
      </c>
      <c r="H240" s="10">
        <v>0</v>
      </c>
      <c r="I240" s="10">
        <v>0</v>
      </c>
      <c r="J240" s="10">
        <v>0</v>
      </c>
      <c r="K240" s="10">
        <v>0</v>
      </c>
      <c r="L240" s="10">
        <v>0</v>
      </c>
      <c r="M240" s="10">
        <v>1</v>
      </c>
      <c r="N240" s="10">
        <v>0</v>
      </c>
      <c r="O240" s="26">
        <f t="shared" si="9"/>
        <v>1</v>
      </c>
      <c r="P240" s="25">
        <v>0</v>
      </c>
      <c r="Q240" s="10">
        <v>0</v>
      </c>
      <c r="R240" s="10">
        <v>0</v>
      </c>
      <c r="S240" s="10">
        <v>0</v>
      </c>
      <c r="T240" s="10">
        <v>0</v>
      </c>
      <c r="U240" s="10">
        <v>0</v>
      </c>
      <c r="V240" s="10">
        <v>0</v>
      </c>
      <c r="W240" s="10">
        <v>0</v>
      </c>
      <c r="X240" s="10">
        <v>0</v>
      </c>
      <c r="Y240" s="10">
        <v>0</v>
      </c>
      <c r="Z240" s="10">
        <v>0</v>
      </c>
      <c r="AA240" s="10">
        <v>0</v>
      </c>
      <c r="AB240" s="26">
        <f t="shared" si="10"/>
        <v>0</v>
      </c>
      <c r="AC240" s="25">
        <v>0</v>
      </c>
      <c r="AD240" s="10">
        <v>0</v>
      </c>
      <c r="AE240" s="10">
        <v>0</v>
      </c>
      <c r="AF240" s="10">
        <v>0</v>
      </c>
      <c r="AG240" s="10">
        <v>0</v>
      </c>
      <c r="AH240" s="10">
        <v>0</v>
      </c>
      <c r="AI240" s="10">
        <v>0</v>
      </c>
      <c r="AJ240" s="10">
        <v>0</v>
      </c>
      <c r="AK240" s="10">
        <v>0</v>
      </c>
      <c r="AL240" s="10">
        <v>0</v>
      </c>
      <c r="AM240" s="10">
        <v>1908</v>
      </c>
      <c r="AN240" s="10">
        <v>0</v>
      </c>
      <c r="AO240" s="26">
        <f t="shared" si="11"/>
        <v>1908</v>
      </c>
    </row>
    <row r="241" spans="1:41" ht="17.25" customHeight="1" x14ac:dyDescent="0.45">
      <c r="A241" s="2" t="s">
        <v>29</v>
      </c>
      <c r="B241" s="2" t="s">
        <v>50</v>
      </c>
      <c r="C241" s="23">
        <v>8</v>
      </c>
      <c r="D241" s="1">
        <v>3</v>
      </c>
      <c r="E241" s="1">
        <v>0</v>
      </c>
      <c r="F241" s="1">
        <v>0</v>
      </c>
      <c r="G241" s="1">
        <v>0</v>
      </c>
      <c r="H241" s="1">
        <v>0</v>
      </c>
      <c r="I241" s="1">
        <v>0</v>
      </c>
      <c r="J241" s="1">
        <v>0</v>
      </c>
      <c r="K241" s="1">
        <v>0</v>
      </c>
      <c r="L241" s="1">
        <v>0</v>
      </c>
      <c r="M241" s="1">
        <v>0</v>
      </c>
      <c r="N241" s="1">
        <v>0</v>
      </c>
      <c r="O241" s="24">
        <f t="shared" si="9"/>
        <v>11</v>
      </c>
      <c r="P241" s="23">
        <v>1093</v>
      </c>
      <c r="Q241" s="1">
        <v>410</v>
      </c>
      <c r="R241" s="1">
        <v>0</v>
      </c>
      <c r="S241" s="1">
        <v>0</v>
      </c>
      <c r="T241" s="1">
        <v>0</v>
      </c>
      <c r="U241" s="1">
        <v>0</v>
      </c>
      <c r="V241" s="1">
        <v>0</v>
      </c>
      <c r="W241" s="1">
        <v>0</v>
      </c>
      <c r="X241" s="1">
        <v>0</v>
      </c>
      <c r="Y241" s="1">
        <v>0</v>
      </c>
      <c r="Z241" s="1">
        <v>0</v>
      </c>
      <c r="AA241" s="1">
        <v>0</v>
      </c>
      <c r="AB241" s="24">
        <f t="shared" si="10"/>
        <v>1503</v>
      </c>
      <c r="AC241" s="23">
        <v>0</v>
      </c>
      <c r="AD241" s="1">
        <v>0</v>
      </c>
      <c r="AE241" s="1">
        <v>0</v>
      </c>
      <c r="AF241" s="1">
        <v>0</v>
      </c>
      <c r="AG241" s="1">
        <v>0</v>
      </c>
      <c r="AH241" s="1">
        <v>0</v>
      </c>
      <c r="AI241" s="1">
        <v>0</v>
      </c>
      <c r="AJ241" s="1">
        <v>0</v>
      </c>
      <c r="AK241" s="1">
        <v>0</v>
      </c>
      <c r="AL241" s="1">
        <v>0</v>
      </c>
      <c r="AM241" s="1">
        <v>0</v>
      </c>
      <c r="AN241" s="1">
        <v>0</v>
      </c>
      <c r="AO241" s="24">
        <f t="shared" si="11"/>
        <v>0</v>
      </c>
    </row>
    <row r="242" spans="1:41" ht="17.25" customHeight="1" x14ac:dyDescent="0.45">
      <c r="A242" s="12" t="s">
        <v>29</v>
      </c>
      <c r="B242" s="12" t="s">
        <v>36</v>
      </c>
      <c r="C242" s="25">
        <v>2</v>
      </c>
      <c r="D242" s="10">
        <v>2</v>
      </c>
      <c r="E242" s="10">
        <v>0</v>
      </c>
      <c r="F242" s="10">
        <v>1</v>
      </c>
      <c r="G242" s="10">
        <v>0</v>
      </c>
      <c r="H242" s="10">
        <v>0</v>
      </c>
      <c r="I242" s="10">
        <v>0</v>
      </c>
      <c r="J242" s="10">
        <v>0</v>
      </c>
      <c r="K242" s="10">
        <v>0</v>
      </c>
      <c r="L242" s="10">
        <v>0</v>
      </c>
      <c r="M242" s="10">
        <v>0</v>
      </c>
      <c r="N242" s="10">
        <v>0</v>
      </c>
      <c r="O242" s="26">
        <f t="shared" si="9"/>
        <v>5</v>
      </c>
      <c r="P242" s="25">
        <v>232</v>
      </c>
      <c r="Q242" s="10">
        <v>269</v>
      </c>
      <c r="R242" s="10">
        <v>0</v>
      </c>
      <c r="S242" s="10">
        <v>122</v>
      </c>
      <c r="T242" s="10">
        <v>0</v>
      </c>
      <c r="U242" s="10">
        <v>0</v>
      </c>
      <c r="V242" s="10">
        <v>0</v>
      </c>
      <c r="W242" s="10">
        <v>0</v>
      </c>
      <c r="X242" s="10">
        <v>0</v>
      </c>
      <c r="Y242" s="10">
        <v>0</v>
      </c>
      <c r="Z242" s="10">
        <v>0</v>
      </c>
      <c r="AA242" s="10">
        <v>0</v>
      </c>
      <c r="AB242" s="26">
        <f t="shared" si="10"/>
        <v>623</v>
      </c>
      <c r="AC242" s="25">
        <v>0</v>
      </c>
      <c r="AD242" s="10">
        <v>0</v>
      </c>
      <c r="AE242" s="10">
        <v>0</v>
      </c>
      <c r="AF242" s="10">
        <v>0</v>
      </c>
      <c r="AG242" s="10">
        <v>0</v>
      </c>
      <c r="AH242" s="10">
        <v>0</v>
      </c>
      <c r="AI242" s="10">
        <v>0</v>
      </c>
      <c r="AJ242" s="10">
        <v>0</v>
      </c>
      <c r="AK242" s="10">
        <v>0</v>
      </c>
      <c r="AL242" s="10">
        <v>0</v>
      </c>
      <c r="AM242" s="10">
        <v>0</v>
      </c>
      <c r="AN242" s="10">
        <v>0</v>
      </c>
      <c r="AO242" s="26">
        <f t="shared" si="11"/>
        <v>0</v>
      </c>
    </row>
    <row r="243" spans="1:41" ht="17.25" customHeight="1" x14ac:dyDescent="0.45">
      <c r="A243" s="2" t="s">
        <v>206</v>
      </c>
      <c r="B243" s="2" t="s">
        <v>16</v>
      </c>
      <c r="C243" s="23">
        <v>1</v>
      </c>
      <c r="D243" s="1">
        <v>0</v>
      </c>
      <c r="E243" s="1">
        <v>0</v>
      </c>
      <c r="F243" s="1">
        <v>1</v>
      </c>
      <c r="G243" s="1">
        <v>0</v>
      </c>
      <c r="H243" s="1">
        <v>0</v>
      </c>
      <c r="I243" s="1">
        <v>1</v>
      </c>
      <c r="J243" s="1">
        <v>0</v>
      </c>
      <c r="K243" s="1">
        <v>0</v>
      </c>
      <c r="L243" s="1">
        <v>0</v>
      </c>
      <c r="M243" s="1">
        <v>0</v>
      </c>
      <c r="N243" s="1">
        <v>0</v>
      </c>
      <c r="O243" s="24">
        <f t="shared" si="9"/>
        <v>3</v>
      </c>
      <c r="P243" s="23">
        <v>0</v>
      </c>
      <c r="Q243" s="1">
        <v>0</v>
      </c>
      <c r="R243" s="1">
        <v>0</v>
      </c>
      <c r="S243" s="1">
        <v>0</v>
      </c>
      <c r="T243" s="1">
        <v>0</v>
      </c>
      <c r="U243" s="1">
        <v>0</v>
      </c>
      <c r="V243" s="1">
        <v>0</v>
      </c>
      <c r="W243" s="1">
        <v>0</v>
      </c>
      <c r="X243" s="1">
        <v>0</v>
      </c>
      <c r="Y243" s="1">
        <v>0</v>
      </c>
      <c r="Z243" s="1">
        <v>0</v>
      </c>
      <c r="AA243" s="1">
        <v>0</v>
      </c>
      <c r="AB243" s="24">
        <f t="shared" si="10"/>
        <v>0</v>
      </c>
      <c r="AC243" s="23">
        <v>600</v>
      </c>
      <c r="AD243" s="1">
        <v>0</v>
      </c>
      <c r="AE243" s="1">
        <v>0</v>
      </c>
      <c r="AF243" s="1">
        <v>1150</v>
      </c>
      <c r="AG243" s="1">
        <v>0</v>
      </c>
      <c r="AH243" s="1">
        <v>0</v>
      </c>
      <c r="AI243" s="1">
        <v>3437</v>
      </c>
      <c r="AJ243" s="1">
        <v>0</v>
      </c>
      <c r="AK243" s="1">
        <v>0</v>
      </c>
      <c r="AL243" s="1">
        <v>0</v>
      </c>
      <c r="AM243" s="1">
        <v>0</v>
      </c>
      <c r="AN243" s="1">
        <v>0</v>
      </c>
      <c r="AO243" s="24">
        <f t="shared" si="11"/>
        <v>5187</v>
      </c>
    </row>
    <row r="244" spans="1:41" ht="17.25" customHeight="1" x14ac:dyDescent="0.45">
      <c r="A244" s="12" t="s">
        <v>206</v>
      </c>
      <c r="B244" s="12" t="s">
        <v>19</v>
      </c>
      <c r="C244" s="25">
        <v>0</v>
      </c>
      <c r="D244" s="10">
        <v>2</v>
      </c>
      <c r="E244" s="10">
        <v>0</v>
      </c>
      <c r="F244" s="10">
        <v>0</v>
      </c>
      <c r="G244" s="10">
        <v>2</v>
      </c>
      <c r="H244" s="10">
        <v>6</v>
      </c>
      <c r="I244" s="10">
        <v>0</v>
      </c>
      <c r="J244" s="10">
        <v>2</v>
      </c>
      <c r="K244" s="10">
        <v>1</v>
      </c>
      <c r="L244" s="10">
        <v>0</v>
      </c>
      <c r="M244" s="10">
        <v>0</v>
      </c>
      <c r="N244" s="10">
        <v>0</v>
      </c>
      <c r="O244" s="26">
        <f t="shared" si="9"/>
        <v>13</v>
      </c>
      <c r="P244" s="25">
        <v>0</v>
      </c>
      <c r="Q244" s="10">
        <v>0</v>
      </c>
      <c r="R244" s="10">
        <v>0</v>
      </c>
      <c r="S244" s="10">
        <v>0</v>
      </c>
      <c r="T244" s="10">
        <v>0</v>
      </c>
      <c r="U244" s="10">
        <v>0</v>
      </c>
      <c r="V244" s="10">
        <v>0</v>
      </c>
      <c r="W244" s="10">
        <v>0</v>
      </c>
      <c r="X244" s="10">
        <v>0</v>
      </c>
      <c r="Y244" s="10">
        <v>0</v>
      </c>
      <c r="Z244" s="10">
        <v>0</v>
      </c>
      <c r="AA244" s="10">
        <v>0</v>
      </c>
      <c r="AB244" s="26">
        <f t="shared" si="10"/>
        <v>0</v>
      </c>
      <c r="AC244" s="25">
        <v>0</v>
      </c>
      <c r="AD244" s="10">
        <v>4943</v>
      </c>
      <c r="AE244" s="10">
        <v>0</v>
      </c>
      <c r="AF244" s="10">
        <v>0</v>
      </c>
      <c r="AG244" s="10">
        <v>9358</v>
      </c>
      <c r="AH244" s="10">
        <v>27012</v>
      </c>
      <c r="AI244" s="10">
        <v>0</v>
      </c>
      <c r="AJ244" s="10">
        <v>8428</v>
      </c>
      <c r="AK244" s="10">
        <v>2904</v>
      </c>
      <c r="AL244" s="10">
        <v>0</v>
      </c>
      <c r="AM244" s="10">
        <v>0</v>
      </c>
      <c r="AN244" s="10">
        <v>0</v>
      </c>
      <c r="AO244" s="26">
        <f t="shared" si="11"/>
        <v>52645</v>
      </c>
    </row>
    <row r="245" spans="1:41" ht="17.25" customHeight="1" x14ac:dyDescent="0.45">
      <c r="A245" s="2" t="s">
        <v>206</v>
      </c>
      <c r="B245" s="2" t="s">
        <v>20</v>
      </c>
      <c r="C245" s="23">
        <v>0</v>
      </c>
      <c r="D245" s="1">
        <v>0</v>
      </c>
      <c r="E245" s="1">
        <v>0</v>
      </c>
      <c r="F245" s="1">
        <v>0</v>
      </c>
      <c r="G245" s="1">
        <v>0</v>
      </c>
      <c r="H245" s="1">
        <v>0</v>
      </c>
      <c r="I245" s="1">
        <v>0</v>
      </c>
      <c r="J245" s="1">
        <v>0</v>
      </c>
      <c r="K245" s="1">
        <v>0</v>
      </c>
      <c r="L245" s="1">
        <v>0</v>
      </c>
      <c r="M245" s="1">
        <v>1</v>
      </c>
      <c r="N245" s="1">
        <v>0</v>
      </c>
      <c r="O245" s="24">
        <f t="shared" si="9"/>
        <v>1</v>
      </c>
      <c r="P245" s="23">
        <v>0</v>
      </c>
      <c r="Q245" s="1">
        <v>0</v>
      </c>
      <c r="R245" s="1">
        <v>0</v>
      </c>
      <c r="S245" s="1">
        <v>0</v>
      </c>
      <c r="T245" s="1">
        <v>0</v>
      </c>
      <c r="U245" s="1">
        <v>0</v>
      </c>
      <c r="V245" s="1">
        <v>0</v>
      </c>
      <c r="W245" s="1">
        <v>0</v>
      </c>
      <c r="X245" s="1">
        <v>0</v>
      </c>
      <c r="Y245" s="1">
        <v>0</v>
      </c>
      <c r="Z245" s="1">
        <v>0</v>
      </c>
      <c r="AA245" s="1">
        <v>0</v>
      </c>
      <c r="AB245" s="24">
        <f t="shared" si="10"/>
        <v>0</v>
      </c>
      <c r="AC245" s="23">
        <v>0</v>
      </c>
      <c r="AD245" s="1">
        <v>0</v>
      </c>
      <c r="AE245" s="1">
        <v>0</v>
      </c>
      <c r="AF245" s="1">
        <v>0</v>
      </c>
      <c r="AG245" s="1">
        <v>0</v>
      </c>
      <c r="AH245" s="1">
        <v>0</v>
      </c>
      <c r="AI245" s="1">
        <v>0</v>
      </c>
      <c r="AJ245" s="1">
        <v>0</v>
      </c>
      <c r="AK245" s="1">
        <v>0</v>
      </c>
      <c r="AL245" s="1">
        <v>0</v>
      </c>
      <c r="AM245" s="1">
        <v>430</v>
      </c>
      <c r="AN245" s="1">
        <v>0</v>
      </c>
      <c r="AO245" s="24">
        <f t="shared" si="11"/>
        <v>430</v>
      </c>
    </row>
    <row r="246" spans="1:41" ht="17.25" customHeight="1" x14ac:dyDescent="0.45">
      <c r="A246" s="12" t="s">
        <v>206</v>
      </c>
      <c r="B246" s="12" t="s">
        <v>22</v>
      </c>
      <c r="C246" s="25">
        <v>0</v>
      </c>
      <c r="D246" s="10">
        <v>0</v>
      </c>
      <c r="E246" s="10">
        <v>1</v>
      </c>
      <c r="F246" s="10">
        <v>1</v>
      </c>
      <c r="G246" s="10">
        <v>1</v>
      </c>
      <c r="H246" s="10">
        <v>3</v>
      </c>
      <c r="I246" s="10">
        <v>1</v>
      </c>
      <c r="J246" s="10">
        <v>1</v>
      </c>
      <c r="K246" s="10">
        <v>1</v>
      </c>
      <c r="L246" s="10">
        <v>0</v>
      </c>
      <c r="M246" s="10">
        <v>0</v>
      </c>
      <c r="N246" s="10">
        <v>0</v>
      </c>
      <c r="O246" s="26">
        <f t="shared" si="9"/>
        <v>9</v>
      </c>
      <c r="P246" s="25">
        <v>0</v>
      </c>
      <c r="Q246" s="10">
        <v>0</v>
      </c>
      <c r="R246" s="10">
        <v>0</v>
      </c>
      <c r="S246" s="10">
        <v>0</v>
      </c>
      <c r="T246" s="10">
        <v>0</v>
      </c>
      <c r="U246" s="10">
        <v>0</v>
      </c>
      <c r="V246" s="10">
        <v>0</v>
      </c>
      <c r="W246" s="10">
        <v>0</v>
      </c>
      <c r="X246" s="10">
        <v>0</v>
      </c>
      <c r="Y246" s="10">
        <v>0</v>
      </c>
      <c r="Z246" s="10">
        <v>0</v>
      </c>
      <c r="AA246" s="10">
        <v>0</v>
      </c>
      <c r="AB246" s="26">
        <f t="shared" si="10"/>
        <v>0</v>
      </c>
      <c r="AC246" s="25">
        <v>0</v>
      </c>
      <c r="AD246" s="10">
        <v>0</v>
      </c>
      <c r="AE246" s="10">
        <v>7000</v>
      </c>
      <c r="AF246" s="10">
        <v>3186</v>
      </c>
      <c r="AG246" s="10">
        <v>460</v>
      </c>
      <c r="AH246" s="10">
        <v>12394</v>
      </c>
      <c r="AI246" s="10">
        <v>2500</v>
      </c>
      <c r="AJ246" s="10">
        <v>2665</v>
      </c>
      <c r="AK246" s="10">
        <v>1880</v>
      </c>
      <c r="AL246" s="10">
        <v>0</v>
      </c>
      <c r="AM246" s="10">
        <v>0</v>
      </c>
      <c r="AN246" s="10">
        <v>0</v>
      </c>
      <c r="AO246" s="26">
        <f t="shared" si="11"/>
        <v>30085</v>
      </c>
    </row>
    <row r="247" spans="1:41" ht="17.25" customHeight="1" x14ac:dyDescent="0.45">
      <c r="A247" s="2" t="s">
        <v>206</v>
      </c>
      <c r="B247" s="2" t="s">
        <v>11</v>
      </c>
      <c r="C247" s="23">
        <v>0</v>
      </c>
      <c r="D247" s="1">
        <v>0</v>
      </c>
      <c r="E247" s="1">
        <v>1</v>
      </c>
      <c r="F247" s="1">
        <v>0</v>
      </c>
      <c r="G247" s="1">
        <v>0</v>
      </c>
      <c r="H247" s="1">
        <v>0</v>
      </c>
      <c r="I247" s="1">
        <v>0</v>
      </c>
      <c r="J247" s="1">
        <v>0</v>
      </c>
      <c r="K247" s="1">
        <v>0</v>
      </c>
      <c r="L247" s="1">
        <v>0</v>
      </c>
      <c r="M247" s="1">
        <v>0</v>
      </c>
      <c r="N247" s="1">
        <v>0</v>
      </c>
      <c r="O247" s="24">
        <f t="shared" si="9"/>
        <v>1</v>
      </c>
      <c r="P247" s="23">
        <v>0</v>
      </c>
      <c r="Q247" s="1">
        <v>0</v>
      </c>
      <c r="R247" s="1">
        <v>0</v>
      </c>
      <c r="S247" s="1">
        <v>0</v>
      </c>
      <c r="T247" s="1">
        <v>0</v>
      </c>
      <c r="U247" s="1">
        <v>0</v>
      </c>
      <c r="V247" s="1">
        <v>0</v>
      </c>
      <c r="W247" s="1">
        <v>0</v>
      </c>
      <c r="X247" s="1">
        <v>0</v>
      </c>
      <c r="Y247" s="1">
        <v>0</v>
      </c>
      <c r="Z247" s="1">
        <v>0</v>
      </c>
      <c r="AA247" s="1">
        <v>0</v>
      </c>
      <c r="AB247" s="24">
        <f t="shared" si="10"/>
        <v>0</v>
      </c>
      <c r="AC247" s="23">
        <v>0</v>
      </c>
      <c r="AD247" s="1">
        <v>0</v>
      </c>
      <c r="AE247" s="1">
        <v>5412</v>
      </c>
      <c r="AF247" s="1">
        <v>0</v>
      </c>
      <c r="AG247" s="1">
        <v>0</v>
      </c>
      <c r="AH247" s="1">
        <v>0</v>
      </c>
      <c r="AI247" s="1">
        <v>0</v>
      </c>
      <c r="AJ247" s="1">
        <v>0</v>
      </c>
      <c r="AK247" s="1">
        <v>0</v>
      </c>
      <c r="AL247" s="1">
        <v>0</v>
      </c>
      <c r="AM247" s="1">
        <v>0</v>
      </c>
      <c r="AN247" s="1">
        <v>0</v>
      </c>
      <c r="AO247" s="24">
        <f t="shared" si="11"/>
        <v>5412</v>
      </c>
    </row>
    <row r="248" spans="1:41" ht="17.25" customHeight="1" x14ac:dyDescent="0.45">
      <c r="A248" s="12" t="s">
        <v>206</v>
      </c>
      <c r="B248" s="12" t="s">
        <v>38</v>
      </c>
      <c r="C248" s="25">
        <v>9</v>
      </c>
      <c r="D248" s="10">
        <v>0</v>
      </c>
      <c r="E248" s="10">
        <v>0</v>
      </c>
      <c r="F248" s="10">
        <v>0</v>
      </c>
      <c r="G248" s="10">
        <v>8</v>
      </c>
      <c r="H248" s="10">
        <v>26</v>
      </c>
      <c r="I248" s="10">
        <v>7</v>
      </c>
      <c r="J248" s="10">
        <v>7</v>
      </c>
      <c r="K248" s="10">
        <v>2</v>
      </c>
      <c r="L248" s="10">
        <v>0</v>
      </c>
      <c r="M248" s="10">
        <v>1</v>
      </c>
      <c r="N248" s="10">
        <v>1</v>
      </c>
      <c r="O248" s="26">
        <f t="shared" si="9"/>
        <v>61</v>
      </c>
      <c r="P248" s="25">
        <v>0</v>
      </c>
      <c r="Q248" s="10">
        <v>0</v>
      </c>
      <c r="R248" s="10">
        <v>0</v>
      </c>
      <c r="S248" s="10">
        <v>0</v>
      </c>
      <c r="T248" s="10">
        <v>0</v>
      </c>
      <c r="U248" s="10">
        <v>0</v>
      </c>
      <c r="V248" s="10">
        <v>0</v>
      </c>
      <c r="W248" s="10">
        <v>0</v>
      </c>
      <c r="X248" s="10">
        <v>0</v>
      </c>
      <c r="Y248" s="10">
        <v>0</v>
      </c>
      <c r="Z248" s="10">
        <v>0</v>
      </c>
      <c r="AA248" s="10">
        <v>0</v>
      </c>
      <c r="AB248" s="26">
        <f t="shared" si="10"/>
        <v>0</v>
      </c>
      <c r="AC248" s="25">
        <v>43168</v>
      </c>
      <c r="AD248" s="10">
        <v>0</v>
      </c>
      <c r="AE248" s="10">
        <v>0</v>
      </c>
      <c r="AF248" s="10">
        <v>0</v>
      </c>
      <c r="AG248" s="10">
        <v>80619</v>
      </c>
      <c r="AH248" s="10">
        <v>90841</v>
      </c>
      <c r="AI248" s="10">
        <v>63126</v>
      </c>
      <c r="AJ248" s="10">
        <v>63954</v>
      </c>
      <c r="AK248" s="10">
        <v>7950</v>
      </c>
      <c r="AL248" s="10">
        <v>0</v>
      </c>
      <c r="AM248" s="10">
        <v>2448</v>
      </c>
      <c r="AN248" s="10">
        <v>100</v>
      </c>
      <c r="AO248" s="26">
        <f t="shared" si="11"/>
        <v>352206</v>
      </c>
    </row>
    <row r="249" spans="1:41" ht="17.25" customHeight="1" x14ac:dyDescent="0.45">
      <c r="A249" s="2" t="s">
        <v>206</v>
      </c>
      <c r="B249" s="2" t="s">
        <v>13</v>
      </c>
      <c r="C249" s="23">
        <v>0</v>
      </c>
      <c r="D249" s="1">
        <v>0</v>
      </c>
      <c r="E249" s="1">
        <v>1</v>
      </c>
      <c r="F249" s="1">
        <v>3</v>
      </c>
      <c r="G249" s="1">
        <v>1</v>
      </c>
      <c r="H249" s="1">
        <v>1</v>
      </c>
      <c r="I249" s="1">
        <v>0</v>
      </c>
      <c r="J249" s="1">
        <v>0</v>
      </c>
      <c r="K249" s="1">
        <v>1</v>
      </c>
      <c r="L249" s="1">
        <v>0</v>
      </c>
      <c r="M249" s="1">
        <v>0</v>
      </c>
      <c r="N249" s="1">
        <v>1</v>
      </c>
      <c r="O249" s="24">
        <f t="shared" si="9"/>
        <v>8</v>
      </c>
      <c r="P249" s="23">
        <v>0</v>
      </c>
      <c r="Q249" s="1">
        <v>0</v>
      </c>
      <c r="R249" s="1">
        <v>0</v>
      </c>
      <c r="S249" s="1">
        <v>0</v>
      </c>
      <c r="T249" s="1">
        <v>0</v>
      </c>
      <c r="U249" s="1">
        <v>0</v>
      </c>
      <c r="V249" s="1">
        <v>0</v>
      </c>
      <c r="W249" s="1">
        <v>0</v>
      </c>
      <c r="X249" s="1">
        <v>19</v>
      </c>
      <c r="Y249" s="1">
        <v>0</v>
      </c>
      <c r="Z249" s="1">
        <v>0</v>
      </c>
      <c r="AA249" s="1">
        <v>0</v>
      </c>
      <c r="AB249" s="24">
        <f t="shared" si="10"/>
        <v>19</v>
      </c>
      <c r="AC249" s="23">
        <v>0</v>
      </c>
      <c r="AD249" s="1">
        <v>0</v>
      </c>
      <c r="AE249" s="1">
        <v>2580</v>
      </c>
      <c r="AF249" s="1">
        <v>5470</v>
      </c>
      <c r="AG249" s="1">
        <v>17038</v>
      </c>
      <c r="AH249" s="1">
        <v>2500</v>
      </c>
      <c r="AI249" s="1">
        <v>0</v>
      </c>
      <c r="AJ249" s="1">
        <v>0</v>
      </c>
      <c r="AK249" s="1">
        <v>0</v>
      </c>
      <c r="AL249" s="1">
        <v>0</v>
      </c>
      <c r="AM249" s="1">
        <v>0</v>
      </c>
      <c r="AN249" s="1">
        <v>350</v>
      </c>
      <c r="AO249" s="24">
        <f t="shared" si="11"/>
        <v>27938</v>
      </c>
    </row>
    <row r="250" spans="1:41" ht="17.25" customHeight="1" x14ac:dyDescent="0.45">
      <c r="A250" s="12" t="s">
        <v>206</v>
      </c>
      <c r="B250" s="12" t="s">
        <v>27</v>
      </c>
      <c r="C250" s="25">
        <v>0</v>
      </c>
      <c r="D250" s="10">
        <v>0</v>
      </c>
      <c r="E250" s="10">
        <v>0</v>
      </c>
      <c r="F250" s="10">
        <v>1</v>
      </c>
      <c r="G250" s="10">
        <v>1</v>
      </c>
      <c r="H250" s="10">
        <v>0</v>
      </c>
      <c r="I250" s="10">
        <v>1</v>
      </c>
      <c r="J250" s="10">
        <v>1</v>
      </c>
      <c r="K250" s="10">
        <v>0</v>
      </c>
      <c r="L250" s="10">
        <v>1</v>
      </c>
      <c r="M250" s="10">
        <v>1</v>
      </c>
      <c r="N250" s="10">
        <v>1</v>
      </c>
      <c r="O250" s="26">
        <f t="shared" si="9"/>
        <v>7</v>
      </c>
      <c r="P250" s="25">
        <v>0</v>
      </c>
      <c r="Q250" s="10">
        <v>0</v>
      </c>
      <c r="R250" s="10">
        <v>0</v>
      </c>
      <c r="S250" s="10">
        <v>0</v>
      </c>
      <c r="T250" s="10">
        <v>0</v>
      </c>
      <c r="U250" s="10">
        <v>0</v>
      </c>
      <c r="V250" s="10">
        <v>0</v>
      </c>
      <c r="W250" s="10">
        <v>0</v>
      </c>
      <c r="X250" s="10">
        <v>0</v>
      </c>
      <c r="Y250" s="10">
        <v>0</v>
      </c>
      <c r="Z250" s="10">
        <v>0</v>
      </c>
      <c r="AA250" s="10">
        <v>0</v>
      </c>
      <c r="AB250" s="26">
        <f t="shared" si="10"/>
        <v>0</v>
      </c>
      <c r="AC250" s="25">
        <v>0</v>
      </c>
      <c r="AD250" s="10">
        <v>0</v>
      </c>
      <c r="AE250" s="10">
        <v>0</v>
      </c>
      <c r="AF250" s="10">
        <v>3380</v>
      </c>
      <c r="AG250" s="10">
        <v>5232</v>
      </c>
      <c r="AH250" s="10">
        <v>0</v>
      </c>
      <c r="AI250" s="10">
        <v>4111</v>
      </c>
      <c r="AJ250" s="10">
        <v>2660</v>
      </c>
      <c r="AK250" s="10">
        <v>0</v>
      </c>
      <c r="AL250" s="10">
        <v>2580</v>
      </c>
      <c r="AM250" s="10">
        <v>1940</v>
      </c>
      <c r="AN250" s="10">
        <v>1900</v>
      </c>
      <c r="AO250" s="26">
        <f t="shared" si="11"/>
        <v>21803</v>
      </c>
    </row>
    <row r="251" spans="1:41" ht="17.25" customHeight="1" x14ac:dyDescent="0.45">
      <c r="A251" s="2" t="s">
        <v>206</v>
      </c>
      <c r="B251" s="2" t="s">
        <v>28</v>
      </c>
      <c r="C251" s="23">
        <v>3</v>
      </c>
      <c r="D251" s="1">
        <v>6</v>
      </c>
      <c r="E251" s="1">
        <v>3</v>
      </c>
      <c r="F251" s="1">
        <v>5</v>
      </c>
      <c r="G251" s="1">
        <v>4</v>
      </c>
      <c r="H251" s="1">
        <v>6</v>
      </c>
      <c r="I251" s="1">
        <v>2</v>
      </c>
      <c r="J251" s="1">
        <v>8</v>
      </c>
      <c r="K251" s="1">
        <v>5</v>
      </c>
      <c r="L251" s="1">
        <v>5</v>
      </c>
      <c r="M251" s="1">
        <v>2</v>
      </c>
      <c r="N251" s="1">
        <v>1</v>
      </c>
      <c r="O251" s="24">
        <f t="shared" si="9"/>
        <v>50</v>
      </c>
      <c r="P251" s="23">
        <v>0</v>
      </c>
      <c r="Q251" s="1">
        <v>0</v>
      </c>
      <c r="R251" s="1">
        <v>0</v>
      </c>
      <c r="S251" s="1">
        <v>0</v>
      </c>
      <c r="T251" s="1">
        <v>0</v>
      </c>
      <c r="U251" s="1">
        <v>0</v>
      </c>
      <c r="V251" s="1">
        <v>0</v>
      </c>
      <c r="W251" s="1">
        <v>0</v>
      </c>
      <c r="X251" s="1">
        <v>0</v>
      </c>
      <c r="Y251" s="1">
        <v>0</v>
      </c>
      <c r="Z251" s="1">
        <v>0</v>
      </c>
      <c r="AA251" s="1">
        <v>0</v>
      </c>
      <c r="AB251" s="24">
        <f t="shared" si="10"/>
        <v>0</v>
      </c>
      <c r="AC251" s="23">
        <v>4684</v>
      </c>
      <c r="AD251" s="1">
        <v>12473</v>
      </c>
      <c r="AE251" s="1">
        <v>6120</v>
      </c>
      <c r="AF251" s="1">
        <v>11420</v>
      </c>
      <c r="AG251" s="1">
        <v>19248</v>
      </c>
      <c r="AH251" s="1">
        <v>25292</v>
      </c>
      <c r="AI251" s="1">
        <v>5142</v>
      </c>
      <c r="AJ251" s="1">
        <v>33885</v>
      </c>
      <c r="AK251" s="1">
        <v>12293</v>
      </c>
      <c r="AL251" s="1">
        <v>10698</v>
      </c>
      <c r="AM251" s="1">
        <v>3150</v>
      </c>
      <c r="AN251" s="1">
        <v>7500</v>
      </c>
      <c r="AO251" s="24">
        <f t="shared" si="11"/>
        <v>151905</v>
      </c>
    </row>
    <row r="252" spans="1:41" ht="17.25" customHeight="1" x14ac:dyDescent="0.45">
      <c r="A252" s="12" t="s">
        <v>206</v>
      </c>
      <c r="B252" s="12" t="s">
        <v>30</v>
      </c>
      <c r="C252" s="25">
        <v>0</v>
      </c>
      <c r="D252" s="10">
        <v>1</v>
      </c>
      <c r="E252" s="10">
        <v>0</v>
      </c>
      <c r="F252" s="10">
        <v>0</v>
      </c>
      <c r="G252" s="10">
        <v>1</v>
      </c>
      <c r="H252" s="10">
        <v>3</v>
      </c>
      <c r="I252" s="10">
        <v>1</v>
      </c>
      <c r="J252" s="10">
        <v>2</v>
      </c>
      <c r="K252" s="10">
        <v>3</v>
      </c>
      <c r="L252" s="10">
        <v>1</v>
      </c>
      <c r="M252" s="10">
        <v>9</v>
      </c>
      <c r="N252" s="10">
        <v>0</v>
      </c>
      <c r="O252" s="26">
        <f t="shared" si="9"/>
        <v>21</v>
      </c>
      <c r="P252" s="25">
        <v>0</v>
      </c>
      <c r="Q252" s="10">
        <v>0</v>
      </c>
      <c r="R252" s="10">
        <v>0</v>
      </c>
      <c r="S252" s="10">
        <v>0</v>
      </c>
      <c r="T252" s="10">
        <v>0</v>
      </c>
      <c r="U252" s="10">
        <v>0</v>
      </c>
      <c r="V252" s="10">
        <v>0</v>
      </c>
      <c r="W252" s="10">
        <v>0</v>
      </c>
      <c r="X252" s="10">
        <v>0</v>
      </c>
      <c r="Y252" s="10">
        <v>0</v>
      </c>
      <c r="Z252" s="10">
        <v>0</v>
      </c>
      <c r="AA252" s="10">
        <v>0</v>
      </c>
      <c r="AB252" s="26">
        <f t="shared" si="10"/>
        <v>0</v>
      </c>
      <c r="AC252" s="25">
        <v>0</v>
      </c>
      <c r="AD252" s="10">
        <v>2480</v>
      </c>
      <c r="AE252" s="10">
        <v>0</v>
      </c>
      <c r="AF252" s="10">
        <v>0</v>
      </c>
      <c r="AG252" s="10">
        <v>2650</v>
      </c>
      <c r="AH252" s="10">
        <v>6760</v>
      </c>
      <c r="AI252" s="10">
        <v>2350</v>
      </c>
      <c r="AJ252" s="10">
        <v>6434</v>
      </c>
      <c r="AK252" s="10">
        <v>13040</v>
      </c>
      <c r="AL252" s="10">
        <v>500</v>
      </c>
      <c r="AM252" s="10">
        <v>18562</v>
      </c>
      <c r="AN252" s="10">
        <v>0</v>
      </c>
      <c r="AO252" s="26">
        <f t="shared" si="11"/>
        <v>52776</v>
      </c>
    </row>
    <row r="253" spans="1:41" ht="17.25" customHeight="1" x14ac:dyDescent="0.45">
      <c r="A253" s="2" t="s">
        <v>206</v>
      </c>
      <c r="B253" s="2" t="s">
        <v>15</v>
      </c>
      <c r="C253" s="23">
        <v>0</v>
      </c>
      <c r="D253" s="1">
        <v>1</v>
      </c>
      <c r="E253" s="1">
        <v>0</v>
      </c>
      <c r="F253" s="1">
        <v>0</v>
      </c>
      <c r="G253" s="1">
        <v>0</v>
      </c>
      <c r="H253" s="1">
        <v>7</v>
      </c>
      <c r="I253" s="1">
        <v>0</v>
      </c>
      <c r="J253" s="1">
        <v>0</v>
      </c>
      <c r="K253" s="1">
        <v>0</v>
      </c>
      <c r="L253" s="1">
        <v>0</v>
      </c>
      <c r="M253" s="1">
        <v>0</v>
      </c>
      <c r="N253" s="1">
        <v>0</v>
      </c>
      <c r="O253" s="24">
        <f t="shared" si="9"/>
        <v>8</v>
      </c>
      <c r="P253" s="23">
        <v>0</v>
      </c>
      <c r="Q253" s="1">
        <v>0</v>
      </c>
      <c r="R253" s="1">
        <v>0</v>
      </c>
      <c r="S253" s="1">
        <v>0</v>
      </c>
      <c r="T253" s="1">
        <v>0</v>
      </c>
      <c r="U253" s="1">
        <v>0</v>
      </c>
      <c r="V253" s="1">
        <v>0</v>
      </c>
      <c r="W253" s="1">
        <v>0</v>
      </c>
      <c r="X253" s="1">
        <v>0</v>
      </c>
      <c r="Y253" s="1">
        <v>0</v>
      </c>
      <c r="Z253" s="1">
        <v>0</v>
      </c>
      <c r="AA253" s="1">
        <v>0</v>
      </c>
      <c r="AB253" s="24">
        <f t="shared" si="10"/>
        <v>0</v>
      </c>
      <c r="AC253" s="23">
        <v>0</v>
      </c>
      <c r="AD253" s="1">
        <v>9468</v>
      </c>
      <c r="AE253" s="1">
        <v>0</v>
      </c>
      <c r="AF253" s="1">
        <v>0</v>
      </c>
      <c r="AG253" s="1">
        <v>0</v>
      </c>
      <c r="AH253" s="1">
        <v>64938</v>
      </c>
      <c r="AI253" s="1">
        <v>0</v>
      </c>
      <c r="AJ253" s="1">
        <v>0</v>
      </c>
      <c r="AK253" s="1">
        <v>0</v>
      </c>
      <c r="AL253" s="1">
        <v>0</v>
      </c>
      <c r="AM253" s="1">
        <v>0</v>
      </c>
      <c r="AN253" s="1">
        <v>0</v>
      </c>
      <c r="AO253" s="24">
        <f t="shared" si="11"/>
        <v>74406</v>
      </c>
    </row>
    <row r="254" spans="1:41" ht="17.25" customHeight="1" x14ac:dyDescent="0.45">
      <c r="A254" s="12" t="s">
        <v>206</v>
      </c>
      <c r="B254" s="12" t="s">
        <v>32</v>
      </c>
      <c r="C254" s="25">
        <v>2</v>
      </c>
      <c r="D254" s="10">
        <v>0</v>
      </c>
      <c r="E254" s="10">
        <v>1</v>
      </c>
      <c r="F254" s="10">
        <v>2</v>
      </c>
      <c r="G254" s="10">
        <v>23</v>
      </c>
      <c r="H254" s="10">
        <v>1</v>
      </c>
      <c r="I254" s="10">
        <v>0</v>
      </c>
      <c r="J254" s="10">
        <v>1</v>
      </c>
      <c r="K254" s="10">
        <v>6</v>
      </c>
      <c r="L254" s="10">
        <v>0</v>
      </c>
      <c r="M254" s="10">
        <v>1</v>
      </c>
      <c r="N254" s="10">
        <v>5</v>
      </c>
      <c r="O254" s="26">
        <f t="shared" si="9"/>
        <v>42</v>
      </c>
      <c r="P254" s="25">
        <v>0</v>
      </c>
      <c r="Q254" s="10">
        <v>0</v>
      </c>
      <c r="R254" s="10">
        <v>0</v>
      </c>
      <c r="S254" s="10">
        <v>0</v>
      </c>
      <c r="T254" s="10">
        <v>0</v>
      </c>
      <c r="U254" s="10">
        <v>0</v>
      </c>
      <c r="V254" s="10">
        <v>0</v>
      </c>
      <c r="W254" s="10">
        <v>0</v>
      </c>
      <c r="X254" s="10">
        <v>0</v>
      </c>
      <c r="Y254" s="10">
        <v>0</v>
      </c>
      <c r="Z254" s="10">
        <v>0</v>
      </c>
      <c r="AA254" s="10">
        <v>0</v>
      </c>
      <c r="AB254" s="26">
        <f t="shared" si="10"/>
        <v>0</v>
      </c>
      <c r="AC254" s="25">
        <v>4500</v>
      </c>
      <c r="AD254" s="10">
        <v>0</v>
      </c>
      <c r="AE254" s="10">
        <v>3766</v>
      </c>
      <c r="AF254" s="10">
        <v>5814</v>
      </c>
      <c r="AG254" s="10">
        <v>132922</v>
      </c>
      <c r="AH254" s="10">
        <v>1470</v>
      </c>
      <c r="AI254" s="10">
        <v>0</v>
      </c>
      <c r="AJ254" s="10">
        <v>480</v>
      </c>
      <c r="AK254" s="10">
        <v>14076</v>
      </c>
      <c r="AL254" s="10">
        <v>0</v>
      </c>
      <c r="AM254" s="10">
        <v>1162</v>
      </c>
      <c r="AN254" s="10">
        <v>15739</v>
      </c>
      <c r="AO254" s="26">
        <f t="shared" si="11"/>
        <v>179929</v>
      </c>
    </row>
    <row r="255" spans="1:41" ht="17.25" customHeight="1" x14ac:dyDescent="0.45">
      <c r="A255" s="2" t="s">
        <v>206</v>
      </c>
      <c r="B255" s="2" t="s">
        <v>33</v>
      </c>
      <c r="C255" s="23">
        <v>0</v>
      </c>
      <c r="D255" s="1">
        <v>2</v>
      </c>
      <c r="E255" s="1">
        <v>0</v>
      </c>
      <c r="F255" s="1">
        <v>0</v>
      </c>
      <c r="G255" s="1">
        <v>0</v>
      </c>
      <c r="H255" s="1">
        <v>0</v>
      </c>
      <c r="I255" s="1">
        <v>0</v>
      </c>
      <c r="J255" s="1">
        <v>0</v>
      </c>
      <c r="K255" s="1">
        <v>0</v>
      </c>
      <c r="L255" s="1">
        <v>0</v>
      </c>
      <c r="M255" s="1">
        <v>0</v>
      </c>
      <c r="N255" s="1">
        <v>0</v>
      </c>
      <c r="O255" s="24">
        <f t="shared" si="9"/>
        <v>2</v>
      </c>
      <c r="P255" s="23">
        <v>0</v>
      </c>
      <c r="Q255" s="1">
        <v>0</v>
      </c>
      <c r="R255" s="1">
        <v>0</v>
      </c>
      <c r="S255" s="1">
        <v>0</v>
      </c>
      <c r="T255" s="1">
        <v>0</v>
      </c>
      <c r="U255" s="1">
        <v>0</v>
      </c>
      <c r="V255" s="1">
        <v>0</v>
      </c>
      <c r="W255" s="1">
        <v>0</v>
      </c>
      <c r="X255" s="1">
        <v>0</v>
      </c>
      <c r="Y255" s="1">
        <v>0</v>
      </c>
      <c r="Z255" s="1">
        <v>0</v>
      </c>
      <c r="AA255" s="1">
        <v>0</v>
      </c>
      <c r="AB255" s="24">
        <f t="shared" si="10"/>
        <v>0</v>
      </c>
      <c r="AC255" s="23">
        <v>0</v>
      </c>
      <c r="AD255" s="1">
        <v>1440</v>
      </c>
      <c r="AE255" s="1">
        <v>0</v>
      </c>
      <c r="AF255" s="1">
        <v>0</v>
      </c>
      <c r="AG255" s="1">
        <v>0</v>
      </c>
      <c r="AH255" s="1">
        <v>0</v>
      </c>
      <c r="AI255" s="1">
        <v>0</v>
      </c>
      <c r="AJ255" s="1">
        <v>0</v>
      </c>
      <c r="AK255" s="1">
        <v>0</v>
      </c>
      <c r="AL255" s="1">
        <v>0</v>
      </c>
      <c r="AM255" s="1">
        <v>0</v>
      </c>
      <c r="AN255" s="1">
        <v>0</v>
      </c>
      <c r="AO255" s="24">
        <f t="shared" si="11"/>
        <v>1440</v>
      </c>
    </row>
    <row r="256" spans="1:41" ht="17.25" customHeight="1" x14ac:dyDescent="0.45">
      <c r="A256" s="12" t="s">
        <v>48</v>
      </c>
      <c r="B256" s="12" t="s">
        <v>19</v>
      </c>
      <c r="C256" s="25">
        <v>0</v>
      </c>
      <c r="D256" s="10">
        <v>0</v>
      </c>
      <c r="E256" s="10">
        <v>0</v>
      </c>
      <c r="F256" s="10">
        <v>0</v>
      </c>
      <c r="G256" s="10">
        <v>0</v>
      </c>
      <c r="H256" s="10">
        <v>0</v>
      </c>
      <c r="I256" s="10">
        <v>0</v>
      </c>
      <c r="J256" s="10">
        <v>0</v>
      </c>
      <c r="K256" s="10">
        <v>0</v>
      </c>
      <c r="L256" s="10">
        <v>1</v>
      </c>
      <c r="M256" s="10">
        <v>0</v>
      </c>
      <c r="N256" s="10">
        <v>0</v>
      </c>
      <c r="O256" s="26">
        <f t="shared" si="9"/>
        <v>1</v>
      </c>
      <c r="P256" s="25">
        <v>0</v>
      </c>
      <c r="Q256" s="10">
        <v>0</v>
      </c>
      <c r="R256" s="10">
        <v>0</v>
      </c>
      <c r="S256" s="10">
        <v>0</v>
      </c>
      <c r="T256" s="10">
        <v>0</v>
      </c>
      <c r="U256" s="10">
        <v>0</v>
      </c>
      <c r="V256" s="10">
        <v>0</v>
      </c>
      <c r="W256" s="10">
        <v>0</v>
      </c>
      <c r="X256" s="10">
        <v>0</v>
      </c>
      <c r="Y256" s="10">
        <v>115</v>
      </c>
      <c r="Z256" s="10">
        <v>0</v>
      </c>
      <c r="AA256" s="10">
        <v>0</v>
      </c>
      <c r="AB256" s="26">
        <f t="shared" si="10"/>
        <v>115</v>
      </c>
      <c r="AC256" s="25">
        <v>0</v>
      </c>
      <c r="AD256" s="10">
        <v>0</v>
      </c>
      <c r="AE256" s="10">
        <v>0</v>
      </c>
      <c r="AF256" s="10">
        <v>0</v>
      </c>
      <c r="AG256" s="10">
        <v>0</v>
      </c>
      <c r="AH256" s="10">
        <v>0</v>
      </c>
      <c r="AI256" s="10">
        <v>0</v>
      </c>
      <c r="AJ256" s="10">
        <v>0</v>
      </c>
      <c r="AK256" s="10">
        <v>0</v>
      </c>
      <c r="AL256" s="10">
        <v>0</v>
      </c>
      <c r="AM256" s="10">
        <v>0</v>
      </c>
      <c r="AN256" s="10">
        <v>0</v>
      </c>
      <c r="AO256" s="26">
        <f t="shared" si="11"/>
        <v>0</v>
      </c>
    </row>
    <row r="257" spans="1:41" ht="17.25" customHeight="1" x14ac:dyDescent="0.45">
      <c r="A257" s="2" t="s">
        <v>48</v>
      </c>
      <c r="B257" s="2" t="s">
        <v>270</v>
      </c>
      <c r="C257" s="23">
        <v>0</v>
      </c>
      <c r="D257" s="1">
        <v>0</v>
      </c>
      <c r="E257" s="1">
        <v>1</v>
      </c>
      <c r="F257" s="1">
        <v>0</v>
      </c>
      <c r="G257" s="1">
        <v>0</v>
      </c>
      <c r="H257" s="1">
        <v>0</v>
      </c>
      <c r="I257" s="1">
        <v>0</v>
      </c>
      <c r="J257" s="1">
        <v>0</v>
      </c>
      <c r="K257" s="1">
        <v>0</v>
      </c>
      <c r="L257" s="1">
        <v>0</v>
      </c>
      <c r="M257" s="1">
        <v>0</v>
      </c>
      <c r="N257" s="1">
        <v>0</v>
      </c>
      <c r="O257" s="24">
        <f t="shared" si="9"/>
        <v>1</v>
      </c>
      <c r="P257" s="23">
        <v>0</v>
      </c>
      <c r="Q257" s="1">
        <v>0</v>
      </c>
      <c r="R257" s="1">
        <v>48</v>
      </c>
      <c r="S257" s="1">
        <v>0</v>
      </c>
      <c r="T257" s="1">
        <v>0</v>
      </c>
      <c r="U257" s="1">
        <v>0</v>
      </c>
      <c r="V257" s="1">
        <v>0</v>
      </c>
      <c r="W257" s="1">
        <v>0</v>
      </c>
      <c r="X257" s="1">
        <v>0</v>
      </c>
      <c r="Y257" s="1">
        <v>0</v>
      </c>
      <c r="Z257" s="1">
        <v>0</v>
      </c>
      <c r="AA257" s="1">
        <v>0</v>
      </c>
      <c r="AB257" s="24">
        <f t="shared" si="10"/>
        <v>48</v>
      </c>
      <c r="AC257" s="23">
        <v>0</v>
      </c>
      <c r="AD257" s="1">
        <v>0</v>
      </c>
      <c r="AE257" s="1">
        <v>0</v>
      </c>
      <c r="AF257" s="1">
        <v>0</v>
      </c>
      <c r="AG257" s="1">
        <v>0</v>
      </c>
      <c r="AH257" s="1">
        <v>0</v>
      </c>
      <c r="AI257" s="1">
        <v>0</v>
      </c>
      <c r="AJ257" s="1">
        <v>0</v>
      </c>
      <c r="AK257" s="1">
        <v>0</v>
      </c>
      <c r="AL257" s="1">
        <v>0</v>
      </c>
      <c r="AM257" s="1">
        <v>0</v>
      </c>
      <c r="AN257" s="1">
        <v>0</v>
      </c>
      <c r="AO257" s="24">
        <f t="shared" si="11"/>
        <v>0</v>
      </c>
    </row>
    <row r="258" spans="1:41" ht="17.25" customHeight="1" x14ac:dyDescent="0.45">
      <c r="A258" s="12" t="s">
        <v>48</v>
      </c>
      <c r="B258" s="12" t="s">
        <v>32</v>
      </c>
      <c r="C258" s="25">
        <v>0</v>
      </c>
      <c r="D258" s="10">
        <v>0</v>
      </c>
      <c r="E258" s="10">
        <v>1</v>
      </c>
      <c r="F258" s="10">
        <v>0</v>
      </c>
      <c r="G258" s="10">
        <v>0</v>
      </c>
      <c r="H258" s="10">
        <v>0</v>
      </c>
      <c r="I258" s="10">
        <v>0</v>
      </c>
      <c r="J258" s="10">
        <v>0</v>
      </c>
      <c r="K258" s="10">
        <v>0</v>
      </c>
      <c r="L258" s="10">
        <v>0</v>
      </c>
      <c r="M258" s="10">
        <v>0</v>
      </c>
      <c r="N258" s="10">
        <v>0</v>
      </c>
      <c r="O258" s="26">
        <f t="shared" si="9"/>
        <v>1</v>
      </c>
      <c r="P258" s="25">
        <v>0</v>
      </c>
      <c r="Q258" s="10">
        <v>0</v>
      </c>
      <c r="R258" s="10">
        <v>45</v>
      </c>
      <c r="S258" s="10">
        <v>0</v>
      </c>
      <c r="T258" s="10">
        <v>0</v>
      </c>
      <c r="U258" s="10">
        <v>0</v>
      </c>
      <c r="V258" s="10">
        <v>0</v>
      </c>
      <c r="W258" s="10">
        <v>0</v>
      </c>
      <c r="X258" s="10">
        <v>0</v>
      </c>
      <c r="Y258" s="10">
        <v>0</v>
      </c>
      <c r="Z258" s="10">
        <v>0</v>
      </c>
      <c r="AA258" s="10">
        <v>0</v>
      </c>
      <c r="AB258" s="26">
        <f t="shared" si="10"/>
        <v>45</v>
      </c>
      <c r="AC258" s="25">
        <v>0</v>
      </c>
      <c r="AD258" s="10">
        <v>0</v>
      </c>
      <c r="AE258" s="10">
        <v>0</v>
      </c>
      <c r="AF258" s="10">
        <v>0</v>
      </c>
      <c r="AG258" s="10">
        <v>0</v>
      </c>
      <c r="AH258" s="10">
        <v>0</v>
      </c>
      <c r="AI258" s="10">
        <v>0</v>
      </c>
      <c r="AJ258" s="10">
        <v>0</v>
      </c>
      <c r="AK258" s="10">
        <v>0</v>
      </c>
      <c r="AL258" s="10">
        <v>0</v>
      </c>
      <c r="AM258" s="10">
        <v>0</v>
      </c>
      <c r="AN258" s="10">
        <v>0</v>
      </c>
      <c r="AO258" s="26">
        <f t="shared" si="11"/>
        <v>0</v>
      </c>
    </row>
    <row r="259" spans="1:41" ht="17.25" customHeight="1" x14ac:dyDescent="0.45">
      <c r="A259" s="2" t="s">
        <v>30</v>
      </c>
      <c r="B259" s="2" t="s">
        <v>19</v>
      </c>
      <c r="C259" s="23">
        <v>1</v>
      </c>
      <c r="D259" s="1">
        <v>0</v>
      </c>
      <c r="E259" s="1">
        <v>0</v>
      </c>
      <c r="F259" s="1">
        <v>0</v>
      </c>
      <c r="G259" s="1">
        <v>0</v>
      </c>
      <c r="H259" s="1">
        <v>2</v>
      </c>
      <c r="I259" s="1">
        <v>0</v>
      </c>
      <c r="J259" s="1">
        <v>0</v>
      </c>
      <c r="K259" s="1">
        <v>1</v>
      </c>
      <c r="L259" s="1">
        <v>0</v>
      </c>
      <c r="M259" s="1">
        <v>1</v>
      </c>
      <c r="N259" s="1">
        <v>0</v>
      </c>
      <c r="O259" s="24">
        <f t="shared" si="9"/>
        <v>5</v>
      </c>
      <c r="P259" s="23">
        <v>0</v>
      </c>
      <c r="Q259" s="1">
        <v>0</v>
      </c>
      <c r="R259" s="1">
        <v>0</v>
      </c>
      <c r="S259" s="1">
        <v>0</v>
      </c>
      <c r="T259" s="1">
        <v>0</v>
      </c>
      <c r="U259" s="1">
        <v>0</v>
      </c>
      <c r="V259" s="1">
        <v>0</v>
      </c>
      <c r="W259" s="1">
        <v>0</v>
      </c>
      <c r="X259" s="1">
        <v>0</v>
      </c>
      <c r="Y259" s="1">
        <v>0</v>
      </c>
      <c r="Z259" s="1">
        <v>0</v>
      </c>
      <c r="AA259" s="1">
        <v>0</v>
      </c>
      <c r="AB259" s="24">
        <f t="shared" si="10"/>
        <v>0</v>
      </c>
      <c r="AC259" s="23">
        <v>3670</v>
      </c>
      <c r="AD259" s="1">
        <v>0</v>
      </c>
      <c r="AE259" s="1">
        <v>0</v>
      </c>
      <c r="AF259" s="1">
        <v>0</v>
      </c>
      <c r="AG259" s="1">
        <v>0</v>
      </c>
      <c r="AH259" s="1">
        <v>550</v>
      </c>
      <c r="AI259" s="1">
        <v>0</v>
      </c>
      <c r="AJ259" s="1">
        <v>0</v>
      </c>
      <c r="AK259" s="1">
        <v>370</v>
      </c>
      <c r="AL259" s="1">
        <v>0</v>
      </c>
      <c r="AM259" s="1">
        <v>300</v>
      </c>
      <c r="AN259" s="1">
        <v>0</v>
      </c>
      <c r="AO259" s="24">
        <f t="shared" si="11"/>
        <v>4890</v>
      </c>
    </row>
    <row r="260" spans="1:41" ht="17.25" customHeight="1" x14ac:dyDescent="0.45">
      <c r="A260" s="12" t="s">
        <v>30</v>
      </c>
      <c r="B260" s="12" t="s">
        <v>38</v>
      </c>
      <c r="C260" s="25">
        <v>1</v>
      </c>
      <c r="D260" s="10">
        <v>0</v>
      </c>
      <c r="E260" s="10">
        <v>1</v>
      </c>
      <c r="F260" s="10">
        <v>1</v>
      </c>
      <c r="G260" s="10">
        <v>5</v>
      </c>
      <c r="H260" s="10">
        <v>2</v>
      </c>
      <c r="I260" s="10">
        <v>0</v>
      </c>
      <c r="J260" s="10">
        <v>1</v>
      </c>
      <c r="K260" s="10">
        <v>10</v>
      </c>
      <c r="L260" s="10">
        <v>0</v>
      </c>
      <c r="M260" s="10">
        <v>2</v>
      </c>
      <c r="N260" s="10">
        <v>0</v>
      </c>
      <c r="O260" s="26">
        <f t="shared" si="9"/>
        <v>23</v>
      </c>
      <c r="P260" s="25">
        <v>0</v>
      </c>
      <c r="Q260" s="10">
        <v>0</v>
      </c>
      <c r="R260" s="10">
        <v>0</v>
      </c>
      <c r="S260" s="10">
        <v>0</v>
      </c>
      <c r="T260" s="10">
        <v>0</v>
      </c>
      <c r="U260" s="10">
        <v>0</v>
      </c>
      <c r="V260" s="10">
        <v>0</v>
      </c>
      <c r="W260" s="10">
        <v>0</v>
      </c>
      <c r="X260" s="10">
        <v>0</v>
      </c>
      <c r="Y260" s="10">
        <v>0</v>
      </c>
      <c r="Z260" s="10">
        <v>0</v>
      </c>
      <c r="AA260" s="10">
        <v>0</v>
      </c>
      <c r="AB260" s="26">
        <f t="shared" si="10"/>
        <v>0</v>
      </c>
      <c r="AC260" s="25">
        <v>7382</v>
      </c>
      <c r="AD260" s="10">
        <v>0</v>
      </c>
      <c r="AE260" s="10">
        <v>11000</v>
      </c>
      <c r="AF260" s="10">
        <v>7884</v>
      </c>
      <c r="AG260" s="10">
        <v>22805</v>
      </c>
      <c r="AH260" s="10">
        <v>15228</v>
      </c>
      <c r="AI260" s="10">
        <v>0</v>
      </c>
      <c r="AJ260" s="10">
        <v>150</v>
      </c>
      <c r="AK260" s="10">
        <v>53642</v>
      </c>
      <c r="AL260" s="10">
        <v>0</v>
      </c>
      <c r="AM260" s="10">
        <v>3202</v>
      </c>
      <c r="AN260" s="10">
        <v>0</v>
      </c>
      <c r="AO260" s="26">
        <f t="shared" si="11"/>
        <v>121293</v>
      </c>
    </row>
    <row r="261" spans="1:41" ht="17.25" customHeight="1" x14ac:dyDescent="0.45">
      <c r="A261" s="2" t="s">
        <v>30</v>
      </c>
      <c r="B261" s="2" t="s">
        <v>40</v>
      </c>
      <c r="C261" s="23">
        <v>0</v>
      </c>
      <c r="D261" s="1">
        <v>0</v>
      </c>
      <c r="E261" s="1">
        <v>0</v>
      </c>
      <c r="F261" s="1">
        <v>4</v>
      </c>
      <c r="G261" s="1">
        <v>0</v>
      </c>
      <c r="H261" s="1">
        <v>5</v>
      </c>
      <c r="I261" s="1">
        <v>0</v>
      </c>
      <c r="J261" s="1">
        <v>0</v>
      </c>
      <c r="K261" s="1">
        <v>1</v>
      </c>
      <c r="L261" s="1">
        <v>4</v>
      </c>
      <c r="M261" s="1">
        <v>0</v>
      </c>
      <c r="N261" s="1">
        <v>0</v>
      </c>
      <c r="O261" s="24">
        <f t="shared" si="9"/>
        <v>14</v>
      </c>
      <c r="P261" s="23">
        <v>0</v>
      </c>
      <c r="Q261" s="1">
        <v>0</v>
      </c>
      <c r="R261" s="1">
        <v>0</v>
      </c>
      <c r="S261" s="1">
        <v>0</v>
      </c>
      <c r="T261" s="1">
        <v>0</v>
      </c>
      <c r="U261" s="1">
        <v>0</v>
      </c>
      <c r="V261" s="1">
        <v>0</v>
      </c>
      <c r="W261" s="1">
        <v>0</v>
      </c>
      <c r="X261" s="1">
        <v>0</v>
      </c>
      <c r="Y261" s="1">
        <v>0</v>
      </c>
      <c r="Z261" s="1">
        <v>0</v>
      </c>
      <c r="AA261" s="1">
        <v>0</v>
      </c>
      <c r="AB261" s="24">
        <f t="shared" si="10"/>
        <v>0</v>
      </c>
      <c r="AC261" s="23">
        <v>0</v>
      </c>
      <c r="AD261" s="1">
        <v>0</v>
      </c>
      <c r="AE261" s="1">
        <v>0</v>
      </c>
      <c r="AF261" s="1">
        <v>32800</v>
      </c>
      <c r="AG261" s="1">
        <v>0</v>
      </c>
      <c r="AH261" s="1">
        <v>69827</v>
      </c>
      <c r="AI261" s="1">
        <v>0</v>
      </c>
      <c r="AJ261" s="1">
        <v>0</v>
      </c>
      <c r="AK261" s="1">
        <v>12000</v>
      </c>
      <c r="AL261" s="1">
        <v>19214</v>
      </c>
      <c r="AM261" s="1">
        <v>0</v>
      </c>
      <c r="AN261" s="1">
        <v>0</v>
      </c>
      <c r="AO261" s="24">
        <f t="shared" si="11"/>
        <v>133841</v>
      </c>
    </row>
    <row r="262" spans="1:41" ht="17.25" customHeight="1" x14ac:dyDescent="0.45">
      <c r="A262" s="12" t="s">
        <v>30</v>
      </c>
      <c r="B262" s="12" t="s">
        <v>23</v>
      </c>
      <c r="C262" s="25">
        <v>0</v>
      </c>
      <c r="D262" s="10">
        <v>0</v>
      </c>
      <c r="E262" s="10">
        <v>1</v>
      </c>
      <c r="F262" s="10">
        <v>0</v>
      </c>
      <c r="G262" s="10">
        <v>0</v>
      </c>
      <c r="H262" s="10">
        <v>0</v>
      </c>
      <c r="I262" s="10">
        <v>0</v>
      </c>
      <c r="J262" s="10">
        <v>0</v>
      </c>
      <c r="K262" s="10">
        <v>0</v>
      </c>
      <c r="L262" s="10">
        <v>0</v>
      </c>
      <c r="M262" s="10">
        <v>0</v>
      </c>
      <c r="N262" s="10">
        <v>0</v>
      </c>
      <c r="O262" s="26">
        <f t="shared" si="9"/>
        <v>1</v>
      </c>
      <c r="P262" s="25">
        <v>0</v>
      </c>
      <c r="Q262" s="10">
        <v>0</v>
      </c>
      <c r="R262" s="10">
        <v>0</v>
      </c>
      <c r="S262" s="10">
        <v>0</v>
      </c>
      <c r="T262" s="10">
        <v>0</v>
      </c>
      <c r="U262" s="10">
        <v>0</v>
      </c>
      <c r="V262" s="10">
        <v>0</v>
      </c>
      <c r="W262" s="10">
        <v>0</v>
      </c>
      <c r="X262" s="10">
        <v>0</v>
      </c>
      <c r="Y262" s="10">
        <v>0</v>
      </c>
      <c r="Z262" s="10">
        <v>0</v>
      </c>
      <c r="AA262" s="10">
        <v>0</v>
      </c>
      <c r="AB262" s="26">
        <f t="shared" si="10"/>
        <v>0</v>
      </c>
      <c r="AC262" s="25">
        <v>0</v>
      </c>
      <c r="AD262" s="10">
        <v>0</v>
      </c>
      <c r="AE262" s="10">
        <v>4604</v>
      </c>
      <c r="AF262" s="10">
        <v>0</v>
      </c>
      <c r="AG262" s="10">
        <v>0</v>
      </c>
      <c r="AH262" s="10">
        <v>0</v>
      </c>
      <c r="AI262" s="10">
        <v>0</v>
      </c>
      <c r="AJ262" s="10">
        <v>0</v>
      </c>
      <c r="AK262" s="10">
        <v>0</v>
      </c>
      <c r="AL262" s="10">
        <v>0</v>
      </c>
      <c r="AM262" s="10">
        <v>0</v>
      </c>
      <c r="AN262" s="10">
        <v>0</v>
      </c>
      <c r="AO262" s="26">
        <f t="shared" si="11"/>
        <v>4604</v>
      </c>
    </row>
    <row r="263" spans="1:41" ht="17.25" customHeight="1" x14ac:dyDescent="0.45">
      <c r="A263" s="2" t="s">
        <v>30</v>
      </c>
      <c r="B263" s="2" t="s">
        <v>13</v>
      </c>
      <c r="C263" s="23">
        <v>1</v>
      </c>
      <c r="D263" s="1">
        <v>0</v>
      </c>
      <c r="E263" s="1">
        <v>0</v>
      </c>
      <c r="F263" s="1">
        <v>0</v>
      </c>
      <c r="G263" s="1">
        <v>4</v>
      </c>
      <c r="H263" s="1">
        <v>2</v>
      </c>
      <c r="I263" s="1">
        <v>0</v>
      </c>
      <c r="J263" s="1">
        <v>0</v>
      </c>
      <c r="K263" s="1">
        <v>0</v>
      </c>
      <c r="L263" s="1">
        <v>0</v>
      </c>
      <c r="M263" s="1">
        <v>0</v>
      </c>
      <c r="N263" s="1">
        <v>0</v>
      </c>
      <c r="O263" s="24">
        <f t="shared" si="9"/>
        <v>7</v>
      </c>
      <c r="P263" s="23">
        <v>104</v>
      </c>
      <c r="Q263" s="1">
        <v>0</v>
      </c>
      <c r="R263" s="1">
        <v>0</v>
      </c>
      <c r="S263" s="1">
        <v>0</v>
      </c>
      <c r="T263" s="1">
        <v>0</v>
      </c>
      <c r="U263" s="1">
        <v>0</v>
      </c>
      <c r="V263" s="1">
        <v>0</v>
      </c>
      <c r="W263" s="1">
        <v>0</v>
      </c>
      <c r="X263" s="1">
        <v>0</v>
      </c>
      <c r="Y263" s="1">
        <v>0</v>
      </c>
      <c r="Z263" s="1">
        <v>0</v>
      </c>
      <c r="AA263" s="1">
        <v>0</v>
      </c>
      <c r="AB263" s="24">
        <f t="shared" si="10"/>
        <v>104</v>
      </c>
      <c r="AC263" s="23">
        <v>0</v>
      </c>
      <c r="AD263" s="1">
        <v>0</v>
      </c>
      <c r="AE263" s="1">
        <v>0</v>
      </c>
      <c r="AF263" s="1">
        <v>0</v>
      </c>
      <c r="AG263" s="1">
        <v>58139</v>
      </c>
      <c r="AH263" s="1">
        <v>25620</v>
      </c>
      <c r="AI263" s="1">
        <v>0</v>
      </c>
      <c r="AJ263" s="1">
        <v>0</v>
      </c>
      <c r="AK263" s="1">
        <v>0</v>
      </c>
      <c r="AL263" s="1">
        <v>0</v>
      </c>
      <c r="AM263" s="1">
        <v>0</v>
      </c>
      <c r="AN263" s="1">
        <v>0</v>
      </c>
      <c r="AO263" s="24">
        <f t="shared" si="11"/>
        <v>83759</v>
      </c>
    </row>
    <row r="264" spans="1:41" ht="17.25" customHeight="1" x14ac:dyDescent="0.45">
      <c r="A264" s="12" t="s">
        <v>30</v>
      </c>
      <c r="B264" s="12" t="s">
        <v>206</v>
      </c>
      <c r="C264" s="25">
        <v>0</v>
      </c>
      <c r="D264" s="10">
        <v>1</v>
      </c>
      <c r="E264" s="10">
        <v>0</v>
      </c>
      <c r="F264" s="10">
        <v>2</v>
      </c>
      <c r="G264" s="10">
        <v>1</v>
      </c>
      <c r="H264" s="10">
        <v>1</v>
      </c>
      <c r="I264" s="10">
        <v>2</v>
      </c>
      <c r="J264" s="10">
        <v>0</v>
      </c>
      <c r="K264" s="10">
        <v>4</v>
      </c>
      <c r="L264" s="10">
        <v>1</v>
      </c>
      <c r="M264" s="10">
        <v>0</v>
      </c>
      <c r="N264" s="10">
        <v>0</v>
      </c>
      <c r="O264" s="26">
        <f t="shared" ref="O264:O327" si="12">SUM(C264:N264)</f>
        <v>12</v>
      </c>
      <c r="P264" s="25">
        <v>0</v>
      </c>
      <c r="Q264" s="10">
        <v>0</v>
      </c>
      <c r="R264" s="10">
        <v>0</v>
      </c>
      <c r="S264" s="10">
        <v>0</v>
      </c>
      <c r="T264" s="10">
        <v>0</v>
      </c>
      <c r="U264" s="10">
        <v>0</v>
      </c>
      <c r="V264" s="10">
        <v>0</v>
      </c>
      <c r="W264" s="10">
        <v>0</v>
      </c>
      <c r="X264" s="10">
        <v>0</v>
      </c>
      <c r="Y264" s="10">
        <v>0</v>
      </c>
      <c r="Z264" s="10">
        <v>0</v>
      </c>
      <c r="AA264" s="10">
        <v>0</v>
      </c>
      <c r="AB264" s="26">
        <f t="shared" ref="AB264:AB327" si="13">SUM(P264:AA264)</f>
        <v>0</v>
      </c>
      <c r="AC264" s="25">
        <v>0</v>
      </c>
      <c r="AD264" s="10">
        <v>9468</v>
      </c>
      <c r="AE264" s="10">
        <v>0</v>
      </c>
      <c r="AF264" s="10">
        <v>8428</v>
      </c>
      <c r="AG264" s="10">
        <v>2000</v>
      </c>
      <c r="AH264" s="10">
        <v>2924</v>
      </c>
      <c r="AI264" s="10">
        <v>3126</v>
      </c>
      <c r="AJ264" s="10">
        <v>0</v>
      </c>
      <c r="AK264" s="10">
        <v>10202</v>
      </c>
      <c r="AL264" s="10">
        <v>2500</v>
      </c>
      <c r="AM264" s="10">
        <v>0</v>
      </c>
      <c r="AN264" s="10">
        <v>0</v>
      </c>
      <c r="AO264" s="26">
        <f t="shared" ref="AO264:AO327" si="14">SUM(AC264:AN264)</f>
        <v>38648</v>
      </c>
    </row>
    <row r="265" spans="1:41" ht="17.25" customHeight="1" x14ac:dyDescent="0.45">
      <c r="A265" s="2" t="s">
        <v>30</v>
      </c>
      <c r="B265" s="2" t="s">
        <v>31</v>
      </c>
      <c r="C265" s="23">
        <v>0</v>
      </c>
      <c r="D265" s="1">
        <v>0</v>
      </c>
      <c r="E265" s="1">
        <v>0</v>
      </c>
      <c r="F265" s="1">
        <v>1</v>
      </c>
      <c r="G265" s="1">
        <v>0</v>
      </c>
      <c r="H265" s="1">
        <v>0</v>
      </c>
      <c r="I265" s="1">
        <v>0</v>
      </c>
      <c r="J265" s="1">
        <v>0</v>
      </c>
      <c r="K265" s="1">
        <v>0</v>
      </c>
      <c r="L265" s="1">
        <v>0</v>
      </c>
      <c r="M265" s="1">
        <v>0</v>
      </c>
      <c r="N265" s="1">
        <v>0</v>
      </c>
      <c r="O265" s="24">
        <f t="shared" si="12"/>
        <v>1</v>
      </c>
      <c r="P265" s="23">
        <v>0</v>
      </c>
      <c r="Q265" s="1">
        <v>0</v>
      </c>
      <c r="R265" s="1">
        <v>0</v>
      </c>
      <c r="S265" s="1">
        <v>38</v>
      </c>
      <c r="T265" s="1">
        <v>0</v>
      </c>
      <c r="U265" s="1">
        <v>0</v>
      </c>
      <c r="V265" s="1">
        <v>0</v>
      </c>
      <c r="W265" s="1">
        <v>0</v>
      </c>
      <c r="X265" s="1">
        <v>0</v>
      </c>
      <c r="Y265" s="1">
        <v>0</v>
      </c>
      <c r="Z265" s="1">
        <v>0</v>
      </c>
      <c r="AA265" s="1">
        <v>0</v>
      </c>
      <c r="AB265" s="24">
        <f t="shared" si="13"/>
        <v>38</v>
      </c>
      <c r="AC265" s="23">
        <v>0</v>
      </c>
      <c r="AD265" s="1">
        <v>0</v>
      </c>
      <c r="AE265" s="1">
        <v>0</v>
      </c>
      <c r="AF265" s="1">
        <v>0</v>
      </c>
      <c r="AG265" s="1">
        <v>0</v>
      </c>
      <c r="AH265" s="1">
        <v>0</v>
      </c>
      <c r="AI265" s="1">
        <v>0</v>
      </c>
      <c r="AJ265" s="1">
        <v>0</v>
      </c>
      <c r="AK265" s="1">
        <v>0</v>
      </c>
      <c r="AL265" s="1">
        <v>0</v>
      </c>
      <c r="AM265" s="1">
        <v>0</v>
      </c>
      <c r="AN265" s="1">
        <v>0</v>
      </c>
      <c r="AO265" s="24">
        <f t="shared" si="14"/>
        <v>0</v>
      </c>
    </row>
    <row r="266" spans="1:41" ht="17.25" customHeight="1" x14ac:dyDescent="0.45">
      <c r="A266" s="12" t="s">
        <v>30</v>
      </c>
      <c r="B266" s="12" t="s">
        <v>15</v>
      </c>
      <c r="C266" s="25">
        <v>3</v>
      </c>
      <c r="D266" s="10">
        <v>27</v>
      </c>
      <c r="E266" s="10">
        <v>1</v>
      </c>
      <c r="F266" s="10">
        <v>7</v>
      </c>
      <c r="G266" s="10">
        <v>0</v>
      </c>
      <c r="H266" s="10">
        <v>4</v>
      </c>
      <c r="I266" s="10">
        <v>1</v>
      </c>
      <c r="J266" s="10">
        <v>7</v>
      </c>
      <c r="K266" s="10">
        <v>8</v>
      </c>
      <c r="L266" s="10">
        <v>0</v>
      </c>
      <c r="M266" s="10">
        <v>1</v>
      </c>
      <c r="N266" s="10">
        <v>0</v>
      </c>
      <c r="O266" s="26">
        <f t="shared" si="12"/>
        <v>59</v>
      </c>
      <c r="P266" s="25">
        <v>0</v>
      </c>
      <c r="Q266" s="10">
        <v>0</v>
      </c>
      <c r="R266" s="10">
        <v>0</v>
      </c>
      <c r="S266" s="10">
        <v>0</v>
      </c>
      <c r="T266" s="10">
        <v>0</v>
      </c>
      <c r="U266" s="10">
        <v>0</v>
      </c>
      <c r="V266" s="10">
        <v>0</v>
      </c>
      <c r="W266" s="10">
        <v>0</v>
      </c>
      <c r="X266" s="10">
        <v>0</v>
      </c>
      <c r="Y266" s="10">
        <v>0</v>
      </c>
      <c r="Z266" s="10">
        <v>0</v>
      </c>
      <c r="AA266" s="10">
        <v>0</v>
      </c>
      <c r="AB266" s="26">
        <f t="shared" si="13"/>
        <v>0</v>
      </c>
      <c r="AC266" s="25">
        <v>20862</v>
      </c>
      <c r="AD266" s="10">
        <v>153858</v>
      </c>
      <c r="AE266" s="10">
        <v>2124</v>
      </c>
      <c r="AF266" s="10">
        <v>30733</v>
      </c>
      <c r="AG266" s="10">
        <v>0</v>
      </c>
      <c r="AH266" s="10">
        <v>33794</v>
      </c>
      <c r="AI266" s="10">
        <v>7530</v>
      </c>
      <c r="AJ266" s="10">
        <v>55701</v>
      </c>
      <c r="AK266" s="10">
        <v>72414</v>
      </c>
      <c r="AL266" s="10">
        <v>0</v>
      </c>
      <c r="AM266" s="10">
        <v>5790</v>
      </c>
      <c r="AN266" s="10">
        <v>0</v>
      </c>
      <c r="AO266" s="26">
        <f t="shared" si="14"/>
        <v>382806</v>
      </c>
    </row>
    <row r="267" spans="1:41" ht="17.25" customHeight="1" x14ac:dyDescent="0.45">
      <c r="A267" s="2" t="s">
        <v>30</v>
      </c>
      <c r="B267" s="2" t="s">
        <v>32</v>
      </c>
      <c r="C267" s="23">
        <v>2</v>
      </c>
      <c r="D267" s="1">
        <v>0</v>
      </c>
      <c r="E267" s="1">
        <v>2</v>
      </c>
      <c r="F267" s="1">
        <v>3</v>
      </c>
      <c r="G267" s="1">
        <v>0</v>
      </c>
      <c r="H267" s="1">
        <v>0</v>
      </c>
      <c r="I267" s="1">
        <v>1</v>
      </c>
      <c r="J267" s="1">
        <v>0</v>
      </c>
      <c r="K267" s="1">
        <v>3</v>
      </c>
      <c r="L267" s="1">
        <v>0</v>
      </c>
      <c r="M267" s="1">
        <v>0</v>
      </c>
      <c r="N267" s="1">
        <v>0</v>
      </c>
      <c r="O267" s="24">
        <f t="shared" si="12"/>
        <v>11</v>
      </c>
      <c r="P267" s="23">
        <v>44</v>
      </c>
      <c r="Q267" s="1">
        <v>0</v>
      </c>
      <c r="R267" s="1">
        <v>46</v>
      </c>
      <c r="S267" s="1">
        <v>63</v>
      </c>
      <c r="T267" s="1">
        <v>0</v>
      </c>
      <c r="U267" s="1">
        <v>0</v>
      </c>
      <c r="V267" s="1">
        <v>48</v>
      </c>
      <c r="W267" s="1">
        <v>0</v>
      </c>
      <c r="X267" s="1">
        <v>48</v>
      </c>
      <c r="Y267" s="1">
        <v>0</v>
      </c>
      <c r="Z267" s="1">
        <v>0</v>
      </c>
      <c r="AA267" s="1">
        <v>0</v>
      </c>
      <c r="AB267" s="24">
        <f t="shared" si="13"/>
        <v>249</v>
      </c>
      <c r="AC267" s="23">
        <v>0</v>
      </c>
      <c r="AD267" s="1">
        <v>0</v>
      </c>
      <c r="AE267" s="1">
        <v>6512</v>
      </c>
      <c r="AF267" s="1">
        <v>0</v>
      </c>
      <c r="AG267" s="1">
        <v>0</v>
      </c>
      <c r="AH267" s="1">
        <v>0</v>
      </c>
      <c r="AI267" s="1">
        <v>0</v>
      </c>
      <c r="AJ267" s="1">
        <v>0</v>
      </c>
      <c r="AK267" s="1">
        <v>71328</v>
      </c>
      <c r="AL267" s="1">
        <v>0</v>
      </c>
      <c r="AM267" s="1">
        <v>0</v>
      </c>
      <c r="AN267" s="1">
        <v>0</v>
      </c>
      <c r="AO267" s="24">
        <f t="shared" si="14"/>
        <v>77840</v>
      </c>
    </row>
    <row r="268" spans="1:41" ht="17.25" customHeight="1" x14ac:dyDescent="0.45">
      <c r="A268" s="12" t="s">
        <v>30</v>
      </c>
      <c r="B268" s="12" t="s">
        <v>36</v>
      </c>
      <c r="C268" s="25">
        <v>0</v>
      </c>
      <c r="D268" s="10">
        <v>0</v>
      </c>
      <c r="E268" s="10">
        <v>13</v>
      </c>
      <c r="F268" s="10">
        <v>16</v>
      </c>
      <c r="G268" s="10">
        <v>18</v>
      </c>
      <c r="H268" s="10">
        <v>16</v>
      </c>
      <c r="I268" s="10">
        <v>8</v>
      </c>
      <c r="J268" s="10">
        <v>1</v>
      </c>
      <c r="K268" s="10">
        <v>0</v>
      </c>
      <c r="L268" s="10">
        <v>0</v>
      </c>
      <c r="M268" s="10">
        <v>0</v>
      </c>
      <c r="N268" s="10">
        <v>0</v>
      </c>
      <c r="O268" s="26">
        <f t="shared" si="12"/>
        <v>72</v>
      </c>
      <c r="P268" s="25">
        <v>0</v>
      </c>
      <c r="Q268" s="10">
        <v>0</v>
      </c>
      <c r="R268" s="10">
        <v>0</v>
      </c>
      <c r="S268" s="10">
        <v>0</v>
      </c>
      <c r="T268" s="10">
        <v>0</v>
      </c>
      <c r="U268" s="10">
        <v>0</v>
      </c>
      <c r="V268" s="10">
        <v>0</v>
      </c>
      <c r="W268" s="10">
        <v>0</v>
      </c>
      <c r="X268" s="10">
        <v>0</v>
      </c>
      <c r="Y268" s="10">
        <v>0</v>
      </c>
      <c r="Z268" s="10">
        <v>0</v>
      </c>
      <c r="AA268" s="10">
        <v>0</v>
      </c>
      <c r="AB268" s="26">
        <f t="shared" si="13"/>
        <v>0</v>
      </c>
      <c r="AC268" s="25">
        <v>0</v>
      </c>
      <c r="AD268" s="10">
        <v>0</v>
      </c>
      <c r="AE268" s="10">
        <v>64505</v>
      </c>
      <c r="AF268" s="10">
        <v>69872</v>
      </c>
      <c r="AG268" s="10">
        <v>79630</v>
      </c>
      <c r="AH268" s="10">
        <v>71362</v>
      </c>
      <c r="AI268" s="10">
        <v>36461</v>
      </c>
      <c r="AJ268" s="10">
        <v>5133</v>
      </c>
      <c r="AK268" s="10">
        <v>0</v>
      </c>
      <c r="AL268" s="10">
        <v>0</v>
      </c>
      <c r="AM268" s="10">
        <v>0</v>
      </c>
      <c r="AN268" s="10">
        <v>0</v>
      </c>
      <c r="AO268" s="26">
        <f t="shared" si="14"/>
        <v>326963</v>
      </c>
    </row>
    <row r="269" spans="1:41" ht="17.25" customHeight="1" x14ac:dyDescent="0.45">
      <c r="A269" s="2" t="s">
        <v>14</v>
      </c>
      <c r="B269" s="2" t="s">
        <v>9</v>
      </c>
      <c r="C269" s="23">
        <v>30</v>
      </c>
      <c r="D269" s="1">
        <v>24</v>
      </c>
      <c r="E269" s="1">
        <v>27</v>
      </c>
      <c r="F269" s="1">
        <v>17</v>
      </c>
      <c r="G269" s="1">
        <v>17</v>
      </c>
      <c r="H269" s="1">
        <v>16</v>
      </c>
      <c r="I269" s="1">
        <v>17</v>
      </c>
      <c r="J269" s="1">
        <v>17</v>
      </c>
      <c r="K269" s="1">
        <v>14</v>
      </c>
      <c r="L269" s="1">
        <v>16</v>
      </c>
      <c r="M269" s="1">
        <v>3</v>
      </c>
      <c r="N269" s="1">
        <v>0</v>
      </c>
      <c r="O269" s="24">
        <f t="shared" si="12"/>
        <v>198</v>
      </c>
      <c r="P269" s="23">
        <v>391</v>
      </c>
      <c r="Q269" s="1">
        <v>399</v>
      </c>
      <c r="R269" s="1">
        <v>485</v>
      </c>
      <c r="S269" s="1">
        <v>232</v>
      </c>
      <c r="T269" s="1">
        <v>246</v>
      </c>
      <c r="U269" s="1">
        <v>181</v>
      </c>
      <c r="V269" s="1">
        <v>185</v>
      </c>
      <c r="W269" s="1">
        <v>146</v>
      </c>
      <c r="X269" s="1">
        <v>138</v>
      </c>
      <c r="Y269" s="1">
        <v>90</v>
      </c>
      <c r="Z269" s="1">
        <v>30</v>
      </c>
      <c r="AA269" s="1">
        <v>0</v>
      </c>
      <c r="AB269" s="24">
        <f t="shared" si="13"/>
        <v>2523</v>
      </c>
      <c r="AC269" s="23">
        <v>0</v>
      </c>
      <c r="AD269" s="1">
        <v>0</v>
      </c>
      <c r="AE269" s="1">
        <v>0</v>
      </c>
      <c r="AF269" s="1">
        <v>0</v>
      </c>
      <c r="AG269" s="1">
        <v>0</v>
      </c>
      <c r="AH269" s="1">
        <v>0</v>
      </c>
      <c r="AI269" s="1">
        <v>0</v>
      </c>
      <c r="AJ269" s="1">
        <v>0</v>
      </c>
      <c r="AK269" s="1">
        <v>0</v>
      </c>
      <c r="AL269" s="1">
        <v>0</v>
      </c>
      <c r="AM269" s="1">
        <v>0</v>
      </c>
      <c r="AN269" s="1">
        <v>0</v>
      </c>
      <c r="AO269" s="24">
        <f t="shared" si="14"/>
        <v>0</v>
      </c>
    </row>
    <row r="270" spans="1:41" ht="17.25" customHeight="1" x14ac:dyDescent="0.45">
      <c r="A270" s="12" t="s">
        <v>14</v>
      </c>
      <c r="B270" s="12" t="s">
        <v>18</v>
      </c>
      <c r="C270" s="25">
        <v>0</v>
      </c>
      <c r="D270" s="10">
        <v>0</v>
      </c>
      <c r="E270" s="10">
        <v>0</v>
      </c>
      <c r="F270" s="10">
        <v>8</v>
      </c>
      <c r="G270" s="10">
        <v>9</v>
      </c>
      <c r="H270" s="10">
        <v>7</v>
      </c>
      <c r="I270" s="10">
        <v>16</v>
      </c>
      <c r="J270" s="10">
        <v>17</v>
      </c>
      <c r="K270" s="10">
        <v>17</v>
      </c>
      <c r="L270" s="10">
        <v>18</v>
      </c>
      <c r="M270" s="10">
        <v>17</v>
      </c>
      <c r="N270" s="10">
        <v>19</v>
      </c>
      <c r="O270" s="26">
        <f t="shared" si="12"/>
        <v>128</v>
      </c>
      <c r="P270" s="25">
        <v>0</v>
      </c>
      <c r="Q270" s="10">
        <v>0</v>
      </c>
      <c r="R270" s="10">
        <v>0</v>
      </c>
      <c r="S270" s="10">
        <v>228</v>
      </c>
      <c r="T270" s="10">
        <v>214</v>
      </c>
      <c r="U270" s="10">
        <v>127</v>
      </c>
      <c r="V270" s="10">
        <v>335</v>
      </c>
      <c r="W270" s="10">
        <v>228</v>
      </c>
      <c r="X270" s="10">
        <v>208</v>
      </c>
      <c r="Y270" s="10">
        <v>235</v>
      </c>
      <c r="Z270" s="10">
        <v>324</v>
      </c>
      <c r="AA270" s="10">
        <v>594</v>
      </c>
      <c r="AB270" s="26">
        <f t="shared" si="13"/>
        <v>2493</v>
      </c>
      <c r="AC270" s="25">
        <v>0</v>
      </c>
      <c r="AD270" s="10">
        <v>0</v>
      </c>
      <c r="AE270" s="10">
        <v>0</v>
      </c>
      <c r="AF270" s="10">
        <v>0</v>
      </c>
      <c r="AG270" s="10">
        <v>0</v>
      </c>
      <c r="AH270" s="10">
        <v>0</v>
      </c>
      <c r="AI270" s="10">
        <v>0</v>
      </c>
      <c r="AJ270" s="10">
        <v>0</v>
      </c>
      <c r="AK270" s="10">
        <v>0</v>
      </c>
      <c r="AL270" s="10">
        <v>0</v>
      </c>
      <c r="AM270" s="10">
        <v>0</v>
      </c>
      <c r="AN270" s="10">
        <v>0</v>
      </c>
      <c r="AO270" s="26">
        <f t="shared" si="14"/>
        <v>0</v>
      </c>
    </row>
    <row r="271" spans="1:41" ht="17.25" customHeight="1" x14ac:dyDescent="0.45">
      <c r="A271" s="2" t="s">
        <v>14</v>
      </c>
      <c r="B271" s="2" t="s">
        <v>10</v>
      </c>
      <c r="C271" s="23">
        <v>3</v>
      </c>
      <c r="D271" s="1">
        <v>0</v>
      </c>
      <c r="E271" s="1">
        <v>0</v>
      </c>
      <c r="F271" s="1">
        <v>0</v>
      </c>
      <c r="G271" s="1">
        <v>0</v>
      </c>
      <c r="H271" s="1">
        <v>0</v>
      </c>
      <c r="I271" s="1">
        <v>0</v>
      </c>
      <c r="J271" s="1">
        <v>0</v>
      </c>
      <c r="K271" s="1">
        <v>0</v>
      </c>
      <c r="L271" s="1">
        <v>0</v>
      </c>
      <c r="M271" s="1">
        <v>0</v>
      </c>
      <c r="N271" s="1">
        <v>2</v>
      </c>
      <c r="O271" s="24">
        <f t="shared" si="12"/>
        <v>5</v>
      </c>
      <c r="P271" s="23">
        <v>405</v>
      </c>
      <c r="Q271" s="1">
        <v>0</v>
      </c>
      <c r="R271" s="1">
        <v>0</v>
      </c>
      <c r="S271" s="1">
        <v>0</v>
      </c>
      <c r="T271" s="1">
        <v>0</v>
      </c>
      <c r="U271" s="1">
        <v>0</v>
      </c>
      <c r="V271" s="1">
        <v>0</v>
      </c>
      <c r="W271" s="1">
        <v>0</v>
      </c>
      <c r="X271" s="1">
        <v>0</v>
      </c>
      <c r="Y271" s="1">
        <v>0</v>
      </c>
      <c r="Z271" s="1">
        <v>0</v>
      </c>
      <c r="AA271" s="1">
        <v>253</v>
      </c>
      <c r="AB271" s="24">
        <f t="shared" si="13"/>
        <v>658</v>
      </c>
      <c r="AC271" s="23">
        <v>0</v>
      </c>
      <c r="AD271" s="1">
        <v>0</v>
      </c>
      <c r="AE271" s="1">
        <v>0</v>
      </c>
      <c r="AF271" s="1">
        <v>0</v>
      </c>
      <c r="AG271" s="1">
        <v>0</v>
      </c>
      <c r="AH271" s="1">
        <v>0</v>
      </c>
      <c r="AI271" s="1">
        <v>0</v>
      </c>
      <c r="AJ271" s="1">
        <v>0</v>
      </c>
      <c r="AK271" s="1">
        <v>0</v>
      </c>
      <c r="AL271" s="1">
        <v>0</v>
      </c>
      <c r="AM271" s="1">
        <v>0</v>
      </c>
      <c r="AN271" s="1">
        <v>0</v>
      </c>
      <c r="AO271" s="24">
        <f t="shared" si="14"/>
        <v>0</v>
      </c>
    </row>
    <row r="272" spans="1:41" ht="17.25" customHeight="1" x14ac:dyDescent="0.45">
      <c r="A272" s="12" t="s">
        <v>14</v>
      </c>
      <c r="B272" s="12" t="s">
        <v>20</v>
      </c>
      <c r="C272" s="25">
        <v>0</v>
      </c>
      <c r="D272" s="10">
        <v>0</v>
      </c>
      <c r="E272" s="10">
        <v>1</v>
      </c>
      <c r="F272" s="10">
        <v>0</v>
      </c>
      <c r="G272" s="10">
        <v>0</v>
      </c>
      <c r="H272" s="10">
        <v>0</v>
      </c>
      <c r="I272" s="10">
        <v>0</v>
      </c>
      <c r="J272" s="10">
        <v>0</v>
      </c>
      <c r="K272" s="10">
        <v>0</v>
      </c>
      <c r="L272" s="10">
        <v>0</v>
      </c>
      <c r="M272" s="10">
        <v>0</v>
      </c>
      <c r="N272" s="10">
        <v>0</v>
      </c>
      <c r="O272" s="26">
        <f t="shared" si="12"/>
        <v>1</v>
      </c>
      <c r="P272" s="25">
        <v>0</v>
      </c>
      <c r="Q272" s="10">
        <v>0</v>
      </c>
      <c r="R272" s="10">
        <v>204</v>
      </c>
      <c r="S272" s="10">
        <v>0</v>
      </c>
      <c r="T272" s="10">
        <v>0</v>
      </c>
      <c r="U272" s="10">
        <v>0</v>
      </c>
      <c r="V272" s="10">
        <v>0</v>
      </c>
      <c r="W272" s="10">
        <v>0</v>
      </c>
      <c r="X272" s="10">
        <v>0</v>
      </c>
      <c r="Y272" s="10">
        <v>0</v>
      </c>
      <c r="Z272" s="10">
        <v>0</v>
      </c>
      <c r="AA272" s="10">
        <v>0</v>
      </c>
      <c r="AB272" s="26">
        <f t="shared" si="13"/>
        <v>204</v>
      </c>
      <c r="AC272" s="25">
        <v>0</v>
      </c>
      <c r="AD272" s="10">
        <v>0</v>
      </c>
      <c r="AE272" s="10">
        <v>0</v>
      </c>
      <c r="AF272" s="10">
        <v>0</v>
      </c>
      <c r="AG272" s="10">
        <v>0</v>
      </c>
      <c r="AH272" s="10">
        <v>0</v>
      </c>
      <c r="AI272" s="10">
        <v>0</v>
      </c>
      <c r="AJ272" s="10">
        <v>0</v>
      </c>
      <c r="AK272" s="10">
        <v>0</v>
      </c>
      <c r="AL272" s="10">
        <v>0</v>
      </c>
      <c r="AM272" s="10">
        <v>0</v>
      </c>
      <c r="AN272" s="10">
        <v>0</v>
      </c>
      <c r="AO272" s="26">
        <f t="shared" si="14"/>
        <v>0</v>
      </c>
    </row>
    <row r="273" spans="1:41" ht="17.25" customHeight="1" x14ac:dyDescent="0.45">
      <c r="A273" s="2" t="s">
        <v>14</v>
      </c>
      <c r="B273" s="2" t="s">
        <v>44</v>
      </c>
      <c r="C273" s="23">
        <v>26</v>
      </c>
      <c r="D273" s="1">
        <v>12</v>
      </c>
      <c r="E273" s="1">
        <v>13</v>
      </c>
      <c r="F273" s="1">
        <v>13</v>
      </c>
      <c r="G273" s="1">
        <v>13</v>
      </c>
      <c r="H273" s="1">
        <v>13</v>
      </c>
      <c r="I273" s="1">
        <v>18</v>
      </c>
      <c r="J273" s="1">
        <v>18</v>
      </c>
      <c r="K273" s="1">
        <v>18</v>
      </c>
      <c r="L273" s="1">
        <v>17</v>
      </c>
      <c r="M273" s="1">
        <v>14</v>
      </c>
      <c r="N273" s="1">
        <v>13</v>
      </c>
      <c r="O273" s="24">
        <f t="shared" si="12"/>
        <v>188</v>
      </c>
      <c r="P273" s="23">
        <v>380</v>
      </c>
      <c r="Q273" s="1">
        <v>392</v>
      </c>
      <c r="R273" s="1">
        <v>485</v>
      </c>
      <c r="S273" s="1">
        <v>443</v>
      </c>
      <c r="T273" s="1">
        <v>431</v>
      </c>
      <c r="U273" s="1">
        <v>339</v>
      </c>
      <c r="V273" s="1">
        <v>594</v>
      </c>
      <c r="W273" s="1">
        <v>599</v>
      </c>
      <c r="X273" s="1">
        <v>445</v>
      </c>
      <c r="Y273" s="1">
        <v>479</v>
      </c>
      <c r="Z273" s="1">
        <v>535</v>
      </c>
      <c r="AA273" s="1">
        <v>531</v>
      </c>
      <c r="AB273" s="24">
        <f t="shared" si="13"/>
        <v>5653</v>
      </c>
      <c r="AC273" s="23">
        <v>0</v>
      </c>
      <c r="AD273" s="1">
        <v>0</v>
      </c>
      <c r="AE273" s="1">
        <v>0</v>
      </c>
      <c r="AF273" s="1">
        <v>0</v>
      </c>
      <c r="AG273" s="1">
        <v>0</v>
      </c>
      <c r="AH273" s="1">
        <v>0</v>
      </c>
      <c r="AI273" s="1">
        <v>0</v>
      </c>
      <c r="AJ273" s="1">
        <v>0</v>
      </c>
      <c r="AK273" s="1">
        <v>0</v>
      </c>
      <c r="AL273" s="1">
        <v>0</v>
      </c>
      <c r="AM273" s="1">
        <v>0</v>
      </c>
      <c r="AN273" s="1">
        <v>0</v>
      </c>
      <c r="AO273" s="24">
        <f t="shared" si="14"/>
        <v>0</v>
      </c>
    </row>
    <row r="274" spans="1:41" ht="17.25" customHeight="1" x14ac:dyDescent="0.45">
      <c r="A274" s="12" t="s">
        <v>14</v>
      </c>
      <c r="B274" s="12" t="s">
        <v>11</v>
      </c>
      <c r="C274" s="25">
        <v>34</v>
      </c>
      <c r="D274" s="10">
        <v>26</v>
      </c>
      <c r="E274" s="10">
        <v>26</v>
      </c>
      <c r="F274" s="10">
        <v>5</v>
      </c>
      <c r="G274" s="10">
        <v>3</v>
      </c>
      <c r="H274" s="10">
        <v>7</v>
      </c>
      <c r="I274" s="10">
        <v>4</v>
      </c>
      <c r="J274" s="10">
        <v>4</v>
      </c>
      <c r="K274" s="10">
        <v>3</v>
      </c>
      <c r="L274" s="10">
        <v>3</v>
      </c>
      <c r="M274" s="10">
        <v>5</v>
      </c>
      <c r="N274" s="10">
        <v>3</v>
      </c>
      <c r="O274" s="26">
        <f t="shared" si="12"/>
        <v>123</v>
      </c>
      <c r="P274" s="25">
        <v>1015</v>
      </c>
      <c r="Q274" s="10">
        <v>452</v>
      </c>
      <c r="R274" s="10">
        <v>412</v>
      </c>
      <c r="S274" s="10">
        <v>0</v>
      </c>
      <c r="T274" s="10">
        <v>0</v>
      </c>
      <c r="U274" s="10">
        <v>0</v>
      </c>
      <c r="V274" s="10">
        <v>0</v>
      </c>
      <c r="W274" s="10">
        <v>0</v>
      </c>
      <c r="X274" s="10">
        <v>0</v>
      </c>
      <c r="Y274" s="10">
        <v>0</v>
      </c>
      <c r="Z274" s="10">
        <v>0</v>
      </c>
      <c r="AA274" s="10">
        <v>0</v>
      </c>
      <c r="AB274" s="26">
        <f t="shared" si="13"/>
        <v>1879</v>
      </c>
      <c r="AC274" s="25">
        <v>87801</v>
      </c>
      <c r="AD274" s="10">
        <v>118792</v>
      </c>
      <c r="AE274" s="10">
        <v>106377</v>
      </c>
      <c r="AF274" s="10">
        <v>131918</v>
      </c>
      <c r="AG274" s="10">
        <v>78029</v>
      </c>
      <c r="AH274" s="10">
        <v>162048</v>
      </c>
      <c r="AI274" s="10">
        <v>98027</v>
      </c>
      <c r="AJ274" s="10">
        <v>70683</v>
      </c>
      <c r="AK274" s="10">
        <v>69593</v>
      </c>
      <c r="AL274" s="10">
        <v>73009</v>
      </c>
      <c r="AM274" s="10">
        <v>102303</v>
      </c>
      <c r="AN274" s="10">
        <v>70796</v>
      </c>
      <c r="AO274" s="26">
        <f t="shared" si="14"/>
        <v>1169376</v>
      </c>
    </row>
    <row r="275" spans="1:41" ht="17.25" customHeight="1" x14ac:dyDescent="0.45">
      <c r="A275" s="2" t="s">
        <v>14</v>
      </c>
      <c r="B275" s="2" t="s">
        <v>51</v>
      </c>
      <c r="C275" s="23">
        <v>0</v>
      </c>
      <c r="D275" s="1">
        <v>0</v>
      </c>
      <c r="E275" s="1">
        <v>0</v>
      </c>
      <c r="F275" s="1">
        <v>0</v>
      </c>
      <c r="G275" s="1">
        <v>0</v>
      </c>
      <c r="H275" s="1">
        <v>0</v>
      </c>
      <c r="I275" s="1">
        <v>0</v>
      </c>
      <c r="J275" s="1">
        <v>0</v>
      </c>
      <c r="K275" s="1">
        <v>1</v>
      </c>
      <c r="L275" s="1">
        <v>0</v>
      </c>
      <c r="M275" s="1">
        <v>0</v>
      </c>
      <c r="N275" s="1">
        <v>0</v>
      </c>
      <c r="O275" s="24">
        <f t="shared" si="12"/>
        <v>1</v>
      </c>
      <c r="P275" s="23">
        <v>0</v>
      </c>
      <c r="Q275" s="1">
        <v>0</v>
      </c>
      <c r="R275" s="1">
        <v>0</v>
      </c>
      <c r="S275" s="1">
        <v>0</v>
      </c>
      <c r="T275" s="1">
        <v>0</v>
      </c>
      <c r="U275" s="1">
        <v>0</v>
      </c>
      <c r="V275" s="1">
        <v>0</v>
      </c>
      <c r="W275" s="1">
        <v>0</v>
      </c>
      <c r="X275" s="1">
        <v>66</v>
      </c>
      <c r="Y275" s="1">
        <v>0</v>
      </c>
      <c r="Z275" s="1">
        <v>0</v>
      </c>
      <c r="AA275" s="1">
        <v>0</v>
      </c>
      <c r="AB275" s="24">
        <f t="shared" si="13"/>
        <v>66</v>
      </c>
      <c r="AC275" s="23">
        <v>0</v>
      </c>
      <c r="AD275" s="1">
        <v>0</v>
      </c>
      <c r="AE275" s="1">
        <v>0</v>
      </c>
      <c r="AF275" s="1">
        <v>0</v>
      </c>
      <c r="AG275" s="1">
        <v>0</v>
      </c>
      <c r="AH275" s="1">
        <v>0</v>
      </c>
      <c r="AI275" s="1">
        <v>0</v>
      </c>
      <c r="AJ275" s="1">
        <v>0</v>
      </c>
      <c r="AK275" s="1">
        <v>0</v>
      </c>
      <c r="AL275" s="1">
        <v>0</v>
      </c>
      <c r="AM275" s="1">
        <v>0</v>
      </c>
      <c r="AN275" s="1">
        <v>0</v>
      </c>
      <c r="AO275" s="24">
        <f t="shared" si="14"/>
        <v>0</v>
      </c>
    </row>
    <row r="276" spans="1:41" ht="17.25" customHeight="1" x14ac:dyDescent="0.45">
      <c r="A276" s="12" t="s">
        <v>14</v>
      </c>
      <c r="B276" s="12" t="s">
        <v>52</v>
      </c>
      <c r="C276" s="25">
        <v>29</v>
      </c>
      <c r="D276" s="10">
        <v>24</v>
      </c>
      <c r="E276" s="10">
        <v>26</v>
      </c>
      <c r="F276" s="10">
        <v>17</v>
      </c>
      <c r="G276" s="10">
        <v>17</v>
      </c>
      <c r="H276" s="10">
        <v>17</v>
      </c>
      <c r="I276" s="10">
        <v>18</v>
      </c>
      <c r="J276" s="10">
        <v>18</v>
      </c>
      <c r="K276" s="10">
        <v>16</v>
      </c>
      <c r="L276" s="10">
        <v>17</v>
      </c>
      <c r="M276" s="10">
        <v>17</v>
      </c>
      <c r="N276" s="10">
        <v>18</v>
      </c>
      <c r="O276" s="26">
        <f t="shared" si="12"/>
        <v>234</v>
      </c>
      <c r="P276" s="25">
        <v>639</v>
      </c>
      <c r="Q276" s="10">
        <v>399</v>
      </c>
      <c r="R276" s="10">
        <v>488</v>
      </c>
      <c r="S276" s="10">
        <v>353</v>
      </c>
      <c r="T276" s="10">
        <v>330</v>
      </c>
      <c r="U276" s="10">
        <v>272</v>
      </c>
      <c r="V276" s="10">
        <v>447</v>
      </c>
      <c r="W276" s="10">
        <v>229</v>
      </c>
      <c r="X276" s="10">
        <v>130</v>
      </c>
      <c r="Y276" s="10">
        <v>227</v>
      </c>
      <c r="Z276" s="10">
        <v>374</v>
      </c>
      <c r="AA276" s="10">
        <v>624</v>
      </c>
      <c r="AB276" s="26">
        <f t="shared" si="13"/>
        <v>4512</v>
      </c>
      <c r="AC276" s="25">
        <v>0</v>
      </c>
      <c r="AD276" s="10">
        <v>0</v>
      </c>
      <c r="AE276" s="10">
        <v>0</v>
      </c>
      <c r="AF276" s="10">
        <v>0</v>
      </c>
      <c r="AG276" s="10">
        <v>0</v>
      </c>
      <c r="AH276" s="10">
        <v>0</v>
      </c>
      <c r="AI276" s="10">
        <v>0</v>
      </c>
      <c r="AJ276" s="10">
        <v>0</v>
      </c>
      <c r="AK276" s="10">
        <v>0</v>
      </c>
      <c r="AL276" s="10">
        <v>0</v>
      </c>
      <c r="AM276" s="10">
        <v>0</v>
      </c>
      <c r="AN276" s="10">
        <v>0</v>
      </c>
      <c r="AO276" s="26">
        <f t="shared" si="14"/>
        <v>0</v>
      </c>
    </row>
    <row r="277" spans="1:41" ht="17.25" customHeight="1" x14ac:dyDescent="0.45">
      <c r="A277" s="2" t="s">
        <v>14</v>
      </c>
      <c r="B277" s="2" t="s">
        <v>53</v>
      </c>
      <c r="C277" s="23">
        <v>0</v>
      </c>
      <c r="D277" s="1">
        <v>12</v>
      </c>
      <c r="E277" s="1">
        <v>13</v>
      </c>
      <c r="F277" s="1">
        <v>17</v>
      </c>
      <c r="G277" s="1">
        <v>17</v>
      </c>
      <c r="H277" s="1">
        <v>16</v>
      </c>
      <c r="I277" s="1">
        <v>22</v>
      </c>
      <c r="J277" s="1">
        <v>21</v>
      </c>
      <c r="K277" s="1">
        <v>21</v>
      </c>
      <c r="L277" s="1">
        <v>22</v>
      </c>
      <c r="M277" s="1">
        <v>25</v>
      </c>
      <c r="N277" s="1">
        <v>26</v>
      </c>
      <c r="O277" s="24">
        <f t="shared" si="12"/>
        <v>212</v>
      </c>
      <c r="P277" s="23">
        <v>0</v>
      </c>
      <c r="Q277" s="1">
        <v>428</v>
      </c>
      <c r="R277" s="1">
        <v>553</v>
      </c>
      <c r="S277" s="1">
        <v>560</v>
      </c>
      <c r="T277" s="1">
        <v>552</v>
      </c>
      <c r="U277" s="1">
        <v>419</v>
      </c>
      <c r="V277" s="1">
        <v>685</v>
      </c>
      <c r="W277" s="1">
        <v>577</v>
      </c>
      <c r="X277" s="1">
        <v>554</v>
      </c>
      <c r="Y277" s="1">
        <v>613</v>
      </c>
      <c r="Z277" s="1">
        <v>785</v>
      </c>
      <c r="AA277" s="1">
        <v>1091</v>
      </c>
      <c r="AB277" s="24">
        <f t="shared" si="13"/>
        <v>6817</v>
      </c>
      <c r="AC277" s="23">
        <v>0</v>
      </c>
      <c r="AD277" s="1">
        <v>0</v>
      </c>
      <c r="AE277" s="1">
        <v>0</v>
      </c>
      <c r="AF277" s="1">
        <v>0</v>
      </c>
      <c r="AG277" s="1">
        <v>0</v>
      </c>
      <c r="AH277" s="1">
        <v>0</v>
      </c>
      <c r="AI277" s="1">
        <v>0</v>
      </c>
      <c r="AJ277" s="1">
        <v>0</v>
      </c>
      <c r="AK277" s="1">
        <v>0</v>
      </c>
      <c r="AL277" s="1">
        <v>0</v>
      </c>
      <c r="AM277" s="1">
        <v>0</v>
      </c>
      <c r="AN277" s="1">
        <v>0</v>
      </c>
      <c r="AO277" s="24">
        <f t="shared" si="14"/>
        <v>0</v>
      </c>
    </row>
    <row r="278" spans="1:41" ht="17.25" customHeight="1" x14ac:dyDescent="0.45">
      <c r="A278" s="12" t="s">
        <v>14</v>
      </c>
      <c r="B278" s="12" t="s">
        <v>40</v>
      </c>
      <c r="C278" s="25">
        <v>0</v>
      </c>
      <c r="D278" s="10">
        <v>1</v>
      </c>
      <c r="E278" s="10">
        <v>0</v>
      </c>
      <c r="F278" s="10">
        <v>1</v>
      </c>
      <c r="G278" s="10">
        <v>0</v>
      </c>
      <c r="H278" s="10">
        <v>0</v>
      </c>
      <c r="I278" s="10">
        <v>0</v>
      </c>
      <c r="J278" s="10">
        <v>0</v>
      </c>
      <c r="K278" s="10">
        <v>0</v>
      </c>
      <c r="L278" s="10">
        <v>0</v>
      </c>
      <c r="M278" s="10">
        <v>0</v>
      </c>
      <c r="N278" s="10">
        <v>0</v>
      </c>
      <c r="O278" s="26">
        <f t="shared" si="12"/>
        <v>2</v>
      </c>
      <c r="P278" s="25">
        <v>0</v>
      </c>
      <c r="Q278" s="10">
        <v>0</v>
      </c>
      <c r="R278" s="10">
        <v>0</v>
      </c>
      <c r="S278" s="10">
        <v>122</v>
      </c>
      <c r="T278" s="10">
        <v>0</v>
      </c>
      <c r="U278" s="10">
        <v>0</v>
      </c>
      <c r="V278" s="10">
        <v>0</v>
      </c>
      <c r="W278" s="10">
        <v>0</v>
      </c>
      <c r="X278" s="10">
        <v>0</v>
      </c>
      <c r="Y278" s="10">
        <v>0</v>
      </c>
      <c r="Z278" s="10">
        <v>0</v>
      </c>
      <c r="AA278" s="10">
        <v>0</v>
      </c>
      <c r="AB278" s="26">
        <f t="shared" si="13"/>
        <v>122</v>
      </c>
      <c r="AC278" s="25">
        <v>0</v>
      </c>
      <c r="AD278" s="10">
        <v>3706</v>
      </c>
      <c r="AE278" s="10">
        <v>0</v>
      </c>
      <c r="AF278" s="10">
        <v>0</v>
      </c>
      <c r="AG278" s="10">
        <v>0</v>
      </c>
      <c r="AH278" s="10">
        <v>0</v>
      </c>
      <c r="AI278" s="10">
        <v>0</v>
      </c>
      <c r="AJ278" s="10">
        <v>0</v>
      </c>
      <c r="AK278" s="10">
        <v>0</v>
      </c>
      <c r="AL278" s="10">
        <v>0</v>
      </c>
      <c r="AM278" s="10">
        <v>0</v>
      </c>
      <c r="AN278" s="10">
        <v>0</v>
      </c>
      <c r="AO278" s="26">
        <f t="shared" si="14"/>
        <v>3706</v>
      </c>
    </row>
    <row r="279" spans="1:41" ht="17.25" customHeight="1" x14ac:dyDescent="0.45">
      <c r="A279" s="2" t="s">
        <v>14</v>
      </c>
      <c r="B279" s="2" t="s">
        <v>13</v>
      </c>
      <c r="C279" s="23">
        <v>0</v>
      </c>
      <c r="D279" s="1">
        <v>0</v>
      </c>
      <c r="E279" s="1">
        <v>1</v>
      </c>
      <c r="F279" s="1">
        <v>0</v>
      </c>
      <c r="G279" s="1">
        <v>1</v>
      </c>
      <c r="H279" s="1">
        <v>0</v>
      </c>
      <c r="I279" s="1">
        <v>0</v>
      </c>
      <c r="J279" s="1">
        <v>0</v>
      </c>
      <c r="K279" s="1">
        <v>0</v>
      </c>
      <c r="L279" s="1">
        <v>2</v>
      </c>
      <c r="M279" s="1">
        <v>0</v>
      </c>
      <c r="N279" s="1">
        <v>0</v>
      </c>
      <c r="O279" s="24">
        <f t="shared" si="12"/>
        <v>4</v>
      </c>
      <c r="P279" s="23">
        <v>0</v>
      </c>
      <c r="Q279" s="1">
        <v>0</v>
      </c>
      <c r="R279" s="1">
        <v>3</v>
      </c>
      <c r="S279" s="1">
        <v>0</v>
      </c>
      <c r="T279" s="1">
        <v>1</v>
      </c>
      <c r="U279" s="1">
        <v>0</v>
      </c>
      <c r="V279" s="1">
        <v>0</v>
      </c>
      <c r="W279" s="1">
        <v>0</v>
      </c>
      <c r="X279" s="1">
        <v>0</v>
      </c>
      <c r="Y279" s="1">
        <v>0</v>
      </c>
      <c r="Z279" s="1">
        <v>0</v>
      </c>
      <c r="AA279" s="1">
        <v>0</v>
      </c>
      <c r="AB279" s="24">
        <f t="shared" si="13"/>
        <v>4</v>
      </c>
      <c r="AC279" s="23">
        <v>0</v>
      </c>
      <c r="AD279" s="1">
        <v>0</v>
      </c>
      <c r="AE279" s="1">
        <v>0</v>
      </c>
      <c r="AF279" s="1">
        <v>0</v>
      </c>
      <c r="AG279" s="1">
        <v>0</v>
      </c>
      <c r="AH279" s="1">
        <v>0</v>
      </c>
      <c r="AI279" s="1">
        <v>0</v>
      </c>
      <c r="AJ279" s="1">
        <v>0</v>
      </c>
      <c r="AK279" s="1">
        <v>0</v>
      </c>
      <c r="AL279" s="1">
        <v>3460</v>
      </c>
      <c r="AM279" s="1">
        <v>0</v>
      </c>
      <c r="AN279" s="1">
        <v>0</v>
      </c>
      <c r="AO279" s="24">
        <f t="shared" si="14"/>
        <v>3460</v>
      </c>
    </row>
    <row r="280" spans="1:41" ht="17.25" customHeight="1" x14ac:dyDescent="0.45">
      <c r="A280" s="12" t="s">
        <v>14</v>
      </c>
      <c r="B280" s="12" t="s">
        <v>243</v>
      </c>
      <c r="C280" s="25">
        <v>17</v>
      </c>
      <c r="D280" s="10">
        <v>16</v>
      </c>
      <c r="E280" s="10">
        <v>18</v>
      </c>
      <c r="F280" s="10">
        <v>16</v>
      </c>
      <c r="G280" s="10">
        <v>17</v>
      </c>
      <c r="H280" s="10">
        <v>18</v>
      </c>
      <c r="I280" s="10">
        <v>17</v>
      </c>
      <c r="J280" s="10">
        <v>18</v>
      </c>
      <c r="K280" s="10">
        <v>19</v>
      </c>
      <c r="L280" s="10">
        <v>18</v>
      </c>
      <c r="M280" s="10">
        <v>16</v>
      </c>
      <c r="N280" s="10">
        <v>18</v>
      </c>
      <c r="O280" s="26">
        <f t="shared" si="12"/>
        <v>208</v>
      </c>
      <c r="P280" s="25">
        <v>295</v>
      </c>
      <c r="Q280" s="10">
        <v>325</v>
      </c>
      <c r="R280" s="10">
        <v>435</v>
      </c>
      <c r="S280" s="10">
        <v>371</v>
      </c>
      <c r="T280" s="10">
        <v>416</v>
      </c>
      <c r="U280" s="10">
        <v>418</v>
      </c>
      <c r="V280" s="10">
        <v>611</v>
      </c>
      <c r="W280" s="10">
        <v>457</v>
      </c>
      <c r="X280" s="10">
        <v>459</v>
      </c>
      <c r="Y280" s="10">
        <v>397</v>
      </c>
      <c r="Z280" s="10">
        <v>491</v>
      </c>
      <c r="AA280" s="10">
        <v>755</v>
      </c>
      <c r="AB280" s="26">
        <f t="shared" si="13"/>
        <v>5430</v>
      </c>
      <c r="AC280" s="25">
        <v>0</v>
      </c>
      <c r="AD280" s="10">
        <v>0</v>
      </c>
      <c r="AE280" s="10">
        <v>0</v>
      </c>
      <c r="AF280" s="10">
        <v>0</v>
      </c>
      <c r="AG280" s="10">
        <v>0</v>
      </c>
      <c r="AH280" s="10">
        <v>0</v>
      </c>
      <c r="AI280" s="10">
        <v>0</v>
      </c>
      <c r="AJ280" s="10">
        <v>0</v>
      </c>
      <c r="AK280" s="10">
        <v>0</v>
      </c>
      <c r="AL280" s="10">
        <v>0</v>
      </c>
      <c r="AM280" s="10">
        <v>0</v>
      </c>
      <c r="AN280" s="10">
        <v>0</v>
      </c>
      <c r="AO280" s="26">
        <f t="shared" si="14"/>
        <v>0</v>
      </c>
    </row>
    <row r="281" spans="1:41" ht="17.25" customHeight="1" x14ac:dyDescent="0.45">
      <c r="A281" s="2" t="s">
        <v>14</v>
      </c>
      <c r="B281" s="2" t="s">
        <v>17</v>
      </c>
      <c r="C281" s="23">
        <v>0</v>
      </c>
      <c r="D281" s="1">
        <v>0</v>
      </c>
      <c r="E281" s="1">
        <v>0</v>
      </c>
      <c r="F281" s="1">
        <v>0</v>
      </c>
      <c r="G281" s="1">
        <v>0</v>
      </c>
      <c r="H281" s="1">
        <v>0</v>
      </c>
      <c r="I281" s="1">
        <v>0</v>
      </c>
      <c r="J281" s="1">
        <v>0</v>
      </c>
      <c r="K281" s="1">
        <v>8</v>
      </c>
      <c r="L281" s="1">
        <v>8</v>
      </c>
      <c r="M281" s="1">
        <v>9</v>
      </c>
      <c r="N281" s="1">
        <v>9</v>
      </c>
      <c r="O281" s="24">
        <f t="shared" si="12"/>
        <v>34</v>
      </c>
      <c r="P281" s="23">
        <v>0</v>
      </c>
      <c r="Q281" s="1">
        <v>0</v>
      </c>
      <c r="R281" s="1">
        <v>0</v>
      </c>
      <c r="S281" s="1">
        <v>0</v>
      </c>
      <c r="T281" s="1">
        <v>0</v>
      </c>
      <c r="U281" s="1">
        <v>0</v>
      </c>
      <c r="V281" s="1">
        <v>0</v>
      </c>
      <c r="W281" s="1">
        <v>0</v>
      </c>
      <c r="X281" s="1">
        <v>102</v>
      </c>
      <c r="Y281" s="1">
        <v>89</v>
      </c>
      <c r="Z281" s="1">
        <v>177</v>
      </c>
      <c r="AA281" s="1">
        <v>240</v>
      </c>
      <c r="AB281" s="24">
        <f t="shared" si="13"/>
        <v>608</v>
      </c>
      <c r="AC281" s="23">
        <v>0</v>
      </c>
      <c r="AD281" s="1">
        <v>0</v>
      </c>
      <c r="AE281" s="1">
        <v>0</v>
      </c>
      <c r="AF281" s="1">
        <v>0</v>
      </c>
      <c r="AG281" s="1">
        <v>0</v>
      </c>
      <c r="AH281" s="1">
        <v>0</v>
      </c>
      <c r="AI281" s="1">
        <v>0</v>
      </c>
      <c r="AJ281" s="1">
        <v>0</v>
      </c>
      <c r="AK281" s="1">
        <v>0</v>
      </c>
      <c r="AL281" s="1">
        <v>0</v>
      </c>
      <c r="AM281" s="1">
        <v>0</v>
      </c>
      <c r="AN281" s="1">
        <v>0</v>
      </c>
      <c r="AO281" s="24">
        <f t="shared" si="14"/>
        <v>0</v>
      </c>
    </row>
    <row r="282" spans="1:41" ht="17.25" customHeight="1" x14ac:dyDescent="0.45">
      <c r="A282" s="12" t="s">
        <v>14</v>
      </c>
      <c r="B282" s="12" t="s">
        <v>28</v>
      </c>
      <c r="C282" s="25">
        <v>2</v>
      </c>
      <c r="D282" s="10">
        <v>5</v>
      </c>
      <c r="E282" s="10">
        <v>6</v>
      </c>
      <c r="F282" s="10">
        <v>9</v>
      </c>
      <c r="G282" s="10">
        <v>0</v>
      </c>
      <c r="H282" s="10">
        <v>0</v>
      </c>
      <c r="I282" s="10">
        <v>5</v>
      </c>
      <c r="J282" s="10">
        <v>0</v>
      </c>
      <c r="K282" s="10">
        <v>0</v>
      </c>
      <c r="L282" s="10">
        <v>0</v>
      </c>
      <c r="M282" s="10">
        <v>4</v>
      </c>
      <c r="N282" s="10">
        <v>0</v>
      </c>
      <c r="O282" s="26">
        <f t="shared" si="12"/>
        <v>31</v>
      </c>
      <c r="P282" s="25">
        <v>0</v>
      </c>
      <c r="Q282" s="10">
        <v>3</v>
      </c>
      <c r="R282" s="10">
        <v>4</v>
      </c>
      <c r="S282" s="10">
        <v>1</v>
      </c>
      <c r="T282" s="10">
        <v>0</v>
      </c>
      <c r="U282" s="10">
        <v>0</v>
      </c>
      <c r="V282" s="10">
        <v>10</v>
      </c>
      <c r="W282" s="10">
        <v>0</v>
      </c>
      <c r="X282" s="10">
        <v>0</v>
      </c>
      <c r="Y282" s="10">
        <v>0</v>
      </c>
      <c r="Z282" s="10">
        <v>1</v>
      </c>
      <c r="AA282" s="10">
        <v>0</v>
      </c>
      <c r="AB282" s="26">
        <f t="shared" si="13"/>
        <v>19</v>
      </c>
      <c r="AC282" s="25">
        <v>1000</v>
      </c>
      <c r="AD282" s="10">
        <v>500</v>
      </c>
      <c r="AE282" s="10">
        <v>500</v>
      </c>
      <c r="AF282" s="10">
        <v>0</v>
      </c>
      <c r="AG282" s="10">
        <v>0</v>
      </c>
      <c r="AH282" s="10">
        <v>0</v>
      </c>
      <c r="AI282" s="10">
        <v>0</v>
      </c>
      <c r="AJ282" s="10">
        <v>0</v>
      </c>
      <c r="AK282" s="10">
        <v>0</v>
      </c>
      <c r="AL282" s="10">
        <v>0</v>
      </c>
      <c r="AM282" s="10">
        <v>0</v>
      </c>
      <c r="AN282" s="10">
        <v>0</v>
      </c>
      <c r="AO282" s="26">
        <f t="shared" si="14"/>
        <v>2000</v>
      </c>
    </row>
    <row r="283" spans="1:41" ht="17.25" customHeight="1" x14ac:dyDescent="0.45">
      <c r="A283" s="2" t="s">
        <v>14</v>
      </c>
      <c r="B283" s="2" t="s">
        <v>206</v>
      </c>
      <c r="C283" s="23">
        <v>0</v>
      </c>
      <c r="D283" s="1">
        <v>0</v>
      </c>
      <c r="E283" s="1">
        <v>1</v>
      </c>
      <c r="F283" s="1">
        <v>0</v>
      </c>
      <c r="G283" s="1">
        <v>0</v>
      </c>
      <c r="H283" s="1">
        <v>0</v>
      </c>
      <c r="I283" s="1">
        <v>0</v>
      </c>
      <c r="J283" s="1">
        <v>0</v>
      </c>
      <c r="K283" s="1">
        <v>1</v>
      </c>
      <c r="L283" s="1">
        <v>5</v>
      </c>
      <c r="M283" s="1">
        <v>1</v>
      </c>
      <c r="N283" s="1">
        <v>0</v>
      </c>
      <c r="O283" s="24">
        <f t="shared" si="12"/>
        <v>8</v>
      </c>
      <c r="P283" s="23">
        <v>0</v>
      </c>
      <c r="Q283" s="1">
        <v>0</v>
      </c>
      <c r="R283" s="1">
        <v>0</v>
      </c>
      <c r="S283" s="1">
        <v>0</v>
      </c>
      <c r="T283" s="1">
        <v>0</v>
      </c>
      <c r="U283" s="1">
        <v>0</v>
      </c>
      <c r="V283" s="1">
        <v>0</v>
      </c>
      <c r="W283" s="1">
        <v>0</v>
      </c>
      <c r="X283" s="1">
        <v>0</v>
      </c>
      <c r="Y283" s="1">
        <v>0</v>
      </c>
      <c r="Z283" s="1">
        <v>0</v>
      </c>
      <c r="AA283" s="1">
        <v>0</v>
      </c>
      <c r="AB283" s="24">
        <f t="shared" si="13"/>
        <v>0</v>
      </c>
      <c r="AC283" s="23">
        <v>0</v>
      </c>
      <c r="AD283" s="1">
        <v>0</v>
      </c>
      <c r="AE283" s="1">
        <v>2808</v>
      </c>
      <c r="AF283" s="1">
        <v>0</v>
      </c>
      <c r="AG283" s="1">
        <v>0</v>
      </c>
      <c r="AH283" s="1">
        <v>0</v>
      </c>
      <c r="AI283" s="1">
        <v>0</v>
      </c>
      <c r="AJ283" s="1">
        <v>0</v>
      </c>
      <c r="AK283" s="1">
        <v>1580</v>
      </c>
      <c r="AL283" s="1">
        <v>13612</v>
      </c>
      <c r="AM283" s="1">
        <v>1000</v>
      </c>
      <c r="AN283" s="1">
        <v>0</v>
      </c>
      <c r="AO283" s="24">
        <f t="shared" si="14"/>
        <v>19000</v>
      </c>
    </row>
    <row r="284" spans="1:41" ht="17.25" customHeight="1" x14ac:dyDescent="0.45">
      <c r="A284" s="12" t="s">
        <v>14</v>
      </c>
      <c r="B284" s="12" t="s">
        <v>50</v>
      </c>
      <c r="C284" s="25">
        <v>14</v>
      </c>
      <c r="D284" s="10">
        <v>1</v>
      </c>
      <c r="E284" s="10">
        <v>0</v>
      </c>
      <c r="F284" s="10">
        <v>3</v>
      </c>
      <c r="G284" s="10">
        <v>7</v>
      </c>
      <c r="H284" s="10">
        <v>0</v>
      </c>
      <c r="I284" s="10">
        <v>0</v>
      </c>
      <c r="J284" s="10">
        <v>0</v>
      </c>
      <c r="K284" s="10">
        <v>0</v>
      </c>
      <c r="L284" s="10">
        <v>0</v>
      </c>
      <c r="M284" s="10">
        <v>0</v>
      </c>
      <c r="N284" s="10">
        <v>0</v>
      </c>
      <c r="O284" s="26">
        <f t="shared" si="12"/>
        <v>25</v>
      </c>
      <c r="P284" s="25">
        <v>1812</v>
      </c>
      <c r="Q284" s="10">
        <v>119</v>
      </c>
      <c r="R284" s="10">
        <v>0</v>
      </c>
      <c r="S284" s="10">
        <v>498</v>
      </c>
      <c r="T284" s="10">
        <v>1120</v>
      </c>
      <c r="U284" s="10">
        <v>0</v>
      </c>
      <c r="V284" s="10">
        <v>0</v>
      </c>
      <c r="W284" s="10">
        <v>0</v>
      </c>
      <c r="X284" s="10">
        <v>0</v>
      </c>
      <c r="Y284" s="10">
        <v>0</v>
      </c>
      <c r="Z284" s="10">
        <v>0</v>
      </c>
      <c r="AA284" s="10">
        <v>0</v>
      </c>
      <c r="AB284" s="26">
        <f t="shared" si="13"/>
        <v>3549</v>
      </c>
      <c r="AC284" s="25">
        <v>0</v>
      </c>
      <c r="AD284" s="10">
        <v>0</v>
      </c>
      <c r="AE284" s="10">
        <v>0</v>
      </c>
      <c r="AF284" s="10">
        <v>0</v>
      </c>
      <c r="AG284" s="10">
        <v>0</v>
      </c>
      <c r="AH284" s="10">
        <v>0</v>
      </c>
      <c r="AI284" s="10">
        <v>0</v>
      </c>
      <c r="AJ284" s="10">
        <v>0</v>
      </c>
      <c r="AK284" s="10">
        <v>0</v>
      </c>
      <c r="AL284" s="10">
        <v>0</v>
      </c>
      <c r="AM284" s="10">
        <v>0</v>
      </c>
      <c r="AN284" s="10">
        <v>0</v>
      </c>
      <c r="AO284" s="26">
        <f t="shared" si="14"/>
        <v>0</v>
      </c>
    </row>
    <row r="285" spans="1:41" ht="17.25" customHeight="1" x14ac:dyDescent="0.45">
      <c r="A285" s="2" t="s">
        <v>14</v>
      </c>
      <c r="B285" s="2" t="s">
        <v>15</v>
      </c>
      <c r="C285" s="23">
        <v>0</v>
      </c>
      <c r="D285" s="1">
        <v>0</v>
      </c>
      <c r="E285" s="1">
        <v>1</v>
      </c>
      <c r="F285" s="1">
        <v>0</v>
      </c>
      <c r="G285" s="1">
        <v>0</v>
      </c>
      <c r="H285" s="1">
        <v>0</v>
      </c>
      <c r="I285" s="1">
        <v>0</v>
      </c>
      <c r="J285" s="1">
        <v>0</v>
      </c>
      <c r="K285" s="1">
        <v>0</v>
      </c>
      <c r="L285" s="1">
        <v>0</v>
      </c>
      <c r="M285" s="1">
        <v>0</v>
      </c>
      <c r="N285" s="1">
        <v>0</v>
      </c>
      <c r="O285" s="24">
        <f t="shared" si="12"/>
        <v>1</v>
      </c>
      <c r="P285" s="23">
        <v>0</v>
      </c>
      <c r="Q285" s="1">
        <v>0</v>
      </c>
      <c r="R285" s="1">
        <v>15</v>
      </c>
      <c r="S285" s="1">
        <v>0</v>
      </c>
      <c r="T285" s="1">
        <v>0</v>
      </c>
      <c r="U285" s="1">
        <v>0</v>
      </c>
      <c r="V285" s="1">
        <v>0</v>
      </c>
      <c r="W285" s="1">
        <v>0</v>
      </c>
      <c r="X285" s="1">
        <v>0</v>
      </c>
      <c r="Y285" s="1">
        <v>0</v>
      </c>
      <c r="Z285" s="1">
        <v>0</v>
      </c>
      <c r="AA285" s="1">
        <v>0</v>
      </c>
      <c r="AB285" s="24">
        <f t="shared" si="13"/>
        <v>15</v>
      </c>
      <c r="AC285" s="23">
        <v>0</v>
      </c>
      <c r="AD285" s="1">
        <v>0</v>
      </c>
      <c r="AE285" s="1">
        <v>0</v>
      </c>
      <c r="AF285" s="1">
        <v>0</v>
      </c>
      <c r="AG285" s="1">
        <v>0</v>
      </c>
      <c r="AH285" s="1">
        <v>0</v>
      </c>
      <c r="AI285" s="1">
        <v>0</v>
      </c>
      <c r="AJ285" s="1">
        <v>0</v>
      </c>
      <c r="AK285" s="1">
        <v>0</v>
      </c>
      <c r="AL285" s="1">
        <v>0</v>
      </c>
      <c r="AM285" s="1">
        <v>0</v>
      </c>
      <c r="AN285" s="1">
        <v>0</v>
      </c>
      <c r="AO285" s="24">
        <f t="shared" si="14"/>
        <v>0</v>
      </c>
    </row>
    <row r="286" spans="1:41" ht="17.25" customHeight="1" x14ac:dyDescent="0.45">
      <c r="A286" s="12" t="s">
        <v>14</v>
      </c>
      <c r="B286" s="12" t="s">
        <v>63</v>
      </c>
      <c r="C286" s="25">
        <v>0</v>
      </c>
      <c r="D286" s="10">
        <v>14</v>
      </c>
      <c r="E286" s="10">
        <v>9</v>
      </c>
      <c r="F286" s="10">
        <v>9</v>
      </c>
      <c r="G286" s="10">
        <v>9</v>
      </c>
      <c r="H286" s="10">
        <v>7</v>
      </c>
      <c r="I286" s="10">
        <v>8</v>
      </c>
      <c r="J286" s="10">
        <v>8</v>
      </c>
      <c r="K286" s="10">
        <v>8</v>
      </c>
      <c r="L286" s="10">
        <v>8</v>
      </c>
      <c r="M286" s="10">
        <v>9</v>
      </c>
      <c r="N286" s="10">
        <v>9</v>
      </c>
      <c r="O286" s="26">
        <f t="shared" si="12"/>
        <v>98</v>
      </c>
      <c r="P286" s="25">
        <v>0</v>
      </c>
      <c r="Q286" s="10">
        <v>136</v>
      </c>
      <c r="R286" s="10">
        <v>84</v>
      </c>
      <c r="S286" s="10">
        <v>52</v>
      </c>
      <c r="T286" s="10">
        <v>83</v>
      </c>
      <c r="U286" s="10">
        <v>43</v>
      </c>
      <c r="V286" s="10">
        <v>42</v>
      </c>
      <c r="W286" s="10">
        <v>47</v>
      </c>
      <c r="X286" s="10">
        <v>40</v>
      </c>
      <c r="Y286" s="10">
        <v>41</v>
      </c>
      <c r="Z286" s="10">
        <v>47</v>
      </c>
      <c r="AA286" s="10">
        <v>62</v>
      </c>
      <c r="AB286" s="26">
        <f t="shared" si="13"/>
        <v>677</v>
      </c>
      <c r="AC286" s="25">
        <v>0</v>
      </c>
      <c r="AD286" s="10">
        <v>0</v>
      </c>
      <c r="AE286" s="10">
        <v>0</v>
      </c>
      <c r="AF286" s="10">
        <v>0</v>
      </c>
      <c r="AG286" s="10">
        <v>0</v>
      </c>
      <c r="AH286" s="10">
        <v>0</v>
      </c>
      <c r="AI286" s="10">
        <v>0</v>
      </c>
      <c r="AJ286" s="10">
        <v>0</v>
      </c>
      <c r="AK286" s="10">
        <v>0</v>
      </c>
      <c r="AL286" s="10">
        <v>0</v>
      </c>
      <c r="AM286" s="10">
        <v>0</v>
      </c>
      <c r="AN286" s="10">
        <v>0</v>
      </c>
      <c r="AO286" s="26">
        <f t="shared" si="14"/>
        <v>0</v>
      </c>
    </row>
    <row r="287" spans="1:41" ht="17.25" customHeight="1" x14ac:dyDescent="0.45">
      <c r="A287" s="2" t="s">
        <v>14</v>
      </c>
      <c r="B287" s="2" t="s">
        <v>36</v>
      </c>
      <c r="C287" s="23">
        <v>31</v>
      </c>
      <c r="D287" s="1">
        <v>28</v>
      </c>
      <c r="E287" s="1">
        <v>31</v>
      </c>
      <c r="F287" s="1">
        <v>30</v>
      </c>
      <c r="G287" s="1">
        <v>30</v>
      </c>
      <c r="H287" s="1">
        <v>30</v>
      </c>
      <c r="I287" s="1">
        <v>31</v>
      </c>
      <c r="J287" s="1">
        <v>29</v>
      </c>
      <c r="K287" s="1">
        <v>30</v>
      </c>
      <c r="L287" s="1">
        <v>31</v>
      </c>
      <c r="M287" s="1">
        <v>29</v>
      </c>
      <c r="N287" s="1">
        <v>30</v>
      </c>
      <c r="O287" s="24">
        <f t="shared" si="12"/>
        <v>360</v>
      </c>
      <c r="P287" s="23">
        <v>564</v>
      </c>
      <c r="Q287" s="1">
        <v>558</v>
      </c>
      <c r="R287" s="1">
        <v>710</v>
      </c>
      <c r="S287" s="1">
        <v>525</v>
      </c>
      <c r="T287" s="1">
        <v>557</v>
      </c>
      <c r="U287" s="1">
        <v>467</v>
      </c>
      <c r="V287" s="1">
        <v>619</v>
      </c>
      <c r="W287" s="1">
        <v>481</v>
      </c>
      <c r="X287" s="1">
        <v>361</v>
      </c>
      <c r="Y287" s="1">
        <v>349</v>
      </c>
      <c r="Z287" s="1">
        <v>509</v>
      </c>
      <c r="AA287" s="1">
        <v>1027</v>
      </c>
      <c r="AB287" s="24">
        <f t="shared" si="13"/>
        <v>6727</v>
      </c>
      <c r="AC287" s="23">
        <v>0</v>
      </c>
      <c r="AD287" s="1">
        <v>0</v>
      </c>
      <c r="AE287" s="1">
        <v>0</v>
      </c>
      <c r="AF287" s="1">
        <v>0</v>
      </c>
      <c r="AG287" s="1">
        <v>0</v>
      </c>
      <c r="AH287" s="1">
        <v>0</v>
      </c>
      <c r="AI287" s="1">
        <v>0</v>
      </c>
      <c r="AJ287" s="1">
        <v>0</v>
      </c>
      <c r="AK287" s="1">
        <v>0</v>
      </c>
      <c r="AL287" s="1">
        <v>0</v>
      </c>
      <c r="AM287" s="1">
        <v>0</v>
      </c>
      <c r="AN287" s="1">
        <v>0</v>
      </c>
      <c r="AO287" s="24">
        <f t="shared" si="14"/>
        <v>0</v>
      </c>
    </row>
    <row r="288" spans="1:41" ht="17.25" customHeight="1" x14ac:dyDescent="0.45">
      <c r="A288" s="12" t="s">
        <v>31</v>
      </c>
      <c r="B288" s="12" t="s">
        <v>32</v>
      </c>
      <c r="C288" s="25">
        <v>0</v>
      </c>
      <c r="D288" s="10">
        <v>0</v>
      </c>
      <c r="E288" s="10">
        <v>0</v>
      </c>
      <c r="F288" s="10">
        <v>0</v>
      </c>
      <c r="G288" s="10">
        <v>0</v>
      </c>
      <c r="H288" s="10">
        <v>0</v>
      </c>
      <c r="I288" s="10">
        <v>0</v>
      </c>
      <c r="J288" s="10">
        <v>0</v>
      </c>
      <c r="K288" s="10">
        <v>1</v>
      </c>
      <c r="L288" s="10">
        <v>0</v>
      </c>
      <c r="M288" s="10">
        <v>0</v>
      </c>
      <c r="N288" s="10">
        <v>0</v>
      </c>
      <c r="O288" s="26">
        <f t="shared" si="12"/>
        <v>1</v>
      </c>
      <c r="P288" s="25">
        <v>0</v>
      </c>
      <c r="Q288" s="10">
        <v>0</v>
      </c>
      <c r="R288" s="10">
        <v>0</v>
      </c>
      <c r="S288" s="10">
        <v>0</v>
      </c>
      <c r="T288" s="10">
        <v>0</v>
      </c>
      <c r="U288" s="10">
        <v>0</v>
      </c>
      <c r="V288" s="10">
        <v>0</v>
      </c>
      <c r="W288" s="10">
        <v>0</v>
      </c>
      <c r="X288" s="10">
        <v>34</v>
      </c>
      <c r="Y288" s="10">
        <v>0</v>
      </c>
      <c r="Z288" s="10">
        <v>0</v>
      </c>
      <c r="AA288" s="10">
        <v>0</v>
      </c>
      <c r="AB288" s="26">
        <f t="shared" si="13"/>
        <v>34</v>
      </c>
      <c r="AC288" s="25">
        <v>0</v>
      </c>
      <c r="AD288" s="10">
        <v>0</v>
      </c>
      <c r="AE288" s="10">
        <v>0</v>
      </c>
      <c r="AF288" s="10">
        <v>0</v>
      </c>
      <c r="AG288" s="10">
        <v>0</v>
      </c>
      <c r="AH288" s="10">
        <v>0</v>
      </c>
      <c r="AI288" s="10">
        <v>0</v>
      </c>
      <c r="AJ288" s="10">
        <v>0</v>
      </c>
      <c r="AK288" s="10">
        <v>0</v>
      </c>
      <c r="AL288" s="10">
        <v>0</v>
      </c>
      <c r="AM288" s="10">
        <v>0</v>
      </c>
      <c r="AN288" s="10">
        <v>0</v>
      </c>
      <c r="AO288" s="26">
        <f t="shared" si="14"/>
        <v>0</v>
      </c>
    </row>
    <row r="289" spans="1:41" ht="17.25" customHeight="1" x14ac:dyDescent="0.45">
      <c r="A289" s="2" t="s">
        <v>31</v>
      </c>
      <c r="B289" s="2" t="s">
        <v>36</v>
      </c>
      <c r="C289" s="23">
        <v>1</v>
      </c>
      <c r="D289" s="1">
        <v>0</v>
      </c>
      <c r="E289" s="1">
        <v>0</v>
      </c>
      <c r="F289" s="1">
        <v>0</v>
      </c>
      <c r="G289" s="1">
        <v>0</v>
      </c>
      <c r="H289" s="1">
        <v>0</v>
      </c>
      <c r="I289" s="1">
        <v>0</v>
      </c>
      <c r="J289" s="1">
        <v>0</v>
      </c>
      <c r="K289" s="1">
        <v>0</v>
      </c>
      <c r="L289" s="1">
        <v>0</v>
      </c>
      <c r="M289" s="1">
        <v>0</v>
      </c>
      <c r="N289" s="1">
        <v>0</v>
      </c>
      <c r="O289" s="24">
        <f t="shared" si="12"/>
        <v>1</v>
      </c>
      <c r="P289" s="23">
        <v>95</v>
      </c>
      <c r="Q289" s="1">
        <v>0</v>
      </c>
      <c r="R289" s="1">
        <v>0</v>
      </c>
      <c r="S289" s="1">
        <v>0</v>
      </c>
      <c r="T289" s="1">
        <v>0</v>
      </c>
      <c r="U289" s="1">
        <v>0</v>
      </c>
      <c r="V289" s="1">
        <v>0</v>
      </c>
      <c r="W289" s="1">
        <v>0</v>
      </c>
      <c r="X289" s="1">
        <v>0</v>
      </c>
      <c r="Y289" s="1">
        <v>0</v>
      </c>
      <c r="Z289" s="1">
        <v>0</v>
      </c>
      <c r="AA289" s="1">
        <v>0</v>
      </c>
      <c r="AB289" s="24">
        <f t="shared" si="13"/>
        <v>95</v>
      </c>
      <c r="AC289" s="23">
        <v>0</v>
      </c>
      <c r="AD289" s="1">
        <v>0</v>
      </c>
      <c r="AE289" s="1">
        <v>0</v>
      </c>
      <c r="AF289" s="1">
        <v>0</v>
      </c>
      <c r="AG289" s="1">
        <v>0</v>
      </c>
      <c r="AH289" s="1">
        <v>0</v>
      </c>
      <c r="AI289" s="1">
        <v>0</v>
      </c>
      <c r="AJ289" s="1">
        <v>0</v>
      </c>
      <c r="AK289" s="1">
        <v>0</v>
      </c>
      <c r="AL289" s="1">
        <v>0</v>
      </c>
      <c r="AM289" s="1">
        <v>0</v>
      </c>
      <c r="AN289" s="1">
        <v>0</v>
      </c>
      <c r="AO289" s="24">
        <f t="shared" si="14"/>
        <v>0</v>
      </c>
    </row>
    <row r="290" spans="1:41" ht="17.25" customHeight="1" x14ac:dyDescent="0.45">
      <c r="A290" s="12" t="s">
        <v>50</v>
      </c>
      <c r="B290" s="12" t="s">
        <v>16</v>
      </c>
      <c r="C290" s="25">
        <v>0</v>
      </c>
      <c r="D290" s="10">
        <v>0</v>
      </c>
      <c r="E290" s="10">
        <v>0</v>
      </c>
      <c r="F290" s="10">
        <v>0</v>
      </c>
      <c r="G290" s="10">
        <v>0</v>
      </c>
      <c r="H290" s="10">
        <v>1</v>
      </c>
      <c r="I290" s="10">
        <v>0</v>
      </c>
      <c r="J290" s="10">
        <v>0</v>
      </c>
      <c r="K290" s="10">
        <v>0</v>
      </c>
      <c r="L290" s="10">
        <v>0</v>
      </c>
      <c r="M290" s="10">
        <v>0</v>
      </c>
      <c r="N290" s="10">
        <v>0</v>
      </c>
      <c r="O290" s="26">
        <f t="shared" si="12"/>
        <v>1</v>
      </c>
      <c r="P290" s="25">
        <v>0</v>
      </c>
      <c r="Q290" s="10">
        <v>0</v>
      </c>
      <c r="R290" s="10">
        <v>0</v>
      </c>
      <c r="S290" s="10">
        <v>0</v>
      </c>
      <c r="T290" s="10">
        <v>0</v>
      </c>
      <c r="U290" s="10">
        <v>0</v>
      </c>
      <c r="V290" s="10">
        <v>0</v>
      </c>
      <c r="W290" s="10">
        <v>0</v>
      </c>
      <c r="X290" s="10">
        <v>0</v>
      </c>
      <c r="Y290" s="10">
        <v>0</v>
      </c>
      <c r="Z290" s="10">
        <v>0</v>
      </c>
      <c r="AA290" s="10">
        <v>0</v>
      </c>
      <c r="AB290" s="26">
        <f t="shared" si="13"/>
        <v>0</v>
      </c>
      <c r="AC290" s="25">
        <v>0</v>
      </c>
      <c r="AD290" s="10">
        <v>0</v>
      </c>
      <c r="AE290" s="10">
        <v>0</v>
      </c>
      <c r="AF290" s="10">
        <v>0</v>
      </c>
      <c r="AG290" s="10">
        <v>0</v>
      </c>
      <c r="AH290" s="10">
        <v>1500</v>
      </c>
      <c r="AI290" s="10">
        <v>0</v>
      </c>
      <c r="AJ290" s="10">
        <v>0</v>
      </c>
      <c r="AK290" s="10">
        <v>0</v>
      </c>
      <c r="AL290" s="10">
        <v>0</v>
      </c>
      <c r="AM290" s="10">
        <v>0</v>
      </c>
      <c r="AN290" s="10">
        <v>0</v>
      </c>
      <c r="AO290" s="26">
        <f t="shared" si="14"/>
        <v>1500</v>
      </c>
    </row>
    <row r="291" spans="1:41" ht="17.25" customHeight="1" x14ac:dyDescent="0.45">
      <c r="A291" s="2" t="s">
        <v>50</v>
      </c>
      <c r="B291" s="2" t="s">
        <v>19</v>
      </c>
      <c r="C291" s="23">
        <v>0</v>
      </c>
      <c r="D291" s="1">
        <v>0</v>
      </c>
      <c r="E291" s="1">
        <v>0</v>
      </c>
      <c r="F291" s="1">
        <v>0</v>
      </c>
      <c r="G291" s="1">
        <v>10</v>
      </c>
      <c r="H291" s="1">
        <v>0</v>
      </c>
      <c r="I291" s="1">
        <v>0</v>
      </c>
      <c r="J291" s="1">
        <v>0</v>
      </c>
      <c r="K291" s="1">
        <v>0</v>
      </c>
      <c r="L291" s="1">
        <v>0</v>
      </c>
      <c r="M291" s="1">
        <v>0</v>
      </c>
      <c r="N291" s="1">
        <v>0</v>
      </c>
      <c r="O291" s="24">
        <f t="shared" si="12"/>
        <v>10</v>
      </c>
      <c r="P291" s="23">
        <v>0</v>
      </c>
      <c r="Q291" s="1">
        <v>0</v>
      </c>
      <c r="R291" s="1">
        <v>0</v>
      </c>
      <c r="S291" s="1">
        <v>0</v>
      </c>
      <c r="T291" s="1">
        <v>0</v>
      </c>
      <c r="U291" s="1">
        <v>0</v>
      </c>
      <c r="V291" s="1">
        <v>0</v>
      </c>
      <c r="W291" s="1">
        <v>0</v>
      </c>
      <c r="X291" s="1">
        <v>0</v>
      </c>
      <c r="Y291" s="1">
        <v>0</v>
      </c>
      <c r="Z291" s="1">
        <v>0</v>
      </c>
      <c r="AA291" s="1">
        <v>0</v>
      </c>
      <c r="AB291" s="24">
        <f t="shared" si="13"/>
        <v>0</v>
      </c>
      <c r="AC291" s="23">
        <v>0</v>
      </c>
      <c r="AD291" s="1">
        <v>0</v>
      </c>
      <c r="AE291" s="1">
        <v>0</v>
      </c>
      <c r="AF291" s="1">
        <v>0</v>
      </c>
      <c r="AG291" s="1">
        <v>7309</v>
      </c>
      <c r="AH291" s="1">
        <v>0</v>
      </c>
      <c r="AI291" s="1">
        <v>0</v>
      </c>
      <c r="AJ291" s="1">
        <v>0</v>
      </c>
      <c r="AK291" s="1">
        <v>0</v>
      </c>
      <c r="AL291" s="1">
        <v>0</v>
      </c>
      <c r="AM291" s="1">
        <v>0</v>
      </c>
      <c r="AN291" s="1">
        <v>0</v>
      </c>
      <c r="AO291" s="24">
        <f t="shared" si="14"/>
        <v>7309</v>
      </c>
    </row>
    <row r="292" spans="1:41" ht="17.25" customHeight="1" x14ac:dyDescent="0.45">
      <c r="A292" s="12" t="s">
        <v>50</v>
      </c>
      <c r="B292" s="12" t="s">
        <v>12</v>
      </c>
      <c r="C292" s="25">
        <v>16</v>
      </c>
      <c r="D292" s="10">
        <v>1</v>
      </c>
      <c r="E292" s="10">
        <v>2</v>
      </c>
      <c r="F292" s="10">
        <v>0</v>
      </c>
      <c r="G292" s="10">
        <v>0</v>
      </c>
      <c r="H292" s="10">
        <v>0</v>
      </c>
      <c r="I292" s="10">
        <v>0</v>
      </c>
      <c r="J292" s="10">
        <v>0</v>
      </c>
      <c r="K292" s="10">
        <v>0</v>
      </c>
      <c r="L292" s="10">
        <v>0</v>
      </c>
      <c r="M292" s="10">
        <v>0</v>
      </c>
      <c r="N292" s="10">
        <v>0</v>
      </c>
      <c r="O292" s="26">
        <f t="shared" si="12"/>
        <v>19</v>
      </c>
      <c r="P292" s="25">
        <v>79</v>
      </c>
      <c r="Q292" s="10">
        <v>5</v>
      </c>
      <c r="R292" s="10">
        <v>12</v>
      </c>
      <c r="S292" s="10">
        <v>0</v>
      </c>
      <c r="T292" s="10">
        <v>0</v>
      </c>
      <c r="U292" s="10">
        <v>0</v>
      </c>
      <c r="V292" s="10">
        <v>0</v>
      </c>
      <c r="W292" s="10">
        <v>0</v>
      </c>
      <c r="X292" s="10">
        <v>0</v>
      </c>
      <c r="Y292" s="10">
        <v>0</v>
      </c>
      <c r="Z292" s="10">
        <v>0</v>
      </c>
      <c r="AA292" s="10">
        <v>0</v>
      </c>
      <c r="AB292" s="26">
        <f t="shared" si="13"/>
        <v>96</v>
      </c>
      <c r="AC292" s="25">
        <v>0</v>
      </c>
      <c r="AD292" s="10">
        <v>0</v>
      </c>
      <c r="AE292" s="10">
        <v>0</v>
      </c>
      <c r="AF292" s="10">
        <v>0</v>
      </c>
      <c r="AG292" s="10">
        <v>0</v>
      </c>
      <c r="AH292" s="10">
        <v>0</v>
      </c>
      <c r="AI292" s="10">
        <v>0</v>
      </c>
      <c r="AJ292" s="10">
        <v>0</v>
      </c>
      <c r="AK292" s="10">
        <v>0</v>
      </c>
      <c r="AL292" s="10">
        <v>0</v>
      </c>
      <c r="AM292" s="10">
        <v>0</v>
      </c>
      <c r="AN292" s="10">
        <v>0</v>
      </c>
      <c r="AO292" s="26">
        <f t="shared" si="14"/>
        <v>0</v>
      </c>
    </row>
    <row r="293" spans="1:41" ht="17.25" customHeight="1" x14ac:dyDescent="0.45">
      <c r="A293" s="2" t="s">
        <v>50</v>
      </c>
      <c r="B293" s="2" t="s">
        <v>13</v>
      </c>
      <c r="C293" s="23">
        <v>25</v>
      </c>
      <c r="D293" s="1">
        <v>5</v>
      </c>
      <c r="E293" s="1">
        <v>0</v>
      </c>
      <c r="F293" s="1">
        <v>6</v>
      </c>
      <c r="G293" s="1">
        <v>9</v>
      </c>
      <c r="H293" s="1">
        <v>0</v>
      </c>
      <c r="I293" s="1">
        <v>0</v>
      </c>
      <c r="J293" s="1">
        <v>0</v>
      </c>
      <c r="K293" s="1">
        <v>0</v>
      </c>
      <c r="L293" s="1">
        <v>0</v>
      </c>
      <c r="M293" s="1">
        <v>0</v>
      </c>
      <c r="N293" s="1">
        <v>0</v>
      </c>
      <c r="O293" s="24">
        <f t="shared" si="12"/>
        <v>45</v>
      </c>
      <c r="P293" s="23">
        <v>294</v>
      </c>
      <c r="Q293" s="1">
        <v>34</v>
      </c>
      <c r="R293" s="1">
        <v>0</v>
      </c>
      <c r="S293" s="1">
        <v>64</v>
      </c>
      <c r="T293" s="1">
        <v>102</v>
      </c>
      <c r="U293" s="1">
        <v>0</v>
      </c>
      <c r="V293" s="1">
        <v>0</v>
      </c>
      <c r="W293" s="1">
        <v>0</v>
      </c>
      <c r="X293" s="1">
        <v>0</v>
      </c>
      <c r="Y293" s="1">
        <v>0</v>
      </c>
      <c r="Z293" s="1">
        <v>0</v>
      </c>
      <c r="AA293" s="1">
        <v>0</v>
      </c>
      <c r="AB293" s="24">
        <f t="shared" si="13"/>
        <v>494</v>
      </c>
      <c r="AC293" s="23">
        <v>0</v>
      </c>
      <c r="AD293" s="1">
        <v>0</v>
      </c>
      <c r="AE293" s="1">
        <v>0</v>
      </c>
      <c r="AF293" s="1">
        <v>0</v>
      </c>
      <c r="AG293" s="1">
        <v>0</v>
      </c>
      <c r="AH293" s="1">
        <v>0</v>
      </c>
      <c r="AI293" s="1">
        <v>0</v>
      </c>
      <c r="AJ293" s="1">
        <v>0</v>
      </c>
      <c r="AK293" s="1">
        <v>0</v>
      </c>
      <c r="AL293" s="1">
        <v>0</v>
      </c>
      <c r="AM293" s="1">
        <v>0</v>
      </c>
      <c r="AN293" s="1">
        <v>0</v>
      </c>
      <c r="AO293" s="24">
        <f t="shared" si="14"/>
        <v>0</v>
      </c>
    </row>
    <row r="294" spans="1:41" ht="17.25" customHeight="1" x14ac:dyDescent="0.45">
      <c r="A294" s="12" t="s">
        <v>50</v>
      </c>
      <c r="B294" s="12" t="s">
        <v>206</v>
      </c>
      <c r="C294" s="25">
        <v>0</v>
      </c>
      <c r="D294" s="10">
        <v>0</v>
      </c>
      <c r="E294" s="10">
        <v>0</v>
      </c>
      <c r="F294" s="10">
        <v>1</v>
      </c>
      <c r="G294" s="10">
        <v>0</v>
      </c>
      <c r="H294" s="10">
        <v>1</v>
      </c>
      <c r="I294" s="10">
        <v>0</v>
      </c>
      <c r="J294" s="10">
        <v>0</v>
      </c>
      <c r="K294" s="10">
        <v>0</v>
      </c>
      <c r="L294" s="10">
        <v>0</v>
      </c>
      <c r="M294" s="10">
        <v>0</v>
      </c>
      <c r="N294" s="10">
        <v>1</v>
      </c>
      <c r="O294" s="26">
        <f t="shared" si="12"/>
        <v>3</v>
      </c>
      <c r="P294" s="25">
        <v>0</v>
      </c>
      <c r="Q294" s="10">
        <v>0</v>
      </c>
      <c r="R294" s="10">
        <v>0</v>
      </c>
      <c r="S294" s="10">
        <v>0</v>
      </c>
      <c r="T294" s="10">
        <v>0</v>
      </c>
      <c r="U294" s="10">
        <v>0</v>
      </c>
      <c r="V294" s="10">
        <v>0</v>
      </c>
      <c r="W294" s="10">
        <v>0</v>
      </c>
      <c r="X294" s="10">
        <v>0</v>
      </c>
      <c r="Y294" s="10">
        <v>0</v>
      </c>
      <c r="Z294" s="10">
        <v>0</v>
      </c>
      <c r="AA294" s="10">
        <v>0</v>
      </c>
      <c r="AB294" s="26">
        <f t="shared" si="13"/>
        <v>0</v>
      </c>
      <c r="AC294" s="25">
        <v>0</v>
      </c>
      <c r="AD294" s="10">
        <v>0</v>
      </c>
      <c r="AE294" s="10">
        <v>0</v>
      </c>
      <c r="AF294" s="10">
        <v>9665</v>
      </c>
      <c r="AG294" s="10">
        <v>0</v>
      </c>
      <c r="AH294" s="10">
        <v>16834</v>
      </c>
      <c r="AI294" s="10">
        <v>0</v>
      </c>
      <c r="AJ294" s="10">
        <v>0</v>
      </c>
      <c r="AK294" s="10">
        <v>0</v>
      </c>
      <c r="AL294" s="10">
        <v>0</v>
      </c>
      <c r="AM294" s="10">
        <v>0</v>
      </c>
      <c r="AN294" s="10">
        <v>5154</v>
      </c>
      <c r="AO294" s="26">
        <f t="shared" si="14"/>
        <v>31653</v>
      </c>
    </row>
    <row r="295" spans="1:41" ht="17.25" customHeight="1" x14ac:dyDescent="0.45">
      <c r="A295" s="2" t="s">
        <v>50</v>
      </c>
      <c r="B295" s="2" t="s">
        <v>30</v>
      </c>
      <c r="C295" s="23">
        <v>0</v>
      </c>
      <c r="D295" s="1">
        <v>0</v>
      </c>
      <c r="E295" s="1">
        <v>0</v>
      </c>
      <c r="F295" s="1">
        <v>0</v>
      </c>
      <c r="G295" s="1">
        <v>0</v>
      </c>
      <c r="H295" s="1">
        <v>0</v>
      </c>
      <c r="I295" s="1">
        <v>0</v>
      </c>
      <c r="J295" s="1">
        <v>0</v>
      </c>
      <c r="K295" s="1">
        <v>3</v>
      </c>
      <c r="L295" s="1">
        <v>0</v>
      </c>
      <c r="M295" s="1">
        <v>0</v>
      </c>
      <c r="N295" s="1">
        <v>0</v>
      </c>
      <c r="O295" s="24">
        <f t="shared" si="12"/>
        <v>3</v>
      </c>
      <c r="P295" s="23">
        <v>0</v>
      </c>
      <c r="Q295" s="1">
        <v>0</v>
      </c>
      <c r="R295" s="1">
        <v>0</v>
      </c>
      <c r="S295" s="1">
        <v>0</v>
      </c>
      <c r="T295" s="1">
        <v>0</v>
      </c>
      <c r="U295" s="1">
        <v>0</v>
      </c>
      <c r="V295" s="1">
        <v>0</v>
      </c>
      <c r="W295" s="1">
        <v>0</v>
      </c>
      <c r="X295" s="1">
        <v>0</v>
      </c>
      <c r="Y295" s="1">
        <v>0</v>
      </c>
      <c r="Z295" s="1">
        <v>0</v>
      </c>
      <c r="AA295" s="1">
        <v>0</v>
      </c>
      <c r="AB295" s="24">
        <f t="shared" si="13"/>
        <v>0</v>
      </c>
      <c r="AC295" s="23">
        <v>0</v>
      </c>
      <c r="AD295" s="1">
        <v>0</v>
      </c>
      <c r="AE295" s="1">
        <v>0</v>
      </c>
      <c r="AF295" s="1">
        <v>0</v>
      </c>
      <c r="AG295" s="1">
        <v>0</v>
      </c>
      <c r="AH295" s="1">
        <v>0</v>
      </c>
      <c r="AI295" s="1">
        <v>0</v>
      </c>
      <c r="AJ295" s="1">
        <v>0</v>
      </c>
      <c r="AK295" s="1">
        <v>29822</v>
      </c>
      <c r="AL295" s="1">
        <v>0</v>
      </c>
      <c r="AM295" s="1">
        <v>0</v>
      </c>
      <c r="AN295" s="1">
        <v>0</v>
      </c>
      <c r="AO295" s="24">
        <f t="shared" si="14"/>
        <v>29822</v>
      </c>
    </row>
    <row r="296" spans="1:41" ht="17.25" customHeight="1" x14ac:dyDescent="0.45">
      <c r="A296" s="12" t="s">
        <v>50</v>
      </c>
      <c r="B296" s="12" t="s">
        <v>14</v>
      </c>
      <c r="C296" s="25">
        <v>0</v>
      </c>
      <c r="D296" s="10">
        <v>0</v>
      </c>
      <c r="E296" s="10">
        <v>0</v>
      </c>
      <c r="F296" s="10">
        <v>1</v>
      </c>
      <c r="G296" s="10">
        <v>7</v>
      </c>
      <c r="H296" s="10">
        <v>0</v>
      </c>
      <c r="I296" s="10">
        <v>0</v>
      </c>
      <c r="J296" s="10">
        <v>0</v>
      </c>
      <c r="K296" s="10">
        <v>0</v>
      </c>
      <c r="L296" s="10">
        <v>0</v>
      </c>
      <c r="M296" s="10">
        <v>0</v>
      </c>
      <c r="N296" s="10">
        <v>0</v>
      </c>
      <c r="O296" s="26">
        <f t="shared" si="12"/>
        <v>8</v>
      </c>
      <c r="P296" s="25">
        <v>0</v>
      </c>
      <c r="Q296" s="10">
        <v>0</v>
      </c>
      <c r="R296" s="10">
        <v>0</v>
      </c>
      <c r="S296" s="10">
        <v>11</v>
      </c>
      <c r="T296" s="10">
        <v>80</v>
      </c>
      <c r="U296" s="10">
        <v>0</v>
      </c>
      <c r="V296" s="10">
        <v>0</v>
      </c>
      <c r="W296" s="10">
        <v>0</v>
      </c>
      <c r="X296" s="10">
        <v>0</v>
      </c>
      <c r="Y296" s="10">
        <v>0</v>
      </c>
      <c r="Z296" s="10">
        <v>0</v>
      </c>
      <c r="AA296" s="10">
        <v>0</v>
      </c>
      <c r="AB296" s="26">
        <f t="shared" si="13"/>
        <v>91</v>
      </c>
      <c r="AC296" s="25">
        <v>0</v>
      </c>
      <c r="AD296" s="10">
        <v>0</v>
      </c>
      <c r="AE296" s="10">
        <v>0</v>
      </c>
      <c r="AF296" s="10">
        <v>0</v>
      </c>
      <c r="AG296" s="10">
        <v>0</v>
      </c>
      <c r="AH296" s="10">
        <v>0</v>
      </c>
      <c r="AI296" s="10">
        <v>0</v>
      </c>
      <c r="AJ296" s="10">
        <v>0</v>
      </c>
      <c r="AK296" s="10">
        <v>0</v>
      </c>
      <c r="AL296" s="10">
        <v>0</v>
      </c>
      <c r="AM296" s="10">
        <v>0</v>
      </c>
      <c r="AN296" s="10">
        <v>0</v>
      </c>
      <c r="AO296" s="26">
        <f t="shared" si="14"/>
        <v>0</v>
      </c>
    </row>
    <row r="297" spans="1:41" ht="17.25" customHeight="1" x14ac:dyDescent="0.45">
      <c r="A297" s="2" t="s">
        <v>50</v>
      </c>
      <c r="B297" s="2" t="s">
        <v>32</v>
      </c>
      <c r="C297" s="23">
        <v>0</v>
      </c>
      <c r="D297" s="1">
        <v>0</v>
      </c>
      <c r="E297" s="1">
        <v>0</v>
      </c>
      <c r="F297" s="1">
        <v>1</v>
      </c>
      <c r="G297" s="1">
        <v>0</v>
      </c>
      <c r="H297" s="1">
        <v>0</v>
      </c>
      <c r="I297" s="1">
        <v>0</v>
      </c>
      <c r="J297" s="1">
        <v>0</v>
      </c>
      <c r="K297" s="1">
        <v>0</v>
      </c>
      <c r="L297" s="1">
        <v>0</v>
      </c>
      <c r="M297" s="1">
        <v>0</v>
      </c>
      <c r="N297" s="1">
        <v>0</v>
      </c>
      <c r="O297" s="24">
        <f t="shared" si="12"/>
        <v>1</v>
      </c>
      <c r="P297" s="23">
        <v>0</v>
      </c>
      <c r="Q297" s="1">
        <v>0</v>
      </c>
      <c r="R297" s="1">
        <v>0</v>
      </c>
      <c r="S297" s="1">
        <v>50</v>
      </c>
      <c r="T297" s="1">
        <v>0</v>
      </c>
      <c r="U297" s="1">
        <v>0</v>
      </c>
      <c r="V297" s="1">
        <v>0</v>
      </c>
      <c r="W297" s="1">
        <v>0</v>
      </c>
      <c r="X297" s="1">
        <v>0</v>
      </c>
      <c r="Y297" s="1">
        <v>0</v>
      </c>
      <c r="Z297" s="1">
        <v>0</v>
      </c>
      <c r="AA297" s="1">
        <v>0</v>
      </c>
      <c r="AB297" s="24">
        <f t="shared" si="13"/>
        <v>50</v>
      </c>
      <c r="AC297" s="23">
        <v>0</v>
      </c>
      <c r="AD297" s="1">
        <v>0</v>
      </c>
      <c r="AE297" s="1">
        <v>0</v>
      </c>
      <c r="AF297" s="1">
        <v>0</v>
      </c>
      <c r="AG297" s="1">
        <v>0</v>
      </c>
      <c r="AH297" s="1">
        <v>0</v>
      </c>
      <c r="AI297" s="1">
        <v>0</v>
      </c>
      <c r="AJ297" s="1">
        <v>0</v>
      </c>
      <c r="AK297" s="1">
        <v>0</v>
      </c>
      <c r="AL297" s="1">
        <v>0</v>
      </c>
      <c r="AM297" s="1">
        <v>0</v>
      </c>
      <c r="AN297" s="1">
        <v>0</v>
      </c>
      <c r="AO297" s="24">
        <f t="shared" si="14"/>
        <v>0</v>
      </c>
    </row>
    <row r="298" spans="1:41" ht="17.25" customHeight="1" x14ac:dyDescent="0.45">
      <c r="A298" s="12" t="s">
        <v>50</v>
      </c>
      <c r="B298" s="12" t="s">
        <v>34</v>
      </c>
      <c r="C298" s="25">
        <v>0</v>
      </c>
      <c r="D298" s="10">
        <v>0</v>
      </c>
      <c r="E298" s="10">
        <v>0</v>
      </c>
      <c r="F298" s="10">
        <v>0</v>
      </c>
      <c r="G298" s="10">
        <v>0</v>
      </c>
      <c r="H298" s="10">
        <v>0</v>
      </c>
      <c r="I298" s="10">
        <v>0</v>
      </c>
      <c r="J298" s="10">
        <v>0</v>
      </c>
      <c r="K298" s="10">
        <v>1</v>
      </c>
      <c r="L298" s="10">
        <v>0</v>
      </c>
      <c r="M298" s="10">
        <v>0</v>
      </c>
      <c r="N298" s="10">
        <v>0</v>
      </c>
      <c r="O298" s="26">
        <f t="shared" si="12"/>
        <v>1</v>
      </c>
      <c r="P298" s="25">
        <v>0</v>
      </c>
      <c r="Q298" s="10">
        <v>0</v>
      </c>
      <c r="R298" s="10">
        <v>0</v>
      </c>
      <c r="S298" s="10">
        <v>0</v>
      </c>
      <c r="T298" s="10">
        <v>0</v>
      </c>
      <c r="U298" s="10">
        <v>0</v>
      </c>
      <c r="V298" s="10">
        <v>0</v>
      </c>
      <c r="W298" s="10">
        <v>0</v>
      </c>
      <c r="X298" s="10">
        <v>34</v>
      </c>
      <c r="Y298" s="10">
        <v>0</v>
      </c>
      <c r="Z298" s="10">
        <v>0</v>
      </c>
      <c r="AA298" s="10">
        <v>0</v>
      </c>
      <c r="AB298" s="26">
        <f t="shared" si="13"/>
        <v>34</v>
      </c>
      <c r="AC298" s="25">
        <v>0</v>
      </c>
      <c r="AD298" s="10">
        <v>0</v>
      </c>
      <c r="AE298" s="10">
        <v>0</v>
      </c>
      <c r="AF298" s="10">
        <v>0</v>
      </c>
      <c r="AG298" s="10">
        <v>0</v>
      </c>
      <c r="AH298" s="10">
        <v>0</v>
      </c>
      <c r="AI298" s="10">
        <v>0</v>
      </c>
      <c r="AJ298" s="10">
        <v>0</v>
      </c>
      <c r="AK298" s="10">
        <v>0</v>
      </c>
      <c r="AL298" s="10">
        <v>0</v>
      </c>
      <c r="AM298" s="10">
        <v>0</v>
      </c>
      <c r="AN298" s="10">
        <v>0</v>
      </c>
      <c r="AO298" s="26">
        <f t="shared" si="14"/>
        <v>0</v>
      </c>
    </row>
    <row r="299" spans="1:41" ht="17.25" customHeight="1" x14ac:dyDescent="0.45">
      <c r="A299" s="2" t="s">
        <v>15</v>
      </c>
      <c r="B299" s="2" t="s">
        <v>19</v>
      </c>
      <c r="C299" s="23">
        <v>0</v>
      </c>
      <c r="D299" s="1">
        <v>0</v>
      </c>
      <c r="E299" s="1">
        <v>0</v>
      </c>
      <c r="F299" s="1">
        <v>0</v>
      </c>
      <c r="G299" s="1">
        <v>0</v>
      </c>
      <c r="H299" s="1">
        <v>0</v>
      </c>
      <c r="I299" s="1">
        <v>0</v>
      </c>
      <c r="J299" s="1">
        <v>1</v>
      </c>
      <c r="K299" s="1">
        <v>0</v>
      </c>
      <c r="L299" s="1">
        <v>0</v>
      </c>
      <c r="M299" s="1">
        <v>0</v>
      </c>
      <c r="N299" s="1">
        <v>12</v>
      </c>
      <c r="O299" s="24">
        <f t="shared" si="12"/>
        <v>13</v>
      </c>
      <c r="P299" s="23">
        <v>0</v>
      </c>
      <c r="Q299" s="1">
        <v>0</v>
      </c>
      <c r="R299" s="1">
        <v>0</v>
      </c>
      <c r="S299" s="1">
        <v>0</v>
      </c>
      <c r="T299" s="1">
        <v>0</v>
      </c>
      <c r="U299" s="1">
        <v>0</v>
      </c>
      <c r="V299" s="1">
        <v>0</v>
      </c>
      <c r="W299" s="1">
        <v>0</v>
      </c>
      <c r="X299" s="1">
        <v>0</v>
      </c>
      <c r="Y299" s="1">
        <v>0</v>
      </c>
      <c r="Z299" s="1">
        <v>0</v>
      </c>
      <c r="AA299" s="1">
        <v>0</v>
      </c>
      <c r="AB299" s="24">
        <f t="shared" si="13"/>
        <v>0</v>
      </c>
      <c r="AC299" s="23">
        <v>0</v>
      </c>
      <c r="AD299" s="1">
        <v>0</v>
      </c>
      <c r="AE299" s="1">
        <v>0</v>
      </c>
      <c r="AF299" s="1">
        <v>0</v>
      </c>
      <c r="AG299" s="1">
        <v>0</v>
      </c>
      <c r="AH299" s="1">
        <v>0</v>
      </c>
      <c r="AI299" s="1">
        <v>0</v>
      </c>
      <c r="AJ299" s="1">
        <v>70396</v>
      </c>
      <c r="AK299" s="1">
        <v>0</v>
      </c>
      <c r="AL299" s="1">
        <v>0</v>
      </c>
      <c r="AM299" s="1">
        <v>0</v>
      </c>
      <c r="AN299" s="1">
        <v>119176</v>
      </c>
      <c r="AO299" s="24">
        <f t="shared" si="14"/>
        <v>189572</v>
      </c>
    </row>
    <row r="300" spans="1:41" ht="17.25" customHeight="1" x14ac:dyDescent="0.45">
      <c r="A300" s="12" t="s">
        <v>15</v>
      </c>
      <c r="B300" s="12" t="s">
        <v>20</v>
      </c>
      <c r="C300" s="25">
        <v>9</v>
      </c>
      <c r="D300" s="10">
        <v>3</v>
      </c>
      <c r="E300" s="10">
        <v>0</v>
      </c>
      <c r="F300" s="10">
        <v>0</v>
      </c>
      <c r="G300" s="10">
        <v>6</v>
      </c>
      <c r="H300" s="10">
        <v>0</v>
      </c>
      <c r="I300" s="10">
        <v>0</v>
      </c>
      <c r="J300" s="10">
        <v>0</v>
      </c>
      <c r="K300" s="10">
        <v>0</v>
      </c>
      <c r="L300" s="10">
        <v>11</v>
      </c>
      <c r="M300" s="10">
        <v>3</v>
      </c>
      <c r="N300" s="10">
        <v>0</v>
      </c>
      <c r="O300" s="26">
        <f t="shared" si="12"/>
        <v>32</v>
      </c>
      <c r="P300" s="25">
        <v>0</v>
      </c>
      <c r="Q300" s="10">
        <v>0</v>
      </c>
      <c r="R300" s="10">
        <v>0</v>
      </c>
      <c r="S300" s="10">
        <v>0</v>
      </c>
      <c r="T300" s="10">
        <v>0</v>
      </c>
      <c r="U300" s="10">
        <v>0</v>
      </c>
      <c r="V300" s="10">
        <v>0</v>
      </c>
      <c r="W300" s="10">
        <v>0</v>
      </c>
      <c r="X300" s="10">
        <v>0</v>
      </c>
      <c r="Y300" s="10">
        <v>0</v>
      </c>
      <c r="Z300" s="10">
        <v>0</v>
      </c>
      <c r="AA300" s="10">
        <v>0</v>
      </c>
      <c r="AB300" s="26">
        <f t="shared" si="13"/>
        <v>0</v>
      </c>
      <c r="AC300" s="25">
        <v>76400</v>
      </c>
      <c r="AD300" s="10">
        <v>35996</v>
      </c>
      <c r="AE300" s="10">
        <v>0</v>
      </c>
      <c r="AF300" s="10">
        <v>0</v>
      </c>
      <c r="AG300" s="10">
        <v>56929</v>
      </c>
      <c r="AH300" s="10">
        <v>0</v>
      </c>
      <c r="AI300" s="10">
        <v>0</v>
      </c>
      <c r="AJ300" s="10">
        <v>0</v>
      </c>
      <c r="AK300" s="10">
        <v>0</v>
      </c>
      <c r="AL300" s="10">
        <v>117548</v>
      </c>
      <c r="AM300" s="10">
        <v>19001</v>
      </c>
      <c r="AN300" s="10">
        <v>0</v>
      </c>
      <c r="AO300" s="26">
        <f t="shared" si="14"/>
        <v>305874</v>
      </c>
    </row>
    <row r="301" spans="1:41" ht="17.25" customHeight="1" x14ac:dyDescent="0.45">
      <c r="A301" s="2" t="s">
        <v>15</v>
      </c>
      <c r="B301" s="2" t="s">
        <v>11</v>
      </c>
      <c r="C301" s="23">
        <v>5</v>
      </c>
      <c r="D301" s="1">
        <v>3</v>
      </c>
      <c r="E301" s="1">
        <v>4</v>
      </c>
      <c r="F301" s="1">
        <v>5</v>
      </c>
      <c r="G301" s="1">
        <v>5</v>
      </c>
      <c r="H301" s="1">
        <v>5</v>
      </c>
      <c r="I301" s="1">
        <v>7</v>
      </c>
      <c r="J301" s="1">
        <v>9</v>
      </c>
      <c r="K301" s="1">
        <v>15</v>
      </c>
      <c r="L301" s="1">
        <v>16</v>
      </c>
      <c r="M301" s="1">
        <v>0</v>
      </c>
      <c r="N301" s="1">
        <v>0</v>
      </c>
      <c r="O301" s="24">
        <f t="shared" si="12"/>
        <v>74</v>
      </c>
      <c r="P301" s="23">
        <v>0</v>
      </c>
      <c r="Q301" s="1">
        <v>0</v>
      </c>
      <c r="R301" s="1">
        <v>0</v>
      </c>
      <c r="S301" s="1">
        <v>0</v>
      </c>
      <c r="T301" s="1">
        <v>0</v>
      </c>
      <c r="U301" s="1">
        <v>0</v>
      </c>
      <c r="V301" s="1">
        <v>0</v>
      </c>
      <c r="W301" s="1">
        <v>0</v>
      </c>
      <c r="X301" s="1">
        <v>0</v>
      </c>
      <c r="Y301" s="1">
        <v>0</v>
      </c>
      <c r="Z301" s="1">
        <v>0</v>
      </c>
      <c r="AA301" s="1">
        <v>0</v>
      </c>
      <c r="AB301" s="24">
        <f t="shared" si="13"/>
        <v>0</v>
      </c>
      <c r="AC301" s="23">
        <v>39390</v>
      </c>
      <c r="AD301" s="1">
        <v>38256</v>
      </c>
      <c r="AE301" s="1">
        <v>43468</v>
      </c>
      <c r="AF301" s="1">
        <v>50445</v>
      </c>
      <c r="AG301" s="1">
        <v>58595</v>
      </c>
      <c r="AH301" s="1">
        <v>48476</v>
      </c>
      <c r="AI301" s="1">
        <v>69745</v>
      </c>
      <c r="AJ301" s="1">
        <v>119716</v>
      </c>
      <c r="AK301" s="1">
        <v>115961</v>
      </c>
      <c r="AL301" s="1">
        <v>182610</v>
      </c>
      <c r="AM301" s="1">
        <v>0</v>
      </c>
      <c r="AN301" s="1">
        <v>0</v>
      </c>
      <c r="AO301" s="24">
        <f t="shared" si="14"/>
        <v>766662</v>
      </c>
    </row>
    <row r="302" spans="1:41" ht="17.25" customHeight="1" x14ac:dyDescent="0.45">
      <c r="A302" s="12" t="s">
        <v>15</v>
      </c>
      <c r="B302" s="12" t="s">
        <v>38</v>
      </c>
      <c r="C302" s="25">
        <v>20</v>
      </c>
      <c r="D302" s="10">
        <v>18</v>
      </c>
      <c r="E302" s="10">
        <v>9</v>
      </c>
      <c r="F302" s="10">
        <v>11</v>
      </c>
      <c r="G302" s="10">
        <v>13</v>
      </c>
      <c r="H302" s="10">
        <v>5</v>
      </c>
      <c r="I302" s="10">
        <v>11</v>
      </c>
      <c r="J302" s="10">
        <v>1</v>
      </c>
      <c r="K302" s="10">
        <v>0</v>
      </c>
      <c r="L302" s="10">
        <v>0</v>
      </c>
      <c r="M302" s="10">
        <v>14</v>
      </c>
      <c r="N302" s="10">
        <v>14</v>
      </c>
      <c r="O302" s="26">
        <f t="shared" si="12"/>
        <v>116</v>
      </c>
      <c r="P302" s="25">
        <v>208</v>
      </c>
      <c r="Q302" s="10">
        <v>345</v>
      </c>
      <c r="R302" s="10">
        <v>0</v>
      </c>
      <c r="S302" s="10">
        <v>0</v>
      </c>
      <c r="T302" s="10">
        <v>128</v>
      </c>
      <c r="U302" s="10">
        <v>0</v>
      </c>
      <c r="V302" s="10">
        <v>0</v>
      </c>
      <c r="W302" s="10">
        <v>0</v>
      </c>
      <c r="X302" s="10">
        <v>0</v>
      </c>
      <c r="Y302" s="10">
        <v>0</v>
      </c>
      <c r="Z302" s="10">
        <v>0</v>
      </c>
      <c r="AA302" s="10">
        <v>0</v>
      </c>
      <c r="AB302" s="26">
        <f t="shared" si="13"/>
        <v>681</v>
      </c>
      <c r="AC302" s="25">
        <v>167194</v>
      </c>
      <c r="AD302" s="10">
        <v>130223</v>
      </c>
      <c r="AE302" s="10">
        <v>105825</v>
      </c>
      <c r="AF302" s="10">
        <v>123644</v>
      </c>
      <c r="AG302" s="10">
        <v>115292</v>
      </c>
      <c r="AH302" s="10">
        <v>50261</v>
      </c>
      <c r="AI302" s="10">
        <v>102706</v>
      </c>
      <c r="AJ302" s="10">
        <v>9885</v>
      </c>
      <c r="AK302" s="10">
        <v>0</v>
      </c>
      <c r="AL302" s="10">
        <v>0</v>
      </c>
      <c r="AM302" s="10">
        <v>82637</v>
      </c>
      <c r="AN302" s="10">
        <v>105019</v>
      </c>
      <c r="AO302" s="26">
        <f t="shared" si="14"/>
        <v>992686</v>
      </c>
    </row>
    <row r="303" spans="1:41" ht="17.25" customHeight="1" x14ac:dyDescent="0.45">
      <c r="A303" s="2" t="s">
        <v>15</v>
      </c>
      <c r="B303" s="2" t="s">
        <v>40</v>
      </c>
      <c r="C303" s="23">
        <v>0</v>
      </c>
      <c r="D303" s="1">
        <v>0</v>
      </c>
      <c r="E303" s="1">
        <v>0</v>
      </c>
      <c r="F303" s="1">
        <v>0</v>
      </c>
      <c r="G303" s="1">
        <v>0</v>
      </c>
      <c r="H303" s="1">
        <v>0</v>
      </c>
      <c r="I303" s="1">
        <v>0</v>
      </c>
      <c r="J303" s="1">
        <v>0</v>
      </c>
      <c r="K303" s="1">
        <v>0</v>
      </c>
      <c r="L303" s="1">
        <v>1</v>
      </c>
      <c r="M303" s="1">
        <v>0</v>
      </c>
      <c r="N303" s="1">
        <v>0</v>
      </c>
      <c r="O303" s="24">
        <f t="shared" si="12"/>
        <v>1</v>
      </c>
      <c r="P303" s="23">
        <v>0</v>
      </c>
      <c r="Q303" s="1">
        <v>0</v>
      </c>
      <c r="R303" s="1">
        <v>0</v>
      </c>
      <c r="S303" s="1">
        <v>0</v>
      </c>
      <c r="T303" s="1">
        <v>0</v>
      </c>
      <c r="U303" s="1">
        <v>0</v>
      </c>
      <c r="V303" s="1">
        <v>0</v>
      </c>
      <c r="W303" s="1">
        <v>0</v>
      </c>
      <c r="X303" s="1">
        <v>0</v>
      </c>
      <c r="Y303" s="1">
        <v>0</v>
      </c>
      <c r="Z303" s="1">
        <v>0</v>
      </c>
      <c r="AA303" s="1">
        <v>0</v>
      </c>
      <c r="AB303" s="24">
        <f t="shared" si="13"/>
        <v>0</v>
      </c>
      <c r="AC303" s="23">
        <v>0</v>
      </c>
      <c r="AD303" s="1">
        <v>0</v>
      </c>
      <c r="AE303" s="1">
        <v>0</v>
      </c>
      <c r="AF303" s="1">
        <v>0</v>
      </c>
      <c r="AG303" s="1">
        <v>0</v>
      </c>
      <c r="AH303" s="1">
        <v>0</v>
      </c>
      <c r="AI303" s="1">
        <v>0</v>
      </c>
      <c r="AJ303" s="1">
        <v>0</v>
      </c>
      <c r="AK303" s="1">
        <v>0</v>
      </c>
      <c r="AL303" s="1">
        <v>6732</v>
      </c>
      <c r="AM303" s="1">
        <v>0</v>
      </c>
      <c r="AN303" s="1">
        <v>0</v>
      </c>
      <c r="AO303" s="24">
        <f t="shared" si="14"/>
        <v>6732</v>
      </c>
    </row>
    <row r="304" spans="1:41" ht="17.25" customHeight="1" x14ac:dyDescent="0.45">
      <c r="A304" s="12" t="s">
        <v>15</v>
      </c>
      <c r="B304" s="12" t="s">
        <v>13</v>
      </c>
      <c r="C304" s="25">
        <v>0</v>
      </c>
      <c r="D304" s="10">
        <v>1</v>
      </c>
      <c r="E304" s="10">
        <v>0</v>
      </c>
      <c r="F304" s="10">
        <v>0</v>
      </c>
      <c r="G304" s="10">
        <v>0</v>
      </c>
      <c r="H304" s="10">
        <v>1</v>
      </c>
      <c r="I304" s="10">
        <v>0</v>
      </c>
      <c r="J304" s="10">
        <v>0</v>
      </c>
      <c r="K304" s="10">
        <v>0</v>
      </c>
      <c r="L304" s="10">
        <v>0</v>
      </c>
      <c r="M304" s="10">
        <v>1</v>
      </c>
      <c r="N304" s="10">
        <v>0</v>
      </c>
      <c r="O304" s="26">
        <f t="shared" si="12"/>
        <v>3</v>
      </c>
      <c r="P304" s="25">
        <v>0</v>
      </c>
      <c r="Q304" s="10">
        <v>103</v>
      </c>
      <c r="R304" s="10">
        <v>0</v>
      </c>
      <c r="S304" s="10">
        <v>0</v>
      </c>
      <c r="T304" s="10">
        <v>0</v>
      </c>
      <c r="U304" s="10">
        <v>0</v>
      </c>
      <c r="V304" s="10">
        <v>0</v>
      </c>
      <c r="W304" s="10">
        <v>0</v>
      </c>
      <c r="X304" s="10">
        <v>0</v>
      </c>
      <c r="Y304" s="10">
        <v>0</v>
      </c>
      <c r="Z304" s="10">
        <v>103</v>
      </c>
      <c r="AA304" s="10">
        <v>0</v>
      </c>
      <c r="AB304" s="26">
        <f t="shared" si="13"/>
        <v>206</v>
      </c>
      <c r="AC304" s="25">
        <v>0</v>
      </c>
      <c r="AD304" s="10">
        <v>0</v>
      </c>
      <c r="AE304" s="10">
        <v>0</v>
      </c>
      <c r="AF304" s="10">
        <v>0</v>
      </c>
      <c r="AG304" s="10">
        <v>0</v>
      </c>
      <c r="AH304" s="10">
        <v>11797</v>
      </c>
      <c r="AI304" s="10">
        <v>0</v>
      </c>
      <c r="AJ304" s="10">
        <v>0</v>
      </c>
      <c r="AK304" s="10">
        <v>0</v>
      </c>
      <c r="AL304" s="10">
        <v>0</v>
      </c>
      <c r="AM304" s="10">
        <v>0</v>
      </c>
      <c r="AN304" s="10">
        <v>0</v>
      </c>
      <c r="AO304" s="26">
        <f t="shared" si="14"/>
        <v>11797</v>
      </c>
    </row>
    <row r="305" spans="1:41" ht="17.25" customHeight="1" x14ac:dyDescent="0.45">
      <c r="A305" s="2" t="s">
        <v>15</v>
      </c>
      <c r="B305" s="2" t="s">
        <v>28</v>
      </c>
      <c r="C305" s="23">
        <v>34</v>
      </c>
      <c r="D305" s="1">
        <v>42</v>
      </c>
      <c r="E305" s="1">
        <v>42</v>
      </c>
      <c r="F305" s="1">
        <v>50</v>
      </c>
      <c r="G305" s="1">
        <v>43</v>
      </c>
      <c r="H305" s="1">
        <v>49</v>
      </c>
      <c r="I305" s="1">
        <v>50</v>
      </c>
      <c r="J305" s="1">
        <v>47</v>
      </c>
      <c r="K305" s="1">
        <v>42</v>
      </c>
      <c r="L305" s="1">
        <v>38</v>
      </c>
      <c r="M305" s="1">
        <v>43</v>
      </c>
      <c r="N305" s="1">
        <v>39</v>
      </c>
      <c r="O305" s="24">
        <f t="shared" si="12"/>
        <v>519</v>
      </c>
      <c r="P305" s="23">
        <v>0</v>
      </c>
      <c r="Q305" s="1">
        <v>0</v>
      </c>
      <c r="R305" s="1">
        <v>0</v>
      </c>
      <c r="S305" s="1">
        <v>0</v>
      </c>
      <c r="T305" s="1">
        <v>0</v>
      </c>
      <c r="U305" s="1">
        <v>0</v>
      </c>
      <c r="V305" s="1">
        <v>0</v>
      </c>
      <c r="W305" s="1">
        <v>0</v>
      </c>
      <c r="X305" s="1">
        <v>0</v>
      </c>
      <c r="Y305" s="1">
        <v>0</v>
      </c>
      <c r="Z305" s="1">
        <v>0</v>
      </c>
      <c r="AA305" s="1">
        <v>0</v>
      </c>
      <c r="AB305" s="24">
        <f t="shared" si="13"/>
        <v>0</v>
      </c>
      <c r="AC305" s="23">
        <v>99606</v>
      </c>
      <c r="AD305" s="1">
        <v>205755</v>
      </c>
      <c r="AE305" s="1">
        <v>216720</v>
      </c>
      <c r="AF305" s="1">
        <v>287596</v>
      </c>
      <c r="AG305" s="1">
        <v>283190</v>
      </c>
      <c r="AH305" s="1">
        <v>234414</v>
      </c>
      <c r="AI305" s="1">
        <v>260667</v>
      </c>
      <c r="AJ305" s="1">
        <v>237222</v>
      </c>
      <c r="AK305" s="1">
        <v>197157</v>
      </c>
      <c r="AL305" s="1">
        <v>145272</v>
      </c>
      <c r="AM305" s="1">
        <v>254264</v>
      </c>
      <c r="AN305" s="1">
        <v>215487</v>
      </c>
      <c r="AO305" s="24">
        <f t="shared" si="14"/>
        <v>2637350</v>
      </c>
    </row>
    <row r="306" spans="1:41" ht="17.25" customHeight="1" x14ac:dyDescent="0.45">
      <c r="A306" s="12" t="s">
        <v>15</v>
      </c>
      <c r="B306" s="12" t="s">
        <v>206</v>
      </c>
      <c r="C306" s="25">
        <v>0</v>
      </c>
      <c r="D306" s="10">
        <v>1</v>
      </c>
      <c r="E306" s="10">
        <v>0</v>
      </c>
      <c r="F306" s="10">
        <v>4</v>
      </c>
      <c r="G306" s="10">
        <v>1</v>
      </c>
      <c r="H306" s="10">
        <v>6</v>
      </c>
      <c r="I306" s="10">
        <v>1</v>
      </c>
      <c r="J306" s="10">
        <v>2</v>
      </c>
      <c r="K306" s="10">
        <v>0</v>
      </c>
      <c r="L306" s="10">
        <v>0</v>
      </c>
      <c r="M306" s="10">
        <v>1</v>
      </c>
      <c r="N306" s="10">
        <v>0</v>
      </c>
      <c r="O306" s="26">
        <f t="shared" si="12"/>
        <v>16</v>
      </c>
      <c r="P306" s="25">
        <v>0</v>
      </c>
      <c r="Q306" s="10">
        <v>0</v>
      </c>
      <c r="R306" s="10">
        <v>0</v>
      </c>
      <c r="S306" s="10">
        <v>0</v>
      </c>
      <c r="T306" s="10">
        <v>0</v>
      </c>
      <c r="U306" s="10">
        <v>0</v>
      </c>
      <c r="V306" s="10">
        <v>0</v>
      </c>
      <c r="W306" s="10">
        <v>0</v>
      </c>
      <c r="X306" s="10">
        <v>0</v>
      </c>
      <c r="Y306" s="10">
        <v>0</v>
      </c>
      <c r="Z306" s="10">
        <v>0</v>
      </c>
      <c r="AA306" s="10">
        <v>0</v>
      </c>
      <c r="AB306" s="26">
        <f t="shared" si="13"/>
        <v>0</v>
      </c>
      <c r="AC306" s="25">
        <v>0</v>
      </c>
      <c r="AD306" s="10">
        <v>720</v>
      </c>
      <c r="AE306" s="10">
        <v>0</v>
      </c>
      <c r="AF306" s="10">
        <v>10720</v>
      </c>
      <c r="AG306" s="10">
        <v>2650</v>
      </c>
      <c r="AH306" s="10">
        <v>17710</v>
      </c>
      <c r="AI306" s="10">
        <v>2350</v>
      </c>
      <c r="AJ306" s="10">
        <v>5280</v>
      </c>
      <c r="AK306" s="10">
        <v>0</v>
      </c>
      <c r="AL306" s="10">
        <v>0</v>
      </c>
      <c r="AM306" s="10">
        <v>400</v>
      </c>
      <c r="AN306" s="10">
        <v>0</v>
      </c>
      <c r="AO306" s="26">
        <f t="shared" si="14"/>
        <v>39830</v>
      </c>
    </row>
    <row r="307" spans="1:41" ht="17.25" customHeight="1" x14ac:dyDescent="0.45">
      <c r="A307" s="2" t="s">
        <v>15</v>
      </c>
      <c r="B307" s="2" t="s">
        <v>30</v>
      </c>
      <c r="C307" s="23">
        <v>0</v>
      </c>
      <c r="D307" s="1">
        <v>0</v>
      </c>
      <c r="E307" s="1">
        <v>0</v>
      </c>
      <c r="F307" s="1">
        <v>0</v>
      </c>
      <c r="G307" s="1">
        <v>0</v>
      </c>
      <c r="H307" s="1">
        <v>0</v>
      </c>
      <c r="I307" s="1">
        <v>0</v>
      </c>
      <c r="J307" s="1">
        <v>0</v>
      </c>
      <c r="K307" s="1">
        <v>2</v>
      </c>
      <c r="L307" s="1">
        <v>0</v>
      </c>
      <c r="M307" s="1">
        <v>0</v>
      </c>
      <c r="N307" s="1">
        <v>0</v>
      </c>
      <c r="O307" s="24">
        <f t="shared" si="12"/>
        <v>2</v>
      </c>
      <c r="P307" s="23">
        <v>0</v>
      </c>
      <c r="Q307" s="1">
        <v>0</v>
      </c>
      <c r="R307" s="1">
        <v>0</v>
      </c>
      <c r="S307" s="1">
        <v>0</v>
      </c>
      <c r="T307" s="1">
        <v>0</v>
      </c>
      <c r="U307" s="1">
        <v>0</v>
      </c>
      <c r="V307" s="1">
        <v>0</v>
      </c>
      <c r="W307" s="1">
        <v>0</v>
      </c>
      <c r="X307" s="1">
        <v>0</v>
      </c>
      <c r="Y307" s="1">
        <v>0</v>
      </c>
      <c r="Z307" s="1">
        <v>0</v>
      </c>
      <c r="AA307" s="1">
        <v>0</v>
      </c>
      <c r="AB307" s="24">
        <f t="shared" si="13"/>
        <v>0</v>
      </c>
      <c r="AC307" s="23">
        <v>0</v>
      </c>
      <c r="AD307" s="1">
        <v>0</v>
      </c>
      <c r="AE307" s="1">
        <v>0</v>
      </c>
      <c r="AF307" s="1">
        <v>0</v>
      </c>
      <c r="AG307" s="1">
        <v>0</v>
      </c>
      <c r="AH307" s="1">
        <v>0</v>
      </c>
      <c r="AI307" s="1">
        <v>0</v>
      </c>
      <c r="AJ307" s="1">
        <v>0</v>
      </c>
      <c r="AK307" s="1">
        <v>20547</v>
      </c>
      <c r="AL307" s="1">
        <v>0</v>
      </c>
      <c r="AM307" s="1">
        <v>0</v>
      </c>
      <c r="AN307" s="1">
        <v>0</v>
      </c>
      <c r="AO307" s="24">
        <f t="shared" si="14"/>
        <v>20547</v>
      </c>
    </row>
    <row r="308" spans="1:41" ht="17.25" customHeight="1" x14ac:dyDescent="0.45">
      <c r="A308" s="12" t="s">
        <v>15</v>
      </c>
      <c r="B308" s="12" t="s">
        <v>50</v>
      </c>
      <c r="C308" s="25">
        <v>0</v>
      </c>
      <c r="D308" s="10">
        <v>0</v>
      </c>
      <c r="E308" s="10">
        <v>1</v>
      </c>
      <c r="F308" s="10">
        <v>0</v>
      </c>
      <c r="G308" s="10">
        <v>0</v>
      </c>
      <c r="H308" s="10">
        <v>0</v>
      </c>
      <c r="I308" s="10">
        <v>0</v>
      </c>
      <c r="J308" s="10">
        <v>0</v>
      </c>
      <c r="K308" s="10">
        <v>0</v>
      </c>
      <c r="L308" s="10">
        <v>0</v>
      </c>
      <c r="M308" s="10">
        <v>0</v>
      </c>
      <c r="N308" s="10">
        <v>0</v>
      </c>
      <c r="O308" s="26">
        <f t="shared" si="12"/>
        <v>1</v>
      </c>
      <c r="P308" s="25">
        <v>0</v>
      </c>
      <c r="Q308" s="10">
        <v>0</v>
      </c>
      <c r="R308" s="10">
        <v>130</v>
      </c>
      <c r="S308" s="10">
        <v>0</v>
      </c>
      <c r="T308" s="10">
        <v>0</v>
      </c>
      <c r="U308" s="10">
        <v>0</v>
      </c>
      <c r="V308" s="10">
        <v>0</v>
      </c>
      <c r="W308" s="10">
        <v>0</v>
      </c>
      <c r="X308" s="10">
        <v>0</v>
      </c>
      <c r="Y308" s="10">
        <v>0</v>
      </c>
      <c r="Z308" s="10">
        <v>0</v>
      </c>
      <c r="AA308" s="10">
        <v>0</v>
      </c>
      <c r="AB308" s="26">
        <f t="shared" si="13"/>
        <v>130</v>
      </c>
      <c r="AC308" s="25">
        <v>0</v>
      </c>
      <c r="AD308" s="10">
        <v>0</v>
      </c>
      <c r="AE308" s="10">
        <v>0</v>
      </c>
      <c r="AF308" s="10">
        <v>0</v>
      </c>
      <c r="AG308" s="10">
        <v>0</v>
      </c>
      <c r="AH308" s="10">
        <v>0</v>
      </c>
      <c r="AI308" s="10">
        <v>0</v>
      </c>
      <c r="AJ308" s="10">
        <v>0</v>
      </c>
      <c r="AK308" s="10">
        <v>0</v>
      </c>
      <c r="AL308" s="10">
        <v>0</v>
      </c>
      <c r="AM308" s="10">
        <v>0</v>
      </c>
      <c r="AN308" s="10">
        <v>0</v>
      </c>
      <c r="AO308" s="26">
        <f t="shared" si="14"/>
        <v>0</v>
      </c>
    </row>
    <row r="309" spans="1:41" ht="17.25" customHeight="1" x14ac:dyDescent="0.45">
      <c r="A309" s="2" t="s">
        <v>15</v>
      </c>
      <c r="B309" s="2" t="s">
        <v>32</v>
      </c>
      <c r="C309" s="23">
        <v>1</v>
      </c>
      <c r="D309" s="1">
        <v>0</v>
      </c>
      <c r="E309" s="1">
        <v>1</v>
      </c>
      <c r="F309" s="1">
        <v>2</v>
      </c>
      <c r="G309" s="1">
        <v>1</v>
      </c>
      <c r="H309" s="1">
        <v>6</v>
      </c>
      <c r="I309" s="1">
        <v>1</v>
      </c>
      <c r="J309" s="1">
        <v>1</v>
      </c>
      <c r="K309" s="1">
        <v>2</v>
      </c>
      <c r="L309" s="1">
        <v>1</v>
      </c>
      <c r="M309" s="1">
        <v>3</v>
      </c>
      <c r="N309" s="1">
        <v>0</v>
      </c>
      <c r="O309" s="24">
        <f t="shared" si="12"/>
        <v>19</v>
      </c>
      <c r="P309" s="23">
        <v>99</v>
      </c>
      <c r="Q309" s="1">
        <v>0</v>
      </c>
      <c r="R309" s="1">
        <v>0</v>
      </c>
      <c r="S309" s="1">
        <v>29</v>
      </c>
      <c r="T309" s="1">
        <v>0</v>
      </c>
      <c r="U309" s="1">
        <v>0</v>
      </c>
      <c r="V309" s="1">
        <v>47</v>
      </c>
      <c r="W309" s="1">
        <v>0</v>
      </c>
      <c r="X309" s="1">
        <v>96</v>
      </c>
      <c r="Y309" s="1">
        <v>53</v>
      </c>
      <c r="Z309" s="1">
        <v>157</v>
      </c>
      <c r="AA309" s="1">
        <v>0</v>
      </c>
      <c r="AB309" s="24">
        <f t="shared" si="13"/>
        <v>481</v>
      </c>
      <c r="AC309" s="23">
        <v>0</v>
      </c>
      <c r="AD309" s="1">
        <v>0</v>
      </c>
      <c r="AE309" s="1">
        <v>7885</v>
      </c>
      <c r="AF309" s="1">
        <v>8810</v>
      </c>
      <c r="AG309" s="1">
        <v>15465</v>
      </c>
      <c r="AH309" s="1">
        <v>27847</v>
      </c>
      <c r="AI309" s="1">
        <v>0</v>
      </c>
      <c r="AJ309" s="1">
        <v>4669</v>
      </c>
      <c r="AK309" s="1">
        <v>0</v>
      </c>
      <c r="AL309" s="1">
        <v>0</v>
      </c>
      <c r="AM309" s="1">
        <v>0</v>
      </c>
      <c r="AN309" s="1">
        <v>0</v>
      </c>
      <c r="AO309" s="24">
        <f t="shared" si="14"/>
        <v>64676</v>
      </c>
    </row>
    <row r="310" spans="1:41" ht="17.25" customHeight="1" x14ac:dyDescent="0.45">
      <c r="A310" s="12" t="s">
        <v>15</v>
      </c>
      <c r="B310" s="12" t="s">
        <v>34</v>
      </c>
      <c r="C310" s="25">
        <v>0</v>
      </c>
      <c r="D310" s="10">
        <v>0</v>
      </c>
      <c r="E310" s="10">
        <v>0</v>
      </c>
      <c r="F310" s="10">
        <v>0</v>
      </c>
      <c r="G310" s="10">
        <v>0</v>
      </c>
      <c r="H310" s="10">
        <v>3</v>
      </c>
      <c r="I310" s="10">
        <v>0</v>
      </c>
      <c r="J310" s="10">
        <v>0</v>
      </c>
      <c r="K310" s="10">
        <v>0</v>
      </c>
      <c r="L310" s="10">
        <v>0</v>
      </c>
      <c r="M310" s="10">
        <v>0</v>
      </c>
      <c r="N310" s="10">
        <v>0</v>
      </c>
      <c r="O310" s="26">
        <f t="shared" si="12"/>
        <v>3</v>
      </c>
      <c r="P310" s="25">
        <v>0</v>
      </c>
      <c r="Q310" s="10">
        <v>0</v>
      </c>
      <c r="R310" s="10">
        <v>0</v>
      </c>
      <c r="S310" s="10">
        <v>0</v>
      </c>
      <c r="T310" s="10">
        <v>0</v>
      </c>
      <c r="U310" s="10">
        <v>443</v>
      </c>
      <c r="V310" s="10">
        <v>0</v>
      </c>
      <c r="W310" s="10">
        <v>0</v>
      </c>
      <c r="X310" s="10">
        <v>0</v>
      </c>
      <c r="Y310" s="10">
        <v>0</v>
      </c>
      <c r="Z310" s="10">
        <v>0</v>
      </c>
      <c r="AA310" s="10">
        <v>0</v>
      </c>
      <c r="AB310" s="26">
        <f t="shared" si="13"/>
        <v>443</v>
      </c>
      <c r="AC310" s="25">
        <v>0</v>
      </c>
      <c r="AD310" s="10">
        <v>0</v>
      </c>
      <c r="AE310" s="10">
        <v>0</v>
      </c>
      <c r="AF310" s="10">
        <v>0</v>
      </c>
      <c r="AG310" s="10">
        <v>0</v>
      </c>
      <c r="AH310" s="10">
        <v>0</v>
      </c>
      <c r="AI310" s="10">
        <v>0</v>
      </c>
      <c r="AJ310" s="10">
        <v>0</v>
      </c>
      <c r="AK310" s="10">
        <v>0</v>
      </c>
      <c r="AL310" s="10">
        <v>0</v>
      </c>
      <c r="AM310" s="10">
        <v>0</v>
      </c>
      <c r="AN310" s="10">
        <v>0</v>
      </c>
      <c r="AO310" s="26">
        <f t="shared" si="14"/>
        <v>0</v>
      </c>
    </row>
    <row r="311" spans="1:41" ht="17.25" customHeight="1" x14ac:dyDescent="0.45">
      <c r="A311" s="2" t="s">
        <v>15</v>
      </c>
      <c r="B311" s="2" t="s">
        <v>36</v>
      </c>
      <c r="C311" s="23">
        <v>2</v>
      </c>
      <c r="D311" s="1">
        <v>4</v>
      </c>
      <c r="E311" s="1">
        <v>2</v>
      </c>
      <c r="F311" s="1">
        <v>9</v>
      </c>
      <c r="G311" s="1">
        <v>9</v>
      </c>
      <c r="H311" s="1">
        <v>3</v>
      </c>
      <c r="I311" s="1">
        <v>0</v>
      </c>
      <c r="J311" s="1">
        <v>0</v>
      </c>
      <c r="K311" s="1">
        <v>0</v>
      </c>
      <c r="L311" s="1">
        <v>0</v>
      </c>
      <c r="M311" s="1">
        <v>0</v>
      </c>
      <c r="N311" s="1">
        <v>0</v>
      </c>
      <c r="O311" s="24">
        <f t="shared" si="12"/>
        <v>29</v>
      </c>
      <c r="P311" s="23">
        <v>265</v>
      </c>
      <c r="Q311" s="1">
        <v>536</v>
      </c>
      <c r="R311" s="1">
        <v>311</v>
      </c>
      <c r="S311" s="1">
        <v>1516</v>
      </c>
      <c r="T311" s="1">
        <v>1503</v>
      </c>
      <c r="U311" s="1">
        <v>503</v>
      </c>
      <c r="V311" s="1">
        <v>0</v>
      </c>
      <c r="W311" s="1">
        <v>0</v>
      </c>
      <c r="X311" s="1">
        <v>0</v>
      </c>
      <c r="Y311" s="1">
        <v>0</v>
      </c>
      <c r="Z311" s="1">
        <v>0</v>
      </c>
      <c r="AA311" s="1">
        <v>0</v>
      </c>
      <c r="AB311" s="24">
        <f t="shared" si="13"/>
        <v>4634</v>
      </c>
      <c r="AC311" s="23">
        <v>0</v>
      </c>
      <c r="AD311" s="1">
        <v>0</v>
      </c>
      <c r="AE311" s="1">
        <v>0</v>
      </c>
      <c r="AF311" s="1">
        <v>0</v>
      </c>
      <c r="AG311" s="1">
        <v>0</v>
      </c>
      <c r="AH311" s="1">
        <v>0</v>
      </c>
      <c r="AI311" s="1">
        <v>0</v>
      </c>
      <c r="AJ311" s="1">
        <v>0</v>
      </c>
      <c r="AK311" s="1">
        <v>0</v>
      </c>
      <c r="AL311" s="1">
        <v>0</v>
      </c>
      <c r="AM311" s="1">
        <v>0</v>
      </c>
      <c r="AN311" s="1">
        <v>0</v>
      </c>
      <c r="AO311" s="24">
        <f t="shared" si="14"/>
        <v>0</v>
      </c>
    </row>
    <row r="312" spans="1:41" ht="17.25" customHeight="1" x14ac:dyDescent="0.45">
      <c r="A312" s="12" t="s">
        <v>15</v>
      </c>
      <c r="B312" s="12" t="s">
        <v>62</v>
      </c>
      <c r="C312" s="25">
        <v>0</v>
      </c>
      <c r="D312" s="10">
        <v>0</v>
      </c>
      <c r="E312" s="10">
        <v>0</v>
      </c>
      <c r="F312" s="10">
        <v>0</v>
      </c>
      <c r="G312" s="10">
        <v>0</v>
      </c>
      <c r="H312" s="10">
        <v>1</v>
      </c>
      <c r="I312" s="10">
        <v>0</v>
      </c>
      <c r="J312" s="10">
        <v>0</v>
      </c>
      <c r="K312" s="10">
        <v>1</v>
      </c>
      <c r="L312" s="10">
        <v>0</v>
      </c>
      <c r="M312" s="10">
        <v>0</v>
      </c>
      <c r="N312" s="10">
        <v>0</v>
      </c>
      <c r="O312" s="26">
        <f t="shared" si="12"/>
        <v>2</v>
      </c>
      <c r="P312" s="25">
        <v>0</v>
      </c>
      <c r="Q312" s="10">
        <v>0</v>
      </c>
      <c r="R312" s="10">
        <v>0</v>
      </c>
      <c r="S312" s="10">
        <v>0</v>
      </c>
      <c r="T312" s="10">
        <v>0</v>
      </c>
      <c r="U312" s="10">
        <v>0</v>
      </c>
      <c r="V312" s="10">
        <v>0</v>
      </c>
      <c r="W312" s="10">
        <v>0</v>
      </c>
      <c r="X312" s="10">
        <v>0</v>
      </c>
      <c r="Y312" s="10">
        <v>0</v>
      </c>
      <c r="Z312" s="10">
        <v>0</v>
      </c>
      <c r="AA312" s="10">
        <v>0</v>
      </c>
      <c r="AB312" s="26">
        <f t="shared" si="13"/>
        <v>0</v>
      </c>
      <c r="AC312" s="25">
        <v>0</v>
      </c>
      <c r="AD312" s="10">
        <v>0</v>
      </c>
      <c r="AE312" s="10">
        <v>0</v>
      </c>
      <c r="AF312" s="10">
        <v>0</v>
      </c>
      <c r="AG312" s="10">
        <v>0</v>
      </c>
      <c r="AH312" s="10">
        <v>2600</v>
      </c>
      <c r="AI312" s="10">
        <v>0</v>
      </c>
      <c r="AJ312" s="10">
        <v>0</v>
      </c>
      <c r="AK312" s="10">
        <v>770</v>
      </c>
      <c r="AL312" s="10">
        <v>0</v>
      </c>
      <c r="AM312" s="10">
        <v>0</v>
      </c>
      <c r="AN312" s="10">
        <v>0</v>
      </c>
      <c r="AO312" s="26">
        <f t="shared" si="14"/>
        <v>3370</v>
      </c>
    </row>
    <row r="313" spans="1:41" ht="17.25" customHeight="1" x14ac:dyDescent="0.45">
      <c r="A313" s="2" t="s">
        <v>32</v>
      </c>
      <c r="B313" s="2" t="s">
        <v>9</v>
      </c>
      <c r="C313" s="23">
        <v>0</v>
      </c>
      <c r="D313" s="1">
        <v>0</v>
      </c>
      <c r="E313" s="1">
        <v>0</v>
      </c>
      <c r="F313" s="1">
        <v>0</v>
      </c>
      <c r="G313" s="1">
        <v>0</v>
      </c>
      <c r="H313" s="1">
        <v>0</v>
      </c>
      <c r="I313" s="1">
        <v>0</v>
      </c>
      <c r="J313" s="1">
        <v>1</v>
      </c>
      <c r="K313" s="1">
        <v>0</v>
      </c>
      <c r="L313" s="1">
        <v>0</v>
      </c>
      <c r="M313" s="1">
        <v>0</v>
      </c>
      <c r="N313" s="1">
        <v>0</v>
      </c>
      <c r="O313" s="24">
        <f t="shared" si="12"/>
        <v>1</v>
      </c>
      <c r="P313" s="23">
        <v>0</v>
      </c>
      <c r="Q313" s="1">
        <v>0</v>
      </c>
      <c r="R313" s="1">
        <v>0</v>
      </c>
      <c r="S313" s="1">
        <v>0</v>
      </c>
      <c r="T313" s="1">
        <v>0</v>
      </c>
      <c r="U313" s="1">
        <v>0</v>
      </c>
      <c r="V313" s="1">
        <v>0</v>
      </c>
      <c r="W313" s="1">
        <v>7</v>
      </c>
      <c r="X313" s="1">
        <v>0</v>
      </c>
      <c r="Y313" s="1">
        <v>0</v>
      </c>
      <c r="Z313" s="1">
        <v>0</v>
      </c>
      <c r="AA313" s="1">
        <v>0</v>
      </c>
      <c r="AB313" s="24">
        <f t="shared" si="13"/>
        <v>7</v>
      </c>
      <c r="AC313" s="23">
        <v>0</v>
      </c>
      <c r="AD313" s="1">
        <v>0</v>
      </c>
      <c r="AE313" s="1">
        <v>0</v>
      </c>
      <c r="AF313" s="1">
        <v>0</v>
      </c>
      <c r="AG313" s="1">
        <v>0</v>
      </c>
      <c r="AH313" s="1">
        <v>0</v>
      </c>
      <c r="AI313" s="1">
        <v>0</v>
      </c>
      <c r="AJ313" s="1">
        <v>0</v>
      </c>
      <c r="AK313" s="1">
        <v>0</v>
      </c>
      <c r="AL313" s="1">
        <v>0</v>
      </c>
      <c r="AM313" s="1">
        <v>0</v>
      </c>
      <c r="AN313" s="1">
        <v>0</v>
      </c>
      <c r="AO313" s="24">
        <f t="shared" si="14"/>
        <v>0</v>
      </c>
    </row>
    <row r="314" spans="1:41" ht="17.25" customHeight="1" x14ac:dyDescent="0.45">
      <c r="A314" s="12" t="s">
        <v>32</v>
      </c>
      <c r="B314" s="12" t="s">
        <v>16</v>
      </c>
      <c r="C314" s="25">
        <v>1</v>
      </c>
      <c r="D314" s="10">
        <v>1</v>
      </c>
      <c r="E314" s="10">
        <v>0</v>
      </c>
      <c r="F314" s="10">
        <v>0</v>
      </c>
      <c r="G314" s="10">
        <v>0</v>
      </c>
      <c r="H314" s="10">
        <v>0</v>
      </c>
      <c r="I314" s="10">
        <v>0</v>
      </c>
      <c r="J314" s="10">
        <v>0</v>
      </c>
      <c r="K314" s="10">
        <v>2</v>
      </c>
      <c r="L314" s="10">
        <v>1</v>
      </c>
      <c r="M314" s="10">
        <v>0</v>
      </c>
      <c r="N314" s="10">
        <v>0</v>
      </c>
      <c r="O314" s="26">
        <f t="shared" si="12"/>
        <v>5</v>
      </c>
      <c r="P314" s="25">
        <v>50</v>
      </c>
      <c r="Q314" s="10">
        <v>48</v>
      </c>
      <c r="R314" s="10">
        <v>0</v>
      </c>
      <c r="S314" s="10">
        <v>0</v>
      </c>
      <c r="T314" s="10">
        <v>0</v>
      </c>
      <c r="U314" s="10">
        <v>0</v>
      </c>
      <c r="V314" s="10">
        <v>0</v>
      </c>
      <c r="W314" s="10">
        <v>0</v>
      </c>
      <c r="X314" s="10">
        <v>100</v>
      </c>
      <c r="Y314" s="10">
        <v>50</v>
      </c>
      <c r="Z314" s="10">
        <v>0</v>
      </c>
      <c r="AA314" s="10">
        <v>0</v>
      </c>
      <c r="AB314" s="26">
        <f t="shared" si="13"/>
        <v>248</v>
      </c>
      <c r="AC314" s="25">
        <v>0</v>
      </c>
      <c r="AD314" s="10">
        <v>0</v>
      </c>
      <c r="AE314" s="10">
        <v>0</v>
      </c>
      <c r="AF314" s="10">
        <v>0</v>
      </c>
      <c r="AG314" s="10">
        <v>0</v>
      </c>
      <c r="AH314" s="10">
        <v>0</v>
      </c>
      <c r="AI314" s="10">
        <v>0</v>
      </c>
      <c r="AJ314" s="10">
        <v>0</v>
      </c>
      <c r="AK314" s="10">
        <v>0</v>
      </c>
      <c r="AL314" s="10">
        <v>0</v>
      </c>
      <c r="AM314" s="10">
        <v>0</v>
      </c>
      <c r="AN314" s="10">
        <v>0</v>
      </c>
      <c r="AO314" s="26">
        <f t="shared" si="14"/>
        <v>0</v>
      </c>
    </row>
    <row r="315" spans="1:41" ht="17.25" customHeight="1" x14ac:dyDescent="0.45">
      <c r="A315" s="2" t="s">
        <v>32</v>
      </c>
      <c r="B315" s="2" t="s">
        <v>18</v>
      </c>
      <c r="C315" s="23">
        <v>0</v>
      </c>
      <c r="D315" s="1">
        <v>1</v>
      </c>
      <c r="E315" s="1">
        <v>0</v>
      </c>
      <c r="F315" s="1">
        <v>0</v>
      </c>
      <c r="G315" s="1">
        <v>0</v>
      </c>
      <c r="H315" s="1">
        <v>0</v>
      </c>
      <c r="I315" s="1">
        <v>0</v>
      </c>
      <c r="J315" s="1">
        <v>0</v>
      </c>
      <c r="K315" s="1">
        <v>0</v>
      </c>
      <c r="L315" s="1">
        <v>0</v>
      </c>
      <c r="M315" s="1">
        <v>0</v>
      </c>
      <c r="N315" s="1">
        <v>0</v>
      </c>
      <c r="O315" s="24">
        <f t="shared" si="12"/>
        <v>1</v>
      </c>
      <c r="P315" s="23">
        <v>0</v>
      </c>
      <c r="Q315" s="1">
        <v>35</v>
      </c>
      <c r="R315" s="1">
        <v>0</v>
      </c>
      <c r="S315" s="1">
        <v>0</v>
      </c>
      <c r="T315" s="1">
        <v>0</v>
      </c>
      <c r="U315" s="1">
        <v>0</v>
      </c>
      <c r="V315" s="1">
        <v>0</v>
      </c>
      <c r="W315" s="1">
        <v>0</v>
      </c>
      <c r="X315" s="1">
        <v>0</v>
      </c>
      <c r="Y315" s="1">
        <v>0</v>
      </c>
      <c r="Z315" s="1">
        <v>0</v>
      </c>
      <c r="AA315" s="1">
        <v>0</v>
      </c>
      <c r="AB315" s="24">
        <f t="shared" si="13"/>
        <v>35</v>
      </c>
      <c r="AC315" s="23">
        <v>0</v>
      </c>
      <c r="AD315" s="1">
        <v>0</v>
      </c>
      <c r="AE315" s="1">
        <v>0</v>
      </c>
      <c r="AF315" s="1">
        <v>0</v>
      </c>
      <c r="AG315" s="1">
        <v>0</v>
      </c>
      <c r="AH315" s="1">
        <v>0</v>
      </c>
      <c r="AI315" s="1">
        <v>0</v>
      </c>
      <c r="AJ315" s="1">
        <v>0</v>
      </c>
      <c r="AK315" s="1">
        <v>0</v>
      </c>
      <c r="AL315" s="1">
        <v>0</v>
      </c>
      <c r="AM315" s="1">
        <v>0</v>
      </c>
      <c r="AN315" s="1">
        <v>0</v>
      </c>
      <c r="AO315" s="24">
        <f t="shared" si="14"/>
        <v>0</v>
      </c>
    </row>
    <row r="316" spans="1:41" ht="17.25" customHeight="1" x14ac:dyDescent="0.45">
      <c r="A316" s="12" t="s">
        <v>32</v>
      </c>
      <c r="B316" s="12" t="s">
        <v>10</v>
      </c>
      <c r="C316" s="25">
        <v>5</v>
      </c>
      <c r="D316" s="10">
        <v>5</v>
      </c>
      <c r="E316" s="10">
        <v>1</v>
      </c>
      <c r="F316" s="10">
        <v>6</v>
      </c>
      <c r="G316" s="10">
        <v>5</v>
      </c>
      <c r="H316" s="10">
        <v>8</v>
      </c>
      <c r="I316" s="10">
        <v>3</v>
      </c>
      <c r="J316" s="10">
        <v>9</v>
      </c>
      <c r="K316" s="10">
        <v>4</v>
      </c>
      <c r="L316" s="10">
        <v>2</v>
      </c>
      <c r="M316" s="10">
        <v>15</v>
      </c>
      <c r="N316" s="10">
        <v>15</v>
      </c>
      <c r="O316" s="26">
        <f t="shared" si="12"/>
        <v>78</v>
      </c>
      <c r="P316" s="25">
        <v>0</v>
      </c>
      <c r="Q316" s="10">
        <v>0</v>
      </c>
      <c r="R316" s="10">
        <v>0</v>
      </c>
      <c r="S316" s="10">
        <v>0</v>
      </c>
      <c r="T316" s="10">
        <v>0</v>
      </c>
      <c r="U316" s="10">
        <v>39</v>
      </c>
      <c r="V316" s="10">
        <v>43</v>
      </c>
      <c r="W316" s="10">
        <v>48</v>
      </c>
      <c r="X316" s="10">
        <v>0</v>
      </c>
      <c r="Y316" s="10">
        <v>0</v>
      </c>
      <c r="Z316" s="10">
        <v>0</v>
      </c>
      <c r="AA316" s="10">
        <v>6</v>
      </c>
      <c r="AB316" s="26">
        <f t="shared" si="13"/>
        <v>136</v>
      </c>
      <c r="AC316" s="25">
        <v>17863</v>
      </c>
      <c r="AD316" s="10">
        <v>19053</v>
      </c>
      <c r="AE316" s="10">
        <v>3740</v>
      </c>
      <c r="AF316" s="10">
        <v>20548</v>
      </c>
      <c r="AG316" s="10">
        <v>19841</v>
      </c>
      <c r="AH316" s="10">
        <v>27612</v>
      </c>
      <c r="AI316" s="10">
        <v>5595</v>
      </c>
      <c r="AJ316" s="10">
        <v>39398</v>
      </c>
      <c r="AK316" s="10">
        <v>37966</v>
      </c>
      <c r="AL316" s="10">
        <v>6854</v>
      </c>
      <c r="AM316" s="10">
        <v>66047</v>
      </c>
      <c r="AN316" s="10">
        <v>67993</v>
      </c>
      <c r="AO316" s="26">
        <f t="shared" si="14"/>
        <v>332510</v>
      </c>
    </row>
    <row r="317" spans="1:41" ht="17.25" customHeight="1" x14ac:dyDescent="0.45">
      <c r="A317" s="2" t="s">
        <v>32</v>
      </c>
      <c r="B317" s="2" t="s">
        <v>269</v>
      </c>
      <c r="C317" s="23">
        <v>0</v>
      </c>
      <c r="D317" s="1">
        <v>0</v>
      </c>
      <c r="E317" s="1">
        <v>3</v>
      </c>
      <c r="F317" s="1">
        <v>6</v>
      </c>
      <c r="G317" s="1">
        <v>3</v>
      </c>
      <c r="H317" s="1">
        <v>2</v>
      </c>
      <c r="I317" s="1">
        <v>5</v>
      </c>
      <c r="J317" s="1">
        <v>5</v>
      </c>
      <c r="K317" s="1">
        <v>4</v>
      </c>
      <c r="L317" s="1">
        <v>3</v>
      </c>
      <c r="M317" s="1">
        <v>3</v>
      </c>
      <c r="N317" s="1">
        <v>6</v>
      </c>
      <c r="O317" s="24">
        <f t="shared" si="12"/>
        <v>40</v>
      </c>
      <c r="P317" s="23">
        <v>0</v>
      </c>
      <c r="Q317" s="1">
        <v>0</v>
      </c>
      <c r="R317" s="1">
        <v>50</v>
      </c>
      <c r="S317" s="1">
        <v>123</v>
      </c>
      <c r="T317" s="1">
        <v>100</v>
      </c>
      <c r="U317" s="1">
        <v>49</v>
      </c>
      <c r="V317" s="1">
        <v>108</v>
      </c>
      <c r="W317" s="1">
        <v>121</v>
      </c>
      <c r="X317" s="1">
        <v>120</v>
      </c>
      <c r="Y317" s="1">
        <v>62</v>
      </c>
      <c r="Z317" s="1">
        <v>96</v>
      </c>
      <c r="AA317" s="1">
        <v>120</v>
      </c>
      <c r="AB317" s="24">
        <f t="shared" si="13"/>
        <v>949</v>
      </c>
      <c r="AC317" s="23">
        <v>0</v>
      </c>
      <c r="AD317" s="1">
        <v>0</v>
      </c>
      <c r="AE317" s="1">
        <v>0</v>
      </c>
      <c r="AF317" s="1">
        <v>0</v>
      </c>
      <c r="AG317" s="1">
        <v>0</v>
      </c>
      <c r="AH317" s="1">
        <v>0</v>
      </c>
      <c r="AI317" s="1">
        <v>0</v>
      </c>
      <c r="AJ317" s="1">
        <v>0</v>
      </c>
      <c r="AK317" s="1">
        <v>0</v>
      </c>
      <c r="AL317" s="1">
        <v>0</v>
      </c>
      <c r="AM317" s="1">
        <v>0</v>
      </c>
      <c r="AN317" s="1">
        <v>0</v>
      </c>
      <c r="AO317" s="24">
        <f t="shared" si="14"/>
        <v>0</v>
      </c>
    </row>
    <row r="318" spans="1:41" ht="17.25" customHeight="1" x14ac:dyDescent="0.45">
      <c r="A318" s="12" t="s">
        <v>32</v>
      </c>
      <c r="B318" s="12" t="s">
        <v>280</v>
      </c>
      <c r="C318" s="25">
        <v>0</v>
      </c>
      <c r="D318" s="10">
        <v>0</v>
      </c>
      <c r="E318" s="10">
        <v>0</v>
      </c>
      <c r="F318" s="10">
        <v>0</v>
      </c>
      <c r="G318" s="10">
        <v>0</v>
      </c>
      <c r="H318" s="10">
        <v>0</v>
      </c>
      <c r="I318" s="10">
        <v>0</v>
      </c>
      <c r="J318" s="10">
        <v>0</v>
      </c>
      <c r="K318" s="10">
        <v>0</v>
      </c>
      <c r="L318" s="10">
        <v>0</v>
      </c>
      <c r="M318" s="10">
        <v>0</v>
      </c>
      <c r="N318" s="10">
        <v>2</v>
      </c>
      <c r="O318" s="26">
        <f t="shared" si="12"/>
        <v>2</v>
      </c>
      <c r="P318" s="25">
        <v>0</v>
      </c>
      <c r="Q318" s="10">
        <v>0</v>
      </c>
      <c r="R318" s="10">
        <v>0</v>
      </c>
      <c r="S318" s="10">
        <v>0</v>
      </c>
      <c r="T318" s="10">
        <v>0</v>
      </c>
      <c r="U318" s="10">
        <v>0</v>
      </c>
      <c r="V318" s="10">
        <v>0</v>
      </c>
      <c r="W318" s="10">
        <v>0</v>
      </c>
      <c r="X318" s="10">
        <v>0</v>
      </c>
      <c r="Y318" s="10">
        <v>0</v>
      </c>
      <c r="Z318" s="10">
        <v>0</v>
      </c>
      <c r="AA318" s="10">
        <v>73</v>
      </c>
      <c r="AB318" s="26">
        <f t="shared" si="13"/>
        <v>73</v>
      </c>
      <c r="AC318" s="25">
        <v>0</v>
      </c>
      <c r="AD318" s="10">
        <v>0</v>
      </c>
      <c r="AE318" s="10">
        <v>0</v>
      </c>
      <c r="AF318" s="10">
        <v>0</v>
      </c>
      <c r="AG318" s="10">
        <v>0</v>
      </c>
      <c r="AH318" s="10">
        <v>0</v>
      </c>
      <c r="AI318" s="10">
        <v>0</v>
      </c>
      <c r="AJ318" s="10">
        <v>0</v>
      </c>
      <c r="AK318" s="10">
        <v>0</v>
      </c>
      <c r="AL318" s="10">
        <v>0</v>
      </c>
      <c r="AM318" s="10">
        <v>0</v>
      </c>
      <c r="AN318" s="10">
        <v>0</v>
      </c>
      <c r="AO318" s="26">
        <f t="shared" si="14"/>
        <v>0</v>
      </c>
    </row>
    <row r="319" spans="1:41" ht="17.25" customHeight="1" x14ac:dyDescent="0.45">
      <c r="A319" s="2" t="s">
        <v>32</v>
      </c>
      <c r="B319" s="2" t="s">
        <v>19</v>
      </c>
      <c r="C319" s="23">
        <v>18</v>
      </c>
      <c r="D319" s="1">
        <v>18</v>
      </c>
      <c r="E319" s="1">
        <v>16</v>
      </c>
      <c r="F319" s="1">
        <v>22</v>
      </c>
      <c r="G319" s="1">
        <v>25</v>
      </c>
      <c r="H319" s="1">
        <v>18</v>
      </c>
      <c r="I319" s="1">
        <v>24</v>
      </c>
      <c r="J319" s="1">
        <v>24</v>
      </c>
      <c r="K319" s="1">
        <v>17</v>
      </c>
      <c r="L319" s="1">
        <v>24</v>
      </c>
      <c r="M319" s="1">
        <v>2</v>
      </c>
      <c r="N319" s="1">
        <v>1</v>
      </c>
      <c r="O319" s="24">
        <f t="shared" si="12"/>
        <v>209</v>
      </c>
      <c r="P319" s="23">
        <v>0</v>
      </c>
      <c r="Q319" s="1">
        <v>0</v>
      </c>
      <c r="R319" s="1">
        <v>45</v>
      </c>
      <c r="S319" s="1">
        <v>0</v>
      </c>
      <c r="T319" s="1">
        <v>0</v>
      </c>
      <c r="U319" s="1">
        <v>0</v>
      </c>
      <c r="V319" s="1">
        <v>0</v>
      </c>
      <c r="W319" s="1">
        <v>0</v>
      </c>
      <c r="X319" s="1">
        <v>0</v>
      </c>
      <c r="Y319" s="1">
        <v>50</v>
      </c>
      <c r="Z319" s="1">
        <v>0</v>
      </c>
      <c r="AA319" s="1">
        <v>0</v>
      </c>
      <c r="AB319" s="24">
        <f t="shared" si="13"/>
        <v>95</v>
      </c>
      <c r="AC319" s="23">
        <v>108126</v>
      </c>
      <c r="AD319" s="1">
        <v>110670</v>
      </c>
      <c r="AE319" s="1">
        <v>123847</v>
      </c>
      <c r="AF319" s="1">
        <v>154591</v>
      </c>
      <c r="AG319" s="1">
        <v>190896</v>
      </c>
      <c r="AH319" s="1">
        <v>117691</v>
      </c>
      <c r="AI319" s="1">
        <v>155801</v>
      </c>
      <c r="AJ319" s="1">
        <v>29209</v>
      </c>
      <c r="AK319" s="1">
        <v>44291</v>
      </c>
      <c r="AL319" s="1">
        <v>165992</v>
      </c>
      <c r="AM319" s="1">
        <v>13750</v>
      </c>
      <c r="AN319" s="1">
        <v>6169</v>
      </c>
      <c r="AO319" s="24">
        <f t="shared" si="14"/>
        <v>1221033</v>
      </c>
    </row>
    <row r="320" spans="1:41" ht="17.25" customHeight="1" x14ac:dyDescent="0.45">
      <c r="A320" s="12" t="s">
        <v>32</v>
      </c>
      <c r="B320" s="12" t="s">
        <v>20</v>
      </c>
      <c r="C320" s="25">
        <v>2</v>
      </c>
      <c r="D320" s="10">
        <v>0</v>
      </c>
      <c r="E320" s="10">
        <v>0</v>
      </c>
      <c r="F320" s="10">
        <v>0</v>
      </c>
      <c r="G320" s="10">
        <v>1</v>
      </c>
      <c r="H320" s="10">
        <v>2</v>
      </c>
      <c r="I320" s="10">
        <v>3</v>
      </c>
      <c r="J320" s="10">
        <v>0</v>
      </c>
      <c r="K320" s="10">
        <v>2</v>
      </c>
      <c r="L320" s="10">
        <v>0</v>
      </c>
      <c r="M320" s="10">
        <v>0</v>
      </c>
      <c r="N320" s="10">
        <v>0</v>
      </c>
      <c r="O320" s="26">
        <f t="shared" si="12"/>
        <v>10</v>
      </c>
      <c r="P320" s="25">
        <v>151</v>
      </c>
      <c r="Q320" s="10">
        <v>0</v>
      </c>
      <c r="R320" s="10">
        <v>0</v>
      </c>
      <c r="S320" s="10">
        <v>0</v>
      </c>
      <c r="T320" s="10">
        <v>0</v>
      </c>
      <c r="U320" s="10">
        <v>52</v>
      </c>
      <c r="V320" s="10">
        <v>89</v>
      </c>
      <c r="W320" s="10">
        <v>0</v>
      </c>
      <c r="X320" s="10">
        <v>0</v>
      </c>
      <c r="Y320" s="10">
        <v>0</v>
      </c>
      <c r="Z320" s="10">
        <v>0</v>
      </c>
      <c r="AA320" s="10">
        <v>0</v>
      </c>
      <c r="AB320" s="26">
        <f t="shared" si="13"/>
        <v>292</v>
      </c>
      <c r="AC320" s="25">
        <v>0</v>
      </c>
      <c r="AD320" s="10">
        <v>0</v>
      </c>
      <c r="AE320" s="10">
        <v>0</v>
      </c>
      <c r="AF320" s="10">
        <v>0</v>
      </c>
      <c r="AG320" s="10">
        <v>3343</v>
      </c>
      <c r="AH320" s="10">
        <v>7043</v>
      </c>
      <c r="AI320" s="10">
        <v>5302</v>
      </c>
      <c r="AJ320" s="10">
        <v>0</v>
      </c>
      <c r="AK320" s="10">
        <v>10291</v>
      </c>
      <c r="AL320" s="10">
        <v>0</v>
      </c>
      <c r="AM320" s="10">
        <v>0</v>
      </c>
      <c r="AN320" s="10">
        <v>0</v>
      </c>
      <c r="AO320" s="26">
        <f t="shared" si="14"/>
        <v>25979</v>
      </c>
    </row>
    <row r="321" spans="1:41" ht="17.25" customHeight="1" x14ac:dyDescent="0.45">
      <c r="A321" s="2" t="s">
        <v>32</v>
      </c>
      <c r="B321" s="2" t="s">
        <v>44</v>
      </c>
      <c r="C321" s="23">
        <v>0</v>
      </c>
      <c r="D321" s="1">
        <v>0</v>
      </c>
      <c r="E321" s="1">
        <v>0</v>
      </c>
      <c r="F321" s="1">
        <v>0</v>
      </c>
      <c r="G321" s="1">
        <v>0</v>
      </c>
      <c r="H321" s="1">
        <v>0</v>
      </c>
      <c r="I321" s="1">
        <v>0</v>
      </c>
      <c r="J321" s="1">
        <v>0</v>
      </c>
      <c r="K321" s="1">
        <v>1</v>
      </c>
      <c r="L321" s="1">
        <v>2</v>
      </c>
      <c r="M321" s="1">
        <v>0</v>
      </c>
      <c r="N321" s="1">
        <v>0</v>
      </c>
      <c r="O321" s="24">
        <f t="shared" si="12"/>
        <v>3</v>
      </c>
      <c r="P321" s="23">
        <v>0</v>
      </c>
      <c r="Q321" s="1">
        <v>0</v>
      </c>
      <c r="R321" s="1">
        <v>0</v>
      </c>
      <c r="S321" s="1">
        <v>0</v>
      </c>
      <c r="T321" s="1">
        <v>0</v>
      </c>
      <c r="U321" s="1">
        <v>0</v>
      </c>
      <c r="V321" s="1">
        <v>0</v>
      </c>
      <c r="W321" s="1">
        <v>0</v>
      </c>
      <c r="X321" s="1">
        <v>34</v>
      </c>
      <c r="Y321" s="1">
        <v>54</v>
      </c>
      <c r="Z321" s="1">
        <v>0</v>
      </c>
      <c r="AA321" s="1">
        <v>0</v>
      </c>
      <c r="AB321" s="24">
        <f t="shared" si="13"/>
        <v>88</v>
      </c>
      <c r="AC321" s="23">
        <v>0</v>
      </c>
      <c r="AD321" s="1">
        <v>0</v>
      </c>
      <c r="AE321" s="1">
        <v>0</v>
      </c>
      <c r="AF321" s="1">
        <v>0</v>
      </c>
      <c r="AG321" s="1">
        <v>0</v>
      </c>
      <c r="AH321" s="1">
        <v>0</v>
      </c>
      <c r="AI321" s="1">
        <v>0</v>
      </c>
      <c r="AJ321" s="1">
        <v>0</v>
      </c>
      <c r="AK321" s="1">
        <v>0</v>
      </c>
      <c r="AL321" s="1">
        <v>0</v>
      </c>
      <c r="AM321" s="1">
        <v>0</v>
      </c>
      <c r="AN321" s="1">
        <v>0</v>
      </c>
      <c r="AO321" s="24">
        <f t="shared" si="14"/>
        <v>0</v>
      </c>
    </row>
    <row r="322" spans="1:41" ht="17.25" customHeight="1" x14ac:dyDescent="0.45">
      <c r="A322" s="12" t="s">
        <v>32</v>
      </c>
      <c r="B322" s="12" t="s">
        <v>45</v>
      </c>
      <c r="C322" s="25">
        <v>0</v>
      </c>
      <c r="D322" s="10">
        <v>0</v>
      </c>
      <c r="E322" s="10">
        <v>0</v>
      </c>
      <c r="F322" s="10">
        <v>0</v>
      </c>
      <c r="G322" s="10">
        <v>0</v>
      </c>
      <c r="H322" s="10">
        <v>0</v>
      </c>
      <c r="I322" s="10">
        <v>0</v>
      </c>
      <c r="J322" s="10">
        <v>0</v>
      </c>
      <c r="K322" s="10">
        <v>0</v>
      </c>
      <c r="L322" s="10">
        <v>0</v>
      </c>
      <c r="M322" s="10">
        <v>1</v>
      </c>
      <c r="N322" s="10">
        <v>0</v>
      </c>
      <c r="O322" s="26">
        <f t="shared" si="12"/>
        <v>1</v>
      </c>
      <c r="P322" s="25">
        <v>0</v>
      </c>
      <c r="Q322" s="10">
        <v>0</v>
      </c>
      <c r="R322" s="10">
        <v>0</v>
      </c>
      <c r="S322" s="10">
        <v>0</v>
      </c>
      <c r="T322" s="10">
        <v>0</v>
      </c>
      <c r="U322" s="10">
        <v>0</v>
      </c>
      <c r="V322" s="10">
        <v>0</v>
      </c>
      <c r="W322" s="10">
        <v>0</v>
      </c>
      <c r="X322" s="10">
        <v>0</v>
      </c>
      <c r="Y322" s="10">
        <v>0</v>
      </c>
      <c r="Z322" s="10">
        <v>36</v>
      </c>
      <c r="AA322" s="10">
        <v>0</v>
      </c>
      <c r="AB322" s="26">
        <f t="shared" si="13"/>
        <v>36</v>
      </c>
      <c r="AC322" s="25">
        <v>0</v>
      </c>
      <c r="AD322" s="10">
        <v>0</v>
      </c>
      <c r="AE322" s="10">
        <v>0</v>
      </c>
      <c r="AF322" s="10">
        <v>0</v>
      </c>
      <c r="AG322" s="10">
        <v>0</v>
      </c>
      <c r="AH322" s="10">
        <v>0</v>
      </c>
      <c r="AI322" s="10">
        <v>0</v>
      </c>
      <c r="AJ322" s="10">
        <v>0</v>
      </c>
      <c r="AK322" s="10">
        <v>0</v>
      </c>
      <c r="AL322" s="10">
        <v>0</v>
      </c>
      <c r="AM322" s="10">
        <v>0</v>
      </c>
      <c r="AN322" s="10">
        <v>0</v>
      </c>
      <c r="AO322" s="26">
        <f t="shared" si="14"/>
        <v>0</v>
      </c>
    </row>
    <row r="323" spans="1:41" ht="17.25" customHeight="1" x14ac:dyDescent="0.45">
      <c r="A323" s="2" t="s">
        <v>32</v>
      </c>
      <c r="B323" s="2" t="s">
        <v>21</v>
      </c>
      <c r="C323" s="23">
        <v>16</v>
      </c>
      <c r="D323" s="1">
        <v>14</v>
      </c>
      <c r="E323" s="1">
        <v>14</v>
      </c>
      <c r="F323" s="1">
        <v>15</v>
      </c>
      <c r="G323" s="1">
        <v>13</v>
      </c>
      <c r="H323" s="1">
        <v>13</v>
      </c>
      <c r="I323" s="1">
        <v>11</v>
      </c>
      <c r="J323" s="1">
        <v>7</v>
      </c>
      <c r="K323" s="1">
        <v>10</v>
      </c>
      <c r="L323" s="1">
        <v>14</v>
      </c>
      <c r="M323" s="1">
        <v>0</v>
      </c>
      <c r="N323" s="1">
        <v>0</v>
      </c>
      <c r="O323" s="24">
        <f t="shared" si="12"/>
        <v>127</v>
      </c>
      <c r="P323" s="23">
        <v>0</v>
      </c>
      <c r="Q323" s="1">
        <v>0</v>
      </c>
      <c r="R323" s="1">
        <v>0</v>
      </c>
      <c r="S323" s="1">
        <v>0</v>
      </c>
      <c r="T323" s="1">
        <v>0</v>
      </c>
      <c r="U323" s="1">
        <v>0</v>
      </c>
      <c r="V323" s="1">
        <v>0</v>
      </c>
      <c r="W323" s="1">
        <v>0</v>
      </c>
      <c r="X323" s="1">
        <v>0</v>
      </c>
      <c r="Y323" s="1">
        <v>0</v>
      </c>
      <c r="Z323" s="1">
        <v>0</v>
      </c>
      <c r="AA323" s="1">
        <v>0</v>
      </c>
      <c r="AB323" s="24">
        <f t="shared" si="13"/>
        <v>0</v>
      </c>
      <c r="AC323" s="23">
        <v>85436</v>
      </c>
      <c r="AD323" s="1">
        <v>84410</v>
      </c>
      <c r="AE323" s="1">
        <v>83306</v>
      </c>
      <c r="AF323" s="1">
        <v>84516</v>
      </c>
      <c r="AG323" s="1">
        <v>80062</v>
      </c>
      <c r="AH323" s="1">
        <v>62301</v>
      </c>
      <c r="AI323" s="1">
        <v>50786</v>
      </c>
      <c r="AJ323" s="1">
        <v>16738</v>
      </c>
      <c r="AK323" s="1">
        <v>13612</v>
      </c>
      <c r="AL323" s="1">
        <v>74847</v>
      </c>
      <c r="AM323" s="1">
        <v>0</v>
      </c>
      <c r="AN323" s="1">
        <v>0</v>
      </c>
      <c r="AO323" s="24">
        <f t="shared" si="14"/>
        <v>636014</v>
      </c>
    </row>
    <row r="324" spans="1:41" ht="17.25" customHeight="1" x14ac:dyDescent="0.45">
      <c r="A324" s="12" t="s">
        <v>32</v>
      </c>
      <c r="B324" s="12" t="s">
        <v>22</v>
      </c>
      <c r="C324" s="25">
        <v>0</v>
      </c>
      <c r="D324" s="10">
        <v>2</v>
      </c>
      <c r="E324" s="10">
        <v>0</v>
      </c>
      <c r="F324" s="10">
        <v>0</v>
      </c>
      <c r="G324" s="10">
        <v>1</v>
      </c>
      <c r="H324" s="10">
        <v>0</v>
      </c>
      <c r="I324" s="10">
        <v>0</v>
      </c>
      <c r="J324" s="10">
        <v>0</v>
      </c>
      <c r="K324" s="10">
        <v>1</v>
      </c>
      <c r="L324" s="10">
        <v>2</v>
      </c>
      <c r="M324" s="10">
        <v>0</v>
      </c>
      <c r="N324" s="10">
        <v>0</v>
      </c>
      <c r="O324" s="26">
        <f t="shared" si="12"/>
        <v>6</v>
      </c>
      <c r="P324" s="25">
        <v>0</v>
      </c>
      <c r="Q324" s="10">
        <v>88</v>
      </c>
      <c r="R324" s="10">
        <v>0</v>
      </c>
      <c r="S324" s="10">
        <v>0</v>
      </c>
      <c r="T324" s="10">
        <v>34</v>
      </c>
      <c r="U324" s="10">
        <v>0</v>
      </c>
      <c r="V324" s="10">
        <v>0</v>
      </c>
      <c r="W324" s="10">
        <v>0</v>
      </c>
      <c r="X324" s="10">
        <v>46</v>
      </c>
      <c r="Y324" s="10">
        <v>63</v>
      </c>
      <c r="Z324" s="10">
        <v>0</v>
      </c>
      <c r="AA324" s="10">
        <v>0</v>
      </c>
      <c r="AB324" s="26">
        <f t="shared" si="13"/>
        <v>231</v>
      </c>
      <c r="AC324" s="25">
        <v>0</v>
      </c>
      <c r="AD324" s="10">
        <v>0</v>
      </c>
      <c r="AE324" s="10">
        <v>0</v>
      </c>
      <c r="AF324" s="10">
        <v>0</v>
      </c>
      <c r="AG324" s="10">
        <v>0</v>
      </c>
      <c r="AH324" s="10">
        <v>0</v>
      </c>
      <c r="AI324" s="10">
        <v>0</v>
      </c>
      <c r="AJ324" s="10">
        <v>0</v>
      </c>
      <c r="AK324" s="10">
        <v>0</v>
      </c>
      <c r="AL324" s="10">
        <v>0</v>
      </c>
      <c r="AM324" s="10">
        <v>0</v>
      </c>
      <c r="AN324" s="10">
        <v>0</v>
      </c>
      <c r="AO324" s="26">
        <f t="shared" si="14"/>
        <v>0</v>
      </c>
    </row>
    <row r="325" spans="1:41" ht="17.25" customHeight="1" x14ac:dyDescent="0.45">
      <c r="A325" s="2" t="s">
        <v>32</v>
      </c>
      <c r="B325" s="2" t="s">
        <v>42</v>
      </c>
      <c r="C325" s="23">
        <v>0</v>
      </c>
      <c r="D325" s="1">
        <v>0</v>
      </c>
      <c r="E325" s="1">
        <v>0</v>
      </c>
      <c r="F325" s="1">
        <v>0</v>
      </c>
      <c r="G325" s="1">
        <v>0</v>
      </c>
      <c r="H325" s="1">
        <v>0</v>
      </c>
      <c r="I325" s="1">
        <v>2</v>
      </c>
      <c r="J325" s="1">
        <v>1</v>
      </c>
      <c r="K325" s="1">
        <v>0</v>
      </c>
      <c r="L325" s="1">
        <v>0</v>
      </c>
      <c r="M325" s="1">
        <v>0</v>
      </c>
      <c r="N325" s="1">
        <v>0</v>
      </c>
      <c r="O325" s="24">
        <f t="shared" si="12"/>
        <v>3</v>
      </c>
      <c r="P325" s="23">
        <v>0</v>
      </c>
      <c r="Q325" s="1">
        <v>0</v>
      </c>
      <c r="R325" s="1">
        <v>0</v>
      </c>
      <c r="S325" s="1">
        <v>0</v>
      </c>
      <c r="T325" s="1">
        <v>0</v>
      </c>
      <c r="U325" s="1">
        <v>0</v>
      </c>
      <c r="V325" s="1">
        <v>44</v>
      </c>
      <c r="W325" s="1">
        <v>1</v>
      </c>
      <c r="X325" s="1">
        <v>0</v>
      </c>
      <c r="Y325" s="1">
        <v>0</v>
      </c>
      <c r="Z325" s="1">
        <v>0</v>
      </c>
      <c r="AA325" s="1">
        <v>0</v>
      </c>
      <c r="AB325" s="24">
        <f t="shared" si="13"/>
        <v>45</v>
      </c>
      <c r="AC325" s="23">
        <v>0</v>
      </c>
      <c r="AD325" s="1">
        <v>0</v>
      </c>
      <c r="AE325" s="1">
        <v>0</v>
      </c>
      <c r="AF325" s="1">
        <v>0</v>
      </c>
      <c r="AG325" s="1">
        <v>0</v>
      </c>
      <c r="AH325" s="1">
        <v>0</v>
      </c>
      <c r="AI325" s="1">
        <v>0</v>
      </c>
      <c r="AJ325" s="1">
        <v>0</v>
      </c>
      <c r="AK325" s="1">
        <v>0</v>
      </c>
      <c r="AL325" s="1">
        <v>0</v>
      </c>
      <c r="AM325" s="1">
        <v>0</v>
      </c>
      <c r="AN325" s="1">
        <v>0</v>
      </c>
      <c r="AO325" s="24">
        <f t="shared" si="14"/>
        <v>0</v>
      </c>
    </row>
    <row r="326" spans="1:41" ht="17.25" customHeight="1" x14ac:dyDescent="0.45">
      <c r="A326" s="12" t="s">
        <v>32</v>
      </c>
      <c r="B326" s="12" t="s">
        <v>11</v>
      </c>
      <c r="C326" s="25">
        <v>19</v>
      </c>
      <c r="D326" s="10">
        <v>19</v>
      </c>
      <c r="E326" s="10">
        <v>16</v>
      </c>
      <c r="F326" s="10">
        <v>17</v>
      </c>
      <c r="G326" s="10">
        <v>22</v>
      </c>
      <c r="H326" s="10">
        <v>16</v>
      </c>
      <c r="I326" s="10">
        <v>18</v>
      </c>
      <c r="J326" s="10">
        <v>18</v>
      </c>
      <c r="K326" s="10">
        <v>7</v>
      </c>
      <c r="L326" s="10">
        <v>18</v>
      </c>
      <c r="M326" s="10">
        <v>21</v>
      </c>
      <c r="N326" s="10">
        <v>13</v>
      </c>
      <c r="O326" s="26">
        <f t="shared" si="12"/>
        <v>204</v>
      </c>
      <c r="P326" s="25">
        <v>48</v>
      </c>
      <c r="Q326" s="10">
        <v>91</v>
      </c>
      <c r="R326" s="10">
        <v>98</v>
      </c>
      <c r="S326" s="10">
        <v>0</v>
      </c>
      <c r="T326" s="10">
        <v>197</v>
      </c>
      <c r="U326" s="10">
        <v>0</v>
      </c>
      <c r="V326" s="10">
        <v>0</v>
      </c>
      <c r="W326" s="10">
        <v>0</v>
      </c>
      <c r="X326" s="10">
        <v>95</v>
      </c>
      <c r="Y326" s="10">
        <v>1</v>
      </c>
      <c r="Z326" s="10">
        <v>51</v>
      </c>
      <c r="AA326" s="10">
        <v>0</v>
      </c>
      <c r="AB326" s="26">
        <f t="shared" si="13"/>
        <v>581</v>
      </c>
      <c r="AC326" s="25">
        <v>281295</v>
      </c>
      <c r="AD326" s="10">
        <v>267803</v>
      </c>
      <c r="AE326" s="10">
        <v>260577</v>
      </c>
      <c r="AF326" s="10">
        <v>313572</v>
      </c>
      <c r="AG326" s="10">
        <v>312880</v>
      </c>
      <c r="AH326" s="10">
        <v>190918</v>
      </c>
      <c r="AI326" s="10">
        <v>290824</v>
      </c>
      <c r="AJ326" s="10">
        <v>126923</v>
      </c>
      <c r="AK326" s="10">
        <v>84800</v>
      </c>
      <c r="AL326" s="10">
        <v>290452</v>
      </c>
      <c r="AM326" s="10">
        <v>75127</v>
      </c>
      <c r="AN326" s="10">
        <v>46213</v>
      </c>
      <c r="AO326" s="26">
        <f t="shared" si="14"/>
        <v>2541384</v>
      </c>
    </row>
    <row r="327" spans="1:41" ht="17.25" customHeight="1" x14ac:dyDescent="0.45">
      <c r="A327" s="2" t="s">
        <v>32</v>
      </c>
      <c r="B327" s="2" t="s">
        <v>257</v>
      </c>
      <c r="C327" s="23">
        <v>0</v>
      </c>
      <c r="D327" s="1">
        <v>1</v>
      </c>
      <c r="E327" s="1">
        <v>0</v>
      </c>
      <c r="F327" s="1">
        <v>0</v>
      </c>
      <c r="G327" s="1">
        <v>0</v>
      </c>
      <c r="H327" s="1">
        <v>0</v>
      </c>
      <c r="I327" s="1">
        <v>0</v>
      </c>
      <c r="J327" s="1">
        <v>0</v>
      </c>
      <c r="K327" s="1">
        <v>0</v>
      </c>
      <c r="L327" s="1">
        <v>0</v>
      </c>
      <c r="M327" s="1">
        <v>0</v>
      </c>
      <c r="N327" s="1">
        <v>0</v>
      </c>
      <c r="O327" s="24">
        <f t="shared" si="12"/>
        <v>1</v>
      </c>
      <c r="P327" s="23">
        <v>0</v>
      </c>
      <c r="Q327" s="1">
        <v>29</v>
      </c>
      <c r="R327" s="1">
        <v>0</v>
      </c>
      <c r="S327" s="1">
        <v>0</v>
      </c>
      <c r="T327" s="1">
        <v>0</v>
      </c>
      <c r="U327" s="1">
        <v>0</v>
      </c>
      <c r="V327" s="1">
        <v>0</v>
      </c>
      <c r="W327" s="1">
        <v>0</v>
      </c>
      <c r="X327" s="1">
        <v>0</v>
      </c>
      <c r="Y327" s="1">
        <v>0</v>
      </c>
      <c r="Z327" s="1">
        <v>0</v>
      </c>
      <c r="AA327" s="1">
        <v>0</v>
      </c>
      <c r="AB327" s="24">
        <f t="shared" si="13"/>
        <v>29</v>
      </c>
      <c r="AC327" s="23">
        <v>0</v>
      </c>
      <c r="AD327" s="1">
        <v>0</v>
      </c>
      <c r="AE327" s="1">
        <v>0</v>
      </c>
      <c r="AF327" s="1">
        <v>0</v>
      </c>
      <c r="AG327" s="1">
        <v>0</v>
      </c>
      <c r="AH327" s="1">
        <v>0</v>
      </c>
      <c r="AI327" s="1">
        <v>0</v>
      </c>
      <c r="AJ327" s="1">
        <v>0</v>
      </c>
      <c r="AK327" s="1">
        <v>0</v>
      </c>
      <c r="AL327" s="1">
        <v>0</v>
      </c>
      <c r="AM327" s="1">
        <v>0</v>
      </c>
      <c r="AN327" s="1">
        <v>0</v>
      </c>
      <c r="AO327" s="24">
        <f t="shared" si="14"/>
        <v>0</v>
      </c>
    </row>
    <row r="328" spans="1:41" ht="17.25" customHeight="1" x14ac:dyDescent="0.45">
      <c r="A328" s="12" t="s">
        <v>32</v>
      </c>
      <c r="B328" s="12" t="s">
        <v>38</v>
      </c>
      <c r="C328" s="25">
        <v>2</v>
      </c>
      <c r="D328" s="10">
        <v>0</v>
      </c>
      <c r="E328" s="10">
        <v>2</v>
      </c>
      <c r="F328" s="10">
        <v>0</v>
      </c>
      <c r="G328" s="10">
        <v>3</v>
      </c>
      <c r="H328" s="10">
        <v>0</v>
      </c>
      <c r="I328" s="10">
        <v>0</v>
      </c>
      <c r="J328" s="10">
        <v>1</v>
      </c>
      <c r="K328" s="10">
        <v>2</v>
      </c>
      <c r="L328" s="10">
        <v>0</v>
      </c>
      <c r="M328" s="10">
        <v>16</v>
      </c>
      <c r="N328" s="10">
        <v>14</v>
      </c>
      <c r="O328" s="26">
        <f t="shared" ref="O328:O379" si="15">SUM(C328:N328)</f>
        <v>40</v>
      </c>
      <c r="P328" s="25">
        <v>0</v>
      </c>
      <c r="Q328" s="10">
        <v>0</v>
      </c>
      <c r="R328" s="10">
        <v>50</v>
      </c>
      <c r="S328" s="10">
        <v>0</v>
      </c>
      <c r="T328" s="10">
        <v>66</v>
      </c>
      <c r="U328" s="10">
        <v>0</v>
      </c>
      <c r="V328" s="10">
        <v>0</v>
      </c>
      <c r="W328" s="10">
        <v>0</v>
      </c>
      <c r="X328" s="10">
        <v>35</v>
      </c>
      <c r="Y328" s="10">
        <v>0</v>
      </c>
      <c r="Z328" s="10">
        <v>0</v>
      </c>
      <c r="AA328" s="10">
        <v>0</v>
      </c>
      <c r="AB328" s="26">
        <f t="shared" ref="AB328:AB379" si="16">SUM(P328:AA328)</f>
        <v>151</v>
      </c>
      <c r="AC328" s="25">
        <v>10428</v>
      </c>
      <c r="AD328" s="10">
        <v>0</v>
      </c>
      <c r="AE328" s="10">
        <v>1411</v>
      </c>
      <c r="AF328" s="10">
        <v>0</v>
      </c>
      <c r="AG328" s="10">
        <v>750</v>
      </c>
      <c r="AH328" s="10">
        <v>0</v>
      </c>
      <c r="AI328" s="10">
        <v>0</v>
      </c>
      <c r="AJ328" s="10">
        <v>6800</v>
      </c>
      <c r="AK328" s="10">
        <v>620</v>
      </c>
      <c r="AL328" s="10">
        <v>0</v>
      </c>
      <c r="AM328" s="10">
        <v>153553</v>
      </c>
      <c r="AN328" s="10">
        <v>163795</v>
      </c>
      <c r="AO328" s="26">
        <f t="shared" ref="AO328:AO379" si="17">SUM(AC328:AN328)</f>
        <v>337357</v>
      </c>
    </row>
    <row r="329" spans="1:41" ht="17.25" customHeight="1" x14ac:dyDescent="0.45">
      <c r="A329" s="2" t="s">
        <v>32</v>
      </c>
      <c r="B329" s="2" t="s">
        <v>51</v>
      </c>
      <c r="C329" s="23">
        <v>0</v>
      </c>
      <c r="D329" s="1">
        <v>0</v>
      </c>
      <c r="E329" s="1">
        <v>1</v>
      </c>
      <c r="F329" s="1">
        <v>0</v>
      </c>
      <c r="G329" s="1">
        <v>0</v>
      </c>
      <c r="H329" s="1">
        <v>0</v>
      </c>
      <c r="I329" s="1">
        <v>0</v>
      </c>
      <c r="J329" s="1">
        <v>0</v>
      </c>
      <c r="K329" s="1">
        <v>0</v>
      </c>
      <c r="L329" s="1">
        <v>0</v>
      </c>
      <c r="M329" s="1">
        <v>0</v>
      </c>
      <c r="N329" s="1">
        <v>0</v>
      </c>
      <c r="O329" s="24">
        <f t="shared" si="15"/>
        <v>1</v>
      </c>
      <c r="P329" s="23">
        <v>0</v>
      </c>
      <c r="Q329" s="1">
        <v>0</v>
      </c>
      <c r="R329" s="1">
        <v>9</v>
      </c>
      <c r="S329" s="1">
        <v>0</v>
      </c>
      <c r="T329" s="1">
        <v>0</v>
      </c>
      <c r="U329" s="1">
        <v>0</v>
      </c>
      <c r="V329" s="1">
        <v>0</v>
      </c>
      <c r="W329" s="1">
        <v>0</v>
      </c>
      <c r="X329" s="1">
        <v>0</v>
      </c>
      <c r="Y329" s="1">
        <v>0</v>
      </c>
      <c r="Z329" s="1">
        <v>0</v>
      </c>
      <c r="AA329" s="1">
        <v>0</v>
      </c>
      <c r="AB329" s="24">
        <f t="shared" si="16"/>
        <v>9</v>
      </c>
      <c r="AC329" s="23">
        <v>0</v>
      </c>
      <c r="AD329" s="1">
        <v>0</v>
      </c>
      <c r="AE329" s="1">
        <v>0</v>
      </c>
      <c r="AF329" s="1">
        <v>0</v>
      </c>
      <c r="AG329" s="1">
        <v>0</v>
      </c>
      <c r="AH329" s="1">
        <v>0</v>
      </c>
      <c r="AI329" s="1">
        <v>0</v>
      </c>
      <c r="AJ329" s="1">
        <v>0</v>
      </c>
      <c r="AK329" s="1">
        <v>0</v>
      </c>
      <c r="AL329" s="1">
        <v>0</v>
      </c>
      <c r="AM329" s="1">
        <v>0</v>
      </c>
      <c r="AN329" s="1">
        <v>0</v>
      </c>
      <c r="AO329" s="24">
        <f t="shared" si="17"/>
        <v>0</v>
      </c>
    </row>
    <row r="330" spans="1:41" ht="17.25" customHeight="1" x14ac:dyDescent="0.45">
      <c r="A330" s="12" t="s">
        <v>32</v>
      </c>
      <c r="B330" s="12" t="s">
        <v>52</v>
      </c>
      <c r="C330" s="25">
        <v>0</v>
      </c>
      <c r="D330" s="10">
        <v>0</v>
      </c>
      <c r="E330" s="10">
        <v>1</v>
      </c>
      <c r="F330" s="10">
        <v>0</v>
      </c>
      <c r="G330" s="10">
        <v>0</v>
      </c>
      <c r="H330" s="10">
        <v>0</v>
      </c>
      <c r="I330" s="10">
        <v>0</v>
      </c>
      <c r="J330" s="10">
        <v>0</v>
      </c>
      <c r="K330" s="10">
        <v>0</v>
      </c>
      <c r="L330" s="10">
        <v>0</v>
      </c>
      <c r="M330" s="10">
        <v>0</v>
      </c>
      <c r="N330" s="10">
        <v>0</v>
      </c>
      <c r="O330" s="26">
        <f t="shared" si="15"/>
        <v>1</v>
      </c>
      <c r="P330" s="25">
        <v>0</v>
      </c>
      <c r="Q330" s="10">
        <v>0</v>
      </c>
      <c r="R330" s="10">
        <v>33</v>
      </c>
      <c r="S330" s="10">
        <v>0</v>
      </c>
      <c r="T330" s="10">
        <v>0</v>
      </c>
      <c r="U330" s="10">
        <v>0</v>
      </c>
      <c r="V330" s="10">
        <v>0</v>
      </c>
      <c r="W330" s="10">
        <v>0</v>
      </c>
      <c r="X330" s="10">
        <v>0</v>
      </c>
      <c r="Y330" s="10">
        <v>0</v>
      </c>
      <c r="Z330" s="10">
        <v>0</v>
      </c>
      <c r="AA330" s="10">
        <v>0</v>
      </c>
      <c r="AB330" s="26">
        <f t="shared" si="16"/>
        <v>33</v>
      </c>
      <c r="AC330" s="25">
        <v>0</v>
      </c>
      <c r="AD330" s="10">
        <v>0</v>
      </c>
      <c r="AE330" s="10">
        <v>0</v>
      </c>
      <c r="AF330" s="10">
        <v>0</v>
      </c>
      <c r="AG330" s="10">
        <v>0</v>
      </c>
      <c r="AH330" s="10">
        <v>0</v>
      </c>
      <c r="AI330" s="10">
        <v>0</v>
      </c>
      <c r="AJ330" s="10">
        <v>0</v>
      </c>
      <c r="AK330" s="10">
        <v>0</v>
      </c>
      <c r="AL330" s="10">
        <v>0</v>
      </c>
      <c r="AM330" s="10">
        <v>0</v>
      </c>
      <c r="AN330" s="10">
        <v>0</v>
      </c>
      <c r="AO330" s="26">
        <f t="shared" si="17"/>
        <v>0</v>
      </c>
    </row>
    <row r="331" spans="1:41" ht="17.25" customHeight="1" x14ac:dyDescent="0.45">
      <c r="A331" s="2" t="s">
        <v>32</v>
      </c>
      <c r="B331" s="2" t="s">
        <v>53</v>
      </c>
      <c r="C331" s="23">
        <v>1</v>
      </c>
      <c r="D331" s="1">
        <v>0</v>
      </c>
      <c r="E331" s="1">
        <v>1</v>
      </c>
      <c r="F331" s="1">
        <v>0</v>
      </c>
      <c r="G331" s="1">
        <v>0</v>
      </c>
      <c r="H331" s="1">
        <v>0</v>
      </c>
      <c r="I331" s="1">
        <v>0</v>
      </c>
      <c r="J331" s="1">
        <v>1</v>
      </c>
      <c r="K331" s="1">
        <v>1</v>
      </c>
      <c r="L331" s="1">
        <v>0</v>
      </c>
      <c r="M331" s="1">
        <v>0</v>
      </c>
      <c r="N331" s="1">
        <v>0</v>
      </c>
      <c r="O331" s="24">
        <f t="shared" si="15"/>
        <v>4</v>
      </c>
      <c r="P331" s="23">
        <v>47</v>
      </c>
      <c r="Q331" s="1">
        <v>0</v>
      </c>
      <c r="R331" s="1">
        <v>50</v>
      </c>
      <c r="S331" s="1">
        <v>0</v>
      </c>
      <c r="T331" s="1">
        <v>0</v>
      </c>
      <c r="U331" s="1">
        <v>0</v>
      </c>
      <c r="V331" s="1">
        <v>0</v>
      </c>
      <c r="W331" s="1">
        <v>23</v>
      </c>
      <c r="X331" s="1">
        <v>2</v>
      </c>
      <c r="Y331" s="1">
        <v>0</v>
      </c>
      <c r="Z331" s="1">
        <v>0</v>
      </c>
      <c r="AA331" s="1">
        <v>0</v>
      </c>
      <c r="AB331" s="24">
        <f t="shared" si="16"/>
        <v>122</v>
      </c>
      <c r="AC331" s="23">
        <v>0</v>
      </c>
      <c r="AD331" s="1">
        <v>0</v>
      </c>
      <c r="AE331" s="1">
        <v>0</v>
      </c>
      <c r="AF331" s="1">
        <v>0</v>
      </c>
      <c r="AG331" s="1">
        <v>0</v>
      </c>
      <c r="AH331" s="1">
        <v>0</v>
      </c>
      <c r="AI331" s="1">
        <v>0</v>
      </c>
      <c r="AJ331" s="1">
        <v>0</v>
      </c>
      <c r="AK331" s="1">
        <v>0</v>
      </c>
      <c r="AL331" s="1">
        <v>0</v>
      </c>
      <c r="AM331" s="1">
        <v>0</v>
      </c>
      <c r="AN331" s="1">
        <v>0</v>
      </c>
      <c r="AO331" s="24">
        <f t="shared" si="17"/>
        <v>0</v>
      </c>
    </row>
    <row r="332" spans="1:41" ht="17.25" customHeight="1" x14ac:dyDescent="0.45">
      <c r="A332" s="12" t="s">
        <v>32</v>
      </c>
      <c r="B332" s="12" t="s">
        <v>47</v>
      </c>
      <c r="C332" s="25">
        <v>0</v>
      </c>
      <c r="D332" s="10">
        <v>0</v>
      </c>
      <c r="E332" s="10">
        <v>0</v>
      </c>
      <c r="F332" s="10">
        <v>0</v>
      </c>
      <c r="G332" s="10">
        <v>0</v>
      </c>
      <c r="H332" s="10">
        <v>0</v>
      </c>
      <c r="I332" s="10">
        <v>1</v>
      </c>
      <c r="J332" s="10">
        <v>0</v>
      </c>
      <c r="K332" s="10">
        <v>0</v>
      </c>
      <c r="L332" s="10">
        <v>0</v>
      </c>
      <c r="M332" s="10">
        <v>0</v>
      </c>
      <c r="N332" s="10">
        <v>0</v>
      </c>
      <c r="O332" s="26">
        <f t="shared" si="15"/>
        <v>1</v>
      </c>
      <c r="P332" s="25">
        <v>0</v>
      </c>
      <c r="Q332" s="10">
        <v>0</v>
      </c>
      <c r="R332" s="10">
        <v>0</v>
      </c>
      <c r="S332" s="10">
        <v>0</v>
      </c>
      <c r="T332" s="10">
        <v>0</v>
      </c>
      <c r="U332" s="10">
        <v>0</v>
      </c>
      <c r="V332" s="10">
        <v>2</v>
      </c>
      <c r="W332" s="10">
        <v>0</v>
      </c>
      <c r="X332" s="10">
        <v>0</v>
      </c>
      <c r="Y332" s="10">
        <v>0</v>
      </c>
      <c r="Z332" s="10">
        <v>0</v>
      </c>
      <c r="AA332" s="10">
        <v>0</v>
      </c>
      <c r="AB332" s="26">
        <f t="shared" si="16"/>
        <v>2</v>
      </c>
      <c r="AC332" s="25">
        <v>0</v>
      </c>
      <c r="AD332" s="10">
        <v>0</v>
      </c>
      <c r="AE332" s="10">
        <v>0</v>
      </c>
      <c r="AF332" s="10">
        <v>0</v>
      </c>
      <c r="AG332" s="10">
        <v>0</v>
      </c>
      <c r="AH332" s="10">
        <v>0</v>
      </c>
      <c r="AI332" s="10">
        <v>0</v>
      </c>
      <c r="AJ332" s="10">
        <v>0</v>
      </c>
      <c r="AK332" s="10">
        <v>0</v>
      </c>
      <c r="AL332" s="10">
        <v>0</v>
      </c>
      <c r="AM332" s="10">
        <v>0</v>
      </c>
      <c r="AN332" s="10">
        <v>0</v>
      </c>
      <c r="AO332" s="26">
        <f t="shared" si="17"/>
        <v>0</v>
      </c>
    </row>
    <row r="333" spans="1:41" ht="17.25" customHeight="1" x14ac:dyDescent="0.45">
      <c r="A333" s="2" t="s">
        <v>32</v>
      </c>
      <c r="B333" s="2" t="s">
        <v>56</v>
      </c>
      <c r="C333" s="23">
        <v>0</v>
      </c>
      <c r="D333" s="1">
        <v>0</v>
      </c>
      <c r="E333" s="1">
        <v>0</v>
      </c>
      <c r="F333" s="1">
        <v>0</v>
      </c>
      <c r="G333" s="1">
        <v>0</v>
      </c>
      <c r="H333" s="1">
        <v>0</v>
      </c>
      <c r="I333" s="1">
        <v>0</v>
      </c>
      <c r="J333" s="1">
        <v>0</v>
      </c>
      <c r="K333" s="1">
        <v>1</v>
      </c>
      <c r="L333" s="1">
        <v>0</v>
      </c>
      <c r="M333" s="1">
        <v>0</v>
      </c>
      <c r="N333" s="1">
        <v>1</v>
      </c>
      <c r="O333" s="24">
        <f t="shared" si="15"/>
        <v>2</v>
      </c>
      <c r="P333" s="23">
        <v>0</v>
      </c>
      <c r="Q333" s="1">
        <v>0</v>
      </c>
      <c r="R333" s="1">
        <v>0</v>
      </c>
      <c r="S333" s="1">
        <v>0</v>
      </c>
      <c r="T333" s="1">
        <v>0</v>
      </c>
      <c r="U333" s="1">
        <v>0</v>
      </c>
      <c r="V333" s="1">
        <v>0</v>
      </c>
      <c r="W333" s="1">
        <v>0</v>
      </c>
      <c r="X333" s="1">
        <v>24</v>
      </c>
      <c r="Y333" s="1">
        <v>0</v>
      </c>
      <c r="Z333" s="1">
        <v>0</v>
      </c>
      <c r="AA333" s="1">
        <v>4</v>
      </c>
      <c r="AB333" s="24">
        <f t="shared" si="16"/>
        <v>28</v>
      </c>
      <c r="AC333" s="23">
        <v>0</v>
      </c>
      <c r="AD333" s="1">
        <v>0</v>
      </c>
      <c r="AE333" s="1">
        <v>0</v>
      </c>
      <c r="AF333" s="1">
        <v>0</v>
      </c>
      <c r="AG333" s="1">
        <v>0</v>
      </c>
      <c r="AH333" s="1">
        <v>0</v>
      </c>
      <c r="AI333" s="1">
        <v>0</v>
      </c>
      <c r="AJ333" s="1">
        <v>0</v>
      </c>
      <c r="AK333" s="1">
        <v>0</v>
      </c>
      <c r="AL333" s="1">
        <v>0</v>
      </c>
      <c r="AM333" s="1">
        <v>0</v>
      </c>
      <c r="AN333" s="1">
        <v>0</v>
      </c>
      <c r="AO333" s="24">
        <f t="shared" si="17"/>
        <v>0</v>
      </c>
    </row>
    <row r="334" spans="1:41" ht="17.25" customHeight="1" x14ac:dyDescent="0.45">
      <c r="A334" s="12" t="s">
        <v>32</v>
      </c>
      <c r="B334" s="12" t="s">
        <v>40</v>
      </c>
      <c r="C334" s="25">
        <v>0</v>
      </c>
      <c r="D334" s="10">
        <v>1</v>
      </c>
      <c r="E334" s="10">
        <v>0</v>
      </c>
      <c r="F334" s="10">
        <v>2</v>
      </c>
      <c r="G334" s="10">
        <v>0</v>
      </c>
      <c r="H334" s="10">
        <v>0</v>
      </c>
      <c r="I334" s="10">
        <v>0</v>
      </c>
      <c r="J334" s="10">
        <v>0</v>
      </c>
      <c r="K334" s="10">
        <v>2</v>
      </c>
      <c r="L334" s="10">
        <v>1</v>
      </c>
      <c r="M334" s="10">
        <v>3</v>
      </c>
      <c r="N334" s="10">
        <v>0</v>
      </c>
      <c r="O334" s="26">
        <f t="shared" si="15"/>
        <v>9</v>
      </c>
      <c r="P334" s="25">
        <v>0</v>
      </c>
      <c r="Q334" s="10">
        <v>1</v>
      </c>
      <c r="R334" s="10">
        <v>0</v>
      </c>
      <c r="S334" s="10">
        <v>42</v>
      </c>
      <c r="T334" s="10">
        <v>0</v>
      </c>
      <c r="U334" s="10">
        <v>0</v>
      </c>
      <c r="V334" s="10">
        <v>0</v>
      </c>
      <c r="W334" s="10">
        <v>0</v>
      </c>
      <c r="X334" s="10">
        <v>35</v>
      </c>
      <c r="Y334" s="10">
        <v>48</v>
      </c>
      <c r="Z334" s="10">
        <v>50</v>
      </c>
      <c r="AA334" s="10">
        <v>0</v>
      </c>
      <c r="AB334" s="26">
        <f t="shared" si="16"/>
        <v>176</v>
      </c>
      <c r="AC334" s="25">
        <v>0</v>
      </c>
      <c r="AD334" s="10">
        <v>0</v>
      </c>
      <c r="AE334" s="10">
        <v>0</v>
      </c>
      <c r="AF334" s="10">
        <v>3507</v>
      </c>
      <c r="AG334" s="10">
        <v>0</v>
      </c>
      <c r="AH334" s="10">
        <v>0</v>
      </c>
      <c r="AI334" s="10">
        <v>0</v>
      </c>
      <c r="AJ334" s="10">
        <v>0</v>
      </c>
      <c r="AK334" s="10">
        <v>4882</v>
      </c>
      <c r="AL334" s="10">
        <v>0</v>
      </c>
      <c r="AM334" s="10">
        <v>9153</v>
      </c>
      <c r="AN334" s="10">
        <v>0</v>
      </c>
      <c r="AO334" s="26">
        <f t="shared" si="17"/>
        <v>17542</v>
      </c>
    </row>
    <row r="335" spans="1:41" ht="17.25" customHeight="1" x14ac:dyDescent="0.45">
      <c r="A335" s="2" t="s">
        <v>32</v>
      </c>
      <c r="B335" s="2" t="s">
        <v>23</v>
      </c>
      <c r="C335" s="23">
        <v>13</v>
      </c>
      <c r="D335" s="1">
        <v>11</v>
      </c>
      <c r="E335" s="1">
        <v>13</v>
      </c>
      <c r="F335" s="1">
        <v>12</v>
      </c>
      <c r="G335" s="1">
        <v>13</v>
      </c>
      <c r="H335" s="1">
        <v>9</v>
      </c>
      <c r="I335" s="1">
        <v>14</v>
      </c>
      <c r="J335" s="1">
        <v>12</v>
      </c>
      <c r="K335" s="1">
        <v>12</v>
      </c>
      <c r="L335" s="1">
        <v>16</v>
      </c>
      <c r="M335" s="1">
        <v>2</v>
      </c>
      <c r="N335" s="1">
        <v>0</v>
      </c>
      <c r="O335" s="24">
        <f t="shared" si="15"/>
        <v>127</v>
      </c>
      <c r="P335" s="23">
        <v>0</v>
      </c>
      <c r="Q335" s="1">
        <v>0</v>
      </c>
      <c r="R335" s="1">
        <v>0</v>
      </c>
      <c r="S335" s="1">
        <v>35</v>
      </c>
      <c r="T335" s="1">
        <v>0</v>
      </c>
      <c r="U335" s="1">
        <v>0</v>
      </c>
      <c r="V335" s="1">
        <v>0</v>
      </c>
      <c r="W335" s="1">
        <v>0</v>
      </c>
      <c r="X335" s="1">
        <v>0</v>
      </c>
      <c r="Y335" s="1">
        <v>0</v>
      </c>
      <c r="Z335" s="1">
        <v>40</v>
      </c>
      <c r="AA335" s="1">
        <v>0</v>
      </c>
      <c r="AB335" s="24">
        <f t="shared" si="16"/>
        <v>75</v>
      </c>
      <c r="AC335" s="23">
        <v>91430</v>
      </c>
      <c r="AD335" s="1">
        <v>75208</v>
      </c>
      <c r="AE335" s="1">
        <v>88683</v>
      </c>
      <c r="AF335" s="1">
        <v>80083</v>
      </c>
      <c r="AG335" s="1">
        <v>93922</v>
      </c>
      <c r="AH335" s="1">
        <v>63326</v>
      </c>
      <c r="AI335" s="1">
        <v>91411</v>
      </c>
      <c r="AJ335" s="1">
        <v>59966</v>
      </c>
      <c r="AK335" s="1">
        <v>39195</v>
      </c>
      <c r="AL335" s="1">
        <v>118101</v>
      </c>
      <c r="AM335" s="1">
        <v>6371</v>
      </c>
      <c r="AN335" s="1">
        <v>0</v>
      </c>
      <c r="AO335" s="24">
        <f t="shared" si="17"/>
        <v>807696</v>
      </c>
    </row>
    <row r="336" spans="1:41" ht="17.25" customHeight="1" x14ac:dyDescent="0.45">
      <c r="A336" s="12" t="s">
        <v>32</v>
      </c>
      <c r="B336" s="12" t="s">
        <v>24</v>
      </c>
      <c r="C336" s="25">
        <v>0</v>
      </c>
      <c r="D336" s="10">
        <v>0</v>
      </c>
      <c r="E336" s="10">
        <v>0</v>
      </c>
      <c r="F336" s="10">
        <v>1</v>
      </c>
      <c r="G336" s="10">
        <v>0</v>
      </c>
      <c r="H336" s="10">
        <v>0</v>
      </c>
      <c r="I336" s="10">
        <v>0</v>
      </c>
      <c r="J336" s="10">
        <v>1</v>
      </c>
      <c r="K336" s="10">
        <v>0</v>
      </c>
      <c r="L336" s="10">
        <v>0</v>
      </c>
      <c r="M336" s="10">
        <v>1</v>
      </c>
      <c r="N336" s="10">
        <v>0</v>
      </c>
      <c r="O336" s="26">
        <f t="shared" si="15"/>
        <v>3</v>
      </c>
      <c r="P336" s="25">
        <v>0</v>
      </c>
      <c r="Q336" s="10">
        <v>0</v>
      </c>
      <c r="R336" s="10">
        <v>0</v>
      </c>
      <c r="S336" s="10">
        <v>23</v>
      </c>
      <c r="T336" s="10">
        <v>0</v>
      </c>
      <c r="U336" s="10">
        <v>0</v>
      </c>
      <c r="V336" s="10">
        <v>0</v>
      </c>
      <c r="W336" s="10">
        <v>42</v>
      </c>
      <c r="X336" s="10">
        <v>0</v>
      </c>
      <c r="Y336" s="10">
        <v>0</v>
      </c>
      <c r="Z336" s="10">
        <v>0</v>
      </c>
      <c r="AA336" s="10">
        <v>0</v>
      </c>
      <c r="AB336" s="26">
        <f t="shared" si="16"/>
        <v>65</v>
      </c>
      <c r="AC336" s="25">
        <v>0</v>
      </c>
      <c r="AD336" s="10">
        <v>0</v>
      </c>
      <c r="AE336" s="10">
        <v>0</v>
      </c>
      <c r="AF336" s="10">
        <v>0</v>
      </c>
      <c r="AG336" s="10">
        <v>0</v>
      </c>
      <c r="AH336" s="10">
        <v>0</v>
      </c>
      <c r="AI336" s="10">
        <v>0</v>
      </c>
      <c r="AJ336" s="10">
        <v>0</v>
      </c>
      <c r="AK336" s="10">
        <v>0</v>
      </c>
      <c r="AL336" s="10">
        <v>0</v>
      </c>
      <c r="AM336" s="10">
        <v>3375</v>
      </c>
      <c r="AN336" s="10">
        <v>0</v>
      </c>
      <c r="AO336" s="26">
        <f t="shared" si="17"/>
        <v>3375</v>
      </c>
    </row>
    <row r="337" spans="1:41" ht="17.25" customHeight="1" x14ac:dyDescent="0.45">
      <c r="A337" s="2" t="s">
        <v>32</v>
      </c>
      <c r="B337" s="2" t="s">
        <v>58</v>
      </c>
      <c r="C337" s="23">
        <v>0</v>
      </c>
      <c r="D337" s="1">
        <v>1</v>
      </c>
      <c r="E337" s="1">
        <v>1</v>
      </c>
      <c r="F337" s="1">
        <v>0</v>
      </c>
      <c r="G337" s="1">
        <v>0</v>
      </c>
      <c r="H337" s="1">
        <v>0</v>
      </c>
      <c r="I337" s="1">
        <v>0</v>
      </c>
      <c r="J337" s="1">
        <v>0</v>
      </c>
      <c r="K337" s="1">
        <v>0</v>
      </c>
      <c r="L337" s="1">
        <v>0</v>
      </c>
      <c r="M337" s="1">
        <v>0</v>
      </c>
      <c r="N337" s="1">
        <v>0</v>
      </c>
      <c r="O337" s="24">
        <f t="shared" si="15"/>
        <v>2</v>
      </c>
      <c r="P337" s="23">
        <v>0</v>
      </c>
      <c r="Q337" s="1">
        <v>50</v>
      </c>
      <c r="R337" s="1">
        <v>30</v>
      </c>
      <c r="S337" s="1">
        <v>0</v>
      </c>
      <c r="T337" s="1">
        <v>0</v>
      </c>
      <c r="U337" s="1">
        <v>0</v>
      </c>
      <c r="V337" s="1">
        <v>0</v>
      </c>
      <c r="W337" s="1">
        <v>0</v>
      </c>
      <c r="X337" s="1">
        <v>0</v>
      </c>
      <c r="Y337" s="1">
        <v>0</v>
      </c>
      <c r="Z337" s="1">
        <v>0</v>
      </c>
      <c r="AA337" s="1">
        <v>0</v>
      </c>
      <c r="AB337" s="24">
        <f t="shared" si="16"/>
        <v>80</v>
      </c>
      <c r="AC337" s="23">
        <v>0</v>
      </c>
      <c r="AD337" s="1">
        <v>0</v>
      </c>
      <c r="AE337" s="1">
        <v>0</v>
      </c>
      <c r="AF337" s="1">
        <v>0</v>
      </c>
      <c r="AG337" s="1">
        <v>0</v>
      </c>
      <c r="AH337" s="1">
        <v>0</v>
      </c>
      <c r="AI337" s="1">
        <v>0</v>
      </c>
      <c r="AJ337" s="1">
        <v>0</v>
      </c>
      <c r="AK337" s="1">
        <v>0</v>
      </c>
      <c r="AL337" s="1">
        <v>0</v>
      </c>
      <c r="AM337" s="1">
        <v>0</v>
      </c>
      <c r="AN337" s="1">
        <v>0</v>
      </c>
      <c r="AO337" s="24">
        <f t="shared" si="17"/>
        <v>0</v>
      </c>
    </row>
    <row r="338" spans="1:41" ht="17.25" customHeight="1" x14ac:dyDescent="0.45">
      <c r="A338" s="12" t="s">
        <v>32</v>
      </c>
      <c r="B338" s="12" t="s">
        <v>13</v>
      </c>
      <c r="C338" s="25">
        <v>18</v>
      </c>
      <c r="D338" s="10">
        <v>17</v>
      </c>
      <c r="E338" s="10">
        <v>18</v>
      </c>
      <c r="F338" s="10">
        <v>19</v>
      </c>
      <c r="G338" s="10">
        <v>23</v>
      </c>
      <c r="H338" s="10">
        <v>16</v>
      </c>
      <c r="I338" s="10">
        <v>22</v>
      </c>
      <c r="J338" s="10">
        <v>19</v>
      </c>
      <c r="K338" s="10">
        <v>17</v>
      </c>
      <c r="L338" s="10">
        <v>22</v>
      </c>
      <c r="M338" s="10">
        <v>25</v>
      </c>
      <c r="N338" s="10">
        <v>19</v>
      </c>
      <c r="O338" s="26">
        <f t="shared" si="15"/>
        <v>235</v>
      </c>
      <c r="P338" s="25">
        <v>0</v>
      </c>
      <c r="Q338" s="10">
        <v>0</v>
      </c>
      <c r="R338" s="10">
        <v>159</v>
      </c>
      <c r="S338" s="10">
        <v>58</v>
      </c>
      <c r="T338" s="10">
        <v>189</v>
      </c>
      <c r="U338" s="10">
        <v>0</v>
      </c>
      <c r="V338" s="10">
        <v>146</v>
      </c>
      <c r="W338" s="10">
        <v>0</v>
      </c>
      <c r="X338" s="10">
        <v>5</v>
      </c>
      <c r="Y338" s="10">
        <v>303</v>
      </c>
      <c r="Z338" s="10">
        <v>266</v>
      </c>
      <c r="AA338" s="10">
        <v>109</v>
      </c>
      <c r="AB338" s="26">
        <f t="shared" si="16"/>
        <v>1235</v>
      </c>
      <c r="AC338" s="25">
        <v>256108</v>
      </c>
      <c r="AD338" s="10">
        <v>258828</v>
      </c>
      <c r="AE338" s="10">
        <v>248810</v>
      </c>
      <c r="AF338" s="10">
        <v>293128</v>
      </c>
      <c r="AG338" s="10">
        <v>304561</v>
      </c>
      <c r="AH338" s="10">
        <v>253843</v>
      </c>
      <c r="AI338" s="10">
        <v>292270</v>
      </c>
      <c r="AJ338" s="10">
        <v>284665</v>
      </c>
      <c r="AK338" s="10">
        <v>187112</v>
      </c>
      <c r="AL338" s="10">
        <v>299955</v>
      </c>
      <c r="AM338" s="10">
        <v>245333</v>
      </c>
      <c r="AN338" s="10">
        <v>193229</v>
      </c>
      <c r="AO338" s="26">
        <f t="shared" si="17"/>
        <v>3117842</v>
      </c>
    </row>
    <row r="339" spans="1:41" ht="17.25" customHeight="1" x14ac:dyDescent="0.45">
      <c r="A339" s="2" t="s">
        <v>32</v>
      </c>
      <c r="B339" s="2" t="s">
        <v>25</v>
      </c>
      <c r="C339" s="23">
        <v>0</v>
      </c>
      <c r="D339" s="1">
        <v>1</v>
      </c>
      <c r="E339" s="1">
        <v>0</v>
      </c>
      <c r="F339" s="1">
        <v>0</v>
      </c>
      <c r="G339" s="1">
        <v>0</v>
      </c>
      <c r="H339" s="1">
        <v>0</v>
      </c>
      <c r="I339" s="1">
        <v>0</v>
      </c>
      <c r="J339" s="1">
        <v>0</v>
      </c>
      <c r="K339" s="1">
        <v>0</v>
      </c>
      <c r="L339" s="1">
        <v>0</v>
      </c>
      <c r="M339" s="1">
        <v>0</v>
      </c>
      <c r="N339" s="1">
        <v>0</v>
      </c>
      <c r="O339" s="24">
        <f t="shared" si="15"/>
        <v>1</v>
      </c>
      <c r="P339" s="23">
        <v>0</v>
      </c>
      <c r="Q339" s="1">
        <v>1</v>
      </c>
      <c r="R339" s="1">
        <v>0</v>
      </c>
      <c r="S339" s="1">
        <v>0</v>
      </c>
      <c r="T339" s="1">
        <v>0</v>
      </c>
      <c r="U339" s="1">
        <v>0</v>
      </c>
      <c r="V339" s="1">
        <v>0</v>
      </c>
      <c r="W339" s="1">
        <v>0</v>
      </c>
      <c r="X339" s="1">
        <v>0</v>
      </c>
      <c r="Y339" s="1">
        <v>0</v>
      </c>
      <c r="Z339" s="1">
        <v>0</v>
      </c>
      <c r="AA339" s="1">
        <v>0</v>
      </c>
      <c r="AB339" s="24">
        <f t="shared" si="16"/>
        <v>1</v>
      </c>
      <c r="AC339" s="23">
        <v>0</v>
      </c>
      <c r="AD339" s="1">
        <v>0</v>
      </c>
      <c r="AE339" s="1">
        <v>0</v>
      </c>
      <c r="AF339" s="1">
        <v>0</v>
      </c>
      <c r="AG339" s="1">
        <v>0</v>
      </c>
      <c r="AH339" s="1">
        <v>0</v>
      </c>
      <c r="AI339" s="1">
        <v>0</v>
      </c>
      <c r="AJ339" s="1">
        <v>0</v>
      </c>
      <c r="AK339" s="1">
        <v>0</v>
      </c>
      <c r="AL339" s="1">
        <v>0</v>
      </c>
      <c r="AM339" s="1">
        <v>0</v>
      </c>
      <c r="AN339" s="1">
        <v>0</v>
      </c>
      <c r="AO339" s="24">
        <f t="shared" si="17"/>
        <v>0</v>
      </c>
    </row>
    <row r="340" spans="1:41" ht="17.25" customHeight="1" x14ac:dyDescent="0.45">
      <c r="A340" s="12" t="s">
        <v>32</v>
      </c>
      <c r="B340" s="12" t="s">
        <v>59</v>
      </c>
      <c r="C340" s="25">
        <v>0</v>
      </c>
      <c r="D340" s="10">
        <v>0</v>
      </c>
      <c r="E340" s="10">
        <v>0</v>
      </c>
      <c r="F340" s="10">
        <v>0</v>
      </c>
      <c r="G340" s="10">
        <v>0</v>
      </c>
      <c r="H340" s="10">
        <v>2</v>
      </c>
      <c r="I340" s="10">
        <v>0</v>
      </c>
      <c r="J340" s="10">
        <v>0</v>
      </c>
      <c r="K340" s="10">
        <v>0</v>
      </c>
      <c r="L340" s="10">
        <v>0</v>
      </c>
      <c r="M340" s="10">
        <v>0</v>
      </c>
      <c r="N340" s="10">
        <v>0</v>
      </c>
      <c r="O340" s="26">
        <f t="shared" si="15"/>
        <v>2</v>
      </c>
      <c r="P340" s="25">
        <v>0</v>
      </c>
      <c r="Q340" s="10">
        <v>0</v>
      </c>
      <c r="R340" s="10">
        <v>0</v>
      </c>
      <c r="S340" s="10">
        <v>0</v>
      </c>
      <c r="T340" s="10">
        <v>0</v>
      </c>
      <c r="U340" s="10">
        <v>0</v>
      </c>
      <c r="V340" s="10">
        <v>0</v>
      </c>
      <c r="W340" s="10">
        <v>0</v>
      </c>
      <c r="X340" s="10">
        <v>0</v>
      </c>
      <c r="Y340" s="10">
        <v>0</v>
      </c>
      <c r="Z340" s="10">
        <v>0</v>
      </c>
      <c r="AA340" s="10">
        <v>0</v>
      </c>
      <c r="AB340" s="26">
        <f t="shared" si="16"/>
        <v>0</v>
      </c>
      <c r="AC340" s="25">
        <v>0</v>
      </c>
      <c r="AD340" s="10">
        <v>0</v>
      </c>
      <c r="AE340" s="10">
        <v>0</v>
      </c>
      <c r="AF340" s="10">
        <v>0</v>
      </c>
      <c r="AG340" s="10">
        <v>0</v>
      </c>
      <c r="AH340" s="10">
        <v>1467</v>
      </c>
      <c r="AI340" s="10">
        <v>0</v>
      </c>
      <c r="AJ340" s="10">
        <v>0</v>
      </c>
      <c r="AK340" s="10">
        <v>0</v>
      </c>
      <c r="AL340" s="10">
        <v>0</v>
      </c>
      <c r="AM340" s="10">
        <v>0</v>
      </c>
      <c r="AN340" s="10">
        <v>0</v>
      </c>
      <c r="AO340" s="26">
        <f t="shared" si="17"/>
        <v>1467</v>
      </c>
    </row>
    <row r="341" spans="1:41" ht="17.25" customHeight="1" x14ac:dyDescent="0.45">
      <c r="A341" s="2" t="s">
        <v>32</v>
      </c>
      <c r="B341" s="2" t="s">
        <v>26</v>
      </c>
      <c r="C341" s="23">
        <v>0</v>
      </c>
      <c r="D341" s="1">
        <v>0</v>
      </c>
      <c r="E341" s="1">
        <v>0</v>
      </c>
      <c r="F341" s="1">
        <v>0</v>
      </c>
      <c r="G341" s="1">
        <v>0</v>
      </c>
      <c r="H341" s="1">
        <v>0</v>
      </c>
      <c r="I341" s="1">
        <v>0</v>
      </c>
      <c r="J341" s="1">
        <v>0</v>
      </c>
      <c r="K341" s="1">
        <v>0</v>
      </c>
      <c r="L341" s="1">
        <v>1</v>
      </c>
      <c r="M341" s="1">
        <v>0</v>
      </c>
      <c r="N341" s="1">
        <v>0</v>
      </c>
      <c r="O341" s="24">
        <f t="shared" si="15"/>
        <v>1</v>
      </c>
      <c r="P341" s="23">
        <v>0</v>
      </c>
      <c r="Q341" s="1">
        <v>0</v>
      </c>
      <c r="R341" s="1">
        <v>0</v>
      </c>
      <c r="S341" s="1">
        <v>0</v>
      </c>
      <c r="T341" s="1">
        <v>0</v>
      </c>
      <c r="U341" s="1">
        <v>0</v>
      </c>
      <c r="V341" s="1">
        <v>0</v>
      </c>
      <c r="W341" s="1">
        <v>0</v>
      </c>
      <c r="X341" s="1">
        <v>0</v>
      </c>
      <c r="Y341" s="1">
        <v>49</v>
      </c>
      <c r="Z341" s="1">
        <v>0</v>
      </c>
      <c r="AA341" s="1">
        <v>0</v>
      </c>
      <c r="AB341" s="24">
        <f t="shared" si="16"/>
        <v>49</v>
      </c>
      <c r="AC341" s="23">
        <v>0</v>
      </c>
      <c r="AD341" s="1">
        <v>0</v>
      </c>
      <c r="AE341" s="1">
        <v>0</v>
      </c>
      <c r="AF341" s="1">
        <v>0</v>
      </c>
      <c r="AG341" s="1">
        <v>0</v>
      </c>
      <c r="AH341" s="1">
        <v>0</v>
      </c>
      <c r="AI341" s="1">
        <v>0</v>
      </c>
      <c r="AJ341" s="1">
        <v>0</v>
      </c>
      <c r="AK341" s="1">
        <v>0</v>
      </c>
      <c r="AL341" s="1">
        <v>0</v>
      </c>
      <c r="AM341" s="1">
        <v>0</v>
      </c>
      <c r="AN341" s="1">
        <v>0</v>
      </c>
      <c r="AO341" s="24">
        <f t="shared" si="17"/>
        <v>0</v>
      </c>
    </row>
    <row r="342" spans="1:41" ht="17.25" customHeight="1" x14ac:dyDescent="0.45">
      <c r="A342" s="12" t="s">
        <v>32</v>
      </c>
      <c r="B342" s="12" t="s">
        <v>27</v>
      </c>
      <c r="C342" s="25">
        <v>0</v>
      </c>
      <c r="D342" s="10">
        <v>0</v>
      </c>
      <c r="E342" s="10">
        <v>0</v>
      </c>
      <c r="F342" s="10">
        <v>0</v>
      </c>
      <c r="G342" s="10">
        <v>0</v>
      </c>
      <c r="H342" s="10">
        <v>0</v>
      </c>
      <c r="I342" s="10">
        <v>0</v>
      </c>
      <c r="J342" s="10">
        <v>0</v>
      </c>
      <c r="K342" s="10">
        <v>0</v>
      </c>
      <c r="L342" s="10">
        <v>0</v>
      </c>
      <c r="M342" s="10">
        <v>1</v>
      </c>
      <c r="N342" s="10">
        <v>1</v>
      </c>
      <c r="O342" s="26">
        <f t="shared" si="15"/>
        <v>2</v>
      </c>
      <c r="P342" s="25">
        <v>0</v>
      </c>
      <c r="Q342" s="10">
        <v>0</v>
      </c>
      <c r="R342" s="10">
        <v>0</v>
      </c>
      <c r="S342" s="10">
        <v>0</v>
      </c>
      <c r="T342" s="10">
        <v>0</v>
      </c>
      <c r="U342" s="10">
        <v>0</v>
      </c>
      <c r="V342" s="10">
        <v>0</v>
      </c>
      <c r="W342" s="10">
        <v>0</v>
      </c>
      <c r="X342" s="10">
        <v>0</v>
      </c>
      <c r="Y342" s="10">
        <v>0</v>
      </c>
      <c r="Z342" s="10">
        <v>1</v>
      </c>
      <c r="AA342" s="10">
        <v>3</v>
      </c>
      <c r="AB342" s="26">
        <f t="shared" si="16"/>
        <v>4</v>
      </c>
      <c r="AC342" s="25">
        <v>0</v>
      </c>
      <c r="AD342" s="10">
        <v>0</v>
      </c>
      <c r="AE342" s="10">
        <v>0</v>
      </c>
      <c r="AF342" s="10">
        <v>0</v>
      </c>
      <c r="AG342" s="10">
        <v>0</v>
      </c>
      <c r="AH342" s="10">
        <v>0</v>
      </c>
      <c r="AI342" s="10">
        <v>0</v>
      </c>
      <c r="AJ342" s="10">
        <v>0</v>
      </c>
      <c r="AK342" s="10">
        <v>0</v>
      </c>
      <c r="AL342" s="10">
        <v>0</v>
      </c>
      <c r="AM342" s="10">
        <v>0</v>
      </c>
      <c r="AN342" s="10">
        <v>0</v>
      </c>
      <c r="AO342" s="26">
        <f t="shared" si="17"/>
        <v>0</v>
      </c>
    </row>
    <row r="343" spans="1:41" ht="17.25" customHeight="1" x14ac:dyDescent="0.45">
      <c r="A343" s="2" t="s">
        <v>32</v>
      </c>
      <c r="B343" s="2" t="s">
        <v>17</v>
      </c>
      <c r="C343" s="23">
        <v>0</v>
      </c>
      <c r="D343" s="1">
        <v>1</v>
      </c>
      <c r="E343" s="1">
        <v>2</v>
      </c>
      <c r="F343" s="1">
        <v>0</v>
      </c>
      <c r="G343" s="1">
        <v>0</v>
      </c>
      <c r="H343" s="1">
        <v>0</v>
      </c>
      <c r="I343" s="1">
        <v>1</v>
      </c>
      <c r="J343" s="1">
        <v>0</v>
      </c>
      <c r="K343" s="1">
        <v>1</v>
      </c>
      <c r="L343" s="1">
        <v>0</v>
      </c>
      <c r="M343" s="1">
        <v>0</v>
      </c>
      <c r="N343" s="1">
        <v>0</v>
      </c>
      <c r="O343" s="24">
        <f t="shared" si="15"/>
        <v>5</v>
      </c>
      <c r="P343" s="23">
        <v>0</v>
      </c>
      <c r="Q343" s="1">
        <v>17</v>
      </c>
      <c r="R343" s="1">
        <v>6</v>
      </c>
      <c r="S343" s="1">
        <v>0</v>
      </c>
      <c r="T343" s="1">
        <v>0</v>
      </c>
      <c r="U343" s="1">
        <v>0</v>
      </c>
      <c r="V343" s="1">
        <v>44</v>
      </c>
      <c r="W343" s="1">
        <v>0</v>
      </c>
      <c r="X343" s="1">
        <v>40</v>
      </c>
      <c r="Y343" s="1">
        <v>0</v>
      </c>
      <c r="Z343" s="1">
        <v>0</v>
      </c>
      <c r="AA343" s="1">
        <v>0</v>
      </c>
      <c r="AB343" s="24">
        <f t="shared" si="16"/>
        <v>107</v>
      </c>
      <c r="AC343" s="23">
        <v>0</v>
      </c>
      <c r="AD343" s="1">
        <v>0</v>
      </c>
      <c r="AE343" s="1">
        <v>0</v>
      </c>
      <c r="AF343" s="1">
        <v>0</v>
      </c>
      <c r="AG343" s="1">
        <v>0</v>
      </c>
      <c r="AH343" s="1">
        <v>0</v>
      </c>
      <c r="AI343" s="1">
        <v>0</v>
      </c>
      <c r="AJ343" s="1">
        <v>0</v>
      </c>
      <c r="AK343" s="1">
        <v>0</v>
      </c>
      <c r="AL343" s="1">
        <v>0</v>
      </c>
      <c r="AM343" s="1">
        <v>0</v>
      </c>
      <c r="AN343" s="1">
        <v>0</v>
      </c>
      <c r="AO343" s="24">
        <f t="shared" si="17"/>
        <v>0</v>
      </c>
    </row>
    <row r="344" spans="1:41" ht="17.25" customHeight="1" x14ac:dyDescent="0.45">
      <c r="A344" s="12" t="s">
        <v>32</v>
      </c>
      <c r="B344" s="12" t="s">
        <v>28</v>
      </c>
      <c r="C344" s="25">
        <v>0</v>
      </c>
      <c r="D344" s="10">
        <v>0</v>
      </c>
      <c r="E344" s="10">
        <v>1</v>
      </c>
      <c r="F344" s="10">
        <v>1</v>
      </c>
      <c r="G344" s="10">
        <v>0</v>
      </c>
      <c r="H344" s="10">
        <v>1</v>
      </c>
      <c r="I344" s="10">
        <v>1</v>
      </c>
      <c r="J344" s="10">
        <v>1</v>
      </c>
      <c r="K344" s="10">
        <v>1</v>
      </c>
      <c r="L344" s="10">
        <v>2</v>
      </c>
      <c r="M344" s="10">
        <v>1</v>
      </c>
      <c r="N344" s="10">
        <v>0</v>
      </c>
      <c r="O344" s="26">
        <f t="shared" si="15"/>
        <v>9</v>
      </c>
      <c r="P344" s="25">
        <v>0</v>
      </c>
      <c r="Q344" s="10">
        <v>0</v>
      </c>
      <c r="R344" s="10">
        <v>0</v>
      </c>
      <c r="S344" s="10">
        <v>0</v>
      </c>
      <c r="T344" s="10">
        <v>0</v>
      </c>
      <c r="U344" s="10">
        <v>0</v>
      </c>
      <c r="V344" s="10">
        <v>18</v>
      </c>
      <c r="W344" s="10">
        <v>0</v>
      </c>
      <c r="X344" s="10">
        <v>21</v>
      </c>
      <c r="Y344" s="10">
        <v>49</v>
      </c>
      <c r="Z344" s="10">
        <v>27</v>
      </c>
      <c r="AA344" s="10">
        <v>0</v>
      </c>
      <c r="AB344" s="26">
        <f t="shared" si="16"/>
        <v>115</v>
      </c>
      <c r="AC344" s="25">
        <v>0</v>
      </c>
      <c r="AD344" s="10">
        <v>0</v>
      </c>
      <c r="AE344" s="10">
        <v>2500</v>
      </c>
      <c r="AF344" s="10">
        <v>7005</v>
      </c>
      <c r="AG344" s="10">
        <v>0</v>
      </c>
      <c r="AH344" s="10">
        <v>3607</v>
      </c>
      <c r="AI344" s="10">
        <v>0</v>
      </c>
      <c r="AJ344" s="10">
        <v>12702</v>
      </c>
      <c r="AK344" s="10">
        <v>0</v>
      </c>
      <c r="AL344" s="10">
        <v>0</v>
      </c>
      <c r="AM344" s="10">
        <v>0</v>
      </c>
      <c r="AN344" s="10">
        <v>0</v>
      </c>
      <c r="AO344" s="26">
        <f t="shared" si="17"/>
        <v>25814</v>
      </c>
    </row>
    <row r="345" spans="1:41" ht="17.25" customHeight="1" x14ac:dyDescent="0.45">
      <c r="A345" s="2" t="s">
        <v>32</v>
      </c>
      <c r="B345" s="2" t="s">
        <v>206</v>
      </c>
      <c r="C345" s="23">
        <v>1</v>
      </c>
      <c r="D345" s="1">
        <v>0</v>
      </c>
      <c r="E345" s="1">
        <v>1</v>
      </c>
      <c r="F345" s="1">
        <v>0</v>
      </c>
      <c r="G345" s="1">
        <v>4</v>
      </c>
      <c r="H345" s="1">
        <v>0</v>
      </c>
      <c r="I345" s="1">
        <v>1</v>
      </c>
      <c r="J345" s="1">
        <v>1</v>
      </c>
      <c r="K345" s="1">
        <v>3</v>
      </c>
      <c r="L345" s="1">
        <v>0</v>
      </c>
      <c r="M345" s="1">
        <v>1</v>
      </c>
      <c r="N345" s="1">
        <v>15</v>
      </c>
      <c r="O345" s="24">
        <f t="shared" si="15"/>
        <v>27</v>
      </c>
      <c r="P345" s="23">
        <v>0</v>
      </c>
      <c r="Q345" s="1">
        <v>0</v>
      </c>
      <c r="R345" s="1">
        <v>0</v>
      </c>
      <c r="S345" s="1">
        <v>0</v>
      </c>
      <c r="T345" s="1">
        <v>0</v>
      </c>
      <c r="U345" s="1">
        <v>0</v>
      </c>
      <c r="V345" s="1">
        <v>0</v>
      </c>
      <c r="W345" s="1">
        <v>0</v>
      </c>
      <c r="X345" s="1">
        <v>21</v>
      </c>
      <c r="Y345" s="1">
        <v>0</v>
      </c>
      <c r="Z345" s="1">
        <v>0</v>
      </c>
      <c r="AA345" s="1">
        <v>0</v>
      </c>
      <c r="AB345" s="24">
        <f t="shared" si="16"/>
        <v>21</v>
      </c>
      <c r="AC345" s="23">
        <v>4782</v>
      </c>
      <c r="AD345" s="1">
        <v>0</v>
      </c>
      <c r="AE345" s="1">
        <v>455</v>
      </c>
      <c r="AF345" s="1">
        <v>0</v>
      </c>
      <c r="AG345" s="1">
        <v>8523</v>
      </c>
      <c r="AH345" s="1">
        <v>0</v>
      </c>
      <c r="AI345" s="1">
        <v>8502</v>
      </c>
      <c r="AJ345" s="1">
        <v>150</v>
      </c>
      <c r="AK345" s="1">
        <v>4380</v>
      </c>
      <c r="AL345" s="1">
        <v>0</v>
      </c>
      <c r="AM345" s="1">
        <v>150</v>
      </c>
      <c r="AN345" s="1">
        <v>40913</v>
      </c>
      <c r="AO345" s="24">
        <f t="shared" si="17"/>
        <v>67855</v>
      </c>
    </row>
    <row r="346" spans="1:41" ht="17.25" customHeight="1" x14ac:dyDescent="0.45">
      <c r="A346" s="12" t="s">
        <v>32</v>
      </c>
      <c r="B346" s="12" t="s">
        <v>48</v>
      </c>
      <c r="C346" s="25">
        <v>0</v>
      </c>
      <c r="D346" s="10">
        <v>0</v>
      </c>
      <c r="E346" s="10">
        <v>1</v>
      </c>
      <c r="F346" s="10">
        <v>0</v>
      </c>
      <c r="G346" s="10">
        <v>0</v>
      </c>
      <c r="H346" s="10">
        <v>0</v>
      </c>
      <c r="I346" s="10">
        <v>0</v>
      </c>
      <c r="J346" s="10">
        <v>0</v>
      </c>
      <c r="K346" s="10">
        <v>0</v>
      </c>
      <c r="L346" s="10">
        <v>0</v>
      </c>
      <c r="M346" s="10">
        <v>0</v>
      </c>
      <c r="N346" s="10">
        <v>0</v>
      </c>
      <c r="O346" s="26">
        <f t="shared" si="15"/>
        <v>1</v>
      </c>
      <c r="P346" s="25">
        <v>0</v>
      </c>
      <c r="Q346" s="10">
        <v>0</v>
      </c>
      <c r="R346" s="10">
        <v>48</v>
      </c>
      <c r="S346" s="10">
        <v>0</v>
      </c>
      <c r="T346" s="10">
        <v>0</v>
      </c>
      <c r="U346" s="10">
        <v>0</v>
      </c>
      <c r="V346" s="10">
        <v>0</v>
      </c>
      <c r="W346" s="10">
        <v>0</v>
      </c>
      <c r="X346" s="10">
        <v>0</v>
      </c>
      <c r="Y346" s="10">
        <v>0</v>
      </c>
      <c r="Z346" s="10">
        <v>0</v>
      </c>
      <c r="AA346" s="10">
        <v>0</v>
      </c>
      <c r="AB346" s="26">
        <f t="shared" si="16"/>
        <v>48</v>
      </c>
      <c r="AC346" s="25">
        <v>0</v>
      </c>
      <c r="AD346" s="10">
        <v>0</v>
      </c>
      <c r="AE346" s="10">
        <v>0</v>
      </c>
      <c r="AF346" s="10">
        <v>0</v>
      </c>
      <c r="AG346" s="10">
        <v>0</v>
      </c>
      <c r="AH346" s="10">
        <v>0</v>
      </c>
      <c r="AI346" s="10">
        <v>0</v>
      </c>
      <c r="AJ346" s="10">
        <v>0</v>
      </c>
      <c r="AK346" s="10">
        <v>0</v>
      </c>
      <c r="AL346" s="10">
        <v>0</v>
      </c>
      <c r="AM346" s="10">
        <v>0</v>
      </c>
      <c r="AN346" s="10">
        <v>0</v>
      </c>
      <c r="AO346" s="26">
        <f t="shared" si="17"/>
        <v>0</v>
      </c>
    </row>
    <row r="347" spans="1:41" ht="17.25" customHeight="1" x14ac:dyDescent="0.45">
      <c r="A347" s="2" t="s">
        <v>32</v>
      </c>
      <c r="B347" s="2" t="s">
        <v>30</v>
      </c>
      <c r="C347" s="23">
        <v>2</v>
      </c>
      <c r="D347" s="1">
        <v>0</v>
      </c>
      <c r="E347" s="1">
        <v>0</v>
      </c>
      <c r="F347" s="1">
        <v>0</v>
      </c>
      <c r="G347" s="1">
        <v>0</v>
      </c>
      <c r="H347" s="1">
        <v>0</v>
      </c>
      <c r="I347" s="1">
        <v>1</v>
      </c>
      <c r="J347" s="1">
        <v>0</v>
      </c>
      <c r="K347" s="1">
        <v>0</v>
      </c>
      <c r="L347" s="1">
        <v>0</v>
      </c>
      <c r="M347" s="1">
        <v>0</v>
      </c>
      <c r="N347" s="1">
        <v>0</v>
      </c>
      <c r="O347" s="24">
        <f t="shared" si="15"/>
        <v>3</v>
      </c>
      <c r="P347" s="23">
        <v>44</v>
      </c>
      <c r="Q347" s="1">
        <v>0</v>
      </c>
      <c r="R347" s="1">
        <v>0</v>
      </c>
      <c r="S347" s="1">
        <v>0</v>
      </c>
      <c r="T347" s="1">
        <v>0</v>
      </c>
      <c r="U347" s="1">
        <v>0</v>
      </c>
      <c r="V347" s="1">
        <v>49</v>
      </c>
      <c r="W347" s="1">
        <v>0</v>
      </c>
      <c r="X347" s="1">
        <v>0</v>
      </c>
      <c r="Y347" s="1">
        <v>0</v>
      </c>
      <c r="Z347" s="1">
        <v>0</v>
      </c>
      <c r="AA347" s="1">
        <v>0</v>
      </c>
      <c r="AB347" s="24">
        <f t="shared" si="16"/>
        <v>93</v>
      </c>
      <c r="AC347" s="23">
        <v>0</v>
      </c>
      <c r="AD347" s="1">
        <v>0</v>
      </c>
      <c r="AE347" s="1">
        <v>0</v>
      </c>
      <c r="AF347" s="1">
        <v>0</v>
      </c>
      <c r="AG347" s="1">
        <v>0</v>
      </c>
      <c r="AH347" s="1">
        <v>0</v>
      </c>
      <c r="AI347" s="1">
        <v>0</v>
      </c>
      <c r="AJ347" s="1">
        <v>0</v>
      </c>
      <c r="AK347" s="1">
        <v>0</v>
      </c>
      <c r="AL347" s="1">
        <v>0</v>
      </c>
      <c r="AM347" s="1">
        <v>0</v>
      </c>
      <c r="AN347" s="1">
        <v>0</v>
      </c>
      <c r="AO347" s="24">
        <f t="shared" si="17"/>
        <v>0</v>
      </c>
    </row>
    <row r="348" spans="1:41" ht="17.25" customHeight="1" x14ac:dyDescent="0.45">
      <c r="A348" s="12" t="s">
        <v>32</v>
      </c>
      <c r="B348" s="12" t="s">
        <v>50</v>
      </c>
      <c r="C348" s="25">
        <v>0</v>
      </c>
      <c r="D348" s="10">
        <v>0</v>
      </c>
      <c r="E348" s="10">
        <v>0</v>
      </c>
      <c r="F348" s="10">
        <v>1</v>
      </c>
      <c r="G348" s="10">
        <v>0</v>
      </c>
      <c r="H348" s="10">
        <v>0</v>
      </c>
      <c r="I348" s="10">
        <v>0</v>
      </c>
      <c r="J348" s="10">
        <v>0</v>
      </c>
      <c r="K348" s="10">
        <v>1</v>
      </c>
      <c r="L348" s="10">
        <v>0</v>
      </c>
      <c r="M348" s="10">
        <v>0</v>
      </c>
      <c r="N348" s="10">
        <v>0</v>
      </c>
      <c r="O348" s="26">
        <f t="shared" si="15"/>
        <v>2</v>
      </c>
      <c r="P348" s="25">
        <v>0</v>
      </c>
      <c r="Q348" s="10">
        <v>0</v>
      </c>
      <c r="R348" s="10">
        <v>0</v>
      </c>
      <c r="S348" s="10">
        <v>0</v>
      </c>
      <c r="T348" s="10">
        <v>0</v>
      </c>
      <c r="U348" s="10">
        <v>0</v>
      </c>
      <c r="V348" s="10">
        <v>0</v>
      </c>
      <c r="W348" s="10">
        <v>0</v>
      </c>
      <c r="X348" s="10">
        <v>34</v>
      </c>
      <c r="Y348" s="10">
        <v>0</v>
      </c>
      <c r="Z348" s="10">
        <v>0</v>
      </c>
      <c r="AA348" s="10">
        <v>0</v>
      </c>
      <c r="AB348" s="26">
        <f t="shared" si="16"/>
        <v>34</v>
      </c>
      <c r="AC348" s="25">
        <v>0</v>
      </c>
      <c r="AD348" s="10">
        <v>0</v>
      </c>
      <c r="AE348" s="10">
        <v>0</v>
      </c>
      <c r="AF348" s="10">
        <v>1981</v>
      </c>
      <c r="AG348" s="10">
        <v>0</v>
      </c>
      <c r="AH348" s="10">
        <v>0</v>
      </c>
      <c r="AI348" s="10">
        <v>0</v>
      </c>
      <c r="AJ348" s="10">
        <v>0</v>
      </c>
      <c r="AK348" s="10">
        <v>0</v>
      </c>
      <c r="AL348" s="10">
        <v>0</v>
      </c>
      <c r="AM348" s="10">
        <v>0</v>
      </c>
      <c r="AN348" s="10">
        <v>0</v>
      </c>
      <c r="AO348" s="26">
        <f t="shared" si="17"/>
        <v>1981</v>
      </c>
    </row>
    <row r="349" spans="1:41" ht="17.25" customHeight="1" x14ac:dyDescent="0.45">
      <c r="A349" s="2" t="s">
        <v>32</v>
      </c>
      <c r="B349" s="2" t="s">
        <v>61</v>
      </c>
      <c r="C349" s="23">
        <v>0</v>
      </c>
      <c r="D349" s="1">
        <v>0</v>
      </c>
      <c r="E349" s="1">
        <v>0</v>
      </c>
      <c r="F349" s="1">
        <v>1</v>
      </c>
      <c r="G349" s="1">
        <v>0</v>
      </c>
      <c r="H349" s="1">
        <v>0</v>
      </c>
      <c r="I349" s="1">
        <v>0</v>
      </c>
      <c r="J349" s="1">
        <v>0</v>
      </c>
      <c r="K349" s="1">
        <v>0</v>
      </c>
      <c r="L349" s="1">
        <v>0</v>
      </c>
      <c r="M349" s="1">
        <v>0</v>
      </c>
      <c r="N349" s="1">
        <v>0</v>
      </c>
      <c r="O349" s="24">
        <f t="shared" si="15"/>
        <v>1</v>
      </c>
      <c r="P349" s="23">
        <v>0</v>
      </c>
      <c r="Q349" s="1">
        <v>0</v>
      </c>
      <c r="R349" s="1">
        <v>0</v>
      </c>
      <c r="S349" s="1">
        <v>4</v>
      </c>
      <c r="T349" s="1">
        <v>0</v>
      </c>
      <c r="U349" s="1">
        <v>0</v>
      </c>
      <c r="V349" s="1">
        <v>0</v>
      </c>
      <c r="W349" s="1">
        <v>0</v>
      </c>
      <c r="X349" s="1">
        <v>0</v>
      </c>
      <c r="Y349" s="1">
        <v>0</v>
      </c>
      <c r="Z349" s="1">
        <v>0</v>
      </c>
      <c r="AA349" s="1">
        <v>0</v>
      </c>
      <c r="AB349" s="24">
        <f t="shared" si="16"/>
        <v>4</v>
      </c>
      <c r="AC349" s="23">
        <v>0</v>
      </c>
      <c r="AD349" s="1">
        <v>0</v>
      </c>
      <c r="AE349" s="1">
        <v>0</v>
      </c>
      <c r="AF349" s="1">
        <v>0</v>
      </c>
      <c r="AG349" s="1">
        <v>0</v>
      </c>
      <c r="AH349" s="1">
        <v>0</v>
      </c>
      <c r="AI349" s="1">
        <v>0</v>
      </c>
      <c r="AJ349" s="1">
        <v>0</v>
      </c>
      <c r="AK349" s="1">
        <v>0</v>
      </c>
      <c r="AL349" s="1">
        <v>0</v>
      </c>
      <c r="AM349" s="1">
        <v>0</v>
      </c>
      <c r="AN349" s="1">
        <v>0</v>
      </c>
      <c r="AO349" s="24">
        <f t="shared" si="17"/>
        <v>0</v>
      </c>
    </row>
    <row r="350" spans="1:41" ht="17.25" customHeight="1" x14ac:dyDescent="0.45">
      <c r="A350" s="12" t="s">
        <v>32</v>
      </c>
      <c r="B350" s="12" t="s">
        <v>15</v>
      </c>
      <c r="C350" s="25">
        <v>1</v>
      </c>
      <c r="D350" s="10">
        <v>3</v>
      </c>
      <c r="E350" s="10">
        <v>3</v>
      </c>
      <c r="F350" s="10">
        <v>15</v>
      </c>
      <c r="G350" s="10">
        <v>0</v>
      </c>
      <c r="H350" s="10">
        <v>0</v>
      </c>
      <c r="I350" s="10">
        <v>0</v>
      </c>
      <c r="J350" s="10">
        <v>1</v>
      </c>
      <c r="K350" s="10">
        <v>2</v>
      </c>
      <c r="L350" s="10">
        <v>2</v>
      </c>
      <c r="M350" s="10">
        <v>2</v>
      </c>
      <c r="N350" s="10">
        <v>1</v>
      </c>
      <c r="O350" s="26">
        <f t="shared" si="15"/>
        <v>30</v>
      </c>
      <c r="P350" s="25">
        <v>98</v>
      </c>
      <c r="Q350" s="10">
        <v>0</v>
      </c>
      <c r="R350" s="10">
        <v>0</v>
      </c>
      <c r="S350" s="10">
        <v>0</v>
      </c>
      <c r="T350" s="10">
        <v>0</v>
      </c>
      <c r="U350" s="10">
        <v>0</v>
      </c>
      <c r="V350" s="10">
        <v>0</v>
      </c>
      <c r="W350" s="10">
        <v>39</v>
      </c>
      <c r="X350" s="10">
        <v>100</v>
      </c>
      <c r="Y350" s="10">
        <v>52</v>
      </c>
      <c r="Z350" s="10">
        <v>95</v>
      </c>
      <c r="AA350" s="10">
        <v>49</v>
      </c>
      <c r="AB350" s="26">
        <f t="shared" si="16"/>
        <v>433</v>
      </c>
      <c r="AC350" s="25">
        <v>0</v>
      </c>
      <c r="AD350" s="10">
        <v>15033</v>
      </c>
      <c r="AE350" s="10">
        <v>12005</v>
      </c>
      <c r="AF350" s="10">
        <v>45579</v>
      </c>
      <c r="AG350" s="10">
        <v>0</v>
      </c>
      <c r="AH350" s="10">
        <v>0</v>
      </c>
      <c r="AI350" s="10">
        <v>0</v>
      </c>
      <c r="AJ350" s="10">
        <v>0</v>
      </c>
      <c r="AK350" s="10">
        <v>0</v>
      </c>
      <c r="AL350" s="10">
        <v>1980</v>
      </c>
      <c r="AM350" s="10">
        <v>0</v>
      </c>
      <c r="AN350" s="10">
        <v>0</v>
      </c>
      <c r="AO350" s="26">
        <f t="shared" si="17"/>
        <v>74597</v>
      </c>
    </row>
    <row r="351" spans="1:41" ht="17.25" customHeight="1" x14ac:dyDescent="0.45">
      <c r="A351" s="2" t="s">
        <v>32</v>
      </c>
      <c r="B351" s="2" t="s">
        <v>33</v>
      </c>
      <c r="C351" s="23">
        <v>0</v>
      </c>
      <c r="D351" s="1">
        <v>1</v>
      </c>
      <c r="E351" s="1">
        <v>2</v>
      </c>
      <c r="F351" s="1">
        <v>1</v>
      </c>
      <c r="G351" s="1">
        <v>0</v>
      </c>
      <c r="H351" s="1">
        <v>0</v>
      </c>
      <c r="I351" s="1">
        <v>0</v>
      </c>
      <c r="J351" s="1">
        <v>0</v>
      </c>
      <c r="K351" s="1">
        <v>1</v>
      </c>
      <c r="L351" s="1">
        <v>0</v>
      </c>
      <c r="M351" s="1">
        <v>0</v>
      </c>
      <c r="N351" s="1">
        <v>0</v>
      </c>
      <c r="O351" s="24">
        <f t="shared" si="15"/>
        <v>5</v>
      </c>
      <c r="P351" s="23">
        <v>0</v>
      </c>
      <c r="Q351" s="1">
        <v>49</v>
      </c>
      <c r="R351" s="1">
        <v>95</v>
      </c>
      <c r="S351" s="1">
        <v>102</v>
      </c>
      <c r="T351" s="1">
        <v>0</v>
      </c>
      <c r="U351" s="1">
        <v>0</v>
      </c>
      <c r="V351" s="1">
        <v>0</v>
      </c>
      <c r="W351" s="1">
        <v>0</v>
      </c>
      <c r="X351" s="1">
        <v>46</v>
      </c>
      <c r="Y351" s="1">
        <v>0</v>
      </c>
      <c r="Z351" s="1">
        <v>0</v>
      </c>
      <c r="AA351" s="1">
        <v>0</v>
      </c>
      <c r="AB351" s="24">
        <f t="shared" si="16"/>
        <v>292</v>
      </c>
      <c r="AC351" s="23">
        <v>0</v>
      </c>
      <c r="AD351" s="1">
        <v>0</v>
      </c>
      <c r="AE351" s="1">
        <v>0</v>
      </c>
      <c r="AF351" s="1">
        <v>0</v>
      </c>
      <c r="AG351" s="1">
        <v>0</v>
      </c>
      <c r="AH351" s="1">
        <v>0</v>
      </c>
      <c r="AI351" s="1">
        <v>0</v>
      </c>
      <c r="AJ351" s="1">
        <v>0</v>
      </c>
      <c r="AK351" s="1">
        <v>0</v>
      </c>
      <c r="AL351" s="1">
        <v>0</v>
      </c>
      <c r="AM351" s="1">
        <v>0</v>
      </c>
      <c r="AN351" s="1">
        <v>0</v>
      </c>
      <c r="AO351" s="24">
        <f t="shared" si="17"/>
        <v>0</v>
      </c>
    </row>
    <row r="352" spans="1:41" ht="17.25" customHeight="1" x14ac:dyDescent="0.45">
      <c r="A352" s="12" t="s">
        <v>32</v>
      </c>
      <c r="B352" s="12" t="s">
        <v>34</v>
      </c>
      <c r="C352" s="25">
        <v>0</v>
      </c>
      <c r="D352" s="10">
        <v>0</v>
      </c>
      <c r="E352" s="10">
        <v>0</v>
      </c>
      <c r="F352" s="10">
        <v>0</v>
      </c>
      <c r="G352" s="10">
        <v>1</v>
      </c>
      <c r="H352" s="10">
        <v>0</v>
      </c>
      <c r="I352" s="10">
        <v>0</v>
      </c>
      <c r="J352" s="10">
        <v>0</v>
      </c>
      <c r="K352" s="10">
        <v>0</v>
      </c>
      <c r="L352" s="10">
        <v>0</v>
      </c>
      <c r="M352" s="10">
        <v>0</v>
      </c>
      <c r="N352" s="10">
        <v>0</v>
      </c>
      <c r="O352" s="26">
        <f t="shared" si="15"/>
        <v>1</v>
      </c>
      <c r="P352" s="25">
        <v>0</v>
      </c>
      <c r="Q352" s="10">
        <v>0</v>
      </c>
      <c r="R352" s="10">
        <v>0</v>
      </c>
      <c r="S352" s="10">
        <v>0</v>
      </c>
      <c r="T352" s="10">
        <v>34</v>
      </c>
      <c r="U352" s="10">
        <v>0</v>
      </c>
      <c r="V352" s="10">
        <v>0</v>
      </c>
      <c r="W352" s="10">
        <v>0</v>
      </c>
      <c r="X352" s="10">
        <v>0</v>
      </c>
      <c r="Y352" s="10">
        <v>0</v>
      </c>
      <c r="Z352" s="10">
        <v>0</v>
      </c>
      <c r="AA352" s="10">
        <v>0</v>
      </c>
      <c r="AB352" s="26">
        <f t="shared" si="16"/>
        <v>34</v>
      </c>
      <c r="AC352" s="25">
        <v>0</v>
      </c>
      <c r="AD352" s="10">
        <v>0</v>
      </c>
      <c r="AE352" s="10">
        <v>0</v>
      </c>
      <c r="AF352" s="10">
        <v>0</v>
      </c>
      <c r="AG352" s="10">
        <v>0</v>
      </c>
      <c r="AH352" s="10">
        <v>0</v>
      </c>
      <c r="AI352" s="10">
        <v>0</v>
      </c>
      <c r="AJ352" s="10">
        <v>0</v>
      </c>
      <c r="AK352" s="10">
        <v>0</v>
      </c>
      <c r="AL352" s="10">
        <v>0</v>
      </c>
      <c r="AM352" s="10">
        <v>0</v>
      </c>
      <c r="AN352" s="10">
        <v>0</v>
      </c>
      <c r="AO352" s="26">
        <f t="shared" si="17"/>
        <v>0</v>
      </c>
    </row>
    <row r="353" spans="1:41" ht="17.25" customHeight="1" x14ac:dyDescent="0.45">
      <c r="A353" s="2" t="s">
        <v>32</v>
      </c>
      <c r="B353" s="2" t="s">
        <v>35</v>
      </c>
      <c r="C353" s="23">
        <v>0</v>
      </c>
      <c r="D353" s="1">
        <v>0</v>
      </c>
      <c r="E353" s="1">
        <v>0</v>
      </c>
      <c r="F353" s="1">
        <v>1</v>
      </c>
      <c r="G353" s="1">
        <v>0</v>
      </c>
      <c r="H353" s="1">
        <v>0</v>
      </c>
      <c r="I353" s="1">
        <v>0</v>
      </c>
      <c r="J353" s="1">
        <v>0</v>
      </c>
      <c r="K353" s="1">
        <v>0</v>
      </c>
      <c r="L353" s="1">
        <v>0</v>
      </c>
      <c r="M353" s="1">
        <v>0</v>
      </c>
      <c r="N353" s="1">
        <v>0</v>
      </c>
      <c r="O353" s="24">
        <f t="shared" si="15"/>
        <v>1</v>
      </c>
      <c r="P353" s="23">
        <v>0</v>
      </c>
      <c r="Q353" s="1">
        <v>0</v>
      </c>
      <c r="R353" s="1">
        <v>0</v>
      </c>
      <c r="S353" s="1">
        <v>13</v>
      </c>
      <c r="T353" s="1">
        <v>0</v>
      </c>
      <c r="U353" s="1">
        <v>0</v>
      </c>
      <c r="V353" s="1">
        <v>0</v>
      </c>
      <c r="W353" s="1">
        <v>0</v>
      </c>
      <c r="X353" s="1">
        <v>0</v>
      </c>
      <c r="Y353" s="1">
        <v>0</v>
      </c>
      <c r="Z353" s="1">
        <v>0</v>
      </c>
      <c r="AA353" s="1">
        <v>0</v>
      </c>
      <c r="AB353" s="24">
        <f t="shared" si="16"/>
        <v>13</v>
      </c>
      <c r="AC353" s="23">
        <v>0</v>
      </c>
      <c r="AD353" s="1">
        <v>0</v>
      </c>
      <c r="AE353" s="1">
        <v>0</v>
      </c>
      <c r="AF353" s="1">
        <v>0</v>
      </c>
      <c r="AG353" s="1">
        <v>0</v>
      </c>
      <c r="AH353" s="1">
        <v>0</v>
      </c>
      <c r="AI353" s="1">
        <v>0</v>
      </c>
      <c r="AJ353" s="1">
        <v>0</v>
      </c>
      <c r="AK353" s="1">
        <v>0</v>
      </c>
      <c r="AL353" s="1">
        <v>0</v>
      </c>
      <c r="AM353" s="1">
        <v>0</v>
      </c>
      <c r="AN353" s="1">
        <v>0</v>
      </c>
      <c r="AO353" s="24">
        <f t="shared" si="17"/>
        <v>0</v>
      </c>
    </row>
    <row r="354" spans="1:41" ht="17.25" customHeight="1" x14ac:dyDescent="0.45">
      <c r="A354" s="12" t="s">
        <v>32</v>
      </c>
      <c r="B354" s="12" t="s">
        <v>36</v>
      </c>
      <c r="C354" s="25">
        <v>17</v>
      </c>
      <c r="D354" s="10">
        <v>16</v>
      </c>
      <c r="E354" s="10">
        <v>12</v>
      </c>
      <c r="F354" s="10">
        <v>17</v>
      </c>
      <c r="G354" s="10">
        <v>18</v>
      </c>
      <c r="H354" s="10">
        <v>10</v>
      </c>
      <c r="I354" s="10">
        <v>15</v>
      </c>
      <c r="J354" s="10">
        <v>9</v>
      </c>
      <c r="K354" s="10">
        <v>0</v>
      </c>
      <c r="L354" s="10">
        <v>0</v>
      </c>
      <c r="M354" s="10">
        <v>0</v>
      </c>
      <c r="N354" s="10">
        <v>0</v>
      </c>
      <c r="O354" s="26">
        <f t="shared" si="15"/>
        <v>114</v>
      </c>
      <c r="P354" s="25">
        <v>0</v>
      </c>
      <c r="Q354" s="10">
        <v>0</v>
      </c>
      <c r="R354" s="10">
        <v>0</v>
      </c>
      <c r="S354" s="10">
        <v>0</v>
      </c>
      <c r="T354" s="10">
        <v>0</v>
      </c>
      <c r="U354" s="10">
        <v>0</v>
      </c>
      <c r="V354" s="10">
        <v>0</v>
      </c>
      <c r="W354" s="10">
        <v>0</v>
      </c>
      <c r="X354" s="10">
        <v>0</v>
      </c>
      <c r="Y354" s="10">
        <v>0</v>
      </c>
      <c r="Z354" s="10">
        <v>0</v>
      </c>
      <c r="AA354" s="10">
        <v>0</v>
      </c>
      <c r="AB354" s="26">
        <f t="shared" si="16"/>
        <v>0</v>
      </c>
      <c r="AC354" s="25">
        <v>97228</v>
      </c>
      <c r="AD354" s="10">
        <v>104015</v>
      </c>
      <c r="AE354" s="10">
        <v>89326</v>
      </c>
      <c r="AF354" s="10">
        <v>124194</v>
      </c>
      <c r="AG354" s="10">
        <v>126111</v>
      </c>
      <c r="AH354" s="10">
        <v>69427</v>
      </c>
      <c r="AI354" s="10">
        <v>93665</v>
      </c>
      <c r="AJ354" s="10">
        <v>72717</v>
      </c>
      <c r="AK354" s="10">
        <v>0</v>
      </c>
      <c r="AL354" s="10">
        <v>0</v>
      </c>
      <c r="AM354" s="10">
        <v>0</v>
      </c>
      <c r="AN354" s="10">
        <v>0</v>
      </c>
      <c r="AO354" s="26">
        <f t="shared" si="17"/>
        <v>776683</v>
      </c>
    </row>
    <row r="355" spans="1:41" ht="17.25" customHeight="1" x14ac:dyDescent="0.45">
      <c r="A355" s="2" t="s">
        <v>32</v>
      </c>
      <c r="B355" s="2" t="s">
        <v>62</v>
      </c>
      <c r="C355" s="23">
        <v>0</v>
      </c>
      <c r="D355" s="1">
        <v>1</v>
      </c>
      <c r="E355" s="1">
        <v>0</v>
      </c>
      <c r="F355" s="1">
        <v>0</v>
      </c>
      <c r="G355" s="1">
        <v>1</v>
      </c>
      <c r="H355" s="1">
        <v>0</v>
      </c>
      <c r="I355" s="1">
        <v>0</v>
      </c>
      <c r="J355" s="1">
        <v>0</v>
      </c>
      <c r="K355" s="1">
        <v>0</v>
      </c>
      <c r="L355" s="1">
        <v>0</v>
      </c>
      <c r="M355" s="1">
        <v>0</v>
      </c>
      <c r="N355" s="1">
        <v>0</v>
      </c>
      <c r="O355" s="24">
        <f t="shared" si="15"/>
        <v>2</v>
      </c>
      <c r="P355" s="23">
        <v>0</v>
      </c>
      <c r="Q355" s="1">
        <v>0</v>
      </c>
      <c r="R355" s="1">
        <v>0</v>
      </c>
      <c r="S355" s="1">
        <v>0</v>
      </c>
      <c r="T355" s="1">
        <v>38</v>
      </c>
      <c r="U355" s="1">
        <v>0</v>
      </c>
      <c r="V355" s="1">
        <v>0</v>
      </c>
      <c r="W355" s="1">
        <v>0</v>
      </c>
      <c r="X355" s="1">
        <v>0</v>
      </c>
      <c r="Y355" s="1">
        <v>0</v>
      </c>
      <c r="Z355" s="1">
        <v>0</v>
      </c>
      <c r="AA355" s="1">
        <v>0</v>
      </c>
      <c r="AB355" s="24">
        <f t="shared" si="16"/>
        <v>38</v>
      </c>
      <c r="AC355" s="23">
        <v>0</v>
      </c>
      <c r="AD355" s="1">
        <v>6820</v>
      </c>
      <c r="AE355" s="1">
        <v>0</v>
      </c>
      <c r="AF355" s="1">
        <v>0</v>
      </c>
      <c r="AG355" s="1">
        <v>0</v>
      </c>
      <c r="AH355" s="1">
        <v>0</v>
      </c>
      <c r="AI355" s="1">
        <v>0</v>
      </c>
      <c r="AJ355" s="1">
        <v>0</v>
      </c>
      <c r="AK355" s="1">
        <v>0</v>
      </c>
      <c r="AL355" s="1">
        <v>0</v>
      </c>
      <c r="AM355" s="1">
        <v>0</v>
      </c>
      <c r="AN355" s="1">
        <v>0</v>
      </c>
      <c r="AO355" s="24">
        <f t="shared" si="17"/>
        <v>6820</v>
      </c>
    </row>
    <row r="356" spans="1:41" ht="17.25" customHeight="1" x14ac:dyDescent="0.45">
      <c r="A356" s="12" t="s">
        <v>33</v>
      </c>
      <c r="B356" s="12" t="s">
        <v>19</v>
      </c>
      <c r="C356" s="25">
        <v>0</v>
      </c>
      <c r="D356" s="10">
        <v>0</v>
      </c>
      <c r="E356" s="10">
        <v>0</v>
      </c>
      <c r="F356" s="10">
        <v>0</v>
      </c>
      <c r="G356" s="10">
        <v>0</v>
      </c>
      <c r="H356" s="10">
        <v>0</v>
      </c>
      <c r="I356" s="10">
        <v>0</v>
      </c>
      <c r="J356" s="10">
        <v>0</v>
      </c>
      <c r="K356" s="10">
        <v>0</v>
      </c>
      <c r="L356" s="10">
        <v>0</v>
      </c>
      <c r="M356" s="10">
        <v>1</v>
      </c>
      <c r="N356" s="10">
        <v>0</v>
      </c>
      <c r="O356" s="26">
        <f t="shared" si="15"/>
        <v>1</v>
      </c>
      <c r="P356" s="25">
        <v>0</v>
      </c>
      <c r="Q356" s="10">
        <v>0</v>
      </c>
      <c r="R356" s="10">
        <v>0</v>
      </c>
      <c r="S356" s="10">
        <v>0</v>
      </c>
      <c r="T356" s="10">
        <v>0</v>
      </c>
      <c r="U356" s="10">
        <v>0</v>
      </c>
      <c r="V356" s="10">
        <v>0</v>
      </c>
      <c r="W356" s="10">
        <v>0</v>
      </c>
      <c r="X356" s="10">
        <v>0</v>
      </c>
      <c r="Y356" s="10">
        <v>0</v>
      </c>
      <c r="Z356" s="10">
        <v>0</v>
      </c>
      <c r="AA356" s="10">
        <v>0</v>
      </c>
      <c r="AB356" s="26">
        <f t="shared" si="16"/>
        <v>0</v>
      </c>
      <c r="AC356" s="25">
        <v>0</v>
      </c>
      <c r="AD356" s="10">
        <v>0</v>
      </c>
      <c r="AE356" s="10">
        <v>0</v>
      </c>
      <c r="AF356" s="10">
        <v>0</v>
      </c>
      <c r="AG356" s="10">
        <v>0</v>
      </c>
      <c r="AH356" s="10">
        <v>0</v>
      </c>
      <c r="AI356" s="10">
        <v>0</v>
      </c>
      <c r="AJ356" s="10">
        <v>0</v>
      </c>
      <c r="AK356" s="10">
        <v>0</v>
      </c>
      <c r="AL356" s="10">
        <v>0</v>
      </c>
      <c r="AM356" s="10">
        <v>12400</v>
      </c>
      <c r="AN356" s="10">
        <v>0</v>
      </c>
      <c r="AO356" s="26">
        <f t="shared" si="17"/>
        <v>12400</v>
      </c>
    </row>
    <row r="357" spans="1:41" ht="17.25" customHeight="1" x14ac:dyDescent="0.45">
      <c r="A357" s="2" t="s">
        <v>33</v>
      </c>
      <c r="B357" s="2" t="s">
        <v>21</v>
      </c>
      <c r="C357" s="23">
        <v>0</v>
      </c>
      <c r="D357" s="1">
        <v>0</v>
      </c>
      <c r="E357" s="1">
        <v>0</v>
      </c>
      <c r="F357" s="1">
        <v>0</v>
      </c>
      <c r="G357" s="1">
        <v>2</v>
      </c>
      <c r="H357" s="1">
        <v>0</v>
      </c>
      <c r="I357" s="1">
        <v>0</v>
      </c>
      <c r="J357" s="1">
        <v>0</v>
      </c>
      <c r="K357" s="1">
        <v>0</v>
      </c>
      <c r="L357" s="1">
        <v>0</v>
      </c>
      <c r="M357" s="1">
        <v>0</v>
      </c>
      <c r="N357" s="1">
        <v>0</v>
      </c>
      <c r="O357" s="24">
        <f t="shared" si="15"/>
        <v>2</v>
      </c>
      <c r="P357" s="23">
        <v>0</v>
      </c>
      <c r="Q357" s="1">
        <v>0</v>
      </c>
      <c r="R357" s="1">
        <v>0</v>
      </c>
      <c r="S357" s="1">
        <v>0</v>
      </c>
      <c r="T357" s="1">
        <v>0</v>
      </c>
      <c r="U357" s="1">
        <v>0</v>
      </c>
      <c r="V357" s="1">
        <v>0</v>
      </c>
      <c r="W357" s="1">
        <v>0</v>
      </c>
      <c r="X357" s="1">
        <v>0</v>
      </c>
      <c r="Y357" s="1">
        <v>0</v>
      </c>
      <c r="Z357" s="1">
        <v>0</v>
      </c>
      <c r="AA357" s="1">
        <v>0</v>
      </c>
      <c r="AB357" s="24">
        <f t="shared" si="16"/>
        <v>0</v>
      </c>
      <c r="AC357" s="23">
        <v>0</v>
      </c>
      <c r="AD357" s="1">
        <v>0</v>
      </c>
      <c r="AE357" s="1">
        <v>0</v>
      </c>
      <c r="AF357" s="1">
        <v>0</v>
      </c>
      <c r="AG357" s="1">
        <v>31746</v>
      </c>
      <c r="AH357" s="1">
        <v>0</v>
      </c>
      <c r="AI357" s="1">
        <v>0</v>
      </c>
      <c r="AJ357" s="1">
        <v>0</v>
      </c>
      <c r="AK357" s="1">
        <v>0</v>
      </c>
      <c r="AL357" s="1">
        <v>0</v>
      </c>
      <c r="AM357" s="1">
        <v>0</v>
      </c>
      <c r="AN357" s="1">
        <v>0</v>
      </c>
      <c r="AO357" s="24">
        <f t="shared" si="17"/>
        <v>31746</v>
      </c>
    </row>
    <row r="358" spans="1:41" ht="17.25" customHeight="1" x14ac:dyDescent="0.45">
      <c r="A358" s="12" t="s">
        <v>33</v>
      </c>
      <c r="B358" s="12" t="s">
        <v>38</v>
      </c>
      <c r="C358" s="25">
        <v>21</v>
      </c>
      <c r="D358" s="10">
        <v>16</v>
      </c>
      <c r="E358" s="10">
        <v>13</v>
      </c>
      <c r="F358" s="10">
        <v>17</v>
      </c>
      <c r="G358" s="10">
        <v>18</v>
      </c>
      <c r="H358" s="10">
        <v>17</v>
      </c>
      <c r="I358" s="10">
        <v>20</v>
      </c>
      <c r="J358" s="10">
        <v>16</v>
      </c>
      <c r="K358" s="10">
        <v>17</v>
      </c>
      <c r="L358" s="10">
        <v>18</v>
      </c>
      <c r="M358" s="10">
        <v>15</v>
      </c>
      <c r="N358" s="10">
        <v>13</v>
      </c>
      <c r="O358" s="26">
        <f t="shared" si="15"/>
        <v>201</v>
      </c>
      <c r="P358" s="25">
        <v>0</v>
      </c>
      <c r="Q358" s="10">
        <v>0</v>
      </c>
      <c r="R358" s="10">
        <v>0</v>
      </c>
      <c r="S358" s="10">
        <v>0</v>
      </c>
      <c r="T358" s="10">
        <v>0</v>
      </c>
      <c r="U358" s="10">
        <v>0</v>
      </c>
      <c r="V358" s="10">
        <v>0</v>
      </c>
      <c r="W358" s="10">
        <v>0</v>
      </c>
      <c r="X358" s="10">
        <v>0</v>
      </c>
      <c r="Y358" s="10">
        <v>0</v>
      </c>
      <c r="Z358" s="10">
        <v>0</v>
      </c>
      <c r="AA358" s="10">
        <v>0</v>
      </c>
      <c r="AB358" s="26">
        <f t="shared" si="16"/>
        <v>0</v>
      </c>
      <c r="AC358" s="25">
        <v>224779</v>
      </c>
      <c r="AD358" s="10">
        <v>194602</v>
      </c>
      <c r="AE358" s="10">
        <v>162576</v>
      </c>
      <c r="AF358" s="10">
        <v>194145</v>
      </c>
      <c r="AG358" s="10">
        <v>209461</v>
      </c>
      <c r="AH358" s="10">
        <v>186958</v>
      </c>
      <c r="AI358" s="10">
        <v>223634</v>
      </c>
      <c r="AJ358" s="10">
        <v>184409</v>
      </c>
      <c r="AK358" s="10">
        <v>181249</v>
      </c>
      <c r="AL358" s="10">
        <v>236785</v>
      </c>
      <c r="AM358" s="10">
        <v>145738</v>
      </c>
      <c r="AN358" s="10">
        <v>145189</v>
      </c>
      <c r="AO358" s="26">
        <f t="shared" si="17"/>
        <v>2289525</v>
      </c>
    </row>
    <row r="359" spans="1:41" ht="17.25" customHeight="1" x14ac:dyDescent="0.45">
      <c r="A359" s="2" t="s">
        <v>33</v>
      </c>
      <c r="B359" s="2" t="s">
        <v>56</v>
      </c>
      <c r="C359" s="23">
        <v>0</v>
      </c>
      <c r="D359" s="1">
        <v>0</v>
      </c>
      <c r="E359" s="1">
        <v>0</v>
      </c>
      <c r="F359" s="1">
        <v>0</v>
      </c>
      <c r="G359" s="1">
        <v>0</v>
      </c>
      <c r="H359" s="1">
        <v>0</v>
      </c>
      <c r="I359" s="1">
        <v>0</v>
      </c>
      <c r="J359" s="1">
        <v>0</v>
      </c>
      <c r="K359" s="1">
        <v>0</v>
      </c>
      <c r="L359" s="1">
        <v>0</v>
      </c>
      <c r="M359" s="1">
        <v>0</v>
      </c>
      <c r="N359" s="1">
        <v>1</v>
      </c>
      <c r="O359" s="24">
        <f t="shared" si="15"/>
        <v>1</v>
      </c>
      <c r="P359" s="23">
        <v>0</v>
      </c>
      <c r="Q359" s="1">
        <v>0</v>
      </c>
      <c r="R359" s="1">
        <v>0</v>
      </c>
      <c r="S359" s="1">
        <v>0</v>
      </c>
      <c r="T359" s="1">
        <v>0</v>
      </c>
      <c r="U359" s="1">
        <v>0</v>
      </c>
      <c r="V359" s="1">
        <v>0</v>
      </c>
      <c r="W359" s="1">
        <v>0</v>
      </c>
      <c r="X359" s="1">
        <v>0</v>
      </c>
      <c r="Y359" s="1">
        <v>0</v>
      </c>
      <c r="Z359" s="1">
        <v>0</v>
      </c>
      <c r="AA359" s="1">
        <v>70</v>
      </c>
      <c r="AB359" s="24">
        <f t="shared" si="16"/>
        <v>70</v>
      </c>
      <c r="AC359" s="23">
        <v>0</v>
      </c>
      <c r="AD359" s="1">
        <v>0</v>
      </c>
      <c r="AE359" s="1">
        <v>0</v>
      </c>
      <c r="AF359" s="1">
        <v>0</v>
      </c>
      <c r="AG359" s="1">
        <v>0</v>
      </c>
      <c r="AH359" s="1">
        <v>0</v>
      </c>
      <c r="AI359" s="1">
        <v>0</v>
      </c>
      <c r="AJ359" s="1">
        <v>0</v>
      </c>
      <c r="AK359" s="1">
        <v>0</v>
      </c>
      <c r="AL359" s="1">
        <v>0</v>
      </c>
      <c r="AM359" s="1">
        <v>0</v>
      </c>
      <c r="AN359" s="1">
        <v>0</v>
      </c>
      <c r="AO359" s="24">
        <f t="shared" si="17"/>
        <v>0</v>
      </c>
    </row>
    <row r="360" spans="1:41" ht="17.25" customHeight="1" x14ac:dyDescent="0.45">
      <c r="A360" s="12" t="s">
        <v>33</v>
      </c>
      <c r="B360" s="12" t="s">
        <v>32</v>
      </c>
      <c r="C360" s="25">
        <v>0</v>
      </c>
      <c r="D360" s="10">
        <v>0</v>
      </c>
      <c r="E360" s="10">
        <v>1</v>
      </c>
      <c r="F360" s="10">
        <v>2</v>
      </c>
      <c r="G360" s="10">
        <v>0</v>
      </c>
      <c r="H360" s="10">
        <v>0</v>
      </c>
      <c r="I360" s="10">
        <v>0</v>
      </c>
      <c r="J360" s="10">
        <v>0</v>
      </c>
      <c r="K360" s="10">
        <v>1</v>
      </c>
      <c r="L360" s="10">
        <v>0</v>
      </c>
      <c r="M360" s="10">
        <v>0</v>
      </c>
      <c r="N360" s="10">
        <v>0</v>
      </c>
      <c r="O360" s="26">
        <f t="shared" si="15"/>
        <v>4</v>
      </c>
      <c r="P360" s="25">
        <v>0</v>
      </c>
      <c r="Q360" s="10">
        <v>0</v>
      </c>
      <c r="R360" s="10">
        <v>47</v>
      </c>
      <c r="S360" s="10">
        <v>98</v>
      </c>
      <c r="T360" s="10">
        <v>0</v>
      </c>
      <c r="U360" s="10">
        <v>0</v>
      </c>
      <c r="V360" s="10">
        <v>0</v>
      </c>
      <c r="W360" s="10">
        <v>0</v>
      </c>
      <c r="X360" s="10">
        <v>46</v>
      </c>
      <c r="Y360" s="10">
        <v>0</v>
      </c>
      <c r="Z360" s="10">
        <v>0</v>
      </c>
      <c r="AA360" s="10">
        <v>0</v>
      </c>
      <c r="AB360" s="26">
        <f t="shared" si="16"/>
        <v>191</v>
      </c>
      <c r="AC360" s="25">
        <v>0</v>
      </c>
      <c r="AD360" s="10">
        <v>0</v>
      </c>
      <c r="AE360" s="10">
        <v>0</v>
      </c>
      <c r="AF360" s="10">
        <v>0</v>
      </c>
      <c r="AG360" s="10">
        <v>0</v>
      </c>
      <c r="AH360" s="10">
        <v>0</v>
      </c>
      <c r="AI360" s="10">
        <v>0</v>
      </c>
      <c r="AJ360" s="10">
        <v>0</v>
      </c>
      <c r="AK360" s="10">
        <v>0</v>
      </c>
      <c r="AL360" s="10">
        <v>0</v>
      </c>
      <c r="AM360" s="10">
        <v>0</v>
      </c>
      <c r="AN360" s="10">
        <v>0</v>
      </c>
      <c r="AO360" s="26">
        <f t="shared" si="17"/>
        <v>0</v>
      </c>
    </row>
    <row r="361" spans="1:41" ht="17.25" customHeight="1" x14ac:dyDescent="0.45">
      <c r="A361" s="2" t="s">
        <v>34</v>
      </c>
      <c r="B361" s="2" t="s">
        <v>13</v>
      </c>
      <c r="C361" s="23">
        <v>0</v>
      </c>
      <c r="D361" s="1">
        <v>0</v>
      </c>
      <c r="E361" s="1">
        <v>0</v>
      </c>
      <c r="F361" s="1">
        <v>1</v>
      </c>
      <c r="G361" s="1">
        <v>0</v>
      </c>
      <c r="H361" s="1">
        <v>2</v>
      </c>
      <c r="I361" s="1">
        <v>0</v>
      </c>
      <c r="J361" s="1">
        <v>0</v>
      </c>
      <c r="K361" s="1">
        <v>0</v>
      </c>
      <c r="L361" s="1">
        <v>0</v>
      </c>
      <c r="M361" s="1">
        <v>0</v>
      </c>
      <c r="N361" s="1">
        <v>0</v>
      </c>
      <c r="O361" s="24">
        <f t="shared" si="15"/>
        <v>3</v>
      </c>
      <c r="P361" s="23">
        <v>0</v>
      </c>
      <c r="Q361" s="1">
        <v>0</v>
      </c>
      <c r="R361" s="1">
        <v>0</v>
      </c>
      <c r="S361" s="1">
        <v>13</v>
      </c>
      <c r="T361" s="1">
        <v>0</v>
      </c>
      <c r="U361" s="1">
        <v>22</v>
      </c>
      <c r="V361" s="1">
        <v>0</v>
      </c>
      <c r="W361" s="1">
        <v>0</v>
      </c>
      <c r="X361" s="1">
        <v>0</v>
      </c>
      <c r="Y361" s="1">
        <v>0</v>
      </c>
      <c r="Z361" s="1">
        <v>0</v>
      </c>
      <c r="AA361" s="1">
        <v>0</v>
      </c>
      <c r="AB361" s="24">
        <f t="shared" si="16"/>
        <v>35</v>
      </c>
      <c r="AC361" s="23">
        <v>0</v>
      </c>
      <c r="AD361" s="1">
        <v>0</v>
      </c>
      <c r="AE361" s="1">
        <v>0</v>
      </c>
      <c r="AF361" s="1">
        <v>0</v>
      </c>
      <c r="AG361" s="1">
        <v>0</v>
      </c>
      <c r="AH361" s="1">
        <v>0</v>
      </c>
      <c r="AI361" s="1">
        <v>0</v>
      </c>
      <c r="AJ361" s="1">
        <v>0</v>
      </c>
      <c r="AK361" s="1">
        <v>0</v>
      </c>
      <c r="AL361" s="1">
        <v>0</v>
      </c>
      <c r="AM361" s="1">
        <v>0</v>
      </c>
      <c r="AN361" s="1">
        <v>0</v>
      </c>
      <c r="AO361" s="24">
        <f t="shared" si="17"/>
        <v>0</v>
      </c>
    </row>
    <row r="362" spans="1:41" ht="17.25" customHeight="1" x14ac:dyDescent="0.45">
      <c r="A362" s="12" t="s">
        <v>34</v>
      </c>
      <c r="B362" s="12" t="s">
        <v>32</v>
      </c>
      <c r="C362" s="25">
        <v>0</v>
      </c>
      <c r="D362" s="10">
        <v>0</v>
      </c>
      <c r="E362" s="10">
        <v>0</v>
      </c>
      <c r="F362" s="10">
        <v>0</v>
      </c>
      <c r="G362" s="10">
        <v>0</v>
      </c>
      <c r="H362" s="10">
        <v>0</v>
      </c>
      <c r="I362" s="10">
        <v>0</v>
      </c>
      <c r="J362" s="10">
        <v>0</v>
      </c>
      <c r="K362" s="10">
        <v>2</v>
      </c>
      <c r="L362" s="10">
        <v>1</v>
      </c>
      <c r="M362" s="10">
        <v>0</v>
      </c>
      <c r="N362" s="10">
        <v>0</v>
      </c>
      <c r="O362" s="26">
        <f t="shared" si="15"/>
        <v>3</v>
      </c>
      <c r="P362" s="25">
        <v>0</v>
      </c>
      <c r="Q362" s="10">
        <v>0</v>
      </c>
      <c r="R362" s="10">
        <v>0</v>
      </c>
      <c r="S362" s="10">
        <v>0</v>
      </c>
      <c r="T362" s="10">
        <v>0</v>
      </c>
      <c r="U362" s="10">
        <v>0</v>
      </c>
      <c r="V362" s="10">
        <v>0</v>
      </c>
      <c r="W362" s="10">
        <v>0</v>
      </c>
      <c r="X362" s="10">
        <v>59</v>
      </c>
      <c r="Y362" s="10">
        <v>19</v>
      </c>
      <c r="Z362" s="10">
        <v>0</v>
      </c>
      <c r="AA362" s="10">
        <v>0</v>
      </c>
      <c r="AB362" s="26">
        <f t="shared" si="16"/>
        <v>78</v>
      </c>
      <c r="AC362" s="25">
        <v>0</v>
      </c>
      <c r="AD362" s="10">
        <v>0</v>
      </c>
      <c r="AE362" s="10">
        <v>0</v>
      </c>
      <c r="AF362" s="10">
        <v>0</v>
      </c>
      <c r="AG362" s="10">
        <v>0</v>
      </c>
      <c r="AH362" s="10">
        <v>0</v>
      </c>
      <c r="AI362" s="10">
        <v>0</v>
      </c>
      <c r="AJ362" s="10">
        <v>0</v>
      </c>
      <c r="AK362" s="10">
        <v>0</v>
      </c>
      <c r="AL362" s="10">
        <v>0</v>
      </c>
      <c r="AM362" s="10">
        <v>0</v>
      </c>
      <c r="AN362" s="10">
        <v>0</v>
      </c>
      <c r="AO362" s="26">
        <f t="shared" si="17"/>
        <v>0</v>
      </c>
    </row>
    <row r="363" spans="1:41" ht="17.25" customHeight="1" x14ac:dyDescent="0.45">
      <c r="A363" s="2" t="s">
        <v>34</v>
      </c>
      <c r="B363" s="2" t="s">
        <v>36</v>
      </c>
      <c r="C363" s="23">
        <v>0</v>
      </c>
      <c r="D363" s="1">
        <v>0</v>
      </c>
      <c r="E363" s="1">
        <v>0</v>
      </c>
      <c r="F363" s="1">
        <v>0</v>
      </c>
      <c r="G363" s="1">
        <v>1</v>
      </c>
      <c r="H363" s="1">
        <v>0</v>
      </c>
      <c r="I363" s="1">
        <v>0</v>
      </c>
      <c r="J363" s="1">
        <v>0</v>
      </c>
      <c r="K363" s="1">
        <v>0</v>
      </c>
      <c r="L363" s="1">
        <v>0</v>
      </c>
      <c r="M363" s="1">
        <v>0</v>
      </c>
      <c r="N363" s="1">
        <v>0</v>
      </c>
      <c r="O363" s="24">
        <f t="shared" si="15"/>
        <v>1</v>
      </c>
      <c r="P363" s="23">
        <v>0</v>
      </c>
      <c r="Q363" s="1">
        <v>0</v>
      </c>
      <c r="R363" s="1">
        <v>0</v>
      </c>
      <c r="S363" s="1">
        <v>0</v>
      </c>
      <c r="T363" s="1">
        <v>37</v>
      </c>
      <c r="U363" s="1">
        <v>0</v>
      </c>
      <c r="V363" s="1">
        <v>0</v>
      </c>
      <c r="W363" s="1">
        <v>0</v>
      </c>
      <c r="X363" s="1">
        <v>0</v>
      </c>
      <c r="Y363" s="1">
        <v>0</v>
      </c>
      <c r="Z363" s="1">
        <v>0</v>
      </c>
      <c r="AA363" s="1">
        <v>0</v>
      </c>
      <c r="AB363" s="24">
        <f t="shared" si="16"/>
        <v>37</v>
      </c>
      <c r="AC363" s="23">
        <v>0</v>
      </c>
      <c r="AD363" s="1">
        <v>0</v>
      </c>
      <c r="AE363" s="1">
        <v>0</v>
      </c>
      <c r="AF363" s="1">
        <v>0</v>
      </c>
      <c r="AG363" s="1">
        <v>0</v>
      </c>
      <c r="AH363" s="1">
        <v>0</v>
      </c>
      <c r="AI363" s="1">
        <v>0</v>
      </c>
      <c r="AJ363" s="1">
        <v>0</v>
      </c>
      <c r="AK363" s="1">
        <v>0</v>
      </c>
      <c r="AL363" s="1">
        <v>0</v>
      </c>
      <c r="AM363" s="1">
        <v>0</v>
      </c>
      <c r="AN363" s="1">
        <v>0</v>
      </c>
      <c r="AO363" s="24">
        <f t="shared" si="17"/>
        <v>0</v>
      </c>
    </row>
    <row r="364" spans="1:41" ht="17.25" customHeight="1" x14ac:dyDescent="0.45">
      <c r="A364" s="12" t="s">
        <v>63</v>
      </c>
      <c r="B364" s="12" t="s">
        <v>14</v>
      </c>
      <c r="C364" s="25">
        <v>0</v>
      </c>
      <c r="D364" s="10">
        <v>14</v>
      </c>
      <c r="E364" s="10">
        <v>9</v>
      </c>
      <c r="F364" s="10">
        <v>9</v>
      </c>
      <c r="G364" s="10">
        <v>9</v>
      </c>
      <c r="H364" s="10">
        <v>7</v>
      </c>
      <c r="I364" s="10">
        <v>8</v>
      </c>
      <c r="J364" s="10">
        <v>8</v>
      </c>
      <c r="K364" s="10">
        <v>8</v>
      </c>
      <c r="L364" s="10">
        <v>8</v>
      </c>
      <c r="M364" s="10">
        <v>9</v>
      </c>
      <c r="N364" s="10">
        <v>9</v>
      </c>
      <c r="O364" s="26">
        <f t="shared" si="15"/>
        <v>98</v>
      </c>
      <c r="P364" s="25">
        <v>0</v>
      </c>
      <c r="Q364" s="10">
        <v>155</v>
      </c>
      <c r="R364" s="10">
        <v>131</v>
      </c>
      <c r="S364" s="10">
        <v>90</v>
      </c>
      <c r="T364" s="10">
        <v>105</v>
      </c>
      <c r="U364" s="10">
        <v>60</v>
      </c>
      <c r="V364" s="10">
        <v>46</v>
      </c>
      <c r="W364" s="10">
        <v>54</v>
      </c>
      <c r="X364" s="10">
        <v>58</v>
      </c>
      <c r="Y364" s="10">
        <v>51</v>
      </c>
      <c r="Z364" s="10">
        <v>63</v>
      </c>
      <c r="AA364" s="10">
        <v>95</v>
      </c>
      <c r="AB364" s="26">
        <f t="shared" si="16"/>
        <v>908</v>
      </c>
      <c r="AC364" s="25">
        <v>0</v>
      </c>
      <c r="AD364" s="10">
        <v>0</v>
      </c>
      <c r="AE364" s="10">
        <v>0</v>
      </c>
      <c r="AF364" s="10">
        <v>0</v>
      </c>
      <c r="AG364" s="10">
        <v>0</v>
      </c>
      <c r="AH364" s="10">
        <v>0</v>
      </c>
      <c r="AI364" s="10">
        <v>0</v>
      </c>
      <c r="AJ364" s="10">
        <v>0</v>
      </c>
      <c r="AK364" s="10">
        <v>0</v>
      </c>
      <c r="AL364" s="10">
        <v>0</v>
      </c>
      <c r="AM364" s="10">
        <v>0</v>
      </c>
      <c r="AN364" s="10">
        <v>0</v>
      </c>
      <c r="AO364" s="26">
        <f t="shared" si="17"/>
        <v>0</v>
      </c>
    </row>
    <row r="365" spans="1:41" ht="17.25" customHeight="1" x14ac:dyDescent="0.45">
      <c r="A365" s="2" t="s">
        <v>35</v>
      </c>
      <c r="B365" s="2" t="s">
        <v>32</v>
      </c>
      <c r="C365" s="23">
        <v>0</v>
      </c>
      <c r="D365" s="1">
        <v>0</v>
      </c>
      <c r="E365" s="1">
        <v>0</v>
      </c>
      <c r="F365" s="1">
        <v>0</v>
      </c>
      <c r="G365" s="1">
        <v>0</v>
      </c>
      <c r="H365" s="1">
        <v>0</v>
      </c>
      <c r="I365" s="1">
        <v>0</v>
      </c>
      <c r="J365" s="1">
        <v>0</v>
      </c>
      <c r="K365" s="1">
        <v>0</v>
      </c>
      <c r="L365" s="1">
        <v>0</v>
      </c>
      <c r="M365" s="1">
        <v>1</v>
      </c>
      <c r="N365" s="1">
        <v>0</v>
      </c>
      <c r="O365" s="24">
        <f t="shared" si="15"/>
        <v>1</v>
      </c>
      <c r="P365" s="23">
        <v>0</v>
      </c>
      <c r="Q365" s="1">
        <v>0</v>
      </c>
      <c r="R365" s="1">
        <v>0</v>
      </c>
      <c r="S365" s="1">
        <v>0</v>
      </c>
      <c r="T365" s="1">
        <v>0</v>
      </c>
      <c r="U365" s="1">
        <v>0</v>
      </c>
      <c r="V365" s="1">
        <v>0</v>
      </c>
      <c r="W365" s="1">
        <v>0</v>
      </c>
      <c r="X365" s="1">
        <v>0</v>
      </c>
      <c r="Y365" s="1">
        <v>0</v>
      </c>
      <c r="Z365" s="1">
        <v>20</v>
      </c>
      <c r="AA365" s="1">
        <v>0</v>
      </c>
      <c r="AB365" s="24">
        <f t="shared" si="16"/>
        <v>20</v>
      </c>
      <c r="AC365" s="23">
        <v>0</v>
      </c>
      <c r="AD365" s="1">
        <v>0</v>
      </c>
      <c r="AE365" s="1">
        <v>0</v>
      </c>
      <c r="AF365" s="1">
        <v>0</v>
      </c>
      <c r="AG365" s="1">
        <v>0</v>
      </c>
      <c r="AH365" s="1">
        <v>0</v>
      </c>
      <c r="AI365" s="1">
        <v>0</v>
      </c>
      <c r="AJ365" s="1">
        <v>0</v>
      </c>
      <c r="AK365" s="1">
        <v>0</v>
      </c>
      <c r="AL365" s="1">
        <v>0</v>
      </c>
      <c r="AM365" s="1">
        <v>0</v>
      </c>
      <c r="AN365" s="1">
        <v>0</v>
      </c>
      <c r="AO365" s="24">
        <f t="shared" si="17"/>
        <v>0</v>
      </c>
    </row>
    <row r="366" spans="1:41" ht="17.25" customHeight="1" x14ac:dyDescent="0.45">
      <c r="A366" s="12" t="s">
        <v>36</v>
      </c>
      <c r="B366" s="12" t="s">
        <v>10</v>
      </c>
      <c r="C366" s="25">
        <v>15</v>
      </c>
      <c r="D366" s="10">
        <v>4</v>
      </c>
      <c r="E366" s="10">
        <v>0</v>
      </c>
      <c r="F366" s="10">
        <v>1</v>
      </c>
      <c r="G366" s="10">
        <v>9</v>
      </c>
      <c r="H366" s="10">
        <v>1</v>
      </c>
      <c r="I366" s="10">
        <v>0</v>
      </c>
      <c r="J366" s="10">
        <v>0</v>
      </c>
      <c r="K366" s="10">
        <v>0</v>
      </c>
      <c r="L366" s="10">
        <v>13</v>
      </c>
      <c r="M366" s="10">
        <v>14</v>
      </c>
      <c r="N366" s="10">
        <v>0</v>
      </c>
      <c r="O366" s="26">
        <f t="shared" si="15"/>
        <v>57</v>
      </c>
      <c r="P366" s="25">
        <v>0</v>
      </c>
      <c r="Q366" s="10">
        <v>0</v>
      </c>
      <c r="R366" s="10">
        <v>0</v>
      </c>
      <c r="S366" s="10">
        <v>0</v>
      </c>
      <c r="T366" s="10">
        <v>0</v>
      </c>
      <c r="U366" s="10">
        <v>0</v>
      </c>
      <c r="V366" s="10">
        <v>0</v>
      </c>
      <c r="W366" s="10">
        <v>0</v>
      </c>
      <c r="X366" s="10">
        <v>0</v>
      </c>
      <c r="Y366" s="10">
        <v>0</v>
      </c>
      <c r="Z366" s="10">
        <v>0</v>
      </c>
      <c r="AA366" s="10">
        <v>0</v>
      </c>
      <c r="AB366" s="26">
        <f t="shared" si="16"/>
        <v>0</v>
      </c>
      <c r="AC366" s="25">
        <v>136427</v>
      </c>
      <c r="AD366" s="10">
        <v>35150</v>
      </c>
      <c r="AE366" s="10">
        <v>0</v>
      </c>
      <c r="AF366" s="10">
        <v>8144</v>
      </c>
      <c r="AG366" s="10">
        <v>76605</v>
      </c>
      <c r="AH366" s="10">
        <v>8502</v>
      </c>
      <c r="AI366" s="10">
        <v>0</v>
      </c>
      <c r="AJ366" s="10">
        <v>0</v>
      </c>
      <c r="AK366" s="10">
        <v>0</v>
      </c>
      <c r="AL366" s="10">
        <v>99959</v>
      </c>
      <c r="AM366" s="10">
        <v>122615</v>
      </c>
      <c r="AN366" s="10">
        <v>0</v>
      </c>
      <c r="AO366" s="26">
        <f t="shared" si="17"/>
        <v>487402</v>
      </c>
    </row>
    <row r="367" spans="1:41" ht="17.25" customHeight="1" x14ac:dyDescent="0.45">
      <c r="A367" s="2" t="s">
        <v>36</v>
      </c>
      <c r="B367" s="2" t="s">
        <v>280</v>
      </c>
      <c r="C367" s="23">
        <v>0</v>
      </c>
      <c r="D367" s="1">
        <v>0</v>
      </c>
      <c r="E367" s="1">
        <v>0</v>
      </c>
      <c r="F367" s="1">
        <v>0</v>
      </c>
      <c r="G367" s="1">
        <v>0</v>
      </c>
      <c r="H367" s="1">
        <v>0</v>
      </c>
      <c r="I367" s="1">
        <v>0</v>
      </c>
      <c r="J367" s="1">
        <v>0</v>
      </c>
      <c r="K367" s="1">
        <v>0</v>
      </c>
      <c r="L367" s="1">
        <v>0</v>
      </c>
      <c r="M367" s="1">
        <v>1</v>
      </c>
      <c r="N367" s="1">
        <v>0</v>
      </c>
      <c r="O367" s="24">
        <f t="shared" si="15"/>
        <v>1</v>
      </c>
      <c r="P367" s="23">
        <v>0</v>
      </c>
      <c r="Q367" s="1">
        <v>0</v>
      </c>
      <c r="R367" s="1">
        <v>0</v>
      </c>
      <c r="S367" s="1">
        <v>0</v>
      </c>
      <c r="T367" s="1">
        <v>0</v>
      </c>
      <c r="U367" s="1">
        <v>0</v>
      </c>
      <c r="V367" s="1">
        <v>0</v>
      </c>
      <c r="W367" s="1">
        <v>0</v>
      </c>
      <c r="X367" s="1">
        <v>0</v>
      </c>
      <c r="Y367" s="1">
        <v>0</v>
      </c>
      <c r="Z367" s="1">
        <v>0</v>
      </c>
      <c r="AA367" s="1">
        <v>0</v>
      </c>
      <c r="AB367" s="24">
        <f t="shared" si="16"/>
        <v>0</v>
      </c>
      <c r="AC367" s="23">
        <v>0</v>
      </c>
      <c r="AD367" s="1">
        <v>0</v>
      </c>
      <c r="AE367" s="1">
        <v>0</v>
      </c>
      <c r="AF367" s="1">
        <v>0</v>
      </c>
      <c r="AG367" s="1">
        <v>0</v>
      </c>
      <c r="AH367" s="1">
        <v>0</v>
      </c>
      <c r="AI367" s="1">
        <v>0</v>
      </c>
      <c r="AJ367" s="1">
        <v>0</v>
      </c>
      <c r="AK367" s="1">
        <v>0</v>
      </c>
      <c r="AL367" s="1">
        <v>0</v>
      </c>
      <c r="AM367" s="1">
        <v>1100</v>
      </c>
      <c r="AN367" s="1">
        <v>0</v>
      </c>
      <c r="AO367" s="24">
        <f t="shared" si="17"/>
        <v>1100</v>
      </c>
    </row>
    <row r="368" spans="1:41" ht="17.25" customHeight="1" x14ac:dyDescent="0.45">
      <c r="A368" s="12" t="s">
        <v>36</v>
      </c>
      <c r="B368" s="12" t="s">
        <v>11</v>
      </c>
      <c r="C368" s="25">
        <v>0</v>
      </c>
      <c r="D368" s="10">
        <v>0</v>
      </c>
      <c r="E368" s="10">
        <v>0</v>
      </c>
      <c r="F368" s="10">
        <v>0</v>
      </c>
      <c r="G368" s="10">
        <v>0</v>
      </c>
      <c r="H368" s="10">
        <v>0</v>
      </c>
      <c r="I368" s="10">
        <v>0</v>
      </c>
      <c r="J368" s="10">
        <v>1</v>
      </c>
      <c r="K368" s="10">
        <v>0</v>
      </c>
      <c r="L368" s="10">
        <v>0</v>
      </c>
      <c r="M368" s="10">
        <v>0</v>
      </c>
      <c r="N368" s="10">
        <v>0</v>
      </c>
      <c r="O368" s="26">
        <f t="shared" si="15"/>
        <v>1</v>
      </c>
      <c r="P368" s="25">
        <v>0</v>
      </c>
      <c r="Q368" s="10">
        <v>0</v>
      </c>
      <c r="R368" s="10">
        <v>0</v>
      </c>
      <c r="S368" s="10">
        <v>0</v>
      </c>
      <c r="T368" s="10">
        <v>0</v>
      </c>
      <c r="U368" s="10">
        <v>0</v>
      </c>
      <c r="V368" s="10">
        <v>0</v>
      </c>
      <c r="W368" s="10">
        <v>0</v>
      </c>
      <c r="X368" s="10">
        <v>0</v>
      </c>
      <c r="Y368" s="10">
        <v>0</v>
      </c>
      <c r="Z368" s="10">
        <v>0</v>
      </c>
      <c r="AA368" s="10">
        <v>0</v>
      </c>
      <c r="AB368" s="26">
        <f t="shared" si="16"/>
        <v>0</v>
      </c>
      <c r="AC368" s="25">
        <v>0</v>
      </c>
      <c r="AD368" s="10">
        <v>0</v>
      </c>
      <c r="AE368" s="10">
        <v>0</v>
      </c>
      <c r="AF368" s="10">
        <v>0</v>
      </c>
      <c r="AG368" s="10">
        <v>0</v>
      </c>
      <c r="AH368" s="10">
        <v>0</v>
      </c>
      <c r="AI368" s="10">
        <v>0</v>
      </c>
      <c r="AJ368" s="10">
        <v>29762</v>
      </c>
      <c r="AK368" s="10">
        <v>0</v>
      </c>
      <c r="AL368" s="10">
        <v>0</v>
      </c>
      <c r="AM368" s="10">
        <v>0</v>
      </c>
      <c r="AN368" s="10">
        <v>0</v>
      </c>
      <c r="AO368" s="26">
        <f t="shared" si="17"/>
        <v>29762</v>
      </c>
    </row>
    <row r="369" spans="1:41" ht="17.25" customHeight="1" x14ac:dyDescent="0.45">
      <c r="A369" s="2" t="s">
        <v>36</v>
      </c>
      <c r="B369" s="2" t="s">
        <v>23</v>
      </c>
      <c r="C369" s="23">
        <v>11</v>
      </c>
      <c r="D369" s="1">
        <v>13</v>
      </c>
      <c r="E369" s="1">
        <v>12</v>
      </c>
      <c r="F369" s="1">
        <v>16</v>
      </c>
      <c r="G369" s="1">
        <v>17</v>
      </c>
      <c r="H369" s="1">
        <v>10</v>
      </c>
      <c r="I369" s="1">
        <v>14</v>
      </c>
      <c r="J369" s="1">
        <v>8</v>
      </c>
      <c r="K369" s="1">
        <v>0</v>
      </c>
      <c r="L369" s="1">
        <v>0</v>
      </c>
      <c r="M369" s="1">
        <v>0</v>
      </c>
      <c r="N369" s="1">
        <v>13</v>
      </c>
      <c r="O369" s="24">
        <f t="shared" si="15"/>
        <v>114</v>
      </c>
      <c r="P369" s="23">
        <v>0</v>
      </c>
      <c r="Q369" s="1">
        <v>0</v>
      </c>
      <c r="R369" s="1">
        <v>0</v>
      </c>
      <c r="S369" s="1">
        <v>0</v>
      </c>
      <c r="T369" s="1">
        <v>0</v>
      </c>
      <c r="U369" s="1">
        <v>0</v>
      </c>
      <c r="V369" s="1">
        <v>0</v>
      </c>
      <c r="W369" s="1">
        <v>0</v>
      </c>
      <c r="X369" s="1">
        <v>0</v>
      </c>
      <c r="Y369" s="1">
        <v>0</v>
      </c>
      <c r="Z369" s="1">
        <v>0</v>
      </c>
      <c r="AA369" s="1">
        <v>0</v>
      </c>
      <c r="AB369" s="24">
        <f t="shared" si="16"/>
        <v>0</v>
      </c>
      <c r="AC369" s="23">
        <v>48901</v>
      </c>
      <c r="AD369" s="1">
        <v>50458</v>
      </c>
      <c r="AE369" s="1">
        <v>48690</v>
      </c>
      <c r="AF369" s="1">
        <v>66830</v>
      </c>
      <c r="AG369" s="1">
        <v>65771</v>
      </c>
      <c r="AH369" s="1">
        <v>40200</v>
      </c>
      <c r="AI369" s="1">
        <v>45641</v>
      </c>
      <c r="AJ369" s="1">
        <v>40575</v>
      </c>
      <c r="AK369" s="1">
        <v>0</v>
      </c>
      <c r="AL369" s="1">
        <v>0</v>
      </c>
      <c r="AM369" s="1">
        <v>0</v>
      </c>
      <c r="AN369" s="1">
        <v>29670</v>
      </c>
      <c r="AO369" s="24">
        <f t="shared" si="17"/>
        <v>436736</v>
      </c>
    </row>
    <row r="370" spans="1:41" ht="17.25" customHeight="1" x14ac:dyDescent="0.45">
      <c r="A370" s="12" t="s">
        <v>36</v>
      </c>
      <c r="B370" s="12" t="s">
        <v>12</v>
      </c>
      <c r="C370" s="25">
        <v>4</v>
      </c>
      <c r="D370" s="10">
        <v>6</v>
      </c>
      <c r="E370" s="10">
        <v>1</v>
      </c>
      <c r="F370" s="10">
        <v>0</v>
      </c>
      <c r="G370" s="10">
        <v>0</v>
      </c>
      <c r="H370" s="10">
        <v>0</v>
      </c>
      <c r="I370" s="10">
        <v>0</v>
      </c>
      <c r="J370" s="10">
        <v>0</v>
      </c>
      <c r="K370" s="10">
        <v>0</v>
      </c>
      <c r="L370" s="10">
        <v>0</v>
      </c>
      <c r="M370" s="10">
        <v>0</v>
      </c>
      <c r="N370" s="10">
        <v>0</v>
      </c>
      <c r="O370" s="26">
        <f t="shared" si="15"/>
        <v>11</v>
      </c>
      <c r="P370" s="25">
        <v>29</v>
      </c>
      <c r="Q370" s="10">
        <v>40</v>
      </c>
      <c r="R370" s="10">
        <v>5</v>
      </c>
      <c r="S370" s="10">
        <v>0</v>
      </c>
      <c r="T370" s="10">
        <v>0</v>
      </c>
      <c r="U370" s="10">
        <v>0</v>
      </c>
      <c r="V370" s="10">
        <v>0</v>
      </c>
      <c r="W370" s="10">
        <v>0</v>
      </c>
      <c r="X370" s="10">
        <v>0</v>
      </c>
      <c r="Y370" s="10">
        <v>0</v>
      </c>
      <c r="Z370" s="10">
        <v>0</v>
      </c>
      <c r="AA370" s="10">
        <v>0</v>
      </c>
      <c r="AB370" s="26">
        <f t="shared" si="16"/>
        <v>74</v>
      </c>
      <c r="AC370" s="25">
        <v>0</v>
      </c>
      <c r="AD370" s="10">
        <v>0</v>
      </c>
      <c r="AE370" s="10">
        <v>0</v>
      </c>
      <c r="AF370" s="10">
        <v>0</v>
      </c>
      <c r="AG370" s="10">
        <v>0</v>
      </c>
      <c r="AH370" s="10">
        <v>0</v>
      </c>
      <c r="AI370" s="10">
        <v>0</v>
      </c>
      <c r="AJ370" s="10">
        <v>0</v>
      </c>
      <c r="AK370" s="10">
        <v>0</v>
      </c>
      <c r="AL370" s="10">
        <v>0</v>
      </c>
      <c r="AM370" s="10">
        <v>0</v>
      </c>
      <c r="AN370" s="10">
        <v>0</v>
      </c>
      <c r="AO370" s="26">
        <f t="shared" si="17"/>
        <v>0</v>
      </c>
    </row>
    <row r="371" spans="1:41" ht="17.25" customHeight="1" x14ac:dyDescent="0.45">
      <c r="A371" s="2" t="s">
        <v>36</v>
      </c>
      <c r="B371" s="2" t="s">
        <v>13</v>
      </c>
      <c r="C371" s="23">
        <v>21</v>
      </c>
      <c r="D371" s="1">
        <v>19</v>
      </c>
      <c r="E371" s="1">
        <v>3</v>
      </c>
      <c r="F371" s="1">
        <v>27</v>
      </c>
      <c r="G371" s="1">
        <v>26</v>
      </c>
      <c r="H371" s="1">
        <v>11</v>
      </c>
      <c r="I371" s="1">
        <v>10</v>
      </c>
      <c r="J371" s="1">
        <v>13</v>
      </c>
      <c r="K371" s="1">
        <v>0</v>
      </c>
      <c r="L371" s="1">
        <v>0</v>
      </c>
      <c r="M371" s="1">
        <v>0</v>
      </c>
      <c r="N371" s="1">
        <v>0</v>
      </c>
      <c r="O371" s="24">
        <f t="shared" si="15"/>
        <v>130</v>
      </c>
      <c r="P371" s="23">
        <v>143</v>
      </c>
      <c r="Q371" s="1">
        <v>130</v>
      </c>
      <c r="R371" s="1">
        <v>19</v>
      </c>
      <c r="S371" s="1">
        <v>248</v>
      </c>
      <c r="T371" s="1">
        <v>267</v>
      </c>
      <c r="U371" s="1">
        <v>120</v>
      </c>
      <c r="V371" s="1">
        <v>122</v>
      </c>
      <c r="W371" s="1">
        <v>143</v>
      </c>
      <c r="X371" s="1">
        <v>0</v>
      </c>
      <c r="Y371" s="1">
        <v>0</v>
      </c>
      <c r="Z371" s="1">
        <v>0</v>
      </c>
      <c r="AA371" s="1">
        <v>0</v>
      </c>
      <c r="AB371" s="24">
        <f t="shared" si="16"/>
        <v>1192</v>
      </c>
      <c r="AC371" s="23">
        <v>0</v>
      </c>
      <c r="AD371" s="1">
        <v>0</v>
      </c>
      <c r="AE371" s="1">
        <v>0</v>
      </c>
      <c r="AF371" s="1">
        <v>0</v>
      </c>
      <c r="AG371" s="1">
        <v>0</v>
      </c>
      <c r="AH371" s="1">
        <v>0</v>
      </c>
      <c r="AI371" s="1">
        <v>0</v>
      </c>
      <c r="AJ371" s="1">
        <v>0</v>
      </c>
      <c r="AK371" s="1">
        <v>0</v>
      </c>
      <c r="AL371" s="1">
        <v>0</v>
      </c>
      <c r="AM371" s="1">
        <v>0</v>
      </c>
      <c r="AN371" s="1">
        <v>0</v>
      </c>
      <c r="AO371" s="24">
        <f t="shared" si="17"/>
        <v>0</v>
      </c>
    </row>
    <row r="372" spans="1:41" ht="17.25" customHeight="1" x14ac:dyDescent="0.45">
      <c r="A372" s="12" t="s">
        <v>36</v>
      </c>
      <c r="B372" s="12" t="s">
        <v>28</v>
      </c>
      <c r="C372" s="25">
        <v>18</v>
      </c>
      <c r="D372" s="10">
        <v>16</v>
      </c>
      <c r="E372" s="10">
        <v>13</v>
      </c>
      <c r="F372" s="10">
        <v>17</v>
      </c>
      <c r="G372" s="10">
        <v>17</v>
      </c>
      <c r="H372" s="10">
        <v>15</v>
      </c>
      <c r="I372" s="10">
        <v>19</v>
      </c>
      <c r="J372" s="10">
        <v>17</v>
      </c>
      <c r="K372" s="10">
        <v>15</v>
      </c>
      <c r="L372" s="10">
        <v>18</v>
      </c>
      <c r="M372" s="10">
        <v>16</v>
      </c>
      <c r="N372" s="10">
        <v>13</v>
      </c>
      <c r="O372" s="26">
        <f t="shared" si="15"/>
        <v>194</v>
      </c>
      <c r="P372" s="25">
        <v>0</v>
      </c>
      <c r="Q372" s="10">
        <v>0</v>
      </c>
      <c r="R372" s="10">
        <v>0</v>
      </c>
      <c r="S372" s="10">
        <v>0</v>
      </c>
      <c r="T372" s="10">
        <v>0</v>
      </c>
      <c r="U372" s="10">
        <v>0</v>
      </c>
      <c r="V372" s="10">
        <v>0</v>
      </c>
      <c r="W372" s="10">
        <v>0</v>
      </c>
      <c r="X372" s="10">
        <v>0</v>
      </c>
      <c r="Y372" s="10">
        <v>0</v>
      </c>
      <c r="Z372" s="10">
        <v>0</v>
      </c>
      <c r="AA372" s="10">
        <v>0</v>
      </c>
      <c r="AB372" s="26">
        <f t="shared" si="16"/>
        <v>0</v>
      </c>
      <c r="AC372" s="25">
        <v>191692</v>
      </c>
      <c r="AD372" s="10">
        <v>88152</v>
      </c>
      <c r="AE372" s="10">
        <v>54516</v>
      </c>
      <c r="AF372" s="10">
        <v>67771</v>
      </c>
      <c r="AG372" s="10">
        <v>87117</v>
      </c>
      <c r="AH372" s="10">
        <v>64522</v>
      </c>
      <c r="AI372" s="10">
        <v>74254</v>
      </c>
      <c r="AJ372" s="10">
        <v>64265</v>
      </c>
      <c r="AK372" s="10">
        <v>62119</v>
      </c>
      <c r="AL372" s="10">
        <v>112468</v>
      </c>
      <c r="AM372" s="10">
        <v>111091</v>
      </c>
      <c r="AN372" s="10">
        <v>108059</v>
      </c>
      <c r="AO372" s="26">
        <f t="shared" si="17"/>
        <v>1086026</v>
      </c>
    </row>
    <row r="373" spans="1:41" ht="17.25" customHeight="1" x14ac:dyDescent="0.45">
      <c r="A373" s="2" t="s">
        <v>36</v>
      </c>
      <c r="B373" s="2" t="s">
        <v>30</v>
      </c>
      <c r="C373" s="23">
        <v>0</v>
      </c>
      <c r="D373" s="1">
        <v>0</v>
      </c>
      <c r="E373" s="1">
        <v>13</v>
      </c>
      <c r="F373" s="1">
        <v>17</v>
      </c>
      <c r="G373" s="1">
        <v>17</v>
      </c>
      <c r="H373" s="1">
        <v>16</v>
      </c>
      <c r="I373" s="1">
        <v>8</v>
      </c>
      <c r="J373" s="1">
        <v>1</v>
      </c>
      <c r="K373" s="1">
        <v>0</v>
      </c>
      <c r="L373" s="1">
        <v>0</v>
      </c>
      <c r="M373" s="1">
        <v>0</v>
      </c>
      <c r="N373" s="1">
        <v>0</v>
      </c>
      <c r="O373" s="24">
        <f t="shared" si="15"/>
        <v>72</v>
      </c>
      <c r="P373" s="23">
        <v>0</v>
      </c>
      <c r="Q373" s="1">
        <v>0</v>
      </c>
      <c r="R373" s="1">
        <v>0</v>
      </c>
      <c r="S373" s="1">
        <v>0</v>
      </c>
      <c r="T373" s="1">
        <v>0</v>
      </c>
      <c r="U373" s="1">
        <v>0</v>
      </c>
      <c r="V373" s="1">
        <v>0</v>
      </c>
      <c r="W373" s="1">
        <v>0</v>
      </c>
      <c r="X373" s="1">
        <v>0</v>
      </c>
      <c r="Y373" s="1">
        <v>0</v>
      </c>
      <c r="Z373" s="1">
        <v>0</v>
      </c>
      <c r="AA373" s="1">
        <v>0</v>
      </c>
      <c r="AB373" s="24">
        <f t="shared" si="16"/>
        <v>0</v>
      </c>
      <c r="AC373" s="23">
        <v>0</v>
      </c>
      <c r="AD373" s="1">
        <v>0</v>
      </c>
      <c r="AE373" s="1">
        <v>26978</v>
      </c>
      <c r="AF373" s="1">
        <v>34540</v>
      </c>
      <c r="AG373" s="1">
        <v>32185</v>
      </c>
      <c r="AH373" s="1">
        <v>31760</v>
      </c>
      <c r="AI373" s="1">
        <v>13465</v>
      </c>
      <c r="AJ373" s="1">
        <v>1275</v>
      </c>
      <c r="AK373" s="1">
        <v>0</v>
      </c>
      <c r="AL373" s="1">
        <v>0</v>
      </c>
      <c r="AM373" s="1">
        <v>0</v>
      </c>
      <c r="AN373" s="1">
        <v>0</v>
      </c>
      <c r="AO373" s="24">
        <f t="shared" si="17"/>
        <v>140203</v>
      </c>
    </row>
    <row r="374" spans="1:41" ht="17.25" customHeight="1" x14ac:dyDescent="0.45">
      <c r="A374" s="12" t="s">
        <v>36</v>
      </c>
      <c r="B374" s="12" t="s">
        <v>14</v>
      </c>
      <c r="C374" s="25">
        <v>31</v>
      </c>
      <c r="D374" s="10">
        <v>28</v>
      </c>
      <c r="E374" s="10">
        <v>32</v>
      </c>
      <c r="F374" s="10">
        <v>30</v>
      </c>
      <c r="G374" s="10">
        <v>31</v>
      </c>
      <c r="H374" s="10">
        <v>30</v>
      </c>
      <c r="I374" s="10">
        <v>31</v>
      </c>
      <c r="J374" s="10">
        <v>28</v>
      </c>
      <c r="K374" s="10">
        <v>30</v>
      </c>
      <c r="L374" s="10">
        <v>31</v>
      </c>
      <c r="M374" s="10">
        <v>29</v>
      </c>
      <c r="N374" s="10">
        <v>30</v>
      </c>
      <c r="O374" s="26">
        <f t="shared" si="15"/>
        <v>361</v>
      </c>
      <c r="P374" s="25">
        <v>884</v>
      </c>
      <c r="Q374" s="10">
        <v>659</v>
      </c>
      <c r="R374" s="10">
        <v>789</v>
      </c>
      <c r="S374" s="10">
        <v>600</v>
      </c>
      <c r="T374" s="10">
        <v>589</v>
      </c>
      <c r="U374" s="10">
        <v>517</v>
      </c>
      <c r="V374" s="10">
        <v>679</v>
      </c>
      <c r="W374" s="10">
        <v>508</v>
      </c>
      <c r="X374" s="10">
        <v>447</v>
      </c>
      <c r="Y374" s="10">
        <v>395</v>
      </c>
      <c r="Z374" s="10">
        <v>650</v>
      </c>
      <c r="AA374" s="10">
        <v>889</v>
      </c>
      <c r="AB374" s="26">
        <f t="shared" si="16"/>
        <v>7606</v>
      </c>
      <c r="AC374" s="25">
        <v>0</v>
      </c>
      <c r="AD374" s="10">
        <v>0</v>
      </c>
      <c r="AE374" s="10">
        <v>0</v>
      </c>
      <c r="AF374" s="10">
        <v>0</v>
      </c>
      <c r="AG374" s="10">
        <v>0</v>
      </c>
      <c r="AH374" s="10">
        <v>0</v>
      </c>
      <c r="AI374" s="10">
        <v>0</v>
      </c>
      <c r="AJ374" s="10">
        <v>0</v>
      </c>
      <c r="AK374" s="10">
        <v>0</v>
      </c>
      <c r="AL374" s="10">
        <v>0</v>
      </c>
      <c r="AM374" s="10">
        <v>0</v>
      </c>
      <c r="AN374" s="10">
        <v>0</v>
      </c>
      <c r="AO374" s="26">
        <f t="shared" si="17"/>
        <v>0</v>
      </c>
    </row>
    <row r="375" spans="1:41" ht="17.25" customHeight="1" x14ac:dyDescent="0.45">
      <c r="A375" s="2" t="s">
        <v>36</v>
      </c>
      <c r="B375" s="2" t="s">
        <v>50</v>
      </c>
      <c r="C375" s="23">
        <v>1</v>
      </c>
      <c r="D375" s="1">
        <v>0</v>
      </c>
      <c r="E375" s="1">
        <v>0</v>
      </c>
      <c r="F375" s="1">
        <v>0</v>
      </c>
      <c r="G375" s="1">
        <v>0</v>
      </c>
      <c r="H375" s="1">
        <v>0</v>
      </c>
      <c r="I375" s="1">
        <v>0</v>
      </c>
      <c r="J375" s="1">
        <v>0</v>
      </c>
      <c r="K375" s="1">
        <v>0</v>
      </c>
      <c r="L375" s="1">
        <v>0</v>
      </c>
      <c r="M375" s="1">
        <v>0</v>
      </c>
      <c r="N375" s="1">
        <v>0</v>
      </c>
      <c r="O375" s="24">
        <f t="shared" si="15"/>
        <v>1</v>
      </c>
      <c r="P375" s="23">
        <v>138</v>
      </c>
      <c r="Q375" s="1">
        <v>0</v>
      </c>
      <c r="R375" s="1">
        <v>0</v>
      </c>
      <c r="S375" s="1">
        <v>0</v>
      </c>
      <c r="T375" s="1">
        <v>0</v>
      </c>
      <c r="U375" s="1">
        <v>0</v>
      </c>
      <c r="V375" s="1">
        <v>0</v>
      </c>
      <c r="W375" s="1">
        <v>0</v>
      </c>
      <c r="X375" s="1">
        <v>0</v>
      </c>
      <c r="Y375" s="1">
        <v>0</v>
      </c>
      <c r="Z375" s="1">
        <v>0</v>
      </c>
      <c r="AA375" s="1">
        <v>0</v>
      </c>
      <c r="AB375" s="24">
        <f t="shared" si="16"/>
        <v>138</v>
      </c>
      <c r="AC375" s="23">
        <v>0</v>
      </c>
      <c r="AD375" s="1">
        <v>0</v>
      </c>
      <c r="AE375" s="1">
        <v>0</v>
      </c>
      <c r="AF375" s="1">
        <v>0</v>
      </c>
      <c r="AG375" s="1">
        <v>0</v>
      </c>
      <c r="AH375" s="1">
        <v>0</v>
      </c>
      <c r="AI375" s="1">
        <v>0</v>
      </c>
      <c r="AJ375" s="1">
        <v>0</v>
      </c>
      <c r="AK375" s="1">
        <v>0</v>
      </c>
      <c r="AL375" s="1">
        <v>0</v>
      </c>
      <c r="AM375" s="1">
        <v>0</v>
      </c>
      <c r="AN375" s="1">
        <v>0</v>
      </c>
      <c r="AO375" s="24">
        <f t="shared" si="17"/>
        <v>0</v>
      </c>
    </row>
    <row r="376" spans="1:41" ht="17.25" customHeight="1" x14ac:dyDescent="0.45">
      <c r="A376" s="12" t="s">
        <v>36</v>
      </c>
      <c r="B376" s="12" t="s">
        <v>32</v>
      </c>
      <c r="C376" s="25">
        <v>19</v>
      </c>
      <c r="D376" s="10">
        <v>16</v>
      </c>
      <c r="E376" s="10">
        <v>14</v>
      </c>
      <c r="F376" s="10">
        <v>16</v>
      </c>
      <c r="G376" s="10">
        <v>18</v>
      </c>
      <c r="H376" s="10">
        <v>16</v>
      </c>
      <c r="I376" s="10">
        <v>16</v>
      </c>
      <c r="J376" s="10">
        <v>8</v>
      </c>
      <c r="K376" s="10">
        <v>6</v>
      </c>
      <c r="L376" s="10">
        <v>6</v>
      </c>
      <c r="M376" s="10">
        <v>0</v>
      </c>
      <c r="N376" s="10">
        <v>0</v>
      </c>
      <c r="O376" s="26">
        <f t="shared" si="15"/>
        <v>135</v>
      </c>
      <c r="P376" s="25">
        <v>0</v>
      </c>
      <c r="Q376" s="10">
        <v>0</v>
      </c>
      <c r="R376" s="10">
        <v>0</v>
      </c>
      <c r="S376" s="10">
        <v>0</v>
      </c>
      <c r="T376" s="10">
        <v>37</v>
      </c>
      <c r="U376" s="10">
        <v>0</v>
      </c>
      <c r="V376" s="10">
        <v>0</v>
      </c>
      <c r="W376" s="10">
        <v>0</v>
      </c>
      <c r="X376" s="10">
        <v>0</v>
      </c>
      <c r="Y376" s="10">
        <v>0</v>
      </c>
      <c r="Z376" s="10">
        <v>0</v>
      </c>
      <c r="AA376" s="10">
        <v>0</v>
      </c>
      <c r="AB376" s="26">
        <f t="shared" si="16"/>
        <v>37</v>
      </c>
      <c r="AC376" s="25">
        <v>49694</v>
      </c>
      <c r="AD376" s="10">
        <v>52361</v>
      </c>
      <c r="AE376" s="10">
        <v>45517</v>
      </c>
      <c r="AF376" s="10">
        <v>63875</v>
      </c>
      <c r="AG376" s="10">
        <v>62702</v>
      </c>
      <c r="AH376" s="10">
        <v>55301</v>
      </c>
      <c r="AI376" s="10">
        <v>57536</v>
      </c>
      <c r="AJ376" s="10">
        <v>32730</v>
      </c>
      <c r="AK376" s="10">
        <v>46122</v>
      </c>
      <c r="AL376" s="10">
        <v>22586</v>
      </c>
      <c r="AM376" s="10">
        <v>0</v>
      </c>
      <c r="AN376" s="10">
        <v>0</v>
      </c>
      <c r="AO376" s="26">
        <f t="shared" si="17"/>
        <v>488424</v>
      </c>
    </row>
    <row r="377" spans="1:41" ht="17.25" customHeight="1" x14ac:dyDescent="0.45">
      <c r="A377" s="2" t="s">
        <v>62</v>
      </c>
      <c r="B377" s="2" t="s">
        <v>20</v>
      </c>
      <c r="C377" s="23">
        <v>0</v>
      </c>
      <c r="D377" s="1">
        <v>0</v>
      </c>
      <c r="E377" s="1">
        <v>0</v>
      </c>
      <c r="F377" s="1">
        <v>0</v>
      </c>
      <c r="G377" s="1">
        <v>1</v>
      </c>
      <c r="H377" s="1">
        <v>0</v>
      </c>
      <c r="I377" s="1">
        <v>0</v>
      </c>
      <c r="J377" s="1">
        <v>0</v>
      </c>
      <c r="K377" s="1">
        <v>0</v>
      </c>
      <c r="L377" s="1">
        <v>0</v>
      </c>
      <c r="M377" s="1">
        <v>0</v>
      </c>
      <c r="N377" s="1">
        <v>0</v>
      </c>
      <c r="O377" s="24">
        <f t="shared" si="15"/>
        <v>1</v>
      </c>
      <c r="P377" s="23">
        <v>0</v>
      </c>
      <c r="Q377" s="1">
        <v>0</v>
      </c>
      <c r="R377" s="1">
        <v>0</v>
      </c>
      <c r="S377" s="1">
        <v>0</v>
      </c>
      <c r="T377" s="1">
        <v>38</v>
      </c>
      <c r="U377" s="1">
        <v>0</v>
      </c>
      <c r="V377" s="1">
        <v>0</v>
      </c>
      <c r="W377" s="1">
        <v>0</v>
      </c>
      <c r="X377" s="1">
        <v>0</v>
      </c>
      <c r="Y377" s="1">
        <v>0</v>
      </c>
      <c r="Z377" s="1">
        <v>0</v>
      </c>
      <c r="AA377" s="1">
        <v>0</v>
      </c>
      <c r="AB377" s="24">
        <f t="shared" si="16"/>
        <v>38</v>
      </c>
      <c r="AC377" s="23">
        <v>0</v>
      </c>
      <c r="AD377" s="1">
        <v>0</v>
      </c>
      <c r="AE377" s="1">
        <v>0</v>
      </c>
      <c r="AF377" s="1">
        <v>0</v>
      </c>
      <c r="AG377" s="1">
        <v>0</v>
      </c>
      <c r="AH377" s="1">
        <v>0</v>
      </c>
      <c r="AI377" s="1">
        <v>0</v>
      </c>
      <c r="AJ377" s="1">
        <v>0</v>
      </c>
      <c r="AK377" s="1">
        <v>0</v>
      </c>
      <c r="AL377" s="1">
        <v>0</v>
      </c>
      <c r="AM377" s="1">
        <v>0</v>
      </c>
      <c r="AN377" s="1">
        <v>0</v>
      </c>
      <c r="AO377" s="24">
        <f t="shared" si="17"/>
        <v>0</v>
      </c>
    </row>
    <row r="378" spans="1:41" ht="17.25" customHeight="1" x14ac:dyDescent="0.45">
      <c r="A378" s="12" t="s">
        <v>62</v>
      </c>
      <c r="B378" s="12" t="s">
        <v>28</v>
      </c>
      <c r="C378" s="25">
        <v>0</v>
      </c>
      <c r="D378" s="10">
        <v>0</v>
      </c>
      <c r="E378" s="10">
        <v>0</v>
      </c>
      <c r="F378" s="10">
        <v>0</v>
      </c>
      <c r="G378" s="10">
        <v>0</v>
      </c>
      <c r="H378" s="10">
        <v>1</v>
      </c>
      <c r="I378" s="10">
        <v>0</v>
      </c>
      <c r="J378" s="10">
        <v>0</v>
      </c>
      <c r="K378" s="10">
        <v>1</v>
      </c>
      <c r="L378" s="10">
        <v>0</v>
      </c>
      <c r="M378" s="10">
        <v>0</v>
      </c>
      <c r="N378" s="10">
        <v>0</v>
      </c>
      <c r="O378" s="26">
        <f t="shared" si="15"/>
        <v>2</v>
      </c>
      <c r="P378" s="25">
        <v>0</v>
      </c>
      <c r="Q378" s="10">
        <v>0</v>
      </c>
      <c r="R378" s="10">
        <v>0</v>
      </c>
      <c r="S378" s="10">
        <v>0</v>
      </c>
      <c r="T378" s="10">
        <v>0</v>
      </c>
      <c r="U378" s="10">
        <v>0</v>
      </c>
      <c r="V378" s="10">
        <v>0</v>
      </c>
      <c r="W378" s="10">
        <v>0</v>
      </c>
      <c r="X378" s="10">
        <v>0</v>
      </c>
      <c r="Y378" s="10">
        <v>0</v>
      </c>
      <c r="Z378" s="10">
        <v>0</v>
      </c>
      <c r="AA378" s="10">
        <v>0</v>
      </c>
      <c r="AB378" s="26">
        <f t="shared" si="16"/>
        <v>0</v>
      </c>
      <c r="AC378" s="25">
        <v>0</v>
      </c>
      <c r="AD378" s="10">
        <v>0</v>
      </c>
      <c r="AE378" s="10">
        <v>0</v>
      </c>
      <c r="AF378" s="10">
        <v>0</v>
      </c>
      <c r="AG378" s="10">
        <v>0</v>
      </c>
      <c r="AH378" s="10">
        <v>2640</v>
      </c>
      <c r="AI378" s="10">
        <v>0</v>
      </c>
      <c r="AJ378" s="10">
        <v>0</v>
      </c>
      <c r="AK378" s="10">
        <v>770</v>
      </c>
      <c r="AL378" s="10">
        <v>0</v>
      </c>
      <c r="AM378" s="10">
        <v>0</v>
      </c>
      <c r="AN378" s="10">
        <v>0</v>
      </c>
      <c r="AO378" s="26">
        <f t="shared" si="17"/>
        <v>3410</v>
      </c>
    </row>
    <row r="379" spans="1:41" ht="17.25" customHeight="1" x14ac:dyDescent="0.45">
      <c r="A379" s="2" t="s">
        <v>62</v>
      </c>
      <c r="B379" s="2" t="s">
        <v>15</v>
      </c>
      <c r="C379" s="23">
        <v>0</v>
      </c>
      <c r="D379" s="1">
        <v>0</v>
      </c>
      <c r="E379" s="1">
        <v>0</v>
      </c>
      <c r="F379" s="1">
        <v>0</v>
      </c>
      <c r="G379" s="1">
        <v>0</v>
      </c>
      <c r="H379" s="1">
        <v>0</v>
      </c>
      <c r="I379" s="1">
        <v>0</v>
      </c>
      <c r="J379" s="1">
        <v>1</v>
      </c>
      <c r="K379" s="1">
        <v>0</v>
      </c>
      <c r="L379" s="1">
        <v>0</v>
      </c>
      <c r="M379" s="1">
        <v>0</v>
      </c>
      <c r="N379" s="1">
        <v>0</v>
      </c>
      <c r="O379" s="24">
        <f t="shared" si="15"/>
        <v>1</v>
      </c>
      <c r="P379" s="23">
        <v>0</v>
      </c>
      <c r="Q379" s="1">
        <v>0</v>
      </c>
      <c r="R379" s="1">
        <v>0</v>
      </c>
      <c r="S379" s="1">
        <v>0</v>
      </c>
      <c r="T379" s="1">
        <v>0</v>
      </c>
      <c r="U379" s="1">
        <v>0</v>
      </c>
      <c r="V379" s="1">
        <v>0</v>
      </c>
      <c r="W379" s="1">
        <v>0</v>
      </c>
      <c r="X379" s="1">
        <v>0</v>
      </c>
      <c r="Y379" s="1">
        <v>0</v>
      </c>
      <c r="Z379" s="1">
        <v>0</v>
      </c>
      <c r="AA379" s="1">
        <v>0</v>
      </c>
      <c r="AB379" s="24">
        <f t="shared" si="16"/>
        <v>0</v>
      </c>
      <c r="AC379" s="23">
        <v>0</v>
      </c>
      <c r="AD379" s="1">
        <v>0</v>
      </c>
      <c r="AE379" s="1">
        <v>0</v>
      </c>
      <c r="AF379" s="1">
        <v>0</v>
      </c>
      <c r="AG379" s="1">
        <v>0</v>
      </c>
      <c r="AH379" s="1">
        <v>0</v>
      </c>
      <c r="AI379" s="1">
        <v>0</v>
      </c>
      <c r="AJ379" s="1">
        <v>8500</v>
      </c>
      <c r="AK379" s="1">
        <v>0</v>
      </c>
      <c r="AL379" s="1">
        <v>0</v>
      </c>
      <c r="AM379" s="1">
        <v>0</v>
      </c>
      <c r="AN379" s="1">
        <v>0</v>
      </c>
      <c r="AO379" s="24">
        <f t="shared" si="17"/>
        <v>8500</v>
      </c>
    </row>
    <row r="380" spans="1:41" ht="17.25" customHeight="1" x14ac:dyDescent="0.45">
      <c r="C380" s="23"/>
      <c r="D380" s="1"/>
      <c r="E380" s="1"/>
      <c r="F380" s="1"/>
      <c r="G380" s="1"/>
      <c r="H380" s="1"/>
      <c r="I380" s="1"/>
      <c r="J380" s="1"/>
      <c r="K380" s="1"/>
      <c r="L380" s="1"/>
      <c r="M380" s="1"/>
      <c r="N380" s="1"/>
      <c r="O380" s="24"/>
      <c r="P380" s="23"/>
      <c r="Q380" s="1"/>
      <c r="R380" s="1"/>
      <c r="S380" s="1"/>
      <c r="T380" s="1"/>
      <c r="U380" s="1"/>
      <c r="V380" s="1"/>
      <c r="W380" s="1"/>
      <c r="X380" s="1"/>
      <c r="Y380" s="1"/>
      <c r="Z380" s="1"/>
      <c r="AA380" s="1"/>
      <c r="AB380" s="24"/>
      <c r="AC380" s="23"/>
      <c r="AD380" s="1"/>
      <c r="AE380" s="1"/>
      <c r="AF380" s="1"/>
      <c r="AG380" s="1"/>
      <c r="AH380" s="1"/>
      <c r="AI380" s="1"/>
      <c r="AJ380" s="1"/>
      <c r="AK380" s="1"/>
      <c r="AL380" s="1"/>
      <c r="AM380" s="1"/>
      <c r="AN380" s="1"/>
      <c r="AO380" s="24"/>
    </row>
    <row r="381" spans="1:41" ht="17.25" customHeight="1" thickBot="1" x14ac:dyDescent="0.5">
      <c r="A381" s="63" t="s">
        <v>3</v>
      </c>
      <c r="B381" s="63"/>
      <c r="C381" s="27">
        <f>SUM(C7:C379)</f>
        <v>2101</v>
      </c>
      <c r="D381" s="28">
        <f t="shared" ref="D381:AO381" si="18">SUM(D7:D379)</f>
        <v>1941</v>
      </c>
      <c r="E381" s="28">
        <f t="shared" si="18"/>
        <v>1933</v>
      </c>
      <c r="F381" s="28">
        <f t="shared" si="18"/>
        <v>2186</v>
      </c>
      <c r="G381" s="28">
        <f t="shared" si="18"/>
        <v>2285</v>
      </c>
      <c r="H381" s="28">
        <f t="shared" si="18"/>
        <v>2097</v>
      </c>
      <c r="I381" s="28">
        <f t="shared" si="18"/>
        <v>2146</v>
      </c>
      <c r="J381" s="28">
        <f t="shared" si="18"/>
        <v>2041</v>
      </c>
      <c r="K381" s="28">
        <f t="shared" si="18"/>
        <v>1882</v>
      </c>
      <c r="L381" s="28">
        <f t="shared" si="18"/>
        <v>2019</v>
      </c>
      <c r="M381" s="28">
        <f t="shared" si="18"/>
        <v>1893</v>
      </c>
      <c r="N381" s="28">
        <f t="shared" si="18"/>
        <v>1797</v>
      </c>
      <c r="O381" s="29">
        <f t="shared" si="18"/>
        <v>24321</v>
      </c>
      <c r="P381" s="30">
        <f t="shared" si="18"/>
        <v>22743</v>
      </c>
      <c r="Q381" s="31">
        <f t="shared" si="18"/>
        <v>15574</v>
      </c>
      <c r="R381" s="31">
        <f t="shared" si="18"/>
        <v>16170</v>
      </c>
      <c r="S381" s="31">
        <f t="shared" si="18"/>
        <v>19176</v>
      </c>
      <c r="T381" s="31">
        <f t="shared" si="18"/>
        <v>19287</v>
      </c>
      <c r="U381" s="31">
        <f t="shared" si="18"/>
        <v>11783</v>
      </c>
      <c r="V381" s="31">
        <f t="shared" si="18"/>
        <v>16895</v>
      </c>
      <c r="W381" s="31">
        <f t="shared" si="18"/>
        <v>16029</v>
      </c>
      <c r="X381" s="31">
        <f t="shared" si="18"/>
        <v>12469</v>
      </c>
      <c r="Y381" s="31">
        <f t="shared" si="18"/>
        <v>12848</v>
      </c>
      <c r="Z381" s="31">
        <f t="shared" si="18"/>
        <v>14602</v>
      </c>
      <c r="AA381" s="31">
        <f t="shared" si="18"/>
        <v>19069</v>
      </c>
      <c r="AB381" s="32">
        <f t="shared" si="18"/>
        <v>196645</v>
      </c>
      <c r="AC381" s="33">
        <f t="shared" si="18"/>
        <v>10289155</v>
      </c>
      <c r="AD381" s="34">
        <f t="shared" si="18"/>
        <v>9223990</v>
      </c>
      <c r="AE381" s="34">
        <f t="shared" si="18"/>
        <v>9216620</v>
      </c>
      <c r="AF381" s="34">
        <f t="shared" si="18"/>
        <v>10418203</v>
      </c>
      <c r="AG381" s="34">
        <f t="shared" si="18"/>
        <v>11097119</v>
      </c>
      <c r="AH381" s="34">
        <f t="shared" si="18"/>
        <v>10287503</v>
      </c>
      <c r="AI381" s="34">
        <f t="shared" si="18"/>
        <v>10526431</v>
      </c>
      <c r="AJ381" s="34">
        <f t="shared" si="18"/>
        <v>9962925</v>
      </c>
      <c r="AK381" s="34">
        <f t="shared" si="18"/>
        <v>8558305</v>
      </c>
      <c r="AL381" s="34">
        <f t="shared" si="18"/>
        <v>10407670</v>
      </c>
      <c r="AM381" s="34">
        <f t="shared" si="18"/>
        <v>9311336</v>
      </c>
      <c r="AN381" s="34">
        <f t="shared" si="18"/>
        <v>8568013</v>
      </c>
      <c r="AO381" s="35">
        <f t="shared" si="18"/>
        <v>117867270</v>
      </c>
    </row>
    <row r="382" spans="1:41" ht="17.25" customHeight="1" x14ac:dyDescent="0.45">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row>
    <row r="383" spans="1:41" ht="17.25" customHeight="1" x14ac:dyDescent="0.45">
      <c r="A383" s="19" t="s">
        <v>319</v>
      </c>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row>
  </sheetData>
  <mergeCells count="7">
    <mergeCell ref="G2:Q2"/>
    <mergeCell ref="G3:Q3"/>
    <mergeCell ref="AC5:AO5"/>
    <mergeCell ref="A381:B381"/>
    <mergeCell ref="A5:B5"/>
    <mergeCell ref="C5:O5"/>
    <mergeCell ref="P5:AB5"/>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38E5D"/>
  </sheetPr>
  <dimension ref="A1:AQ581"/>
  <sheetViews>
    <sheetView showGridLines="0" zoomScale="80" zoomScaleNormal="80" workbookViewId="0">
      <pane ySplit="6" topLeftCell="A7" activePane="bottomLeft" state="frozen"/>
      <selection activeCell="E5" sqref="E5"/>
      <selection pane="bottomLeft" activeCell="A7" sqref="A7"/>
    </sheetView>
  </sheetViews>
  <sheetFormatPr baseColWidth="10" defaultRowHeight="17.25" x14ac:dyDescent="0.45"/>
  <cols>
    <col min="1" max="1" width="23.88671875" style="2" customWidth="1"/>
    <col min="2" max="2" width="25.6640625" style="2" customWidth="1"/>
    <col min="3" max="3" width="23.88671875" style="2" customWidth="1"/>
    <col min="4" max="4" width="25.6640625" style="2" customWidth="1"/>
    <col min="5" max="5" width="7.21875" style="2" bestFit="1" customWidth="1"/>
    <col min="6" max="6" width="7.33203125" style="2" bestFit="1" customWidth="1"/>
    <col min="7" max="7" width="8" style="2" bestFit="1" customWidth="1"/>
    <col min="8" max="8" width="7.33203125" style="2" bestFit="1" customWidth="1"/>
    <col min="9" max="9" width="8.33203125" style="2" bestFit="1" customWidth="1"/>
    <col min="10" max="10" width="6.88671875" style="2" bestFit="1" customWidth="1"/>
    <col min="11" max="11" width="5.77734375" style="2" bestFit="1" customWidth="1"/>
    <col min="12" max="12" width="7.88671875" style="2" bestFit="1" customWidth="1"/>
    <col min="13" max="13" width="7.33203125" style="2" bestFit="1" customWidth="1"/>
    <col min="14" max="14" width="7.21875" style="2" bestFit="1" customWidth="1"/>
    <col min="15" max="15" width="7.77734375" style="2" bestFit="1" customWidth="1"/>
    <col min="16" max="16" width="6.77734375" style="2" bestFit="1" customWidth="1"/>
    <col min="17" max="17" width="5.77734375" style="2" bestFit="1" customWidth="1"/>
    <col min="18" max="18" width="7.21875" style="2" bestFit="1" customWidth="1"/>
    <col min="19" max="19" width="7.33203125" style="2" bestFit="1" customWidth="1"/>
    <col min="20" max="20" width="8" style="2" bestFit="1" customWidth="1"/>
    <col min="21" max="21" width="7.33203125" style="2" bestFit="1" customWidth="1"/>
    <col min="22" max="22" width="8.33203125" style="2" bestFit="1" customWidth="1"/>
    <col min="23" max="23" width="6.88671875" style="2" bestFit="1" customWidth="1"/>
    <col min="24" max="24" width="6.6640625" style="2" bestFit="1" customWidth="1"/>
    <col min="25" max="25" width="7.88671875" style="2" bestFit="1" customWidth="1"/>
    <col min="26" max="26" width="7.33203125" style="2" bestFit="1" customWidth="1"/>
    <col min="27" max="27" width="7.21875" style="2" bestFit="1" customWidth="1"/>
    <col min="28" max="28" width="7.77734375" style="2" bestFit="1" customWidth="1"/>
    <col min="29" max="29" width="6.77734375" style="2" bestFit="1" customWidth="1"/>
    <col min="30" max="30" width="7.44140625" style="2" bestFit="1" customWidth="1"/>
    <col min="31" max="32" width="8.77734375" style="2" bestFit="1" customWidth="1"/>
    <col min="33" max="42" width="9.5546875" style="2" bestFit="1" customWidth="1"/>
    <col min="43" max="43" width="10.44140625" style="2" bestFit="1" customWidth="1"/>
    <col min="44" max="16384" width="11.5546875" style="2"/>
  </cols>
  <sheetData>
    <row r="1" spans="1:43" ht="15" customHeight="1" x14ac:dyDescent="0.45"/>
    <row r="2" spans="1:43" ht="15" customHeight="1" x14ac:dyDescent="0.45">
      <c r="C2" s="3"/>
      <c r="D2" s="56" t="s">
        <v>341</v>
      </c>
      <c r="E2" s="56"/>
      <c r="F2" s="56"/>
      <c r="G2" s="56"/>
      <c r="H2" s="56"/>
      <c r="I2" s="56"/>
      <c r="J2" s="56"/>
      <c r="K2" s="56"/>
      <c r="L2" s="56"/>
      <c r="M2" s="56"/>
      <c r="N2" s="56"/>
      <c r="O2" s="56"/>
      <c r="P2" s="56"/>
    </row>
    <row r="3" spans="1:43" ht="15" customHeight="1" x14ac:dyDescent="0.45">
      <c r="C3" s="3"/>
      <c r="D3" s="56" t="s">
        <v>342</v>
      </c>
      <c r="E3" s="56"/>
      <c r="F3" s="56"/>
      <c r="G3" s="56"/>
      <c r="H3" s="56"/>
      <c r="I3" s="56"/>
      <c r="J3" s="56"/>
      <c r="K3" s="56"/>
      <c r="L3" s="56"/>
      <c r="M3" s="56"/>
      <c r="N3" s="56"/>
      <c r="O3" s="56"/>
      <c r="P3" s="56"/>
    </row>
    <row r="4" spans="1:43" ht="15" customHeight="1" thickBot="1" x14ac:dyDescent="0.5">
      <c r="C4" s="3"/>
      <c r="D4" s="3"/>
    </row>
    <row r="5" spans="1:43" ht="15" customHeight="1" x14ac:dyDescent="0.45">
      <c r="A5" s="64" t="s">
        <v>343</v>
      </c>
      <c r="B5" s="64"/>
      <c r="C5" s="64"/>
      <c r="D5" s="64"/>
      <c r="E5" s="60" t="s">
        <v>344</v>
      </c>
      <c r="F5" s="61"/>
      <c r="G5" s="61"/>
      <c r="H5" s="61"/>
      <c r="I5" s="61"/>
      <c r="J5" s="61"/>
      <c r="K5" s="61"/>
      <c r="L5" s="61"/>
      <c r="M5" s="61"/>
      <c r="N5" s="61"/>
      <c r="O5" s="61"/>
      <c r="P5" s="61"/>
      <c r="Q5" s="62"/>
      <c r="R5" s="65" t="s">
        <v>345</v>
      </c>
      <c r="S5" s="66"/>
      <c r="T5" s="66"/>
      <c r="U5" s="66"/>
      <c r="V5" s="66"/>
      <c r="W5" s="66"/>
      <c r="X5" s="66"/>
      <c r="Y5" s="66"/>
      <c r="Z5" s="66"/>
      <c r="AA5" s="66"/>
      <c r="AB5" s="66"/>
      <c r="AC5" s="66"/>
      <c r="AD5" s="67"/>
      <c r="AE5" s="57" t="s">
        <v>346</v>
      </c>
      <c r="AF5" s="58"/>
      <c r="AG5" s="58"/>
      <c r="AH5" s="58"/>
      <c r="AI5" s="58"/>
      <c r="AJ5" s="58"/>
      <c r="AK5" s="58"/>
      <c r="AL5" s="58"/>
      <c r="AM5" s="58"/>
      <c r="AN5" s="58"/>
      <c r="AO5" s="58"/>
      <c r="AP5" s="58"/>
      <c r="AQ5" s="59"/>
    </row>
    <row r="6" spans="1:43" x14ac:dyDescent="0.45">
      <c r="A6" s="36" t="s">
        <v>347</v>
      </c>
      <c r="B6" s="36" t="s">
        <v>348</v>
      </c>
      <c r="C6" s="36" t="s">
        <v>349</v>
      </c>
      <c r="D6" s="36" t="s">
        <v>350</v>
      </c>
      <c r="E6" s="37" t="s">
        <v>351</v>
      </c>
      <c r="F6" s="38" t="s">
        <v>352</v>
      </c>
      <c r="G6" s="38" t="s">
        <v>353</v>
      </c>
      <c r="H6" s="38" t="s">
        <v>354</v>
      </c>
      <c r="I6" s="38" t="s">
        <v>355</v>
      </c>
      <c r="J6" s="38" t="s">
        <v>356</v>
      </c>
      <c r="K6" s="38" t="s">
        <v>357</v>
      </c>
      <c r="L6" s="38" t="s">
        <v>358</v>
      </c>
      <c r="M6" s="38" t="s">
        <v>359</v>
      </c>
      <c r="N6" s="38" t="s">
        <v>360</v>
      </c>
      <c r="O6" s="38" t="s">
        <v>361</v>
      </c>
      <c r="P6" s="38" t="s">
        <v>362</v>
      </c>
      <c r="Q6" s="39" t="s">
        <v>0</v>
      </c>
      <c r="R6" s="40" t="s">
        <v>363</v>
      </c>
      <c r="S6" s="41" t="s">
        <v>364</v>
      </c>
      <c r="T6" s="41" t="s">
        <v>365</v>
      </c>
      <c r="U6" s="41" t="s">
        <v>366</v>
      </c>
      <c r="V6" s="41" t="s">
        <v>367</v>
      </c>
      <c r="W6" s="41" t="s">
        <v>368</v>
      </c>
      <c r="X6" s="41" t="s">
        <v>369</v>
      </c>
      <c r="Y6" s="41" t="s">
        <v>370</v>
      </c>
      <c r="Z6" s="41" t="s">
        <v>371</v>
      </c>
      <c r="AA6" s="41" t="s">
        <v>372</v>
      </c>
      <c r="AB6" s="41" t="s">
        <v>373</v>
      </c>
      <c r="AC6" s="41" t="s">
        <v>374</v>
      </c>
      <c r="AD6" s="42" t="s">
        <v>0</v>
      </c>
      <c r="AE6" s="43" t="s">
        <v>363</v>
      </c>
      <c r="AF6" s="44" t="s">
        <v>364</v>
      </c>
      <c r="AG6" s="44" t="s">
        <v>365</v>
      </c>
      <c r="AH6" s="44" t="s">
        <v>366</v>
      </c>
      <c r="AI6" s="44" t="s">
        <v>367</v>
      </c>
      <c r="AJ6" s="44" t="s">
        <v>368</v>
      </c>
      <c r="AK6" s="44" t="s">
        <v>369</v>
      </c>
      <c r="AL6" s="44" t="s">
        <v>370</v>
      </c>
      <c r="AM6" s="44" t="s">
        <v>371</v>
      </c>
      <c r="AN6" s="44" t="s">
        <v>372</v>
      </c>
      <c r="AO6" s="44" t="s">
        <v>373</v>
      </c>
      <c r="AP6" s="44" t="s">
        <v>374</v>
      </c>
      <c r="AQ6" s="45" t="s">
        <v>0</v>
      </c>
    </row>
    <row r="7" spans="1:43" ht="17.25" customHeight="1" x14ac:dyDescent="0.45">
      <c r="A7" s="2" t="s">
        <v>16</v>
      </c>
      <c r="B7" s="2" t="s">
        <v>66</v>
      </c>
      <c r="C7" s="2" t="s">
        <v>194</v>
      </c>
      <c r="D7" s="2" t="s">
        <v>68</v>
      </c>
      <c r="E7" s="23">
        <v>2</v>
      </c>
      <c r="F7" s="1">
        <v>0</v>
      </c>
      <c r="G7" s="1">
        <v>0</v>
      </c>
      <c r="H7" s="1">
        <v>0</v>
      </c>
      <c r="I7" s="1">
        <v>0</v>
      </c>
      <c r="J7" s="1">
        <v>1</v>
      </c>
      <c r="K7" s="1">
        <v>0</v>
      </c>
      <c r="L7" s="1">
        <v>0</v>
      </c>
      <c r="M7" s="1">
        <v>0</v>
      </c>
      <c r="N7" s="1">
        <v>0</v>
      </c>
      <c r="O7" s="1">
        <v>0</v>
      </c>
      <c r="P7" s="1">
        <v>0</v>
      </c>
      <c r="Q7" s="24">
        <f>SUM(E7:P7)</f>
        <v>3</v>
      </c>
      <c r="R7" s="23">
        <v>0</v>
      </c>
      <c r="S7" s="1">
        <v>0</v>
      </c>
      <c r="T7" s="1">
        <v>0</v>
      </c>
      <c r="U7" s="1">
        <v>0</v>
      </c>
      <c r="V7" s="1">
        <v>0</v>
      </c>
      <c r="W7" s="1">
        <v>0</v>
      </c>
      <c r="X7" s="1">
        <v>0</v>
      </c>
      <c r="Y7" s="1">
        <v>0</v>
      </c>
      <c r="Z7" s="1">
        <v>0</v>
      </c>
      <c r="AA7" s="1">
        <v>0</v>
      </c>
      <c r="AB7" s="1">
        <v>0</v>
      </c>
      <c r="AC7" s="1">
        <v>0</v>
      </c>
      <c r="AD7" s="24">
        <f>SUM(R7:AC7)</f>
        <v>0</v>
      </c>
      <c r="AE7" s="23">
        <v>4501</v>
      </c>
      <c r="AF7" s="1">
        <v>0</v>
      </c>
      <c r="AG7" s="1">
        <v>0</v>
      </c>
      <c r="AH7" s="1">
        <v>0</v>
      </c>
      <c r="AI7" s="1">
        <v>0</v>
      </c>
      <c r="AJ7" s="1">
        <v>1200</v>
      </c>
      <c r="AK7" s="1">
        <v>0</v>
      </c>
      <c r="AL7" s="1">
        <v>0</v>
      </c>
      <c r="AM7" s="1">
        <v>0</v>
      </c>
      <c r="AN7" s="1">
        <v>0</v>
      </c>
      <c r="AO7" s="1">
        <v>0</v>
      </c>
      <c r="AP7" s="1">
        <v>0</v>
      </c>
      <c r="AQ7" s="24">
        <f>SUM(AE7:AP7)</f>
        <v>5701</v>
      </c>
    </row>
    <row r="8" spans="1:43" ht="17.25" customHeight="1" x14ac:dyDescent="0.45">
      <c r="A8" s="12" t="s">
        <v>16</v>
      </c>
      <c r="B8" s="12" t="s">
        <v>66</v>
      </c>
      <c r="C8" s="12" t="s">
        <v>230</v>
      </c>
      <c r="D8" s="12" t="s">
        <v>65</v>
      </c>
      <c r="E8" s="25">
        <v>0</v>
      </c>
      <c r="F8" s="10">
        <v>0</v>
      </c>
      <c r="G8" s="10">
        <v>1</v>
      </c>
      <c r="H8" s="10">
        <v>0</v>
      </c>
      <c r="I8" s="10">
        <v>0</v>
      </c>
      <c r="J8" s="10">
        <v>0</v>
      </c>
      <c r="K8" s="10">
        <v>0</v>
      </c>
      <c r="L8" s="10">
        <v>0</v>
      </c>
      <c r="M8" s="10">
        <v>0</v>
      </c>
      <c r="N8" s="10">
        <v>0</v>
      </c>
      <c r="O8" s="10">
        <v>0</v>
      </c>
      <c r="P8" s="10">
        <v>0</v>
      </c>
      <c r="Q8" s="26">
        <f t="shared" ref="Q8:Q71" si="0">SUM(E8:P8)</f>
        <v>1</v>
      </c>
      <c r="R8" s="25">
        <v>0</v>
      </c>
      <c r="S8" s="10">
        <v>0</v>
      </c>
      <c r="T8" s="10">
        <v>158</v>
      </c>
      <c r="U8" s="10">
        <v>0</v>
      </c>
      <c r="V8" s="10">
        <v>0</v>
      </c>
      <c r="W8" s="10">
        <v>0</v>
      </c>
      <c r="X8" s="10">
        <v>0</v>
      </c>
      <c r="Y8" s="10">
        <v>0</v>
      </c>
      <c r="Z8" s="10">
        <v>0</v>
      </c>
      <c r="AA8" s="10">
        <v>0</v>
      </c>
      <c r="AB8" s="10">
        <v>0</v>
      </c>
      <c r="AC8" s="10">
        <v>0</v>
      </c>
      <c r="AD8" s="26">
        <f t="shared" ref="AD8:AD71" si="1">SUM(R8:AC8)</f>
        <v>158</v>
      </c>
      <c r="AE8" s="25">
        <v>0</v>
      </c>
      <c r="AF8" s="10">
        <v>0</v>
      </c>
      <c r="AG8" s="10">
        <v>0</v>
      </c>
      <c r="AH8" s="10">
        <v>0</v>
      </c>
      <c r="AI8" s="10">
        <v>0</v>
      </c>
      <c r="AJ8" s="10">
        <v>0</v>
      </c>
      <c r="AK8" s="10">
        <v>0</v>
      </c>
      <c r="AL8" s="10">
        <v>0</v>
      </c>
      <c r="AM8" s="10">
        <v>0</v>
      </c>
      <c r="AN8" s="10">
        <v>0</v>
      </c>
      <c r="AO8" s="10">
        <v>0</v>
      </c>
      <c r="AP8" s="10">
        <v>0</v>
      </c>
      <c r="AQ8" s="26">
        <f t="shared" ref="AQ8:AQ71" si="2">SUM(AE8:AP8)</f>
        <v>0</v>
      </c>
    </row>
    <row r="9" spans="1:43" ht="17.25" customHeight="1" x14ac:dyDescent="0.45">
      <c r="A9" s="2" t="s">
        <v>291</v>
      </c>
      <c r="B9" s="2" t="s">
        <v>68</v>
      </c>
      <c r="C9" s="2" t="s">
        <v>11</v>
      </c>
      <c r="D9" s="2" t="s">
        <v>66</v>
      </c>
      <c r="E9" s="23">
        <v>0</v>
      </c>
      <c r="F9" s="1">
        <v>0</v>
      </c>
      <c r="G9" s="1">
        <v>0</v>
      </c>
      <c r="H9" s="1">
        <v>0</v>
      </c>
      <c r="I9" s="1">
        <v>1</v>
      </c>
      <c r="J9" s="1">
        <v>0</v>
      </c>
      <c r="K9" s="1">
        <v>0</v>
      </c>
      <c r="L9" s="1">
        <v>0</v>
      </c>
      <c r="M9" s="1">
        <v>0</v>
      </c>
      <c r="N9" s="1">
        <v>0</v>
      </c>
      <c r="O9" s="1">
        <v>0</v>
      </c>
      <c r="P9" s="1">
        <v>0</v>
      </c>
      <c r="Q9" s="24">
        <f t="shared" si="0"/>
        <v>1</v>
      </c>
      <c r="R9" s="23">
        <v>0</v>
      </c>
      <c r="S9" s="1">
        <v>0</v>
      </c>
      <c r="T9" s="1">
        <v>0</v>
      </c>
      <c r="U9" s="1">
        <v>0</v>
      </c>
      <c r="V9" s="1">
        <v>0</v>
      </c>
      <c r="W9" s="1">
        <v>0</v>
      </c>
      <c r="X9" s="1">
        <v>0</v>
      </c>
      <c r="Y9" s="1">
        <v>0</v>
      </c>
      <c r="Z9" s="1">
        <v>0</v>
      </c>
      <c r="AA9" s="1">
        <v>0</v>
      </c>
      <c r="AB9" s="1">
        <v>0</v>
      </c>
      <c r="AC9" s="1">
        <v>0</v>
      </c>
      <c r="AD9" s="24">
        <f t="shared" si="1"/>
        <v>0</v>
      </c>
      <c r="AE9" s="23">
        <v>0</v>
      </c>
      <c r="AF9" s="1">
        <v>0</v>
      </c>
      <c r="AG9" s="1">
        <v>0</v>
      </c>
      <c r="AH9" s="1">
        <v>0</v>
      </c>
      <c r="AI9" s="1">
        <v>28790</v>
      </c>
      <c r="AJ9" s="1">
        <v>0</v>
      </c>
      <c r="AK9" s="1">
        <v>0</v>
      </c>
      <c r="AL9" s="1">
        <v>0</v>
      </c>
      <c r="AM9" s="1">
        <v>0</v>
      </c>
      <c r="AN9" s="1">
        <v>0</v>
      </c>
      <c r="AO9" s="1">
        <v>0</v>
      </c>
      <c r="AP9" s="1">
        <v>0</v>
      </c>
      <c r="AQ9" s="24">
        <f t="shared" si="2"/>
        <v>28790</v>
      </c>
    </row>
    <row r="10" spans="1:43" ht="17.25" customHeight="1" x14ac:dyDescent="0.45">
      <c r="A10" s="12" t="s">
        <v>231</v>
      </c>
      <c r="B10" s="12" t="s">
        <v>68</v>
      </c>
      <c r="C10" s="12" t="s">
        <v>22</v>
      </c>
      <c r="D10" s="12" t="s">
        <v>66</v>
      </c>
      <c r="E10" s="25">
        <v>0</v>
      </c>
      <c r="F10" s="10">
        <v>0</v>
      </c>
      <c r="G10" s="10">
        <v>0</v>
      </c>
      <c r="H10" s="10">
        <v>0</v>
      </c>
      <c r="I10" s="10">
        <v>0</v>
      </c>
      <c r="J10" s="10">
        <v>0</v>
      </c>
      <c r="K10" s="10">
        <v>0</v>
      </c>
      <c r="L10" s="10">
        <v>1</v>
      </c>
      <c r="M10" s="10">
        <v>0</v>
      </c>
      <c r="N10" s="10">
        <v>0</v>
      </c>
      <c r="O10" s="10">
        <v>0</v>
      </c>
      <c r="P10" s="10">
        <v>0</v>
      </c>
      <c r="Q10" s="26">
        <f t="shared" si="0"/>
        <v>1</v>
      </c>
      <c r="R10" s="25">
        <v>0</v>
      </c>
      <c r="S10" s="10">
        <v>0</v>
      </c>
      <c r="T10" s="10">
        <v>0</v>
      </c>
      <c r="U10" s="10">
        <v>0</v>
      </c>
      <c r="V10" s="10">
        <v>0</v>
      </c>
      <c r="W10" s="10">
        <v>0</v>
      </c>
      <c r="X10" s="10">
        <v>0</v>
      </c>
      <c r="Y10" s="10">
        <v>0</v>
      </c>
      <c r="Z10" s="10">
        <v>0</v>
      </c>
      <c r="AA10" s="10">
        <v>0</v>
      </c>
      <c r="AB10" s="10">
        <v>0</v>
      </c>
      <c r="AC10" s="10">
        <v>0</v>
      </c>
      <c r="AD10" s="26">
        <f t="shared" si="1"/>
        <v>0</v>
      </c>
      <c r="AE10" s="25">
        <v>0</v>
      </c>
      <c r="AF10" s="10">
        <v>0</v>
      </c>
      <c r="AG10" s="10">
        <v>0</v>
      </c>
      <c r="AH10" s="10">
        <v>0</v>
      </c>
      <c r="AI10" s="10">
        <v>0</v>
      </c>
      <c r="AJ10" s="10">
        <v>0</v>
      </c>
      <c r="AK10" s="10">
        <v>0</v>
      </c>
      <c r="AL10" s="10">
        <v>2820</v>
      </c>
      <c r="AM10" s="10">
        <v>0</v>
      </c>
      <c r="AN10" s="10">
        <v>0</v>
      </c>
      <c r="AO10" s="10">
        <v>0</v>
      </c>
      <c r="AP10" s="10">
        <v>0</v>
      </c>
      <c r="AQ10" s="26">
        <f t="shared" si="2"/>
        <v>2820</v>
      </c>
    </row>
    <row r="11" spans="1:43" ht="17.25" customHeight="1" x14ac:dyDescent="0.45">
      <c r="A11" s="2" t="s">
        <v>231</v>
      </c>
      <c r="B11" s="2" t="s">
        <v>68</v>
      </c>
      <c r="C11" s="2" t="s">
        <v>206</v>
      </c>
      <c r="D11" s="2" t="s">
        <v>66</v>
      </c>
      <c r="E11" s="23">
        <v>1</v>
      </c>
      <c r="F11" s="1">
        <v>0</v>
      </c>
      <c r="G11" s="1">
        <v>0</v>
      </c>
      <c r="H11" s="1">
        <v>0</v>
      </c>
      <c r="I11" s="1">
        <v>1</v>
      </c>
      <c r="J11" s="1">
        <v>0</v>
      </c>
      <c r="K11" s="1">
        <v>0</v>
      </c>
      <c r="L11" s="1">
        <v>0</v>
      </c>
      <c r="M11" s="1">
        <v>0</v>
      </c>
      <c r="N11" s="1">
        <v>0</v>
      </c>
      <c r="O11" s="1">
        <v>0</v>
      </c>
      <c r="P11" s="1">
        <v>0</v>
      </c>
      <c r="Q11" s="24">
        <f t="shared" si="0"/>
        <v>2</v>
      </c>
      <c r="R11" s="23">
        <v>0</v>
      </c>
      <c r="S11" s="1">
        <v>0</v>
      </c>
      <c r="T11" s="1">
        <v>0</v>
      </c>
      <c r="U11" s="1">
        <v>0</v>
      </c>
      <c r="V11" s="1">
        <v>0</v>
      </c>
      <c r="W11" s="1">
        <v>0</v>
      </c>
      <c r="X11" s="1">
        <v>0</v>
      </c>
      <c r="Y11" s="1">
        <v>0</v>
      </c>
      <c r="Z11" s="1">
        <v>0</v>
      </c>
      <c r="AA11" s="1">
        <v>0</v>
      </c>
      <c r="AB11" s="1">
        <v>0</v>
      </c>
      <c r="AC11" s="1">
        <v>0</v>
      </c>
      <c r="AD11" s="24">
        <f t="shared" si="1"/>
        <v>0</v>
      </c>
      <c r="AE11" s="23">
        <v>3600</v>
      </c>
      <c r="AF11" s="1">
        <v>0</v>
      </c>
      <c r="AG11" s="1">
        <v>0</v>
      </c>
      <c r="AH11" s="1">
        <v>0</v>
      </c>
      <c r="AI11" s="1">
        <v>4500</v>
      </c>
      <c r="AJ11" s="1">
        <v>0</v>
      </c>
      <c r="AK11" s="1">
        <v>0</v>
      </c>
      <c r="AL11" s="1">
        <v>0</v>
      </c>
      <c r="AM11" s="1">
        <v>0</v>
      </c>
      <c r="AN11" s="1">
        <v>0</v>
      </c>
      <c r="AO11" s="1">
        <v>0</v>
      </c>
      <c r="AP11" s="1">
        <v>0</v>
      </c>
      <c r="AQ11" s="24">
        <f t="shared" si="2"/>
        <v>8100</v>
      </c>
    </row>
    <row r="12" spans="1:43" ht="17.25" customHeight="1" x14ac:dyDescent="0.45">
      <c r="A12" s="12" t="s">
        <v>76</v>
      </c>
      <c r="B12" s="12" t="s">
        <v>68</v>
      </c>
      <c r="C12" s="12" t="s">
        <v>11</v>
      </c>
      <c r="D12" s="12" t="s">
        <v>66</v>
      </c>
      <c r="E12" s="25">
        <v>0</v>
      </c>
      <c r="F12" s="10">
        <v>0</v>
      </c>
      <c r="G12" s="10">
        <v>0</v>
      </c>
      <c r="H12" s="10">
        <v>0</v>
      </c>
      <c r="I12" s="10">
        <v>0</v>
      </c>
      <c r="J12" s="10">
        <v>0</v>
      </c>
      <c r="K12" s="10">
        <v>0</v>
      </c>
      <c r="L12" s="10">
        <v>2</v>
      </c>
      <c r="M12" s="10">
        <v>1</v>
      </c>
      <c r="N12" s="10">
        <v>0</v>
      </c>
      <c r="O12" s="10">
        <v>0</v>
      </c>
      <c r="P12" s="10">
        <v>0</v>
      </c>
      <c r="Q12" s="26">
        <f t="shared" si="0"/>
        <v>3</v>
      </c>
      <c r="R12" s="25">
        <v>0</v>
      </c>
      <c r="S12" s="10">
        <v>0</v>
      </c>
      <c r="T12" s="10">
        <v>0</v>
      </c>
      <c r="U12" s="10">
        <v>0</v>
      </c>
      <c r="V12" s="10">
        <v>0</v>
      </c>
      <c r="W12" s="10">
        <v>0</v>
      </c>
      <c r="X12" s="10">
        <v>0</v>
      </c>
      <c r="Y12" s="10">
        <v>0</v>
      </c>
      <c r="Z12" s="10">
        <v>0</v>
      </c>
      <c r="AA12" s="10">
        <v>0</v>
      </c>
      <c r="AB12" s="10">
        <v>0</v>
      </c>
      <c r="AC12" s="10">
        <v>0</v>
      </c>
      <c r="AD12" s="26">
        <f t="shared" si="1"/>
        <v>0</v>
      </c>
      <c r="AE12" s="25">
        <v>0</v>
      </c>
      <c r="AF12" s="10">
        <v>0</v>
      </c>
      <c r="AG12" s="10">
        <v>0</v>
      </c>
      <c r="AH12" s="10">
        <v>0</v>
      </c>
      <c r="AI12" s="10">
        <v>0</v>
      </c>
      <c r="AJ12" s="10">
        <v>0</v>
      </c>
      <c r="AK12" s="10">
        <v>0</v>
      </c>
      <c r="AL12" s="10">
        <v>215221</v>
      </c>
      <c r="AM12" s="10">
        <v>104296</v>
      </c>
      <c r="AN12" s="10">
        <v>0</v>
      </c>
      <c r="AO12" s="10">
        <v>0</v>
      </c>
      <c r="AP12" s="10">
        <v>0</v>
      </c>
      <c r="AQ12" s="26">
        <f t="shared" si="2"/>
        <v>319517</v>
      </c>
    </row>
    <row r="13" spans="1:43" ht="17.25" customHeight="1" x14ac:dyDescent="0.45">
      <c r="A13" s="2" t="s">
        <v>76</v>
      </c>
      <c r="B13" s="2" t="s">
        <v>68</v>
      </c>
      <c r="C13" s="2" t="s">
        <v>14</v>
      </c>
      <c r="D13" s="2" t="s">
        <v>66</v>
      </c>
      <c r="E13" s="23">
        <v>12</v>
      </c>
      <c r="F13" s="1">
        <v>6</v>
      </c>
      <c r="G13" s="1">
        <v>15</v>
      </c>
      <c r="H13" s="1">
        <v>17</v>
      </c>
      <c r="I13" s="1">
        <v>5</v>
      </c>
      <c r="J13" s="1">
        <v>4</v>
      </c>
      <c r="K13" s="1">
        <v>2</v>
      </c>
      <c r="L13" s="1">
        <v>4</v>
      </c>
      <c r="M13" s="1">
        <v>2</v>
      </c>
      <c r="N13" s="1">
        <v>2</v>
      </c>
      <c r="O13" s="1">
        <v>1</v>
      </c>
      <c r="P13" s="1">
        <v>2</v>
      </c>
      <c r="Q13" s="24">
        <f t="shared" si="0"/>
        <v>72</v>
      </c>
      <c r="R13" s="23">
        <v>0</v>
      </c>
      <c r="S13" s="1">
        <v>0</v>
      </c>
      <c r="T13" s="1">
        <v>0</v>
      </c>
      <c r="U13" s="1">
        <v>0</v>
      </c>
      <c r="V13" s="1">
        <v>0</v>
      </c>
      <c r="W13" s="1">
        <v>0</v>
      </c>
      <c r="X13" s="1">
        <v>0</v>
      </c>
      <c r="Y13" s="1">
        <v>0</v>
      </c>
      <c r="Z13" s="1">
        <v>0</v>
      </c>
      <c r="AA13" s="1">
        <v>0</v>
      </c>
      <c r="AB13" s="1">
        <v>0</v>
      </c>
      <c r="AC13" s="1">
        <v>0</v>
      </c>
      <c r="AD13" s="24">
        <f t="shared" si="1"/>
        <v>0</v>
      </c>
      <c r="AE13" s="23">
        <v>1080549</v>
      </c>
      <c r="AF13" s="1">
        <v>615547</v>
      </c>
      <c r="AG13" s="1">
        <v>1513059</v>
      </c>
      <c r="AH13" s="1">
        <v>1740102</v>
      </c>
      <c r="AI13" s="1">
        <v>576726</v>
      </c>
      <c r="AJ13" s="1">
        <v>481951</v>
      </c>
      <c r="AK13" s="1">
        <v>202816</v>
      </c>
      <c r="AL13" s="1">
        <v>430761</v>
      </c>
      <c r="AM13" s="1">
        <v>199398</v>
      </c>
      <c r="AN13" s="1">
        <v>219066</v>
      </c>
      <c r="AO13" s="1">
        <v>102796</v>
      </c>
      <c r="AP13" s="1">
        <v>209624</v>
      </c>
      <c r="AQ13" s="24">
        <f t="shared" si="2"/>
        <v>7372395</v>
      </c>
    </row>
    <row r="14" spans="1:43" ht="17.25" customHeight="1" x14ac:dyDescent="0.45">
      <c r="A14" s="12" t="s">
        <v>281</v>
      </c>
      <c r="B14" s="12" t="s">
        <v>68</v>
      </c>
      <c r="C14" s="12" t="s">
        <v>22</v>
      </c>
      <c r="D14" s="12" t="s">
        <v>66</v>
      </c>
      <c r="E14" s="25">
        <v>0</v>
      </c>
      <c r="F14" s="10">
        <v>0</v>
      </c>
      <c r="G14" s="10">
        <v>0</v>
      </c>
      <c r="H14" s="10">
        <v>1</v>
      </c>
      <c r="I14" s="10">
        <v>0</v>
      </c>
      <c r="J14" s="10">
        <v>0</v>
      </c>
      <c r="K14" s="10">
        <v>0</v>
      </c>
      <c r="L14" s="10">
        <v>0</v>
      </c>
      <c r="M14" s="10">
        <v>0</v>
      </c>
      <c r="N14" s="10">
        <v>0</v>
      </c>
      <c r="O14" s="10">
        <v>0</v>
      </c>
      <c r="P14" s="10">
        <v>0</v>
      </c>
      <c r="Q14" s="26">
        <f t="shared" si="0"/>
        <v>1</v>
      </c>
      <c r="R14" s="25">
        <v>0</v>
      </c>
      <c r="S14" s="10">
        <v>0</v>
      </c>
      <c r="T14" s="10">
        <v>0</v>
      </c>
      <c r="U14" s="10">
        <v>0</v>
      </c>
      <c r="V14" s="10">
        <v>0</v>
      </c>
      <c r="W14" s="10">
        <v>0</v>
      </c>
      <c r="X14" s="10">
        <v>0</v>
      </c>
      <c r="Y14" s="10">
        <v>0</v>
      </c>
      <c r="Z14" s="10">
        <v>0</v>
      </c>
      <c r="AA14" s="10">
        <v>0</v>
      </c>
      <c r="AB14" s="10">
        <v>0</v>
      </c>
      <c r="AC14" s="10">
        <v>0</v>
      </c>
      <c r="AD14" s="26">
        <f t="shared" si="1"/>
        <v>0</v>
      </c>
      <c r="AE14" s="25">
        <v>0</v>
      </c>
      <c r="AF14" s="10">
        <v>0</v>
      </c>
      <c r="AG14" s="10">
        <v>0</v>
      </c>
      <c r="AH14" s="10">
        <v>2330</v>
      </c>
      <c r="AI14" s="10">
        <v>0</v>
      </c>
      <c r="AJ14" s="10">
        <v>0</v>
      </c>
      <c r="AK14" s="10">
        <v>0</v>
      </c>
      <c r="AL14" s="10">
        <v>0</v>
      </c>
      <c r="AM14" s="10">
        <v>0</v>
      </c>
      <c r="AN14" s="10">
        <v>0</v>
      </c>
      <c r="AO14" s="10">
        <v>0</v>
      </c>
      <c r="AP14" s="10">
        <v>0</v>
      </c>
      <c r="AQ14" s="26">
        <f t="shared" si="2"/>
        <v>2330</v>
      </c>
    </row>
    <row r="15" spans="1:43" ht="17.25" customHeight="1" x14ac:dyDescent="0.45">
      <c r="A15" s="2" t="s">
        <v>281</v>
      </c>
      <c r="B15" s="2" t="s">
        <v>68</v>
      </c>
      <c r="C15" s="2" t="s">
        <v>206</v>
      </c>
      <c r="D15" s="2" t="s">
        <v>66</v>
      </c>
      <c r="E15" s="23">
        <v>0</v>
      </c>
      <c r="F15" s="1">
        <v>0</v>
      </c>
      <c r="G15" s="1">
        <v>0</v>
      </c>
      <c r="H15" s="1">
        <v>0</v>
      </c>
      <c r="I15" s="1">
        <v>0</v>
      </c>
      <c r="J15" s="1">
        <v>0</v>
      </c>
      <c r="K15" s="1">
        <v>0</v>
      </c>
      <c r="L15" s="1">
        <v>0</v>
      </c>
      <c r="M15" s="1">
        <v>0</v>
      </c>
      <c r="N15" s="1">
        <v>0</v>
      </c>
      <c r="O15" s="1">
        <v>1</v>
      </c>
      <c r="P15" s="1">
        <v>0</v>
      </c>
      <c r="Q15" s="24">
        <f t="shared" si="0"/>
        <v>1</v>
      </c>
      <c r="R15" s="23">
        <v>0</v>
      </c>
      <c r="S15" s="1">
        <v>0</v>
      </c>
      <c r="T15" s="1">
        <v>0</v>
      </c>
      <c r="U15" s="1">
        <v>0</v>
      </c>
      <c r="V15" s="1">
        <v>0</v>
      </c>
      <c r="W15" s="1">
        <v>0</v>
      </c>
      <c r="X15" s="1">
        <v>0</v>
      </c>
      <c r="Y15" s="1">
        <v>0</v>
      </c>
      <c r="Z15" s="1">
        <v>0</v>
      </c>
      <c r="AA15" s="1">
        <v>0</v>
      </c>
      <c r="AB15" s="1">
        <v>0</v>
      </c>
      <c r="AC15" s="1">
        <v>0</v>
      </c>
      <c r="AD15" s="24">
        <f t="shared" si="1"/>
        <v>0</v>
      </c>
      <c r="AE15" s="23">
        <v>0</v>
      </c>
      <c r="AF15" s="1">
        <v>0</v>
      </c>
      <c r="AG15" s="1">
        <v>0</v>
      </c>
      <c r="AH15" s="1">
        <v>0</v>
      </c>
      <c r="AI15" s="1">
        <v>0</v>
      </c>
      <c r="AJ15" s="1">
        <v>0</v>
      </c>
      <c r="AK15" s="1">
        <v>0</v>
      </c>
      <c r="AL15" s="1">
        <v>0</v>
      </c>
      <c r="AM15" s="1">
        <v>0</v>
      </c>
      <c r="AN15" s="1">
        <v>0</v>
      </c>
      <c r="AO15" s="1">
        <v>8694</v>
      </c>
      <c r="AP15" s="1">
        <v>0</v>
      </c>
      <c r="AQ15" s="24">
        <f t="shared" si="2"/>
        <v>8694</v>
      </c>
    </row>
    <row r="16" spans="1:43" ht="17.25" customHeight="1" x14ac:dyDescent="0.45">
      <c r="A16" s="12" t="s">
        <v>337</v>
      </c>
      <c r="B16" s="12" t="s">
        <v>68</v>
      </c>
      <c r="C16" s="12" t="s">
        <v>48</v>
      </c>
      <c r="D16" s="12" t="s">
        <v>66</v>
      </c>
      <c r="E16" s="25">
        <v>0</v>
      </c>
      <c r="F16" s="10">
        <v>0</v>
      </c>
      <c r="G16" s="10">
        <v>0</v>
      </c>
      <c r="H16" s="10">
        <v>0</v>
      </c>
      <c r="I16" s="10">
        <v>0</v>
      </c>
      <c r="J16" s="10">
        <v>0</v>
      </c>
      <c r="K16" s="10">
        <v>0</v>
      </c>
      <c r="L16" s="10">
        <v>0</v>
      </c>
      <c r="M16" s="10">
        <v>0</v>
      </c>
      <c r="N16" s="10">
        <v>0</v>
      </c>
      <c r="O16" s="10">
        <v>1</v>
      </c>
      <c r="P16" s="10">
        <v>1</v>
      </c>
      <c r="Q16" s="26">
        <f t="shared" si="0"/>
        <v>2</v>
      </c>
      <c r="R16" s="25">
        <v>0</v>
      </c>
      <c r="S16" s="10">
        <v>0</v>
      </c>
      <c r="T16" s="10">
        <v>0</v>
      </c>
      <c r="U16" s="10">
        <v>0</v>
      </c>
      <c r="V16" s="10">
        <v>0</v>
      </c>
      <c r="W16" s="10">
        <v>0</v>
      </c>
      <c r="X16" s="10">
        <v>0</v>
      </c>
      <c r="Y16" s="10">
        <v>0</v>
      </c>
      <c r="Z16" s="10">
        <v>0</v>
      </c>
      <c r="AA16" s="10">
        <v>0</v>
      </c>
      <c r="AB16" s="10">
        <v>4</v>
      </c>
      <c r="AC16" s="10">
        <v>4</v>
      </c>
      <c r="AD16" s="26">
        <f t="shared" si="1"/>
        <v>8</v>
      </c>
      <c r="AE16" s="25">
        <v>0</v>
      </c>
      <c r="AF16" s="10">
        <v>0</v>
      </c>
      <c r="AG16" s="10">
        <v>0</v>
      </c>
      <c r="AH16" s="10">
        <v>0</v>
      </c>
      <c r="AI16" s="10">
        <v>0</v>
      </c>
      <c r="AJ16" s="10">
        <v>0</v>
      </c>
      <c r="AK16" s="10">
        <v>0</v>
      </c>
      <c r="AL16" s="10">
        <v>0</v>
      </c>
      <c r="AM16" s="10">
        <v>0</v>
      </c>
      <c r="AN16" s="10">
        <v>0</v>
      </c>
      <c r="AO16" s="10">
        <v>0</v>
      </c>
      <c r="AP16" s="10">
        <v>0</v>
      </c>
      <c r="AQ16" s="26">
        <f t="shared" si="2"/>
        <v>0</v>
      </c>
    </row>
    <row r="17" spans="1:43" ht="17.25" customHeight="1" x14ac:dyDescent="0.45">
      <c r="A17" s="2" t="s">
        <v>77</v>
      </c>
      <c r="B17" s="2" t="s">
        <v>68</v>
      </c>
      <c r="C17" s="2" t="s">
        <v>11</v>
      </c>
      <c r="D17" s="2" t="s">
        <v>66</v>
      </c>
      <c r="E17" s="23">
        <v>0</v>
      </c>
      <c r="F17" s="1">
        <v>0</v>
      </c>
      <c r="G17" s="1">
        <v>0</v>
      </c>
      <c r="H17" s="1">
        <v>0</v>
      </c>
      <c r="I17" s="1">
        <v>1</v>
      </c>
      <c r="J17" s="1">
        <v>0</v>
      </c>
      <c r="K17" s="1">
        <v>0</v>
      </c>
      <c r="L17" s="1">
        <v>0</v>
      </c>
      <c r="M17" s="1">
        <v>0</v>
      </c>
      <c r="N17" s="1">
        <v>0</v>
      </c>
      <c r="O17" s="1">
        <v>0</v>
      </c>
      <c r="P17" s="1">
        <v>0</v>
      </c>
      <c r="Q17" s="24">
        <f t="shared" si="0"/>
        <v>1</v>
      </c>
      <c r="R17" s="23">
        <v>0</v>
      </c>
      <c r="S17" s="1">
        <v>0</v>
      </c>
      <c r="T17" s="1">
        <v>0</v>
      </c>
      <c r="U17" s="1">
        <v>0</v>
      </c>
      <c r="V17" s="1">
        <v>0</v>
      </c>
      <c r="W17" s="1">
        <v>0</v>
      </c>
      <c r="X17" s="1">
        <v>0</v>
      </c>
      <c r="Y17" s="1">
        <v>0</v>
      </c>
      <c r="Z17" s="1">
        <v>0</v>
      </c>
      <c r="AA17" s="1">
        <v>0</v>
      </c>
      <c r="AB17" s="1">
        <v>0</v>
      </c>
      <c r="AC17" s="1">
        <v>0</v>
      </c>
      <c r="AD17" s="24">
        <f t="shared" si="1"/>
        <v>0</v>
      </c>
      <c r="AE17" s="23">
        <v>0</v>
      </c>
      <c r="AF17" s="1">
        <v>0</v>
      </c>
      <c r="AG17" s="1">
        <v>0</v>
      </c>
      <c r="AH17" s="1">
        <v>0</v>
      </c>
      <c r="AI17" s="1">
        <v>150</v>
      </c>
      <c r="AJ17" s="1">
        <v>0</v>
      </c>
      <c r="AK17" s="1">
        <v>0</v>
      </c>
      <c r="AL17" s="1">
        <v>0</v>
      </c>
      <c r="AM17" s="1">
        <v>0</v>
      </c>
      <c r="AN17" s="1">
        <v>0</v>
      </c>
      <c r="AO17" s="1">
        <v>0</v>
      </c>
      <c r="AP17" s="1">
        <v>0</v>
      </c>
      <c r="AQ17" s="24">
        <f t="shared" si="2"/>
        <v>150</v>
      </c>
    </row>
    <row r="18" spans="1:43" ht="17.25" customHeight="1" x14ac:dyDescent="0.45">
      <c r="A18" s="12" t="s">
        <v>78</v>
      </c>
      <c r="B18" s="12" t="s">
        <v>68</v>
      </c>
      <c r="C18" s="12" t="s">
        <v>11</v>
      </c>
      <c r="D18" s="12" t="s">
        <v>66</v>
      </c>
      <c r="E18" s="25">
        <v>0</v>
      </c>
      <c r="F18" s="10">
        <v>0</v>
      </c>
      <c r="G18" s="10">
        <v>0</v>
      </c>
      <c r="H18" s="10">
        <v>0</v>
      </c>
      <c r="I18" s="10">
        <v>1</v>
      </c>
      <c r="J18" s="10">
        <v>0</v>
      </c>
      <c r="K18" s="10">
        <v>0</v>
      </c>
      <c r="L18" s="10">
        <v>0</v>
      </c>
      <c r="M18" s="10">
        <v>0</v>
      </c>
      <c r="N18" s="10">
        <v>1</v>
      </c>
      <c r="O18" s="10">
        <v>0</v>
      </c>
      <c r="P18" s="10">
        <v>0</v>
      </c>
      <c r="Q18" s="26">
        <f t="shared" si="0"/>
        <v>2</v>
      </c>
      <c r="R18" s="25">
        <v>0</v>
      </c>
      <c r="S18" s="10">
        <v>0</v>
      </c>
      <c r="T18" s="10">
        <v>0</v>
      </c>
      <c r="U18" s="10">
        <v>0</v>
      </c>
      <c r="V18" s="10">
        <v>0</v>
      </c>
      <c r="W18" s="10">
        <v>0</v>
      </c>
      <c r="X18" s="10">
        <v>0</v>
      </c>
      <c r="Y18" s="10">
        <v>0</v>
      </c>
      <c r="Z18" s="10">
        <v>0</v>
      </c>
      <c r="AA18" s="10">
        <v>65</v>
      </c>
      <c r="AB18" s="10">
        <v>0</v>
      </c>
      <c r="AC18" s="10">
        <v>0</v>
      </c>
      <c r="AD18" s="26">
        <f t="shared" si="1"/>
        <v>65</v>
      </c>
      <c r="AE18" s="25">
        <v>0</v>
      </c>
      <c r="AF18" s="10">
        <v>0</v>
      </c>
      <c r="AG18" s="10">
        <v>0</v>
      </c>
      <c r="AH18" s="10">
        <v>0</v>
      </c>
      <c r="AI18" s="10">
        <v>102684</v>
      </c>
      <c r="AJ18" s="10">
        <v>0</v>
      </c>
      <c r="AK18" s="10">
        <v>0</v>
      </c>
      <c r="AL18" s="10">
        <v>0</v>
      </c>
      <c r="AM18" s="10">
        <v>0</v>
      </c>
      <c r="AN18" s="10">
        <v>0</v>
      </c>
      <c r="AO18" s="10">
        <v>0</v>
      </c>
      <c r="AP18" s="10">
        <v>0</v>
      </c>
      <c r="AQ18" s="26">
        <f t="shared" si="2"/>
        <v>102684</v>
      </c>
    </row>
    <row r="19" spans="1:43" ht="17.25" customHeight="1" x14ac:dyDescent="0.45">
      <c r="A19" s="2" t="s">
        <v>78</v>
      </c>
      <c r="B19" s="2" t="s">
        <v>68</v>
      </c>
      <c r="C19" s="2" t="s">
        <v>55</v>
      </c>
      <c r="D19" s="2" t="s">
        <v>66</v>
      </c>
      <c r="E19" s="23">
        <v>0</v>
      </c>
      <c r="F19" s="1">
        <v>0</v>
      </c>
      <c r="G19" s="1">
        <v>1</v>
      </c>
      <c r="H19" s="1">
        <v>0</v>
      </c>
      <c r="I19" s="1">
        <v>0</v>
      </c>
      <c r="J19" s="1">
        <v>0</v>
      </c>
      <c r="K19" s="1">
        <v>0</v>
      </c>
      <c r="L19" s="1">
        <v>0</v>
      </c>
      <c r="M19" s="1">
        <v>0</v>
      </c>
      <c r="N19" s="1">
        <v>0</v>
      </c>
      <c r="O19" s="1">
        <v>0</v>
      </c>
      <c r="P19" s="1">
        <v>0</v>
      </c>
      <c r="Q19" s="24">
        <f t="shared" si="0"/>
        <v>1</v>
      </c>
      <c r="R19" s="23">
        <v>0</v>
      </c>
      <c r="S19" s="1">
        <v>0</v>
      </c>
      <c r="T19" s="1">
        <v>2</v>
      </c>
      <c r="U19" s="1">
        <v>0</v>
      </c>
      <c r="V19" s="1">
        <v>0</v>
      </c>
      <c r="W19" s="1">
        <v>0</v>
      </c>
      <c r="X19" s="1">
        <v>0</v>
      </c>
      <c r="Y19" s="1">
        <v>0</v>
      </c>
      <c r="Z19" s="1">
        <v>0</v>
      </c>
      <c r="AA19" s="1">
        <v>0</v>
      </c>
      <c r="AB19" s="1">
        <v>0</v>
      </c>
      <c r="AC19" s="1">
        <v>0</v>
      </c>
      <c r="AD19" s="24">
        <f t="shared" si="1"/>
        <v>2</v>
      </c>
      <c r="AE19" s="23">
        <v>0</v>
      </c>
      <c r="AF19" s="1">
        <v>0</v>
      </c>
      <c r="AG19" s="1">
        <v>0</v>
      </c>
      <c r="AH19" s="1">
        <v>0</v>
      </c>
      <c r="AI19" s="1">
        <v>0</v>
      </c>
      <c r="AJ19" s="1">
        <v>0</v>
      </c>
      <c r="AK19" s="1">
        <v>0</v>
      </c>
      <c r="AL19" s="1">
        <v>0</v>
      </c>
      <c r="AM19" s="1">
        <v>0</v>
      </c>
      <c r="AN19" s="1">
        <v>0</v>
      </c>
      <c r="AO19" s="1">
        <v>0</v>
      </c>
      <c r="AP19" s="1">
        <v>0</v>
      </c>
      <c r="AQ19" s="24">
        <f t="shared" si="2"/>
        <v>0</v>
      </c>
    </row>
    <row r="20" spans="1:43" ht="17.25" customHeight="1" x14ac:dyDescent="0.45">
      <c r="A20" s="12" t="s">
        <v>78</v>
      </c>
      <c r="B20" s="12" t="s">
        <v>68</v>
      </c>
      <c r="C20" s="12" t="s">
        <v>13</v>
      </c>
      <c r="D20" s="12" t="s">
        <v>66</v>
      </c>
      <c r="E20" s="25">
        <v>0</v>
      </c>
      <c r="F20" s="10">
        <v>0</v>
      </c>
      <c r="G20" s="10">
        <v>0</v>
      </c>
      <c r="H20" s="10">
        <v>0</v>
      </c>
      <c r="I20" s="10">
        <v>0</v>
      </c>
      <c r="J20" s="10">
        <v>0</v>
      </c>
      <c r="K20" s="10">
        <v>0</v>
      </c>
      <c r="L20" s="10">
        <v>1</v>
      </c>
      <c r="M20" s="10">
        <v>0</v>
      </c>
      <c r="N20" s="10">
        <v>0</v>
      </c>
      <c r="O20" s="10">
        <v>0</v>
      </c>
      <c r="P20" s="10">
        <v>0</v>
      </c>
      <c r="Q20" s="26">
        <f t="shared" si="0"/>
        <v>1</v>
      </c>
      <c r="R20" s="25">
        <v>0</v>
      </c>
      <c r="S20" s="10">
        <v>0</v>
      </c>
      <c r="T20" s="10">
        <v>0</v>
      </c>
      <c r="U20" s="10">
        <v>0</v>
      </c>
      <c r="V20" s="10">
        <v>0</v>
      </c>
      <c r="W20" s="10">
        <v>0</v>
      </c>
      <c r="X20" s="10">
        <v>0</v>
      </c>
      <c r="Y20" s="10">
        <v>59</v>
      </c>
      <c r="Z20" s="10">
        <v>0</v>
      </c>
      <c r="AA20" s="10">
        <v>0</v>
      </c>
      <c r="AB20" s="10">
        <v>0</v>
      </c>
      <c r="AC20" s="10">
        <v>0</v>
      </c>
      <c r="AD20" s="26">
        <f t="shared" si="1"/>
        <v>59</v>
      </c>
      <c r="AE20" s="25">
        <v>0</v>
      </c>
      <c r="AF20" s="10">
        <v>0</v>
      </c>
      <c r="AG20" s="10">
        <v>0</v>
      </c>
      <c r="AH20" s="10">
        <v>0</v>
      </c>
      <c r="AI20" s="10">
        <v>0</v>
      </c>
      <c r="AJ20" s="10">
        <v>0</v>
      </c>
      <c r="AK20" s="10">
        <v>0</v>
      </c>
      <c r="AL20" s="10">
        <v>0</v>
      </c>
      <c r="AM20" s="10">
        <v>0</v>
      </c>
      <c r="AN20" s="10">
        <v>0</v>
      </c>
      <c r="AO20" s="10">
        <v>0</v>
      </c>
      <c r="AP20" s="10">
        <v>0</v>
      </c>
      <c r="AQ20" s="26">
        <f t="shared" si="2"/>
        <v>0</v>
      </c>
    </row>
    <row r="21" spans="1:43" ht="17.25" customHeight="1" x14ac:dyDescent="0.45">
      <c r="A21" s="2" t="s">
        <v>78</v>
      </c>
      <c r="B21" s="2" t="s">
        <v>68</v>
      </c>
      <c r="C21" s="2" t="s">
        <v>14</v>
      </c>
      <c r="D21" s="2" t="s">
        <v>66</v>
      </c>
      <c r="E21" s="23">
        <v>0</v>
      </c>
      <c r="F21" s="1">
        <v>0</v>
      </c>
      <c r="G21" s="1">
        <v>0</v>
      </c>
      <c r="H21" s="1">
        <v>1</v>
      </c>
      <c r="I21" s="1">
        <v>0</v>
      </c>
      <c r="J21" s="1">
        <v>0</v>
      </c>
      <c r="K21" s="1">
        <v>0</v>
      </c>
      <c r="L21" s="1">
        <v>1</v>
      </c>
      <c r="M21" s="1">
        <v>0</v>
      </c>
      <c r="N21" s="1">
        <v>11</v>
      </c>
      <c r="O21" s="1">
        <v>0</v>
      </c>
      <c r="P21" s="1">
        <v>0</v>
      </c>
      <c r="Q21" s="24">
        <f t="shared" si="0"/>
        <v>13</v>
      </c>
      <c r="R21" s="23">
        <v>0</v>
      </c>
      <c r="S21" s="1">
        <v>0</v>
      </c>
      <c r="T21" s="1">
        <v>0</v>
      </c>
      <c r="U21" s="1">
        <v>24</v>
      </c>
      <c r="V21" s="1">
        <v>0</v>
      </c>
      <c r="W21" s="1">
        <v>0</v>
      </c>
      <c r="X21" s="1">
        <v>0</v>
      </c>
      <c r="Y21" s="1">
        <v>50</v>
      </c>
      <c r="Z21" s="1">
        <v>0</v>
      </c>
      <c r="AA21" s="1">
        <v>637</v>
      </c>
      <c r="AB21" s="1">
        <v>0</v>
      </c>
      <c r="AC21" s="1">
        <v>0</v>
      </c>
      <c r="AD21" s="24">
        <f t="shared" si="1"/>
        <v>711</v>
      </c>
      <c r="AE21" s="23">
        <v>0</v>
      </c>
      <c r="AF21" s="1">
        <v>0</v>
      </c>
      <c r="AG21" s="1">
        <v>0</v>
      </c>
      <c r="AH21" s="1">
        <v>0</v>
      </c>
      <c r="AI21" s="1">
        <v>0</v>
      </c>
      <c r="AJ21" s="1">
        <v>0</v>
      </c>
      <c r="AK21" s="1">
        <v>0</v>
      </c>
      <c r="AL21" s="1">
        <v>0</v>
      </c>
      <c r="AM21" s="1">
        <v>0</v>
      </c>
      <c r="AN21" s="1">
        <v>550495</v>
      </c>
      <c r="AO21" s="1">
        <v>0</v>
      </c>
      <c r="AP21" s="1">
        <v>0</v>
      </c>
      <c r="AQ21" s="24">
        <f t="shared" si="2"/>
        <v>550495</v>
      </c>
    </row>
    <row r="22" spans="1:43" ht="17.25" customHeight="1" x14ac:dyDescent="0.45">
      <c r="A22" s="12" t="s">
        <v>324</v>
      </c>
      <c r="B22" s="12" t="s">
        <v>138</v>
      </c>
      <c r="C22" s="12" t="s">
        <v>32</v>
      </c>
      <c r="D22" s="12" t="s">
        <v>66</v>
      </c>
      <c r="E22" s="25">
        <v>0</v>
      </c>
      <c r="F22" s="10">
        <v>0</v>
      </c>
      <c r="G22" s="10">
        <v>0</v>
      </c>
      <c r="H22" s="10">
        <v>0</v>
      </c>
      <c r="I22" s="10">
        <v>0</v>
      </c>
      <c r="J22" s="10">
        <v>0</v>
      </c>
      <c r="K22" s="10">
        <v>0</v>
      </c>
      <c r="L22" s="10">
        <v>0</v>
      </c>
      <c r="M22" s="10">
        <v>0</v>
      </c>
      <c r="N22" s="10">
        <v>1</v>
      </c>
      <c r="O22" s="10">
        <v>0</v>
      </c>
      <c r="P22" s="10">
        <v>0</v>
      </c>
      <c r="Q22" s="26">
        <f t="shared" si="0"/>
        <v>1</v>
      </c>
      <c r="R22" s="25">
        <v>0</v>
      </c>
      <c r="S22" s="10">
        <v>0</v>
      </c>
      <c r="T22" s="10">
        <v>0</v>
      </c>
      <c r="U22" s="10">
        <v>0</v>
      </c>
      <c r="V22" s="10">
        <v>0</v>
      </c>
      <c r="W22" s="10">
        <v>0</v>
      </c>
      <c r="X22" s="10">
        <v>0</v>
      </c>
      <c r="Y22" s="10">
        <v>0</v>
      </c>
      <c r="Z22" s="10">
        <v>0</v>
      </c>
      <c r="AA22" s="10">
        <v>4</v>
      </c>
      <c r="AB22" s="10">
        <v>0</v>
      </c>
      <c r="AC22" s="10">
        <v>0</v>
      </c>
      <c r="AD22" s="26">
        <f t="shared" si="1"/>
        <v>4</v>
      </c>
      <c r="AE22" s="25">
        <v>0</v>
      </c>
      <c r="AF22" s="10">
        <v>0</v>
      </c>
      <c r="AG22" s="10">
        <v>0</v>
      </c>
      <c r="AH22" s="10">
        <v>0</v>
      </c>
      <c r="AI22" s="10">
        <v>0</v>
      </c>
      <c r="AJ22" s="10">
        <v>0</v>
      </c>
      <c r="AK22" s="10">
        <v>0</v>
      </c>
      <c r="AL22" s="10">
        <v>0</v>
      </c>
      <c r="AM22" s="10">
        <v>0</v>
      </c>
      <c r="AN22" s="10">
        <v>0</v>
      </c>
      <c r="AO22" s="10">
        <v>0</v>
      </c>
      <c r="AP22" s="10">
        <v>0</v>
      </c>
      <c r="AQ22" s="26">
        <f t="shared" si="2"/>
        <v>0</v>
      </c>
    </row>
    <row r="23" spans="1:43" ht="17.25" customHeight="1" x14ac:dyDescent="0.45">
      <c r="A23" s="2" t="s">
        <v>325</v>
      </c>
      <c r="B23" s="2" t="s">
        <v>87</v>
      </c>
      <c r="C23" s="2" t="s">
        <v>14</v>
      </c>
      <c r="D23" s="2" t="s">
        <v>66</v>
      </c>
      <c r="E23" s="23">
        <v>0</v>
      </c>
      <c r="F23" s="1">
        <v>0</v>
      </c>
      <c r="G23" s="1">
        <v>0</v>
      </c>
      <c r="H23" s="1">
        <v>0</v>
      </c>
      <c r="I23" s="1">
        <v>0</v>
      </c>
      <c r="J23" s="1">
        <v>0</v>
      </c>
      <c r="K23" s="1">
        <v>0</v>
      </c>
      <c r="L23" s="1">
        <v>0</v>
      </c>
      <c r="M23" s="1">
        <v>0</v>
      </c>
      <c r="N23" s="1">
        <v>1</v>
      </c>
      <c r="O23" s="1">
        <v>0</v>
      </c>
      <c r="P23" s="1">
        <v>0</v>
      </c>
      <c r="Q23" s="24">
        <f t="shared" si="0"/>
        <v>1</v>
      </c>
      <c r="R23" s="23">
        <v>0</v>
      </c>
      <c r="S23" s="1">
        <v>0</v>
      </c>
      <c r="T23" s="1">
        <v>0</v>
      </c>
      <c r="U23" s="1">
        <v>0</v>
      </c>
      <c r="V23" s="1">
        <v>0</v>
      </c>
      <c r="W23" s="1">
        <v>0</v>
      </c>
      <c r="X23" s="1">
        <v>0</v>
      </c>
      <c r="Y23" s="1">
        <v>0</v>
      </c>
      <c r="Z23" s="1">
        <v>0</v>
      </c>
      <c r="AA23" s="1">
        <v>0</v>
      </c>
      <c r="AB23" s="1">
        <v>0</v>
      </c>
      <c r="AC23" s="1">
        <v>0</v>
      </c>
      <c r="AD23" s="24">
        <f t="shared" si="1"/>
        <v>0</v>
      </c>
      <c r="AE23" s="23">
        <v>0</v>
      </c>
      <c r="AF23" s="1">
        <v>0</v>
      </c>
      <c r="AG23" s="1">
        <v>0</v>
      </c>
      <c r="AH23" s="1">
        <v>0</v>
      </c>
      <c r="AI23" s="1">
        <v>0</v>
      </c>
      <c r="AJ23" s="1">
        <v>0</v>
      </c>
      <c r="AK23" s="1">
        <v>0</v>
      </c>
      <c r="AL23" s="1">
        <v>0</v>
      </c>
      <c r="AM23" s="1">
        <v>0</v>
      </c>
      <c r="AN23" s="1">
        <v>110684</v>
      </c>
      <c r="AO23" s="1">
        <v>0</v>
      </c>
      <c r="AP23" s="1">
        <v>0</v>
      </c>
      <c r="AQ23" s="24">
        <f t="shared" si="2"/>
        <v>110684</v>
      </c>
    </row>
    <row r="24" spans="1:43" ht="17.25" customHeight="1" x14ac:dyDescent="0.45">
      <c r="A24" s="12" t="s">
        <v>326</v>
      </c>
      <c r="B24" s="12" t="s">
        <v>68</v>
      </c>
      <c r="C24" s="12" t="s">
        <v>28</v>
      </c>
      <c r="D24" s="12" t="s">
        <v>66</v>
      </c>
      <c r="E24" s="25">
        <v>0</v>
      </c>
      <c r="F24" s="10">
        <v>0</v>
      </c>
      <c r="G24" s="10">
        <v>0</v>
      </c>
      <c r="H24" s="10">
        <v>0</v>
      </c>
      <c r="I24" s="10">
        <v>0</v>
      </c>
      <c r="J24" s="10">
        <v>0</v>
      </c>
      <c r="K24" s="10">
        <v>0</v>
      </c>
      <c r="L24" s="10">
        <v>0</v>
      </c>
      <c r="M24" s="10">
        <v>0</v>
      </c>
      <c r="N24" s="10">
        <v>1</v>
      </c>
      <c r="O24" s="10">
        <v>0</v>
      </c>
      <c r="P24" s="10">
        <v>0</v>
      </c>
      <c r="Q24" s="26">
        <f t="shared" si="0"/>
        <v>1</v>
      </c>
      <c r="R24" s="25">
        <v>0</v>
      </c>
      <c r="S24" s="10">
        <v>0</v>
      </c>
      <c r="T24" s="10">
        <v>0</v>
      </c>
      <c r="U24" s="10">
        <v>0</v>
      </c>
      <c r="V24" s="10">
        <v>0</v>
      </c>
      <c r="W24" s="10">
        <v>0</v>
      </c>
      <c r="X24" s="10">
        <v>0</v>
      </c>
      <c r="Y24" s="10">
        <v>0</v>
      </c>
      <c r="Z24" s="10">
        <v>0</v>
      </c>
      <c r="AA24" s="10">
        <v>0</v>
      </c>
      <c r="AB24" s="10">
        <v>0</v>
      </c>
      <c r="AC24" s="10">
        <v>0</v>
      </c>
      <c r="AD24" s="26">
        <f t="shared" si="1"/>
        <v>0</v>
      </c>
      <c r="AE24" s="25">
        <v>0</v>
      </c>
      <c r="AF24" s="10">
        <v>0</v>
      </c>
      <c r="AG24" s="10">
        <v>0</v>
      </c>
      <c r="AH24" s="10">
        <v>0</v>
      </c>
      <c r="AI24" s="10">
        <v>0</v>
      </c>
      <c r="AJ24" s="10">
        <v>0</v>
      </c>
      <c r="AK24" s="10">
        <v>0</v>
      </c>
      <c r="AL24" s="10">
        <v>0</v>
      </c>
      <c r="AM24" s="10">
        <v>0</v>
      </c>
      <c r="AN24" s="10">
        <v>52348</v>
      </c>
      <c r="AO24" s="10">
        <v>0</v>
      </c>
      <c r="AP24" s="10">
        <v>0</v>
      </c>
      <c r="AQ24" s="26">
        <f t="shared" si="2"/>
        <v>52348</v>
      </c>
    </row>
    <row r="25" spans="1:43" ht="17.25" customHeight="1" x14ac:dyDescent="0.45">
      <c r="A25" s="2" t="s">
        <v>282</v>
      </c>
      <c r="B25" s="2" t="s">
        <v>68</v>
      </c>
      <c r="C25" s="2" t="s">
        <v>14</v>
      </c>
      <c r="D25" s="2" t="s">
        <v>66</v>
      </c>
      <c r="E25" s="23">
        <v>0</v>
      </c>
      <c r="F25" s="1">
        <v>0</v>
      </c>
      <c r="G25" s="1">
        <v>0</v>
      </c>
      <c r="H25" s="1">
        <v>1</v>
      </c>
      <c r="I25" s="1">
        <v>0</v>
      </c>
      <c r="J25" s="1">
        <v>0</v>
      </c>
      <c r="K25" s="1">
        <v>0</v>
      </c>
      <c r="L25" s="1">
        <v>0</v>
      </c>
      <c r="M25" s="1">
        <v>0</v>
      </c>
      <c r="N25" s="1">
        <v>0</v>
      </c>
      <c r="O25" s="1">
        <v>0</v>
      </c>
      <c r="P25" s="1">
        <v>0</v>
      </c>
      <c r="Q25" s="24">
        <f t="shared" si="0"/>
        <v>1</v>
      </c>
      <c r="R25" s="23">
        <v>0</v>
      </c>
      <c r="S25" s="1">
        <v>0</v>
      </c>
      <c r="T25" s="1">
        <v>0</v>
      </c>
      <c r="U25" s="1">
        <v>50</v>
      </c>
      <c r="V25" s="1">
        <v>0</v>
      </c>
      <c r="W25" s="1">
        <v>0</v>
      </c>
      <c r="X25" s="1">
        <v>0</v>
      </c>
      <c r="Y25" s="1">
        <v>0</v>
      </c>
      <c r="Z25" s="1">
        <v>0</v>
      </c>
      <c r="AA25" s="1">
        <v>0</v>
      </c>
      <c r="AB25" s="1">
        <v>0</v>
      </c>
      <c r="AC25" s="1">
        <v>0</v>
      </c>
      <c r="AD25" s="24">
        <f t="shared" si="1"/>
        <v>50</v>
      </c>
      <c r="AE25" s="23">
        <v>0</v>
      </c>
      <c r="AF25" s="1">
        <v>0</v>
      </c>
      <c r="AG25" s="1">
        <v>0</v>
      </c>
      <c r="AH25" s="1">
        <v>0</v>
      </c>
      <c r="AI25" s="1">
        <v>0</v>
      </c>
      <c r="AJ25" s="1">
        <v>0</v>
      </c>
      <c r="AK25" s="1">
        <v>0</v>
      </c>
      <c r="AL25" s="1">
        <v>0</v>
      </c>
      <c r="AM25" s="1">
        <v>0</v>
      </c>
      <c r="AN25" s="1">
        <v>0</v>
      </c>
      <c r="AO25" s="1">
        <v>0</v>
      </c>
      <c r="AP25" s="1">
        <v>0</v>
      </c>
      <c r="AQ25" s="24">
        <f t="shared" si="2"/>
        <v>0</v>
      </c>
    </row>
    <row r="26" spans="1:43" ht="17.25" customHeight="1" x14ac:dyDescent="0.45">
      <c r="A26" s="12" t="s">
        <v>82</v>
      </c>
      <c r="B26" s="12" t="s">
        <v>83</v>
      </c>
      <c r="C26" s="12" t="s">
        <v>10</v>
      </c>
      <c r="D26" s="12" t="s">
        <v>66</v>
      </c>
      <c r="E26" s="25">
        <v>0</v>
      </c>
      <c r="F26" s="10">
        <v>0</v>
      </c>
      <c r="G26" s="10">
        <v>0</v>
      </c>
      <c r="H26" s="10">
        <v>0</v>
      </c>
      <c r="I26" s="10">
        <v>0</v>
      </c>
      <c r="J26" s="10">
        <v>0</v>
      </c>
      <c r="K26" s="10">
        <v>0</v>
      </c>
      <c r="L26" s="10">
        <v>0</v>
      </c>
      <c r="M26" s="10">
        <v>0</v>
      </c>
      <c r="N26" s="10">
        <v>0</v>
      </c>
      <c r="O26" s="10">
        <v>1</v>
      </c>
      <c r="P26" s="10">
        <v>4</v>
      </c>
      <c r="Q26" s="26">
        <f t="shared" si="0"/>
        <v>5</v>
      </c>
      <c r="R26" s="25">
        <v>0</v>
      </c>
      <c r="S26" s="10">
        <v>0</v>
      </c>
      <c r="T26" s="10">
        <v>0</v>
      </c>
      <c r="U26" s="10">
        <v>0</v>
      </c>
      <c r="V26" s="10">
        <v>0</v>
      </c>
      <c r="W26" s="10">
        <v>0</v>
      </c>
      <c r="X26" s="10">
        <v>0</v>
      </c>
      <c r="Y26" s="10">
        <v>0</v>
      </c>
      <c r="Z26" s="10">
        <v>0</v>
      </c>
      <c r="AA26" s="10">
        <v>0</v>
      </c>
      <c r="AB26" s="10">
        <v>2</v>
      </c>
      <c r="AC26" s="10">
        <v>292</v>
      </c>
      <c r="AD26" s="26">
        <f t="shared" si="1"/>
        <v>294</v>
      </c>
      <c r="AE26" s="25">
        <v>0</v>
      </c>
      <c r="AF26" s="10">
        <v>0</v>
      </c>
      <c r="AG26" s="10">
        <v>0</v>
      </c>
      <c r="AH26" s="10">
        <v>0</v>
      </c>
      <c r="AI26" s="10">
        <v>0</v>
      </c>
      <c r="AJ26" s="10">
        <v>0</v>
      </c>
      <c r="AK26" s="10">
        <v>0</v>
      </c>
      <c r="AL26" s="10">
        <v>0</v>
      </c>
      <c r="AM26" s="10">
        <v>0</v>
      </c>
      <c r="AN26" s="10">
        <v>0</v>
      </c>
      <c r="AO26" s="10">
        <v>0</v>
      </c>
      <c r="AP26" s="10">
        <v>0</v>
      </c>
      <c r="AQ26" s="26">
        <f t="shared" si="2"/>
        <v>0</v>
      </c>
    </row>
    <row r="27" spans="1:43" ht="17.25" customHeight="1" x14ac:dyDescent="0.45">
      <c r="A27" s="2" t="s">
        <v>86</v>
      </c>
      <c r="B27" s="2" t="s">
        <v>87</v>
      </c>
      <c r="C27" s="2" t="s">
        <v>13</v>
      </c>
      <c r="D27" s="2" t="s">
        <v>66</v>
      </c>
      <c r="E27" s="23">
        <v>0</v>
      </c>
      <c r="F27" s="1">
        <v>0</v>
      </c>
      <c r="G27" s="1">
        <v>1</v>
      </c>
      <c r="H27" s="1">
        <v>0</v>
      </c>
      <c r="I27" s="1">
        <v>0</v>
      </c>
      <c r="J27" s="1">
        <v>0</v>
      </c>
      <c r="K27" s="1">
        <v>0</v>
      </c>
      <c r="L27" s="1">
        <v>0</v>
      </c>
      <c r="M27" s="1">
        <v>0</v>
      </c>
      <c r="N27" s="1">
        <v>0</v>
      </c>
      <c r="O27" s="1">
        <v>0</v>
      </c>
      <c r="P27" s="1">
        <v>0</v>
      </c>
      <c r="Q27" s="24">
        <f t="shared" si="0"/>
        <v>1</v>
      </c>
      <c r="R27" s="23">
        <v>0</v>
      </c>
      <c r="S27" s="1">
        <v>0</v>
      </c>
      <c r="T27" s="1">
        <v>0</v>
      </c>
      <c r="U27" s="1">
        <v>0</v>
      </c>
      <c r="V27" s="1">
        <v>0</v>
      </c>
      <c r="W27" s="1">
        <v>0</v>
      </c>
      <c r="X27" s="1">
        <v>0</v>
      </c>
      <c r="Y27" s="1">
        <v>0</v>
      </c>
      <c r="Z27" s="1">
        <v>0</v>
      </c>
      <c r="AA27" s="1">
        <v>0</v>
      </c>
      <c r="AB27" s="1">
        <v>0</v>
      </c>
      <c r="AC27" s="1">
        <v>0</v>
      </c>
      <c r="AD27" s="24">
        <f t="shared" si="1"/>
        <v>0</v>
      </c>
      <c r="AE27" s="23">
        <v>0</v>
      </c>
      <c r="AF27" s="1">
        <v>0</v>
      </c>
      <c r="AG27" s="1">
        <v>25631</v>
      </c>
      <c r="AH27" s="1">
        <v>0</v>
      </c>
      <c r="AI27" s="1">
        <v>0</v>
      </c>
      <c r="AJ27" s="1">
        <v>0</v>
      </c>
      <c r="AK27" s="1">
        <v>0</v>
      </c>
      <c r="AL27" s="1">
        <v>0</v>
      </c>
      <c r="AM27" s="1">
        <v>0</v>
      </c>
      <c r="AN27" s="1">
        <v>0</v>
      </c>
      <c r="AO27" s="1">
        <v>0</v>
      </c>
      <c r="AP27" s="1">
        <v>0</v>
      </c>
      <c r="AQ27" s="24">
        <f t="shared" si="2"/>
        <v>25631</v>
      </c>
    </row>
    <row r="28" spans="1:43" ht="17.25" customHeight="1" x14ac:dyDescent="0.45">
      <c r="A28" s="12" t="s">
        <v>86</v>
      </c>
      <c r="B28" s="12" t="s">
        <v>87</v>
      </c>
      <c r="C28" s="12" t="s">
        <v>14</v>
      </c>
      <c r="D28" s="12" t="s">
        <v>66</v>
      </c>
      <c r="E28" s="25">
        <v>0</v>
      </c>
      <c r="F28" s="10">
        <v>0</v>
      </c>
      <c r="G28" s="10">
        <v>0</v>
      </c>
      <c r="H28" s="10">
        <v>0</v>
      </c>
      <c r="I28" s="10">
        <v>1</v>
      </c>
      <c r="J28" s="10">
        <v>0</v>
      </c>
      <c r="K28" s="10">
        <v>0</v>
      </c>
      <c r="L28" s="10">
        <v>0</v>
      </c>
      <c r="M28" s="10">
        <v>0</v>
      </c>
      <c r="N28" s="10">
        <v>1</v>
      </c>
      <c r="O28" s="10">
        <v>0</v>
      </c>
      <c r="P28" s="10">
        <v>1</v>
      </c>
      <c r="Q28" s="26">
        <f t="shared" si="0"/>
        <v>3</v>
      </c>
      <c r="R28" s="25">
        <v>0</v>
      </c>
      <c r="S28" s="10">
        <v>0</v>
      </c>
      <c r="T28" s="10">
        <v>0</v>
      </c>
      <c r="U28" s="10">
        <v>0</v>
      </c>
      <c r="V28" s="10">
        <v>8</v>
      </c>
      <c r="W28" s="10">
        <v>0</v>
      </c>
      <c r="X28" s="10">
        <v>0</v>
      </c>
      <c r="Y28" s="10">
        <v>0</v>
      </c>
      <c r="Z28" s="10">
        <v>0</v>
      </c>
      <c r="AA28" s="10">
        <v>0</v>
      </c>
      <c r="AB28" s="10">
        <v>0</v>
      </c>
      <c r="AC28" s="10">
        <v>0</v>
      </c>
      <c r="AD28" s="26">
        <f t="shared" si="1"/>
        <v>8</v>
      </c>
      <c r="AE28" s="25">
        <v>0</v>
      </c>
      <c r="AF28" s="10">
        <v>0</v>
      </c>
      <c r="AG28" s="10">
        <v>0</v>
      </c>
      <c r="AH28" s="10">
        <v>0</v>
      </c>
      <c r="AI28" s="10">
        <v>0</v>
      </c>
      <c r="AJ28" s="10">
        <v>0</v>
      </c>
      <c r="AK28" s="10">
        <v>0</v>
      </c>
      <c r="AL28" s="10">
        <v>0</v>
      </c>
      <c r="AM28" s="10">
        <v>0</v>
      </c>
      <c r="AN28" s="10">
        <v>303</v>
      </c>
      <c r="AO28" s="10">
        <v>0</v>
      </c>
      <c r="AP28" s="10">
        <v>82794</v>
      </c>
      <c r="AQ28" s="26">
        <f t="shared" si="2"/>
        <v>83097</v>
      </c>
    </row>
    <row r="29" spans="1:43" ht="17.25" customHeight="1" x14ac:dyDescent="0.45">
      <c r="A29" s="2" t="s">
        <v>336</v>
      </c>
      <c r="B29" s="2" t="s">
        <v>89</v>
      </c>
      <c r="C29" s="2" t="s">
        <v>10</v>
      </c>
      <c r="D29" s="2" t="s">
        <v>66</v>
      </c>
      <c r="E29" s="23">
        <v>0</v>
      </c>
      <c r="F29" s="1">
        <v>0</v>
      </c>
      <c r="G29" s="1">
        <v>0</v>
      </c>
      <c r="H29" s="1">
        <v>0</v>
      </c>
      <c r="I29" s="1">
        <v>0</v>
      </c>
      <c r="J29" s="1">
        <v>0</v>
      </c>
      <c r="K29" s="1">
        <v>0</v>
      </c>
      <c r="L29" s="1">
        <v>0</v>
      </c>
      <c r="M29" s="1">
        <v>0</v>
      </c>
      <c r="N29" s="1">
        <v>0</v>
      </c>
      <c r="O29" s="1">
        <v>1</v>
      </c>
      <c r="P29" s="1">
        <v>0</v>
      </c>
      <c r="Q29" s="24">
        <f t="shared" si="0"/>
        <v>1</v>
      </c>
      <c r="R29" s="23">
        <v>0</v>
      </c>
      <c r="S29" s="1">
        <v>0</v>
      </c>
      <c r="T29" s="1">
        <v>0</v>
      </c>
      <c r="U29" s="1">
        <v>0</v>
      </c>
      <c r="V29" s="1">
        <v>0</v>
      </c>
      <c r="W29" s="1">
        <v>0</v>
      </c>
      <c r="X29" s="1">
        <v>0</v>
      </c>
      <c r="Y29" s="1">
        <v>0</v>
      </c>
      <c r="Z29" s="1">
        <v>0</v>
      </c>
      <c r="AA29" s="1">
        <v>0</v>
      </c>
      <c r="AB29" s="1">
        <v>102</v>
      </c>
      <c r="AC29" s="1">
        <v>0</v>
      </c>
      <c r="AD29" s="24">
        <f t="shared" si="1"/>
        <v>102</v>
      </c>
      <c r="AE29" s="23">
        <v>0</v>
      </c>
      <c r="AF29" s="1">
        <v>0</v>
      </c>
      <c r="AG29" s="1">
        <v>0</v>
      </c>
      <c r="AH29" s="1">
        <v>0</v>
      </c>
      <c r="AI29" s="1">
        <v>0</v>
      </c>
      <c r="AJ29" s="1">
        <v>0</v>
      </c>
      <c r="AK29" s="1">
        <v>0</v>
      </c>
      <c r="AL29" s="1">
        <v>0</v>
      </c>
      <c r="AM29" s="1">
        <v>0</v>
      </c>
      <c r="AN29" s="1">
        <v>0</v>
      </c>
      <c r="AO29" s="1">
        <v>0</v>
      </c>
      <c r="AP29" s="1">
        <v>0</v>
      </c>
      <c r="AQ29" s="24">
        <f t="shared" si="2"/>
        <v>0</v>
      </c>
    </row>
    <row r="30" spans="1:43" ht="17.25" customHeight="1" x14ac:dyDescent="0.45">
      <c r="A30" s="12" t="s">
        <v>92</v>
      </c>
      <c r="B30" s="12" t="s">
        <v>93</v>
      </c>
      <c r="C30" s="12" t="s">
        <v>14</v>
      </c>
      <c r="D30" s="12" t="s">
        <v>66</v>
      </c>
      <c r="E30" s="25">
        <v>0</v>
      </c>
      <c r="F30" s="10">
        <v>0</v>
      </c>
      <c r="G30" s="10">
        <v>0</v>
      </c>
      <c r="H30" s="10">
        <v>0</v>
      </c>
      <c r="I30" s="10">
        <v>0</v>
      </c>
      <c r="J30" s="10">
        <v>0</v>
      </c>
      <c r="K30" s="10">
        <v>0</v>
      </c>
      <c r="L30" s="10">
        <v>0</v>
      </c>
      <c r="M30" s="10">
        <v>0</v>
      </c>
      <c r="N30" s="10">
        <v>1</v>
      </c>
      <c r="O30" s="10">
        <v>0</v>
      </c>
      <c r="P30" s="10">
        <v>0</v>
      </c>
      <c r="Q30" s="26">
        <f t="shared" si="0"/>
        <v>1</v>
      </c>
      <c r="R30" s="25">
        <v>0</v>
      </c>
      <c r="S30" s="10">
        <v>0</v>
      </c>
      <c r="T30" s="10">
        <v>0</v>
      </c>
      <c r="U30" s="10">
        <v>0</v>
      </c>
      <c r="V30" s="10">
        <v>0</v>
      </c>
      <c r="W30" s="10">
        <v>0</v>
      </c>
      <c r="X30" s="10">
        <v>0</v>
      </c>
      <c r="Y30" s="10">
        <v>0</v>
      </c>
      <c r="Z30" s="10">
        <v>0</v>
      </c>
      <c r="AA30" s="10">
        <v>0</v>
      </c>
      <c r="AB30" s="10">
        <v>0</v>
      </c>
      <c r="AC30" s="10">
        <v>0</v>
      </c>
      <c r="AD30" s="26">
        <f t="shared" si="1"/>
        <v>0</v>
      </c>
      <c r="AE30" s="25">
        <v>0</v>
      </c>
      <c r="AF30" s="10">
        <v>0</v>
      </c>
      <c r="AG30" s="10">
        <v>0</v>
      </c>
      <c r="AH30" s="10">
        <v>0</v>
      </c>
      <c r="AI30" s="10">
        <v>0</v>
      </c>
      <c r="AJ30" s="10">
        <v>0</v>
      </c>
      <c r="AK30" s="10">
        <v>0</v>
      </c>
      <c r="AL30" s="10">
        <v>0</v>
      </c>
      <c r="AM30" s="10">
        <v>0</v>
      </c>
      <c r="AN30" s="10">
        <v>102053</v>
      </c>
      <c r="AO30" s="10">
        <v>0</v>
      </c>
      <c r="AP30" s="10">
        <v>0</v>
      </c>
      <c r="AQ30" s="26">
        <f t="shared" si="2"/>
        <v>102053</v>
      </c>
    </row>
    <row r="31" spans="1:43" ht="17.25" customHeight="1" x14ac:dyDescent="0.45">
      <c r="A31" s="2" t="s">
        <v>258</v>
      </c>
      <c r="B31" s="2" t="s">
        <v>68</v>
      </c>
      <c r="C31" s="2" t="s">
        <v>10</v>
      </c>
      <c r="D31" s="2" t="s">
        <v>66</v>
      </c>
      <c r="E31" s="23">
        <v>0</v>
      </c>
      <c r="F31" s="1">
        <v>2</v>
      </c>
      <c r="G31" s="1">
        <v>5</v>
      </c>
      <c r="H31" s="1">
        <v>1</v>
      </c>
      <c r="I31" s="1">
        <v>0</v>
      </c>
      <c r="J31" s="1">
        <v>0</v>
      </c>
      <c r="K31" s="1">
        <v>0</v>
      </c>
      <c r="L31" s="1">
        <v>0</v>
      </c>
      <c r="M31" s="1">
        <v>0</v>
      </c>
      <c r="N31" s="1">
        <v>0</v>
      </c>
      <c r="O31" s="1">
        <v>0</v>
      </c>
      <c r="P31" s="1">
        <v>0</v>
      </c>
      <c r="Q31" s="24">
        <f t="shared" si="0"/>
        <v>8</v>
      </c>
      <c r="R31" s="23">
        <v>0</v>
      </c>
      <c r="S31" s="1">
        <v>231</v>
      </c>
      <c r="T31" s="1">
        <v>575</v>
      </c>
      <c r="U31" s="1">
        <v>100</v>
      </c>
      <c r="V31" s="1">
        <v>0</v>
      </c>
      <c r="W31" s="1">
        <v>0</v>
      </c>
      <c r="X31" s="1">
        <v>0</v>
      </c>
      <c r="Y31" s="1">
        <v>0</v>
      </c>
      <c r="Z31" s="1">
        <v>0</v>
      </c>
      <c r="AA31" s="1">
        <v>0</v>
      </c>
      <c r="AB31" s="1">
        <v>0</v>
      </c>
      <c r="AC31" s="1">
        <v>0</v>
      </c>
      <c r="AD31" s="24">
        <f t="shared" si="1"/>
        <v>906</v>
      </c>
      <c r="AE31" s="23">
        <v>0</v>
      </c>
      <c r="AF31" s="1">
        <v>0</v>
      </c>
      <c r="AG31" s="1">
        <v>0</v>
      </c>
      <c r="AH31" s="1">
        <v>0</v>
      </c>
      <c r="AI31" s="1">
        <v>0</v>
      </c>
      <c r="AJ31" s="1">
        <v>0</v>
      </c>
      <c r="AK31" s="1">
        <v>0</v>
      </c>
      <c r="AL31" s="1">
        <v>0</v>
      </c>
      <c r="AM31" s="1">
        <v>0</v>
      </c>
      <c r="AN31" s="1">
        <v>0</v>
      </c>
      <c r="AO31" s="1">
        <v>0</v>
      </c>
      <c r="AP31" s="1">
        <v>0</v>
      </c>
      <c r="AQ31" s="24">
        <f t="shared" si="2"/>
        <v>0</v>
      </c>
    </row>
    <row r="32" spans="1:43" ht="17.25" customHeight="1" x14ac:dyDescent="0.45">
      <c r="A32" s="12" t="s">
        <v>249</v>
      </c>
      <c r="B32" s="12" t="s">
        <v>68</v>
      </c>
      <c r="C32" s="12" t="s">
        <v>32</v>
      </c>
      <c r="D32" s="12" t="s">
        <v>66</v>
      </c>
      <c r="E32" s="25">
        <v>1</v>
      </c>
      <c r="F32" s="10">
        <v>0</v>
      </c>
      <c r="G32" s="10">
        <v>0</v>
      </c>
      <c r="H32" s="10">
        <v>0</v>
      </c>
      <c r="I32" s="10">
        <v>0</v>
      </c>
      <c r="J32" s="10">
        <v>0</v>
      </c>
      <c r="K32" s="10">
        <v>0</v>
      </c>
      <c r="L32" s="10">
        <v>0</v>
      </c>
      <c r="M32" s="10">
        <v>0</v>
      </c>
      <c r="N32" s="10">
        <v>0</v>
      </c>
      <c r="O32" s="10">
        <v>0</v>
      </c>
      <c r="P32" s="10">
        <v>0</v>
      </c>
      <c r="Q32" s="26">
        <f t="shared" si="0"/>
        <v>1</v>
      </c>
      <c r="R32" s="25">
        <v>26</v>
      </c>
      <c r="S32" s="10">
        <v>0</v>
      </c>
      <c r="T32" s="10">
        <v>0</v>
      </c>
      <c r="U32" s="10">
        <v>0</v>
      </c>
      <c r="V32" s="10">
        <v>0</v>
      </c>
      <c r="W32" s="10">
        <v>0</v>
      </c>
      <c r="X32" s="10">
        <v>0</v>
      </c>
      <c r="Y32" s="10">
        <v>0</v>
      </c>
      <c r="Z32" s="10">
        <v>0</v>
      </c>
      <c r="AA32" s="10">
        <v>0</v>
      </c>
      <c r="AB32" s="10">
        <v>0</v>
      </c>
      <c r="AC32" s="10">
        <v>0</v>
      </c>
      <c r="AD32" s="26">
        <f t="shared" si="1"/>
        <v>26</v>
      </c>
      <c r="AE32" s="25">
        <v>0</v>
      </c>
      <c r="AF32" s="10">
        <v>0</v>
      </c>
      <c r="AG32" s="10">
        <v>0</v>
      </c>
      <c r="AH32" s="10">
        <v>0</v>
      </c>
      <c r="AI32" s="10">
        <v>0</v>
      </c>
      <c r="AJ32" s="10">
        <v>0</v>
      </c>
      <c r="AK32" s="10">
        <v>0</v>
      </c>
      <c r="AL32" s="10">
        <v>0</v>
      </c>
      <c r="AM32" s="10">
        <v>0</v>
      </c>
      <c r="AN32" s="10">
        <v>0</v>
      </c>
      <c r="AO32" s="10">
        <v>0</v>
      </c>
      <c r="AP32" s="10">
        <v>0</v>
      </c>
      <c r="AQ32" s="26">
        <f t="shared" si="2"/>
        <v>0</v>
      </c>
    </row>
    <row r="33" spans="1:43" ht="17.25" customHeight="1" x14ac:dyDescent="0.45">
      <c r="A33" s="2" t="s">
        <v>292</v>
      </c>
      <c r="B33" s="2" t="s">
        <v>87</v>
      </c>
      <c r="C33" s="2" t="s">
        <v>14</v>
      </c>
      <c r="D33" s="2" t="s">
        <v>66</v>
      </c>
      <c r="E33" s="23">
        <v>0</v>
      </c>
      <c r="F33" s="1">
        <v>0</v>
      </c>
      <c r="G33" s="1">
        <v>0</v>
      </c>
      <c r="H33" s="1">
        <v>0</v>
      </c>
      <c r="I33" s="1">
        <v>1</v>
      </c>
      <c r="J33" s="1">
        <v>0</v>
      </c>
      <c r="K33" s="1">
        <v>0</v>
      </c>
      <c r="L33" s="1">
        <v>0</v>
      </c>
      <c r="M33" s="1">
        <v>0</v>
      </c>
      <c r="N33" s="1">
        <v>0</v>
      </c>
      <c r="O33" s="1">
        <v>0</v>
      </c>
      <c r="P33" s="1">
        <v>0</v>
      </c>
      <c r="Q33" s="24">
        <f t="shared" si="0"/>
        <v>1</v>
      </c>
      <c r="R33" s="23">
        <v>0</v>
      </c>
      <c r="S33" s="1">
        <v>0</v>
      </c>
      <c r="T33" s="1">
        <v>0</v>
      </c>
      <c r="U33" s="1">
        <v>0</v>
      </c>
      <c r="V33" s="1">
        <v>0</v>
      </c>
      <c r="W33" s="1">
        <v>0</v>
      </c>
      <c r="X33" s="1">
        <v>0</v>
      </c>
      <c r="Y33" s="1">
        <v>0</v>
      </c>
      <c r="Z33" s="1">
        <v>0</v>
      </c>
      <c r="AA33" s="1">
        <v>0</v>
      </c>
      <c r="AB33" s="1">
        <v>0</v>
      </c>
      <c r="AC33" s="1">
        <v>0</v>
      </c>
      <c r="AD33" s="24">
        <f t="shared" si="1"/>
        <v>0</v>
      </c>
      <c r="AE33" s="23">
        <v>0</v>
      </c>
      <c r="AF33" s="1">
        <v>0</v>
      </c>
      <c r="AG33" s="1">
        <v>0</v>
      </c>
      <c r="AH33" s="1">
        <v>0</v>
      </c>
      <c r="AI33" s="1">
        <v>15825</v>
      </c>
      <c r="AJ33" s="1">
        <v>0</v>
      </c>
      <c r="AK33" s="1">
        <v>0</v>
      </c>
      <c r="AL33" s="1">
        <v>0</v>
      </c>
      <c r="AM33" s="1">
        <v>0</v>
      </c>
      <c r="AN33" s="1">
        <v>0</v>
      </c>
      <c r="AO33" s="1">
        <v>0</v>
      </c>
      <c r="AP33" s="1">
        <v>0</v>
      </c>
      <c r="AQ33" s="24">
        <f t="shared" si="2"/>
        <v>15825</v>
      </c>
    </row>
    <row r="34" spans="1:43" ht="17.25" customHeight="1" x14ac:dyDescent="0.45">
      <c r="A34" s="12" t="s">
        <v>381</v>
      </c>
      <c r="B34" s="12" t="s">
        <v>68</v>
      </c>
      <c r="C34" s="12" t="s">
        <v>48</v>
      </c>
      <c r="D34" s="12" t="s">
        <v>66</v>
      </c>
      <c r="E34" s="25">
        <v>0</v>
      </c>
      <c r="F34" s="10">
        <v>0</v>
      </c>
      <c r="G34" s="10">
        <v>0</v>
      </c>
      <c r="H34" s="10">
        <v>0</v>
      </c>
      <c r="I34" s="10">
        <v>0</v>
      </c>
      <c r="J34" s="10">
        <v>0</v>
      </c>
      <c r="K34" s="10">
        <v>0</v>
      </c>
      <c r="L34" s="10">
        <v>0</v>
      </c>
      <c r="M34" s="10">
        <v>0</v>
      </c>
      <c r="N34" s="10">
        <v>0</v>
      </c>
      <c r="O34" s="10">
        <v>0</v>
      </c>
      <c r="P34" s="10">
        <v>1</v>
      </c>
      <c r="Q34" s="26">
        <f t="shared" si="0"/>
        <v>1</v>
      </c>
      <c r="R34" s="25">
        <v>0</v>
      </c>
      <c r="S34" s="10">
        <v>0</v>
      </c>
      <c r="T34" s="10">
        <v>0</v>
      </c>
      <c r="U34" s="10">
        <v>0</v>
      </c>
      <c r="V34" s="10">
        <v>0</v>
      </c>
      <c r="W34" s="10">
        <v>0</v>
      </c>
      <c r="X34" s="10">
        <v>0</v>
      </c>
      <c r="Y34" s="10">
        <v>0</v>
      </c>
      <c r="Z34" s="10">
        <v>0</v>
      </c>
      <c r="AA34" s="10">
        <v>0</v>
      </c>
      <c r="AB34" s="10">
        <v>0</v>
      </c>
      <c r="AC34" s="10">
        <v>6</v>
      </c>
      <c r="AD34" s="26">
        <f t="shared" si="1"/>
        <v>6</v>
      </c>
      <c r="AE34" s="25">
        <v>0</v>
      </c>
      <c r="AF34" s="10">
        <v>0</v>
      </c>
      <c r="AG34" s="10">
        <v>0</v>
      </c>
      <c r="AH34" s="10">
        <v>0</v>
      </c>
      <c r="AI34" s="10">
        <v>0</v>
      </c>
      <c r="AJ34" s="10">
        <v>0</v>
      </c>
      <c r="AK34" s="10">
        <v>0</v>
      </c>
      <c r="AL34" s="10">
        <v>0</v>
      </c>
      <c r="AM34" s="10">
        <v>0</v>
      </c>
      <c r="AN34" s="10">
        <v>0</v>
      </c>
      <c r="AO34" s="10">
        <v>0</v>
      </c>
      <c r="AP34" s="10">
        <v>0</v>
      </c>
      <c r="AQ34" s="26">
        <f t="shared" si="2"/>
        <v>0</v>
      </c>
    </row>
    <row r="35" spans="1:43" ht="17.25" customHeight="1" x14ac:dyDescent="0.45">
      <c r="A35" s="2" t="s">
        <v>197</v>
      </c>
      <c r="B35" s="2" t="s">
        <v>89</v>
      </c>
      <c r="C35" s="2" t="s">
        <v>28</v>
      </c>
      <c r="D35" s="2" t="s">
        <v>66</v>
      </c>
      <c r="E35" s="23">
        <v>0</v>
      </c>
      <c r="F35" s="1">
        <v>0</v>
      </c>
      <c r="G35" s="1">
        <v>0</v>
      </c>
      <c r="H35" s="1">
        <v>1</v>
      </c>
      <c r="I35" s="1">
        <v>0</v>
      </c>
      <c r="J35" s="1">
        <v>0</v>
      </c>
      <c r="K35" s="1">
        <v>0</v>
      </c>
      <c r="L35" s="1">
        <v>0</v>
      </c>
      <c r="M35" s="1">
        <v>0</v>
      </c>
      <c r="N35" s="1">
        <v>0</v>
      </c>
      <c r="O35" s="1">
        <v>0</v>
      </c>
      <c r="P35" s="1">
        <v>0</v>
      </c>
      <c r="Q35" s="24">
        <f t="shared" si="0"/>
        <v>1</v>
      </c>
      <c r="R35" s="23">
        <v>0</v>
      </c>
      <c r="S35" s="1">
        <v>0</v>
      </c>
      <c r="T35" s="1">
        <v>0</v>
      </c>
      <c r="U35" s="1">
        <v>0</v>
      </c>
      <c r="V35" s="1">
        <v>0</v>
      </c>
      <c r="W35" s="1">
        <v>0</v>
      </c>
      <c r="X35" s="1">
        <v>0</v>
      </c>
      <c r="Y35" s="1">
        <v>0</v>
      </c>
      <c r="Z35" s="1">
        <v>0</v>
      </c>
      <c r="AA35" s="1">
        <v>0</v>
      </c>
      <c r="AB35" s="1">
        <v>0</v>
      </c>
      <c r="AC35" s="1">
        <v>0</v>
      </c>
      <c r="AD35" s="24">
        <f t="shared" si="1"/>
        <v>0</v>
      </c>
      <c r="AE35" s="23">
        <v>0</v>
      </c>
      <c r="AF35" s="1">
        <v>0</v>
      </c>
      <c r="AG35" s="1">
        <v>0</v>
      </c>
      <c r="AH35" s="1">
        <v>6086</v>
      </c>
      <c r="AI35" s="1">
        <v>0</v>
      </c>
      <c r="AJ35" s="1">
        <v>0</v>
      </c>
      <c r="AK35" s="1">
        <v>0</v>
      </c>
      <c r="AL35" s="1">
        <v>0</v>
      </c>
      <c r="AM35" s="1">
        <v>0</v>
      </c>
      <c r="AN35" s="1">
        <v>0</v>
      </c>
      <c r="AO35" s="1">
        <v>0</v>
      </c>
      <c r="AP35" s="1">
        <v>0</v>
      </c>
      <c r="AQ35" s="24">
        <f t="shared" si="2"/>
        <v>6086</v>
      </c>
    </row>
    <row r="36" spans="1:43" ht="17.25" customHeight="1" x14ac:dyDescent="0.45">
      <c r="A36" s="12" t="s">
        <v>197</v>
      </c>
      <c r="B36" s="12" t="s">
        <v>89</v>
      </c>
      <c r="C36" s="12" t="s">
        <v>14</v>
      </c>
      <c r="D36" s="12" t="s">
        <v>66</v>
      </c>
      <c r="E36" s="25">
        <v>0</v>
      </c>
      <c r="F36" s="10">
        <v>0</v>
      </c>
      <c r="G36" s="10">
        <v>1</v>
      </c>
      <c r="H36" s="10">
        <v>0</v>
      </c>
      <c r="I36" s="10">
        <v>0</v>
      </c>
      <c r="J36" s="10">
        <v>0</v>
      </c>
      <c r="K36" s="10">
        <v>0</v>
      </c>
      <c r="L36" s="10">
        <v>0</v>
      </c>
      <c r="M36" s="10">
        <v>0</v>
      </c>
      <c r="N36" s="10">
        <v>4</v>
      </c>
      <c r="O36" s="10">
        <v>1</v>
      </c>
      <c r="P36" s="10">
        <v>1</v>
      </c>
      <c r="Q36" s="26">
        <f t="shared" si="0"/>
        <v>7</v>
      </c>
      <c r="R36" s="25">
        <v>0</v>
      </c>
      <c r="S36" s="10">
        <v>0</v>
      </c>
      <c r="T36" s="10">
        <v>0</v>
      </c>
      <c r="U36" s="10">
        <v>0</v>
      </c>
      <c r="V36" s="10">
        <v>0</v>
      </c>
      <c r="W36" s="10">
        <v>0</v>
      </c>
      <c r="X36" s="10">
        <v>0</v>
      </c>
      <c r="Y36" s="10">
        <v>0</v>
      </c>
      <c r="Z36" s="10">
        <v>0</v>
      </c>
      <c r="AA36" s="10">
        <v>0</v>
      </c>
      <c r="AB36" s="10">
        <v>0</v>
      </c>
      <c r="AC36" s="10">
        <v>0</v>
      </c>
      <c r="AD36" s="26">
        <f t="shared" si="1"/>
        <v>0</v>
      </c>
      <c r="AE36" s="25">
        <v>0</v>
      </c>
      <c r="AF36" s="10">
        <v>0</v>
      </c>
      <c r="AG36" s="10">
        <v>45920</v>
      </c>
      <c r="AH36" s="10">
        <v>0</v>
      </c>
      <c r="AI36" s="10">
        <v>0</v>
      </c>
      <c r="AJ36" s="10">
        <v>0</v>
      </c>
      <c r="AK36" s="10">
        <v>0</v>
      </c>
      <c r="AL36" s="10">
        <v>0</v>
      </c>
      <c r="AM36" s="10">
        <v>0</v>
      </c>
      <c r="AN36" s="10">
        <v>120027</v>
      </c>
      <c r="AO36" s="10">
        <v>88887</v>
      </c>
      <c r="AP36" s="10">
        <v>107352</v>
      </c>
      <c r="AQ36" s="26">
        <f t="shared" si="2"/>
        <v>362186</v>
      </c>
    </row>
    <row r="37" spans="1:43" ht="17.25" customHeight="1" x14ac:dyDescent="0.45">
      <c r="A37" s="2" t="s">
        <v>10</v>
      </c>
      <c r="B37" s="2" t="s">
        <v>66</v>
      </c>
      <c r="C37" s="2" t="s">
        <v>82</v>
      </c>
      <c r="D37" s="2" t="s">
        <v>83</v>
      </c>
      <c r="E37" s="23">
        <v>0</v>
      </c>
      <c r="F37" s="1">
        <v>0</v>
      </c>
      <c r="G37" s="1">
        <v>0</v>
      </c>
      <c r="H37" s="1">
        <v>0</v>
      </c>
      <c r="I37" s="1">
        <v>0</v>
      </c>
      <c r="J37" s="1">
        <v>0</v>
      </c>
      <c r="K37" s="1">
        <v>0</v>
      </c>
      <c r="L37" s="1">
        <v>0</v>
      </c>
      <c r="M37" s="1">
        <v>0</v>
      </c>
      <c r="N37" s="1">
        <v>0</v>
      </c>
      <c r="O37" s="1">
        <v>1</v>
      </c>
      <c r="P37" s="1">
        <v>4</v>
      </c>
      <c r="Q37" s="24">
        <f t="shared" si="0"/>
        <v>5</v>
      </c>
      <c r="R37" s="23">
        <v>0</v>
      </c>
      <c r="S37" s="1">
        <v>0</v>
      </c>
      <c r="T37" s="1">
        <v>0</v>
      </c>
      <c r="U37" s="1">
        <v>0</v>
      </c>
      <c r="V37" s="1">
        <v>0</v>
      </c>
      <c r="W37" s="1">
        <v>0</v>
      </c>
      <c r="X37" s="1">
        <v>0</v>
      </c>
      <c r="Y37" s="1">
        <v>0</v>
      </c>
      <c r="Z37" s="1">
        <v>0</v>
      </c>
      <c r="AA37" s="1">
        <v>0</v>
      </c>
      <c r="AB37" s="1">
        <v>82</v>
      </c>
      <c r="AC37" s="1">
        <v>326</v>
      </c>
      <c r="AD37" s="24">
        <f t="shared" si="1"/>
        <v>408</v>
      </c>
      <c r="AE37" s="23">
        <v>0</v>
      </c>
      <c r="AF37" s="1">
        <v>0</v>
      </c>
      <c r="AG37" s="1">
        <v>0</v>
      </c>
      <c r="AH37" s="1">
        <v>0</v>
      </c>
      <c r="AI37" s="1">
        <v>0</v>
      </c>
      <c r="AJ37" s="1">
        <v>0</v>
      </c>
      <c r="AK37" s="1">
        <v>0</v>
      </c>
      <c r="AL37" s="1">
        <v>0</v>
      </c>
      <c r="AM37" s="1">
        <v>0</v>
      </c>
      <c r="AN37" s="1">
        <v>0</v>
      </c>
      <c r="AO37" s="1">
        <v>0</v>
      </c>
      <c r="AP37" s="1">
        <v>0</v>
      </c>
      <c r="AQ37" s="24">
        <f t="shared" si="2"/>
        <v>0</v>
      </c>
    </row>
    <row r="38" spans="1:43" ht="17.25" customHeight="1" x14ac:dyDescent="0.45">
      <c r="A38" s="12" t="s">
        <v>10</v>
      </c>
      <c r="B38" s="12" t="s">
        <v>66</v>
      </c>
      <c r="C38" s="12" t="s">
        <v>336</v>
      </c>
      <c r="D38" s="12" t="s">
        <v>89</v>
      </c>
      <c r="E38" s="25">
        <v>0</v>
      </c>
      <c r="F38" s="10">
        <v>0</v>
      </c>
      <c r="G38" s="10">
        <v>0</v>
      </c>
      <c r="H38" s="10">
        <v>0</v>
      </c>
      <c r="I38" s="10">
        <v>0</v>
      </c>
      <c r="J38" s="10">
        <v>0</v>
      </c>
      <c r="K38" s="10">
        <v>0</v>
      </c>
      <c r="L38" s="10">
        <v>0</v>
      </c>
      <c r="M38" s="10">
        <v>0</v>
      </c>
      <c r="N38" s="10">
        <v>0</v>
      </c>
      <c r="O38" s="10">
        <v>1</v>
      </c>
      <c r="P38" s="10">
        <v>0</v>
      </c>
      <c r="Q38" s="26">
        <f t="shared" si="0"/>
        <v>1</v>
      </c>
      <c r="R38" s="25">
        <v>0</v>
      </c>
      <c r="S38" s="10">
        <v>0</v>
      </c>
      <c r="T38" s="10">
        <v>0</v>
      </c>
      <c r="U38" s="10">
        <v>0</v>
      </c>
      <c r="V38" s="10">
        <v>0</v>
      </c>
      <c r="W38" s="10">
        <v>0</v>
      </c>
      <c r="X38" s="10">
        <v>0</v>
      </c>
      <c r="Y38" s="10">
        <v>0</v>
      </c>
      <c r="Z38" s="10">
        <v>0</v>
      </c>
      <c r="AA38" s="10">
        <v>0</v>
      </c>
      <c r="AB38" s="10">
        <v>114</v>
      </c>
      <c r="AC38" s="10">
        <v>0</v>
      </c>
      <c r="AD38" s="26">
        <f t="shared" si="1"/>
        <v>114</v>
      </c>
      <c r="AE38" s="25">
        <v>0</v>
      </c>
      <c r="AF38" s="10">
        <v>0</v>
      </c>
      <c r="AG38" s="10">
        <v>0</v>
      </c>
      <c r="AH38" s="10">
        <v>0</v>
      </c>
      <c r="AI38" s="10">
        <v>0</v>
      </c>
      <c r="AJ38" s="10">
        <v>0</v>
      </c>
      <c r="AK38" s="10">
        <v>0</v>
      </c>
      <c r="AL38" s="10">
        <v>0</v>
      </c>
      <c r="AM38" s="10">
        <v>0</v>
      </c>
      <c r="AN38" s="10">
        <v>0</v>
      </c>
      <c r="AO38" s="10">
        <v>0</v>
      </c>
      <c r="AP38" s="10">
        <v>0</v>
      </c>
      <c r="AQ38" s="26">
        <f t="shared" si="2"/>
        <v>0</v>
      </c>
    </row>
    <row r="39" spans="1:43" ht="17.25" customHeight="1" x14ac:dyDescent="0.45">
      <c r="A39" s="2" t="s">
        <v>10</v>
      </c>
      <c r="B39" s="2" t="s">
        <v>66</v>
      </c>
      <c r="C39" s="2" t="s">
        <v>258</v>
      </c>
      <c r="D39" s="2" t="s">
        <v>68</v>
      </c>
      <c r="E39" s="23">
        <v>0</v>
      </c>
      <c r="F39" s="1">
        <v>2</v>
      </c>
      <c r="G39" s="1">
        <v>5</v>
      </c>
      <c r="H39" s="1">
        <v>2</v>
      </c>
      <c r="I39" s="1">
        <v>0</v>
      </c>
      <c r="J39" s="1">
        <v>0</v>
      </c>
      <c r="K39" s="1">
        <v>0</v>
      </c>
      <c r="L39" s="1">
        <v>0</v>
      </c>
      <c r="M39" s="1">
        <v>0</v>
      </c>
      <c r="N39" s="1">
        <v>0</v>
      </c>
      <c r="O39" s="1">
        <v>0</v>
      </c>
      <c r="P39" s="1">
        <v>0</v>
      </c>
      <c r="Q39" s="24">
        <f t="shared" si="0"/>
        <v>9</v>
      </c>
      <c r="R39" s="23">
        <v>0</v>
      </c>
      <c r="S39" s="1">
        <v>148</v>
      </c>
      <c r="T39" s="1">
        <v>482</v>
      </c>
      <c r="U39" s="1">
        <v>276</v>
      </c>
      <c r="V39" s="1">
        <v>0</v>
      </c>
      <c r="W39" s="1">
        <v>0</v>
      </c>
      <c r="X39" s="1">
        <v>0</v>
      </c>
      <c r="Y39" s="1">
        <v>0</v>
      </c>
      <c r="Z39" s="1">
        <v>0</v>
      </c>
      <c r="AA39" s="1">
        <v>0</v>
      </c>
      <c r="AB39" s="1">
        <v>0</v>
      </c>
      <c r="AC39" s="1">
        <v>0</v>
      </c>
      <c r="AD39" s="24">
        <f t="shared" si="1"/>
        <v>906</v>
      </c>
      <c r="AE39" s="23">
        <v>0</v>
      </c>
      <c r="AF39" s="1">
        <v>0</v>
      </c>
      <c r="AG39" s="1">
        <v>0</v>
      </c>
      <c r="AH39" s="1">
        <v>0</v>
      </c>
      <c r="AI39" s="1">
        <v>0</v>
      </c>
      <c r="AJ39" s="1">
        <v>0</v>
      </c>
      <c r="AK39" s="1">
        <v>0</v>
      </c>
      <c r="AL39" s="1">
        <v>0</v>
      </c>
      <c r="AM39" s="1">
        <v>0</v>
      </c>
      <c r="AN39" s="1">
        <v>0</v>
      </c>
      <c r="AO39" s="1">
        <v>0</v>
      </c>
      <c r="AP39" s="1">
        <v>0</v>
      </c>
      <c r="AQ39" s="24">
        <f t="shared" si="2"/>
        <v>0</v>
      </c>
    </row>
    <row r="40" spans="1:43" ht="17.25" customHeight="1" x14ac:dyDescent="0.45">
      <c r="A40" s="12" t="s">
        <v>10</v>
      </c>
      <c r="B40" s="12" t="s">
        <v>66</v>
      </c>
      <c r="C40" s="12" t="s">
        <v>219</v>
      </c>
      <c r="D40" s="12" t="s">
        <v>220</v>
      </c>
      <c r="E40" s="25">
        <v>1</v>
      </c>
      <c r="F40" s="10">
        <v>0</v>
      </c>
      <c r="G40" s="10">
        <v>0</v>
      </c>
      <c r="H40" s="10">
        <v>0</v>
      </c>
      <c r="I40" s="10">
        <v>0</v>
      </c>
      <c r="J40" s="10">
        <v>0</v>
      </c>
      <c r="K40" s="10">
        <v>0</v>
      </c>
      <c r="L40" s="10">
        <v>0</v>
      </c>
      <c r="M40" s="10">
        <v>0</v>
      </c>
      <c r="N40" s="10">
        <v>0</v>
      </c>
      <c r="O40" s="10">
        <v>0</v>
      </c>
      <c r="P40" s="10">
        <v>0</v>
      </c>
      <c r="Q40" s="26">
        <f t="shared" si="0"/>
        <v>1</v>
      </c>
      <c r="R40" s="25">
        <v>112</v>
      </c>
      <c r="S40" s="10">
        <v>0</v>
      </c>
      <c r="T40" s="10">
        <v>0</v>
      </c>
      <c r="U40" s="10">
        <v>0</v>
      </c>
      <c r="V40" s="10">
        <v>0</v>
      </c>
      <c r="W40" s="10">
        <v>0</v>
      </c>
      <c r="X40" s="10">
        <v>0</v>
      </c>
      <c r="Y40" s="10">
        <v>0</v>
      </c>
      <c r="Z40" s="10">
        <v>0</v>
      </c>
      <c r="AA40" s="10">
        <v>0</v>
      </c>
      <c r="AB40" s="10">
        <v>0</v>
      </c>
      <c r="AC40" s="10">
        <v>0</v>
      </c>
      <c r="AD40" s="26">
        <f t="shared" si="1"/>
        <v>112</v>
      </c>
      <c r="AE40" s="25">
        <v>0</v>
      </c>
      <c r="AF40" s="10">
        <v>0</v>
      </c>
      <c r="AG40" s="10">
        <v>0</v>
      </c>
      <c r="AH40" s="10">
        <v>0</v>
      </c>
      <c r="AI40" s="10">
        <v>0</v>
      </c>
      <c r="AJ40" s="10">
        <v>0</v>
      </c>
      <c r="AK40" s="10">
        <v>0</v>
      </c>
      <c r="AL40" s="10">
        <v>0</v>
      </c>
      <c r="AM40" s="10">
        <v>0</v>
      </c>
      <c r="AN40" s="10">
        <v>0</v>
      </c>
      <c r="AO40" s="10">
        <v>0</v>
      </c>
      <c r="AP40" s="10">
        <v>0</v>
      </c>
      <c r="AQ40" s="26">
        <f t="shared" si="2"/>
        <v>0</v>
      </c>
    </row>
    <row r="41" spans="1:43" ht="17.25" customHeight="1" x14ac:dyDescent="0.45">
      <c r="A41" s="2" t="s">
        <v>10</v>
      </c>
      <c r="B41" s="2" t="s">
        <v>66</v>
      </c>
      <c r="C41" s="2" t="s">
        <v>259</v>
      </c>
      <c r="D41" s="2" t="s">
        <v>68</v>
      </c>
      <c r="E41" s="23">
        <v>0</v>
      </c>
      <c r="F41" s="1">
        <v>2</v>
      </c>
      <c r="G41" s="1">
        <v>5</v>
      </c>
      <c r="H41" s="1">
        <v>4</v>
      </c>
      <c r="I41" s="1">
        <v>4</v>
      </c>
      <c r="J41" s="1">
        <v>5</v>
      </c>
      <c r="K41" s="1">
        <v>4</v>
      </c>
      <c r="L41" s="1">
        <v>1</v>
      </c>
      <c r="M41" s="1">
        <v>0</v>
      </c>
      <c r="N41" s="1">
        <v>0</v>
      </c>
      <c r="O41" s="1">
        <v>0</v>
      </c>
      <c r="P41" s="1">
        <v>0</v>
      </c>
      <c r="Q41" s="24">
        <f t="shared" si="0"/>
        <v>25</v>
      </c>
      <c r="R41" s="23">
        <v>0</v>
      </c>
      <c r="S41" s="1">
        <v>149</v>
      </c>
      <c r="T41" s="1">
        <v>738</v>
      </c>
      <c r="U41" s="1">
        <v>428</v>
      </c>
      <c r="V41" s="1">
        <v>379</v>
      </c>
      <c r="W41" s="1">
        <v>816</v>
      </c>
      <c r="X41" s="1">
        <v>526</v>
      </c>
      <c r="Y41" s="1">
        <v>158</v>
      </c>
      <c r="Z41" s="1">
        <v>0</v>
      </c>
      <c r="AA41" s="1">
        <v>0</v>
      </c>
      <c r="AB41" s="1">
        <v>0</v>
      </c>
      <c r="AC41" s="1">
        <v>0</v>
      </c>
      <c r="AD41" s="24">
        <f t="shared" si="1"/>
        <v>3194</v>
      </c>
      <c r="AE41" s="23">
        <v>0</v>
      </c>
      <c r="AF41" s="1">
        <v>0</v>
      </c>
      <c r="AG41" s="1">
        <v>0</v>
      </c>
      <c r="AH41" s="1">
        <v>0</v>
      </c>
      <c r="AI41" s="1">
        <v>0</v>
      </c>
      <c r="AJ41" s="1">
        <v>0</v>
      </c>
      <c r="AK41" s="1">
        <v>0</v>
      </c>
      <c r="AL41" s="1">
        <v>0</v>
      </c>
      <c r="AM41" s="1">
        <v>0</v>
      </c>
      <c r="AN41" s="1">
        <v>0</v>
      </c>
      <c r="AO41" s="1">
        <v>0</v>
      </c>
      <c r="AP41" s="1">
        <v>0</v>
      </c>
      <c r="AQ41" s="24">
        <f t="shared" si="2"/>
        <v>0</v>
      </c>
    </row>
    <row r="42" spans="1:43" ht="17.25" customHeight="1" x14ac:dyDescent="0.45">
      <c r="A42" s="12" t="s">
        <v>10</v>
      </c>
      <c r="B42" s="12" t="s">
        <v>66</v>
      </c>
      <c r="C42" s="12" t="s">
        <v>208</v>
      </c>
      <c r="D42" s="12" t="s">
        <v>209</v>
      </c>
      <c r="E42" s="25">
        <v>2</v>
      </c>
      <c r="F42" s="10">
        <v>1</v>
      </c>
      <c r="G42" s="10">
        <v>3</v>
      </c>
      <c r="H42" s="10">
        <v>1</v>
      </c>
      <c r="I42" s="10">
        <v>0</v>
      </c>
      <c r="J42" s="10">
        <v>0</v>
      </c>
      <c r="K42" s="10">
        <v>0</v>
      </c>
      <c r="L42" s="10">
        <v>0</v>
      </c>
      <c r="M42" s="10">
        <v>0</v>
      </c>
      <c r="N42" s="10">
        <v>0</v>
      </c>
      <c r="O42" s="10">
        <v>2</v>
      </c>
      <c r="P42" s="10">
        <v>1</v>
      </c>
      <c r="Q42" s="26">
        <f t="shared" si="0"/>
        <v>10</v>
      </c>
      <c r="R42" s="25">
        <v>561</v>
      </c>
      <c r="S42" s="10">
        <v>297</v>
      </c>
      <c r="T42" s="10">
        <v>868</v>
      </c>
      <c r="U42" s="10">
        <v>252</v>
      </c>
      <c r="V42" s="10">
        <v>0</v>
      </c>
      <c r="W42" s="10">
        <v>0</v>
      </c>
      <c r="X42" s="10">
        <v>0</v>
      </c>
      <c r="Y42" s="10">
        <v>0</v>
      </c>
      <c r="Z42" s="10">
        <v>0</v>
      </c>
      <c r="AA42" s="10">
        <v>0</v>
      </c>
      <c r="AB42" s="10">
        <v>319</v>
      </c>
      <c r="AC42" s="10">
        <v>280</v>
      </c>
      <c r="AD42" s="26">
        <f t="shared" si="1"/>
        <v>2577</v>
      </c>
      <c r="AE42" s="25">
        <v>0</v>
      </c>
      <c r="AF42" s="10">
        <v>0</v>
      </c>
      <c r="AG42" s="10">
        <v>0</v>
      </c>
      <c r="AH42" s="10">
        <v>0</v>
      </c>
      <c r="AI42" s="10">
        <v>0</v>
      </c>
      <c r="AJ42" s="10">
        <v>0</v>
      </c>
      <c r="AK42" s="10">
        <v>0</v>
      </c>
      <c r="AL42" s="10">
        <v>0</v>
      </c>
      <c r="AM42" s="10">
        <v>0</v>
      </c>
      <c r="AN42" s="10">
        <v>0</v>
      </c>
      <c r="AO42" s="10">
        <v>0</v>
      </c>
      <c r="AP42" s="10">
        <v>0</v>
      </c>
      <c r="AQ42" s="26">
        <f t="shared" si="2"/>
        <v>0</v>
      </c>
    </row>
    <row r="43" spans="1:43" ht="17.25" customHeight="1" x14ac:dyDescent="0.45">
      <c r="A43" s="2" t="s">
        <v>10</v>
      </c>
      <c r="B43" s="2" t="s">
        <v>66</v>
      </c>
      <c r="C43" s="2" t="s">
        <v>99</v>
      </c>
      <c r="D43" s="2" t="s">
        <v>68</v>
      </c>
      <c r="E43" s="23">
        <v>0</v>
      </c>
      <c r="F43" s="1">
        <v>0</v>
      </c>
      <c r="G43" s="1">
        <v>0</v>
      </c>
      <c r="H43" s="1">
        <v>1</v>
      </c>
      <c r="I43" s="1">
        <v>2</v>
      </c>
      <c r="J43" s="1">
        <v>4</v>
      </c>
      <c r="K43" s="1">
        <v>4</v>
      </c>
      <c r="L43" s="1">
        <v>0</v>
      </c>
      <c r="M43" s="1">
        <v>0</v>
      </c>
      <c r="N43" s="1">
        <v>0</v>
      </c>
      <c r="O43" s="1">
        <v>0</v>
      </c>
      <c r="P43" s="1">
        <v>0</v>
      </c>
      <c r="Q43" s="24">
        <f t="shared" si="0"/>
        <v>11</v>
      </c>
      <c r="R43" s="23">
        <v>0</v>
      </c>
      <c r="S43" s="1">
        <v>0</v>
      </c>
      <c r="T43" s="1">
        <v>0</v>
      </c>
      <c r="U43" s="1">
        <v>140</v>
      </c>
      <c r="V43" s="1">
        <v>164</v>
      </c>
      <c r="W43" s="1">
        <v>558</v>
      </c>
      <c r="X43" s="1">
        <v>361</v>
      </c>
      <c r="Y43" s="1">
        <v>0</v>
      </c>
      <c r="Z43" s="1">
        <v>0</v>
      </c>
      <c r="AA43" s="1">
        <v>0</v>
      </c>
      <c r="AB43" s="1">
        <v>0</v>
      </c>
      <c r="AC43" s="1">
        <v>0</v>
      </c>
      <c r="AD43" s="24">
        <f t="shared" si="1"/>
        <v>1223</v>
      </c>
      <c r="AE43" s="23">
        <v>0</v>
      </c>
      <c r="AF43" s="1">
        <v>0</v>
      </c>
      <c r="AG43" s="1">
        <v>0</v>
      </c>
      <c r="AH43" s="1">
        <v>0</v>
      </c>
      <c r="AI43" s="1">
        <v>0</v>
      </c>
      <c r="AJ43" s="1">
        <v>0</v>
      </c>
      <c r="AK43" s="1">
        <v>0</v>
      </c>
      <c r="AL43" s="1">
        <v>0</v>
      </c>
      <c r="AM43" s="1">
        <v>0</v>
      </c>
      <c r="AN43" s="1">
        <v>0</v>
      </c>
      <c r="AO43" s="1">
        <v>0</v>
      </c>
      <c r="AP43" s="1">
        <v>0</v>
      </c>
      <c r="AQ43" s="24">
        <f t="shared" si="2"/>
        <v>0</v>
      </c>
    </row>
    <row r="44" spans="1:43" ht="17.25" customHeight="1" x14ac:dyDescent="0.45">
      <c r="A44" s="12" t="s">
        <v>10</v>
      </c>
      <c r="B44" s="12" t="s">
        <v>66</v>
      </c>
      <c r="C44" s="12" t="s">
        <v>210</v>
      </c>
      <c r="D44" s="12" t="s">
        <v>211</v>
      </c>
      <c r="E44" s="25">
        <v>4</v>
      </c>
      <c r="F44" s="10">
        <v>3</v>
      </c>
      <c r="G44" s="10">
        <v>3</v>
      </c>
      <c r="H44" s="10">
        <v>3</v>
      </c>
      <c r="I44" s="10">
        <v>0</v>
      </c>
      <c r="J44" s="10">
        <v>0</v>
      </c>
      <c r="K44" s="10">
        <v>0</v>
      </c>
      <c r="L44" s="10">
        <v>0</v>
      </c>
      <c r="M44" s="10">
        <v>0</v>
      </c>
      <c r="N44" s="10">
        <v>0</v>
      </c>
      <c r="O44" s="10">
        <v>3</v>
      </c>
      <c r="P44" s="10">
        <v>3</v>
      </c>
      <c r="Q44" s="26">
        <f t="shared" si="0"/>
        <v>19</v>
      </c>
      <c r="R44" s="25">
        <v>1178</v>
      </c>
      <c r="S44" s="10">
        <v>860</v>
      </c>
      <c r="T44" s="10">
        <v>749</v>
      </c>
      <c r="U44" s="10">
        <v>750</v>
      </c>
      <c r="V44" s="10">
        <v>0</v>
      </c>
      <c r="W44" s="10">
        <v>0</v>
      </c>
      <c r="X44" s="10">
        <v>0</v>
      </c>
      <c r="Y44" s="10">
        <v>0</v>
      </c>
      <c r="Z44" s="10">
        <v>0</v>
      </c>
      <c r="AA44" s="10">
        <v>0</v>
      </c>
      <c r="AB44" s="10">
        <v>966</v>
      </c>
      <c r="AC44" s="10">
        <v>844</v>
      </c>
      <c r="AD44" s="26">
        <f t="shared" si="1"/>
        <v>5347</v>
      </c>
      <c r="AE44" s="25">
        <v>0</v>
      </c>
      <c r="AF44" s="10">
        <v>0</v>
      </c>
      <c r="AG44" s="10">
        <v>0</v>
      </c>
      <c r="AH44" s="10">
        <v>0</v>
      </c>
      <c r="AI44" s="10">
        <v>0</v>
      </c>
      <c r="AJ44" s="10">
        <v>0</v>
      </c>
      <c r="AK44" s="10">
        <v>0</v>
      </c>
      <c r="AL44" s="10">
        <v>0</v>
      </c>
      <c r="AM44" s="10">
        <v>0</v>
      </c>
      <c r="AN44" s="10">
        <v>0</v>
      </c>
      <c r="AO44" s="10">
        <v>0</v>
      </c>
      <c r="AP44" s="10">
        <v>0</v>
      </c>
      <c r="AQ44" s="26">
        <f t="shared" si="2"/>
        <v>0</v>
      </c>
    </row>
    <row r="45" spans="1:43" ht="17.25" customHeight="1" x14ac:dyDescent="0.45">
      <c r="A45" s="2" t="s">
        <v>10</v>
      </c>
      <c r="B45" s="2" t="s">
        <v>66</v>
      </c>
      <c r="C45" s="2" t="s">
        <v>260</v>
      </c>
      <c r="D45" s="2" t="s">
        <v>211</v>
      </c>
      <c r="E45" s="23">
        <v>0</v>
      </c>
      <c r="F45" s="1">
        <v>1</v>
      </c>
      <c r="G45" s="1">
        <v>0</v>
      </c>
      <c r="H45" s="1">
        <v>0</v>
      </c>
      <c r="I45" s="1">
        <v>0</v>
      </c>
      <c r="J45" s="1">
        <v>0</v>
      </c>
      <c r="K45" s="1">
        <v>0</v>
      </c>
      <c r="L45" s="1">
        <v>0</v>
      </c>
      <c r="M45" s="1">
        <v>0</v>
      </c>
      <c r="N45" s="1">
        <v>0</v>
      </c>
      <c r="O45" s="1">
        <v>0</v>
      </c>
      <c r="P45" s="1">
        <v>0</v>
      </c>
      <c r="Q45" s="24">
        <f t="shared" si="0"/>
        <v>1</v>
      </c>
      <c r="R45" s="23">
        <v>0</v>
      </c>
      <c r="S45" s="1">
        <v>229</v>
      </c>
      <c r="T45" s="1">
        <v>0</v>
      </c>
      <c r="U45" s="1">
        <v>0</v>
      </c>
      <c r="V45" s="1">
        <v>0</v>
      </c>
      <c r="W45" s="1">
        <v>0</v>
      </c>
      <c r="X45" s="1">
        <v>0</v>
      </c>
      <c r="Y45" s="1">
        <v>0</v>
      </c>
      <c r="Z45" s="1">
        <v>0</v>
      </c>
      <c r="AA45" s="1">
        <v>0</v>
      </c>
      <c r="AB45" s="1">
        <v>0</v>
      </c>
      <c r="AC45" s="1">
        <v>0</v>
      </c>
      <c r="AD45" s="24">
        <f t="shared" si="1"/>
        <v>229</v>
      </c>
      <c r="AE45" s="23">
        <v>0</v>
      </c>
      <c r="AF45" s="1">
        <v>0</v>
      </c>
      <c r="AG45" s="1">
        <v>0</v>
      </c>
      <c r="AH45" s="1">
        <v>0</v>
      </c>
      <c r="AI45" s="1">
        <v>0</v>
      </c>
      <c r="AJ45" s="1">
        <v>0</v>
      </c>
      <c r="AK45" s="1">
        <v>0</v>
      </c>
      <c r="AL45" s="1">
        <v>0</v>
      </c>
      <c r="AM45" s="1">
        <v>0</v>
      </c>
      <c r="AN45" s="1">
        <v>0</v>
      </c>
      <c r="AO45" s="1">
        <v>0</v>
      </c>
      <c r="AP45" s="1">
        <v>0</v>
      </c>
      <c r="AQ45" s="24">
        <f t="shared" si="2"/>
        <v>0</v>
      </c>
    </row>
    <row r="46" spans="1:43" ht="17.25" customHeight="1" x14ac:dyDescent="0.45">
      <c r="A46" s="12" t="s">
        <v>10</v>
      </c>
      <c r="B46" s="12" t="s">
        <v>66</v>
      </c>
      <c r="C46" s="12" t="s">
        <v>212</v>
      </c>
      <c r="D46" s="12" t="s">
        <v>213</v>
      </c>
      <c r="E46" s="25">
        <v>2</v>
      </c>
      <c r="F46" s="10">
        <v>3</v>
      </c>
      <c r="G46" s="10">
        <v>2</v>
      </c>
      <c r="H46" s="10">
        <v>1</v>
      </c>
      <c r="I46" s="10">
        <v>0</v>
      </c>
      <c r="J46" s="10">
        <v>0</v>
      </c>
      <c r="K46" s="10">
        <v>0</v>
      </c>
      <c r="L46" s="10">
        <v>0</v>
      </c>
      <c r="M46" s="10">
        <v>0</v>
      </c>
      <c r="N46" s="10">
        <v>0</v>
      </c>
      <c r="O46" s="10">
        <v>1</v>
      </c>
      <c r="P46" s="10">
        <v>2</v>
      </c>
      <c r="Q46" s="26">
        <f t="shared" si="0"/>
        <v>11</v>
      </c>
      <c r="R46" s="25">
        <v>588</v>
      </c>
      <c r="S46" s="10">
        <v>855</v>
      </c>
      <c r="T46" s="10">
        <v>426</v>
      </c>
      <c r="U46" s="10">
        <v>271</v>
      </c>
      <c r="V46" s="10">
        <v>0</v>
      </c>
      <c r="W46" s="10">
        <v>0</v>
      </c>
      <c r="X46" s="10">
        <v>0</v>
      </c>
      <c r="Y46" s="10">
        <v>0</v>
      </c>
      <c r="Z46" s="10">
        <v>0</v>
      </c>
      <c r="AA46" s="10">
        <v>0</v>
      </c>
      <c r="AB46" s="10">
        <v>312</v>
      </c>
      <c r="AC46" s="10">
        <v>604</v>
      </c>
      <c r="AD46" s="26">
        <f t="shared" si="1"/>
        <v>3056</v>
      </c>
      <c r="AE46" s="25">
        <v>0</v>
      </c>
      <c r="AF46" s="10">
        <v>0</v>
      </c>
      <c r="AG46" s="10">
        <v>0</v>
      </c>
      <c r="AH46" s="10">
        <v>0</v>
      </c>
      <c r="AI46" s="10">
        <v>0</v>
      </c>
      <c r="AJ46" s="10">
        <v>0</v>
      </c>
      <c r="AK46" s="10">
        <v>0</v>
      </c>
      <c r="AL46" s="10">
        <v>0</v>
      </c>
      <c r="AM46" s="10">
        <v>0</v>
      </c>
      <c r="AN46" s="10">
        <v>0</v>
      </c>
      <c r="AO46" s="10">
        <v>0</v>
      </c>
      <c r="AP46" s="10">
        <v>0</v>
      </c>
      <c r="AQ46" s="26">
        <f t="shared" si="2"/>
        <v>0</v>
      </c>
    </row>
    <row r="47" spans="1:43" ht="17.25" customHeight="1" x14ac:dyDescent="0.45">
      <c r="A47" s="2" t="s">
        <v>10</v>
      </c>
      <c r="B47" s="2" t="s">
        <v>66</v>
      </c>
      <c r="C47" s="2" t="s">
        <v>69</v>
      </c>
      <c r="D47" s="2" t="s">
        <v>68</v>
      </c>
      <c r="E47" s="23">
        <v>0</v>
      </c>
      <c r="F47" s="1">
        <v>0</v>
      </c>
      <c r="G47" s="1">
        <v>0</v>
      </c>
      <c r="H47" s="1">
        <v>1</v>
      </c>
      <c r="I47" s="1">
        <v>0</v>
      </c>
      <c r="J47" s="1">
        <v>0</v>
      </c>
      <c r="K47" s="1">
        <v>0</v>
      </c>
      <c r="L47" s="1">
        <v>0</v>
      </c>
      <c r="M47" s="1">
        <v>0</v>
      </c>
      <c r="N47" s="1">
        <v>0</v>
      </c>
      <c r="O47" s="1">
        <v>0</v>
      </c>
      <c r="P47" s="1">
        <v>0</v>
      </c>
      <c r="Q47" s="24">
        <f t="shared" si="0"/>
        <v>1</v>
      </c>
      <c r="R47" s="23">
        <v>0</v>
      </c>
      <c r="S47" s="1">
        <v>0</v>
      </c>
      <c r="T47" s="1">
        <v>0</v>
      </c>
      <c r="U47" s="1">
        <v>0</v>
      </c>
      <c r="V47" s="1">
        <v>0</v>
      </c>
      <c r="W47" s="1">
        <v>0</v>
      </c>
      <c r="X47" s="1">
        <v>0</v>
      </c>
      <c r="Y47" s="1">
        <v>0</v>
      </c>
      <c r="Z47" s="1">
        <v>0</v>
      </c>
      <c r="AA47" s="1">
        <v>0</v>
      </c>
      <c r="AB47" s="1">
        <v>0</v>
      </c>
      <c r="AC47" s="1">
        <v>0</v>
      </c>
      <c r="AD47" s="24">
        <f t="shared" si="1"/>
        <v>0</v>
      </c>
      <c r="AE47" s="23">
        <v>0</v>
      </c>
      <c r="AF47" s="1">
        <v>0</v>
      </c>
      <c r="AG47" s="1">
        <v>0</v>
      </c>
      <c r="AH47" s="1">
        <v>1025</v>
      </c>
      <c r="AI47" s="1">
        <v>0</v>
      </c>
      <c r="AJ47" s="1">
        <v>0</v>
      </c>
      <c r="AK47" s="1">
        <v>0</v>
      </c>
      <c r="AL47" s="1">
        <v>0</v>
      </c>
      <c r="AM47" s="1">
        <v>0</v>
      </c>
      <c r="AN47" s="1">
        <v>0</v>
      </c>
      <c r="AO47" s="1">
        <v>0</v>
      </c>
      <c r="AP47" s="1">
        <v>0</v>
      </c>
      <c r="AQ47" s="24">
        <f t="shared" si="2"/>
        <v>1025</v>
      </c>
    </row>
    <row r="48" spans="1:43" ht="17.25" customHeight="1" x14ac:dyDescent="0.45">
      <c r="A48" s="12" t="s">
        <v>10</v>
      </c>
      <c r="B48" s="12" t="s">
        <v>66</v>
      </c>
      <c r="C48" s="12" t="s">
        <v>112</v>
      </c>
      <c r="D48" s="12" t="s">
        <v>68</v>
      </c>
      <c r="E48" s="25">
        <v>5</v>
      </c>
      <c r="F48" s="10">
        <v>12</v>
      </c>
      <c r="G48" s="10">
        <v>0</v>
      </c>
      <c r="H48" s="10">
        <v>0</v>
      </c>
      <c r="I48" s="10">
        <v>0</v>
      </c>
      <c r="J48" s="10">
        <v>0</v>
      </c>
      <c r="K48" s="10">
        <v>0</v>
      </c>
      <c r="L48" s="10">
        <v>0</v>
      </c>
      <c r="M48" s="10">
        <v>0</v>
      </c>
      <c r="N48" s="10">
        <v>0</v>
      </c>
      <c r="O48" s="10">
        <v>1</v>
      </c>
      <c r="P48" s="10">
        <v>0</v>
      </c>
      <c r="Q48" s="26">
        <f t="shared" si="0"/>
        <v>18</v>
      </c>
      <c r="R48" s="25">
        <v>841</v>
      </c>
      <c r="S48" s="10">
        <v>2002</v>
      </c>
      <c r="T48" s="10">
        <v>0</v>
      </c>
      <c r="U48" s="10">
        <v>0</v>
      </c>
      <c r="V48" s="10">
        <v>0</v>
      </c>
      <c r="W48" s="10">
        <v>0</v>
      </c>
      <c r="X48" s="10">
        <v>0</v>
      </c>
      <c r="Y48" s="10">
        <v>0</v>
      </c>
      <c r="Z48" s="10">
        <v>0</v>
      </c>
      <c r="AA48" s="10">
        <v>0</v>
      </c>
      <c r="AB48" s="10">
        <v>154</v>
      </c>
      <c r="AC48" s="10">
        <v>0</v>
      </c>
      <c r="AD48" s="26">
        <f t="shared" si="1"/>
        <v>2997</v>
      </c>
      <c r="AE48" s="25">
        <v>0</v>
      </c>
      <c r="AF48" s="10">
        <v>0</v>
      </c>
      <c r="AG48" s="10">
        <v>0</v>
      </c>
      <c r="AH48" s="10">
        <v>0</v>
      </c>
      <c r="AI48" s="10">
        <v>0</v>
      </c>
      <c r="AJ48" s="10">
        <v>0</v>
      </c>
      <c r="AK48" s="10">
        <v>0</v>
      </c>
      <c r="AL48" s="10">
        <v>0</v>
      </c>
      <c r="AM48" s="10">
        <v>0</v>
      </c>
      <c r="AN48" s="10">
        <v>0</v>
      </c>
      <c r="AO48" s="10">
        <v>0</v>
      </c>
      <c r="AP48" s="10">
        <v>0</v>
      </c>
      <c r="AQ48" s="26">
        <f t="shared" si="2"/>
        <v>0</v>
      </c>
    </row>
    <row r="49" spans="1:43" ht="17.25" customHeight="1" x14ac:dyDescent="0.45">
      <c r="A49" s="2" t="s">
        <v>10</v>
      </c>
      <c r="B49" s="2" t="s">
        <v>66</v>
      </c>
      <c r="C49" s="2" t="s">
        <v>113</v>
      </c>
      <c r="D49" s="2" t="s">
        <v>68</v>
      </c>
      <c r="E49" s="23">
        <v>0</v>
      </c>
      <c r="F49" s="1">
        <v>2</v>
      </c>
      <c r="G49" s="1">
        <v>1</v>
      </c>
      <c r="H49" s="1">
        <v>0</v>
      </c>
      <c r="I49" s="1">
        <v>1</v>
      </c>
      <c r="J49" s="1">
        <v>5</v>
      </c>
      <c r="K49" s="1">
        <v>3</v>
      </c>
      <c r="L49" s="1">
        <v>0</v>
      </c>
      <c r="M49" s="1">
        <v>0</v>
      </c>
      <c r="N49" s="1">
        <v>0</v>
      </c>
      <c r="O49" s="1">
        <v>0</v>
      </c>
      <c r="P49" s="1">
        <v>0</v>
      </c>
      <c r="Q49" s="24">
        <f t="shared" si="0"/>
        <v>12</v>
      </c>
      <c r="R49" s="23">
        <v>0</v>
      </c>
      <c r="S49" s="1">
        <v>365</v>
      </c>
      <c r="T49" s="1">
        <v>173</v>
      </c>
      <c r="U49" s="1">
        <v>0</v>
      </c>
      <c r="V49" s="1">
        <v>31</v>
      </c>
      <c r="W49" s="1">
        <v>510</v>
      </c>
      <c r="X49" s="1">
        <v>176</v>
      </c>
      <c r="Y49" s="1">
        <v>0</v>
      </c>
      <c r="Z49" s="1">
        <v>0</v>
      </c>
      <c r="AA49" s="1">
        <v>0</v>
      </c>
      <c r="AB49" s="1">
        <v>0</v>
      </c>
      <c r="AC49" s="1">
        <v>0</v>
      </c>
      <c r="AD49" s="24">
        <f t="shared" si="1"/>
        <v>1255</v>
      </c>
      <c r="AE49" s="23">
        <v>0</v>
      </c>
      <c r="AF49" s="1">
        <v>0</v>
      </c>
      <c r="AG49" s="1">
        <v>0</v>
      </c>
      <c r="AH49" s="1">
        <v>0</v>
      </c>
      <c r="AI49" s="1">
        <v>0</v>
      </c>
      <c r="AJ49" s="1">
        <v>0</v>
      </c>
      <c r="AK49" s="1">
        <v>0</v>
      </c>
      <c r="AL49" s="1">
        <v>0</v>
      </c>
      <c r="AM49" s="1">
        <v>0</v>
      </c>
      <c r="AN49" s="1">
        <v>0</v>
      </c>
      <c r="AO49" s="1">
        <v>0</v>
      </c>
      <c r="AP49" s="1">
        <v>0</v>
      </c>
      <c r="AQ49" s="24">
        <f t="shared" si="2"/>
        <v>0</v>
      </c>
    </row>
    <row r="50" spans="1:43" ht="17.25" customHeight="1" x14ac:dyDescent="0.45">
      <c r="A50" s="12" t="s">
        <v>10</v>
      </c>
      <c r="B50" s="12" t="s">
        <v>66</v>
      </c>
      <c r="C50" s="12" t="s">
        <v>214</v>
      </c>
      <c r="D50" s="12" t="s">
        <v>215</v>
      </c>
      <c r="E50" s="25">
        <v>4</v>
      </c>
      <c r="F50" s="10">
        <v>4</v>
      </c>
      <c r="G50" s="10">
        <v>3</v>
      </c>
      <c r="H50" s="10">
        <v>0</v>
      </c>
      <c r="I50" s="10">
        <v>0</v>
      </c>
      <c r="J50" s="10">
        <v>0</v>
      </c>
      <c r="K50" s="10">
        <v>0</v>
      </c>
      <c r="L50" s="10">
        <v>0</v>
      </c>
      <c r="M50" s="10">
        <v>0</v>
      </c>
      <c r="N50" s="10">
        <v>0</v>
      </c>
      <c r="O50" s="10">
        <v>3</v>
      </c>
      <c r="P50" s="10">
        <v>4</v>
      </c>
      <c r="Q50" s="26">
        <f t="shared" si="0"/>
        <v>18</v>
      </c>
      <c r="R50" s="25">
        <v>993</v>
      </c>
      <c r="S50" s="10">
        <v>1004</v>
      </c>
      <c r="T50" s="10">
        <v>716</v>
      </c>
      <c r="U50" s="10">
        <v>0</v>
      </c>
      <c r="V50" s="10">
        <v>0</v>
      </c>
      <c r="W50" s="10">
        <v>0</v>
      </c>
      <c r="X50" s="10">
        <v>0</v>
      </c>
      <c r="Y50" s="10">
        <v>0</v>
      </c>
      <c r="Z50" s="10">
        <v>0</v>
      </c>
      <c r="AA50" s="10">
        <v>0</v>
      </c>
      <c r="AB50" s="10">
        <v>372</v>
      </c>
      <c r="AC50" s="10">
        <v>972</v>
      </c>
      <c r="AD50" s="26">
        <f t="shared" si="1"/>
        <v>4057</v>
      </c>
      <c r="AE50" s="25">
        <v>0</v>
      </c>
      <c r="AF50" s="10">
        <v>0</v>
      </c>
      <c r="AG50" s="10">
        <v>0</v>
      </c>
      <c r="AH50" s="10">
        <v>0</v>
      </c>
      <c r="AI50" s="10">
        <v>0</v>
      </c>
      <c r="AJ50" s="10">
        <v>0</v>
      </c>
      <c r="AK50" s="10">
        <v>0</v>
      </c>
      <c r="AL50" s="10">
        <v>0</v>
      </c>
      <c r="AM50" s="10">
        <v>0</v>
      </c>
      <c r="AN50" s="10">
        <v>0</v>
      </c>
      <c r="AO50" s="10">
        <v>0</v>
      </c>
      <c r="AP50" s="10">
        <v>0</v>
      </c>
      <c r="AQ50" s="26">
        <f t="shared" si="2"/>
        <v>0</v>
      </c>
    </row>
    <row r="51" spans="1:43" ht="17.25" customHeight="1" x14ac:dyDescent="0.45">
      <c r="A51" s="2" t="s">
        <v>10</v>
      </c>
      <c r="B51" s="2" t="s">
        <v>66</v>
      </c>
      <c r="C51" s="2" t="s">
        <v>382</v>
      </c>
      <c r="D51" s="2" t="s">
        <v>383</v>
      </c>
      <c r="E51" s="23">
        <v>0</v>
      </c>
      <c r="F51" s="1">
        <v>0</v>
      </c>
      <c r="G51" s="1">
        <v>0</v>
      </c>
      <c r="H51" s="1">
        <v>0</v>
      </c>
      <c r="I51" s="1">
        <v>0</v>
      </c>
      <c r="J51" s="1">
        <v>0</v>
      </c>
      <c r="K51" s="1">
        <v>0</v>
      </c>
      <c r="L51" s="1">
        <v>0</v>
      </c>
      <c r="M51" s="1">
        <v>0</v>
      </c>
      <c r="N51" s="1">
        <v>0</v>
      </c>
      <c r="O51" s="1">
        <v>0</v>
      </c>
      <c r="P51" s="1">
        <v>1</v>
      </c>
      <c r="Q51" s="24">
        <f t="shared" si="0"/>
        <v>1</v>
      </c>
      <c r="R51" s="23">
        <v>0</v>
      </c>
      <c r="S51" s="1">
        <v>0</v>
      </c>
      <c r="T51" s="1">
        <v>0</v>
      </c>
      <c r="U51" s="1">
        <v>0</v>
      </c>
      <c r="V51" s="1">
        <v>0</v>
      </c>
      <c r="W51" s="1">
        <v>0</v>
      </c>
      <c r="X51" s="1">
        <v>0</v>
      </c>
      <c r="Y51" s="1">
        <v>0</v>
      </c>
      <c r="Z51" s="1">
        <v>0</v>
      </c>
      <c r="AA51" s="1">
        <v>0</v>
      </c>
      <c r="AB51" s="1">
        <v>0</v>
      </c>
      <c r="AC51" s="1">
        <v>50</v>
      </c>
      <c r="AD51" s="24">
        <f t="shared" si="1"/>
        <v>50</v>
      </c>
      <c r="AE51" s="23">
        <v>0</v>
      </c>
      <c r="AF51" s="1">
        <v>0</v>
      </c>
      <c r="AG51" s="1">
        <v>0</v>
      </c>
      <c r="AH51" s="1">
        <v>0</v>
      </c>
      <c r="AI51" s="1">
        <v>0</v>
      </c>
      <c r="AJ51" s="1">
        <v>0</v>
      </c>
      <c r="AK51" s="1">
        <v>0</v>
      </c>
      <c r="AL51" s="1">
        <v>0</v>
      </c>
      <c r="AM51" s="1">
        <v>0</v>
      </c>
      <c r="AN51" s="1">
        <v>0</v>
      </c>
      <c r="AO51" s="1">
        <v>0</v>
      </c>
      <c r="AP51" s="1">
        <v>0</v>
      </c>
      <c r="AQ51" s="24">
        <f t="shared" si="2"/>
        <v>0</v>
      </c>
    </row>
    <row r="52" spans="1:43" ht="17.25" customHeight="1" x14ac:dyDescent="0.45">
      <c r="A52" s="12" t="s">
        <v>10</v>
      </c>
      <c r="B52" s="12" t="s">
        <v>66</v>
      </c>
      <c r="C52" s="12" t="s">
        <v>116</v>
      </c>
      <c r="D52" s="12" t="s">
        <v>96</v>
      </c>
      <c r="E52" s="25">
        <v>31</v>
      </c>
      <c r="F52" s="10">
        <v>14</v>
      </c>
      <c r="G52" s="10">
        <v>33</v>
      </c>
      <c r="H52" s="10">
        <v>30</v>
      </c>
      <c r="I52" s="10">
        <v>31</v>
      </c>
      <c r="J52" s="10">
        <v>22</v>
      </c>
      <c r="K52" s="10">
        <v>20</v>
      </c>
      <c r="L52" s="10">
        <v>22</v>
      </c>
      <c r="M52" s="10">
        <v>17</v>
      </c>
      <c r="N52" s="10">
        <v>18</v>
      </c>
      <c r="O52" s="10">
        <v>17</v>
      </c>
      <c r="P52" s="10">
        <v>17</v>
      </c>
      <c r="Q52" s="26">
        <f t="shared" si="0"/>
        <v>272</v>
      </c>
      <c r="R52" s="25">
        <v>2975</v>
      </c>
      <c r="S52" s="10">
        <v>1309</v>
      </c>
      <c r="T52" s="10">
        <v>2867</v>
      </c>
      <c r="U52" s="10">
        <v>2549</v>
      </c>
      <c r="V52" s="10">
        <v>3029</v>
      </c>
      <c r="W52" s="10">
        <v>2316</v>
      </c>
      <c r="X52" s="10">
        <v>2042</v>
      </c>
      <c r="Y52" s="10">
        <v>2327</v>
      </c>
      <c r="Z52" s="10">
        <v>1784</v>
      </c>
      <c r="AA52" s="10">
        <v>1781</v>
      </c>
      <c r="AB52" s="10">
        <v>1743</v>
      </c>
      <c r="AC52" s="10">
        <v>1677</v>
      </c>
      <c r="AD52" s="26">
        <f t="shared" si="1"/>
        <v>26399</v>
      </c>
      <c r="AE52" s="25">
        <v>0</v>
      </c>
      <c r="AF52" s="10">
        <v>0</v>
      </c>
      <c r="AG52" s="10">
        <v>5838</v>
      </c>
      <c r="AH52" s="10">
        <v>0</v>
      </c>
      <c r="AI52" s="10">
        <v>0</v>
      </c>
      <c r="AJ52" s="10">
        <v>0</v>
      </c>
      <c r="AK52" s="10">
        <v>0</v>
      </c>
      <c r="AL52" s="10">
        <v>0</v>
      </c>
      <c r="AM52" s="10">
        <v>0</v>
      </c>
      <c r="AN52" s="10">
        <v>0</v>
      </c>
      <c r="AO52" s="10">
        <v>0</v>
      </c>
      <c r="AP52" s="10">
        <v>0</v>
      </c>
      <c r="AQ52" s="26">
        <f t="shared" si="2"/>
        <v>5838</v>
      </c>
    </row>
    <row r="53" spans="1:43" ht="17.25" customHeight="1" x14ac:dyDescent="0.45">
      <c r="A53" s="2" t="s">
        <v>10</v>
      </c>
      <c r="B53" s="2" t="s">
        <v>66</v>
      </c>
      <c r="C53" s="2" t="s">
        <v>224</v>
      </c>
      <c r="D53" s="2" t="s">
        <v>68</v>
      </c>
      <c r="E53" s="23">
        <v>2</v>
      </c>
      <c r="F53" s="1">
        <v>12</v>
      </c>
      <c r="G53" s="1">
        <v>13</v>
      </c>
      <c r="H53" s="1">
        <v>4</v>
      </c>
      <c r="I53" s="1">
        <v>0</v>
      </c>
      <c r="J53" s="1">
        <v>0</v>
      </c>
      <c r="K53" s="1">
        <v>0</v>
      </c>
      <c r="L53" s="1">
        <v>0</v>
      </c>
      <c r="M53" s="1">
        <v>0</v>
      </c>
      <c r="N53" s="1">
        <v>0</v>
      </c>
      <c r="O53" s="1">
        <v>0</v>
      </c>
      <c r="P53" s="1">
        <v>0</v>
      </c>
      <c r="Q53" s="24">
        <f t="shared" si="0"/>
        <v>31</v>
      </c>
      <c r="R53" s="23">
        <v>71</v>
      </c>
      <c r="S53" s="1">
        <v>1761</v>
      </c>
      <c r="T53" s="1">
        <v>1728</v>
      </c>
      <c r="U53" s="1">
        <v>630</v>
      </c>
      <c r="V53" s="1">
        <v>0</v>
      </c>
      <c r="W53" s="1">
        <v>0</v>
      </c>
      <c r="X53" s="1">
        <v>0</v>
      </c>
      <c r="Y53" s="1">
        <v>0</v>
      </c>
      <c r="Z53" s="1">
        <v>0</v>
      </c>
      <c r="AA53" s="1">
        <v>0</v>
      </c>
      <c r="AB53" s="1">
        <v>0</v>
      </c>
      <c r="AC53" s="1">
        <v>0</v>
      </c>
      <c r="AD53" s="24">
        <f t="shared" si="1"/>
        <v>4190</v>
      </c>
      <c r="AE53" s="23">
        <v>0</v>
      </c>
      <c r="AF53" s="1">
        <v>0</v>
      </c>
      <c r="AG53" s="1">
        <v>0</v>
      </c>
      <c r="AH53" s="1">
        <v>0</v>
      </c>
      <c r="AI53" s="1">
        <v>0</v>
      </c>
      <c r="AJ53" s="1">
        <v>0</v>
      </c>
      <c r="AK53" s="1">
        <v>0</v>
      </c>
      <c r="AL53" s="1">
        <v>0</v>
      </c>
      <c r="AM53" s="1">
        <v>0</v>
      </c>
      <c r="AN53" s="1">
        <v>0</v>
      </c>
      <c r="AO53" s="1">
        <v>0</v>
      </c>
      <c r="AP53" s="1">
        <v>0</v>
      </c>
      <c r="AQ53" s="24">
        <f t="shared" si="2"/>
        <v>0</v>
      </c>
    </row>
    <row r="54" spans="1:43" ht="17.25" customHeight="1" x14ac:dyDescent="0.45">
      <c r="A54" s="12" t="s">
        <v>10</v>
      </c>
      <c r="B54" s="12" t="s">
        <v>66</v>
      </c>
      <c r="C54" s="12" t="s">
        <v>194</v>
      </c>
      <c r="D54" s="12" t="s">
        <v>68</v>
      </c>
      <c r="E54" s="25">
        <v>0</v>
      </c>
      <c r="F54" s="10">
        <v>0</v>
      </c>
      <c r="G54" s="10">
        <v>0</v>
      </c>
      <c r="H54" s="10">
        <v>0</v>
      </c>
      <c r="I54" s="10">
        <v>0</v>
      </c>
      <c r="J54" s="10">
        <v>0</v>
      </c>
      <c r="K54" s="10">
        <v>0</v>
      </c>
      <c r="L54" s="10">
        <v>0</v>
      </c>
      <c r="M54" s="10">
        <v>0</v>
      </c>
      <c r="N54" s="10">
        <v>0</v>
      </c>
      <c r="O54" s="10">
        <v>1</v>
      </c>
      <c r="P54" s="10">
        <v>0</v>
      </c>
      <c r="Q54" s="26">
        <f t="shared" si="0"/>
        <v>1</v>
      </c>
      <c r="R54" s="25">
        <v>0</v>
      </c>
      <c r="S54" s="10">
        <v>0</v>
      </c>
      <c r="T54" s="10">
        <v>0</v>
      </c>
      <c r="U54" s="10">
        <v>0</v>
      </c>
      <c r="V54" s="10">
        <v>0</v>
      </c>
      <c r="W54" s="10">
        <v>0</v>
      </c>
      <c r="X54" s="10">
        <v>0</v>
      </c>
      <c r="Y54" s="10">
        <v>0</v>
      </c>
      <c r="Z54" s="10">
        <v>0</v>
      </c>
      <c r="AA54" s="10">
        <v>0</v>
      </c>
      <c r="AB54" s="10">
        <v>29</v>
      </c>
      <c r="AC54" s="10">
        <v>0</v>
      </c>
      <c r="AD54" s="26">
        <f t="shared" si="1"/>
        <v>29</v>
      </c>
      <c r="AE54" s="25">
        <v>0</v>
      </c>
      <c r="AF54" s="10">
        <v>0</v>
      </c>
      <c r="AG54" s="10">
        <v>0</v>
      </c>
      <c r="AH54" s="10">
        <v>0</v>
      </c>
      <c r="AI54" s="10">
        <v>0</v>
      </c>
      <c r="AJ54" s="10">
        <v>0</v>
      </c>
      <c r="AK54" s="10">
        <v>0</v>
      </c>
      <c r="AL54" s="10">
        <v>0</v>
      </c>
      <c r="AM54" s="10">
        <v>0</v>
      </c>
      <c r="AN54" s="10">
        <v>0</v>
      </c>
      <c r="AO54" s="10">
        <v>0</v>
      </c>
      <c r="AP54" s="10">
        <v>0</v>
      </c>
      <c r="AQ54" s="26">
        <f t="shared" si="2"/>
        <v>0</v>
      </c>
    </row>
    <row r="55" spans="1:43" ht="17.25" customHeight="1" x14ac:dyDescent="0.45">
      <c r="A55" s="2" t="s">
        <v>10</v>
      </c>
      <c r="B55" s="2" t="s">
        <v>66</v>
      </c>
      <c r="C55" s="2" t="s">
        <v>119</v>
      </c>
      <c r="D55" s="2" t="s">
        <v>120</v>
      </c>
      <c r="E55" s="23">
        <v>0</v>
      </c>
      <c r="F55" s="1">
        <v>0</v>
      </c>
      <c r="G55" s="1">
        <v>0</v>
      </c>
      <c r="H55" s="1">
        <v>5</v>
      </c>
      <c r="I55" s="1">
        <v>5</v>
      </c>
      <c r="J55" s="1">
        <v>8</v>
      </c>
      <c r="K55" s="1">
        <v>10</v>
      </c>
      <c r="L55" s="1">
        <v>8</v>
      </c>
      <c r="M55" s="1">
        <v>9</v>
      </c>
      <c r="N55" s="1">
        <v>4</v>
      </c>
      <c r="O55" s="1">
        <v>0</v>
      </c>
      <c r="P55" s="1">
        <v>0</v>
      </c>
      <c r="Q55" s="24">
        <f t="shared" si="0"/>
        <v>49</v>
      </c>
      <c r="R55" s="23">
        <v>0</v>
      </c>
      <c r="S55" s="1">
        <v>0</v>
      </c>
      <c r="T55" s="1">
        <v>0</v>
      </c>
      <c r="U55" s="1">
        <v>1895</v>
      </c>
      <c r="V55" s="1">
        <v>1873</v>
      </c>
      <c r="W55" s="1">
        <v>2557</v>
      </c>
      <c r="X55" s="1">
        <v>2692</v>
      </c>
      <c r="Y55" s="1">
        <v>2936</v>
      </c>
      <c r="Z55" s="1">
        <v>3260</v>
      </c>
      <c r="AA55" s="1">
        <v>1491</v>
      </c>
      <c r="AB55" s="1">
        <v>0</v>
      </c>
      <c r="AC55" s="1">
        <v>0</v>
      </c>
      <c r="AD55" s="24">
        <f t="shared" si="1"/>
        <v>16704</v>
      </c>
      <c r="AE55" s="23">
        <v>0</v>
      </c>
      <c r="AF55" s="1">
        <v>0</v>
      </c>
      <c r="AG55" s="1">
        <v>0</v>
      </c>
      <c r="AH55" s="1">
        <v>0</v>
      </c>
      <c r="AI55" s="1">
        <v>0</v>
      </c>
      <c r="AJ55" s="1">
        <v>0</v>
      </c>
      <c r="AK55" s="1">
        <v>0</v>
      </c>
      <c r="AL55" s="1">
        <v>0</v>
      </c>
      <c r="AM55" s="1">
        <v>0</v>
      </c>
      <c r="AN55" s="1">
        <v>0</v>
      </c>
      <c r="AO55" s="1">
        <v>0</v>
      </c>
      <c r="AP55" s="1">
        <v>0</v>
      </c>
      <c r="AQ55" s="24">
        <f t="shared" si="2"/>
        <v>0</v>
      </c>
    </row>
    <row r="56" spans="1:43" ht="17.25" customHeight="1" x14ac:dyDescent="0.45">
      <c r="A56" s="12" t="s">
        <v>10</v>
      </c>
      <c r="B56" s="12" t="s">
        <v>66</v>
      </c>
      <c r="C56" s="12" t="s">
        <v>73</v>
      </c>
      <c r="D56" s="12" t="s">
        <v>68</v>
      </c>
      <c r="E56" s="25">
        <v>1</v>
      </c>
      <c r="F56" s="10">
        <v>0</v>
      </c>
      <c r="G56" s="10">
        <v>0</v>
      </c>
      <c r="H56" s="10">
        <v>0</v>
      </c>
      <c r="I56" s="10">
        <v>0</v>
      </c>
      <c r="J56" s="10">
        <v>0</v>
      </c>
      <c r="K56" s="10">
        <v>0</v>
      </c>
      <c r="L56" s="10">
        <v>0</v>
      </c>
      <c r="M56" s="10">
        <v>0</v>
      </c>
      <c r="N56" s="10">
        <v>0</v>
      </c>
      <c r="O56" s="10">
        <v>1</v>
      </c>
      <c r="P56" s="10">
        <v>0</v>
      </c>
      <c r="Q56" s="26">
        <f t="shared" si="0"/>
        <v>2</v>
      </c>
      <c r="R56" s="25">
        <v>2</v>
      </c>
      <c r="S56" s="10">
        <v>0</v>
      </c>
      <c r="T56" s="10">
        <v>0</v>
      </c>
      <c r="U56" s="10">
        <v>0</v>
      </c>
      <c r="V56" s="10">
        <v>0</v>
      </c>
      <c r="W56" s="10">
        <v>0</v>
      </c>
      <c r="X56" s="10">
        <v>0</v>
      </c>
      <c r="Y56" s="10">
        <v>0</v>
      </c>
      <c r="Z56" s="10">
        <v>0</v>
      </c>
      <c r="AA56" s="10">
        <v>0</v>
      </c>
      <c r="AB56" s="10">
        <v>61</v>
      </c>
      <c r="AC56" s="10">
        <v>0</v>
      </c>
      <c r="AD56" s="26">
        <f t="shared" si="1"/>
        <v>63</v>
      </c>
      <c r="AE56" s="25">
        <v>0</v>
      </c>
      <c r="AF56" s="10">
        <v>0</v>
      </c>
      <c r="AG56" s="10">
        <v>0</v>
      </c>
      <c r="AH56" s="10">
        <v>0</v>
      </c>
      <c r="AI56" s="10">
        <v>0</v>
      </c>
      <c r="AJ56" s="10">
        <v>0</v>
      </c>
      <c r="AK56" s="10">
        <v>0</v>
      </c>
      <c r="AL56" s="10">
        <v>0</v>
      </c>
      <c r="AM56" s="10">
        <v>0</v>
      </c>
      <c r="AN56" s="10">
        <v>0</v>
      </c>
      <c r="AO56" s="10">
        <v>0</v>
      </c>
      <c r="AP56" s="10">
        <v>0</v>
      </c>
      <c r="AQ56" s="26">
        <f t="shared" si="2"/>
        <v>0</v>
      </c>
    </row>
    <row r="57" spans="1:43" ht="17.25" customHeight="1" x14ac:dyDescent="0.45">
      <c r="A57" s="2" t="s">
        <v>10</v>
      </c>
      <c r="B57" s="2" t="s">
        <v>66</v>
      </c>
      <c r="C57" s="2" t="s">
        <v>124</v>
      </c>
      <c r="D57" s="2" t="s">
        <v>85</v>
      </c>
      <c r="E57" s="23">
        <v>0</v>
      </c>
      <c r="F57" s="1">
        <v>0</v>
      </c>
      <c r="G57" s="1">
        <v>0</v>
      </c>
      <c r="H57" s="1">
        <v>0</v>
      </c>
      <c r="I57" s="1">
        <v>0</v>
      </c>
      <c r="J57" s="1">
        <v>0</v>
      </c>
      <c r="K57" s="1">
        <v>0</v>
      </c>
      <c r="L57" s="1">
        <v>0</v>
      </c>
      <c r="M57" s="1">
        <v>0</v>
      </c>
      <c r="N57" s="1">
        <v>1</v>
      </c>
      <c r="O57" s="1">
        <v>0</v>
      </c>
      <c r="P57" s="1">
        <v>0</v>
      </c>
      <c r="Q57" s="24">
        <f t="shared" si="0"/>
        <v>1</v>
      </c>
      <c r="R57" s="23">
        <v>0</v>
      </c>
      <c r="S57" s="1">
        <v>0</v>
      </c>
      <c r="T57" s="1">
        <v>0</v>
      </c>
      <c r="U57" s="1">
        <v>0</v>
      </c>
      <c r="V57" s="1">
        <v>0</v>
      </c>
      <c r="W57" s="1">
        <v>0</v>
      </c>
      <c r="X57" s="1">
        <v>0</v>
      </c>
      <c r="Y57" s="1">
        <v>0</v>
      </c>
      <c r="Z57" s="1">
        <v>0</v>
      </c>
      <c r="AA57" s="1">
        <v>248</v>
      </c>
      <c r="AB57" s="1">
        <v>0</v>
      </c>
      <c r="AC57" s="1">
        <v>0</v>
      </c>
      <c r="AD57" s="24">
        <f t="shared" si="1"/>
        <v>248</v>
      </c>
      <c r="AE57" s="23">
        <v>0</v>
      </c>
      <c r="AF57" s="1">
        <v>0</v>
      </c>
      <c r="AG57" s="1">
        <v>0</v>
      </c>
      <c r="AH57" s="1">
        <v>0</v>
      </c>
      <c r="AI57" s="1">
        <v>0</v>
      </c>
      <c r="AJ57" s="1">
        <v>0</v>
      </c>
      <c r="AK57" s="1">
        <v>0</v>
      </c>
      <c r="AL57" s="1">
        <v>0</v>
      </c>
      <c r="AM57" s="1">
        <v>0</v>
      </c>
      <c r="AN57" s="1">
        <v>0</v>
      </c>
      <c r="AO57" s="1">
        <v>0</v>
      </c>
      <c r="AP57" s="1">
        <v>0</v>
      </c>
      <c r="AQ57" s="24">
        <f t="shared" si="2"/>
        <v>0</v>
      </c>
    </row>
    <row r="58" spans="1:43" ht="17.25" customHeight="1" x14ac:dyDescent="0.45">
      <c r="A58" s="12" t="s">
        <v>10</v>
      </c>
      <c r="B58" s="12" t="s">
        <v>66</v>
      </c>
      <c r="C58" s="12" t="s">
        <v>188</v>
      </c>
      <c r="D58" s="12" t="s">
        <v>68</v>
      </c>
      <c r="E58" s="25">
        <v>0</v>
      </c>
      <c r="F58" s="10">
        <v>0</v>
      </c>
      <c r="G58" s="10">
        <v>0</v>
      </c>
      <c r="H58" s="10">
        <v>0</v>
      </c>
      <c r="I58" s="10">
        <v>2</v>
      </c>
      <c r="J58" s="10">
        <v>5</v>
      </c>
      <c r="K58" s="10">
        <v>3</v>
      </c>
      <c r="L58" s="10">
        <v>0</v>
      </c>
      <c r="M58" s="10">
        <v>0</v>
      </c>
      <c r="N58" s="10">
        <v>0</v>
      </c>
      <c r="O58" s="10">
        <v>0</v>
      </c>
      <c r="P58" s="10">
        <v>0</v>
      </c>
      <c r="Q58" s="26">
        <f t="shared" si="0"/>
        <v>10</v>
      </c>
      <c r="R58" s="25">
        <v>0</v>
      </c>
      <c r="S58" s="10">
        <v>0</v>
      </c>
      <c r="T58" s="10">
        <v>0</v>
      </c>
      <c r="U58" s="10">
        <v>0</v>
      </c>
      <c r="V58" s="10">
        <v>101</v>
      </c>
      <c r="W58" s="10">
        <v>543</v>
      </c>
      <c r="X58" s="10">
        <v>340</v>
      </c>
      <c r="Y58" s="10">
        <v>0</v>
      </c>
      <c r="Z58" s="10">
        <v>0</v>
      </c>
      <c r="AA58" s="10">
        <v>0</v>
      </c>
      <c r="AB58" s="10">
        <v>0</v>
      </c>
      <c r="AC58" s="10">
        <v>0</v>
      </c>
      <c r="AD58" s="26">
        <f t="shared" si="1"/>
        <v>984</v>
      </c>
      <c r="AE58" s="25">
        <v>0</v>
      </c>
      <c r="AF58" s="10">
        <v>0</v>
      </c>
      <c r="AG58" s="10">
        <v>0</v>
      </c>
      <c r="AH58" s="10">
        <v>0</v>
      </c>
      <c r="AI58" s="10">
        <v>0</v>
      </c>
      <c r="AJ58" s="10">
        <v>0</v>
      </c>
      <c r="AK58" s="10">
        <v>0</v>
      </c>
      <c r="AL58" s="10">
        <v>0</v>
      </c>
      <c r="AM58" s="10">
        <v>0</v>
      </c>
      <c r="AN58" s="10">
        <v>0</v>
      </c>
      <c r="AO58" s="10">
        <v>0</v>
      </c>
      <c r="AP58" s="10">
        <v>0</v>
      </c>
      <c r="AQ58" s="26">
        <f t="shared" si="2"/>
        <v>0</v>
      </c>
    </row>
    <row r="59" spans="1:43" ht="17.25" customHeight="1" x14ac:dyDescent="0.45">
      <c r="A59" s="2" t="s">
        <v>10</v>
      </c>
      <c r="B59" s="2" t="s">
        <v>66</v>
      </c>
      <c r="C59" s="2" t="s">
        <v>130</v>
      </c>
      <c r="D59" s="2" t="s">
        <v>68</v>
      </c>
      <c r="E59" s="23">
        <v>1</v>
      </c>
      <c r="F59" s="1">
        <v>3</v>
      </c>
      <c r="G59" s="1">
        <v>0</v>
      </c>
      <c r="H59" s="1">
        <v>0</v>
      </c>
      <c r="I59" s="1">
        <v>0</v>
      </c>
      <c r="J59" s="1">
        <v>0</v>
      </c>
      <c r="K59" s="1">
        <v>0</v>
      </c>
      <c r="L59" s="1">
        <v>0</v>
      </c>
      <c r="M59" s="1">
        <v>0</v>
      </c>
      <c r="N59" s="1">
        <v>0</v>
      </c>
      <c r="O59" s="1">
        <v>0</v>
      </c>
      <c r="P59" s="1">
        <v>0</v>
      </c>
      <c r="Q59" s="24">
        <f t="shared" si="0"/>
        <v>4</v>
      </c>
      <c r="R59" s="23">
        <v>176</v>
      </c>
      <c r="S59" s="1">
        <v>494</v>
      </c>
      <c r="T59" s="1">
        <v>0</v>
      </c>
      <c r="U59" s="1">
        <v>0</v>
      </c>
      <c r="V59" s="1">
        <v>0</v>
      </c>
      <c r="W59" s="1">
        <v>0</v>
      </c>
      <c r="X59" s="1">
        <v>0</v>
      </c>
      <c r="Y59" s="1">
        <v>0</v>
      </c>
      <c r="Z59" s="1">
        <v>0</v>
      </c>
      <c r="AA59" s="1">
        <v>0</v>
      </c>
      <c r="AB59" s="1">
        <v>0</v>
      </c>
      <c r="AC59" s="1">
        <v>0</v>
      </c>
      <c r="AD59" s="24">
        <f t="shared" si="1"/>
        <v>670</v>
      </c>
      <c r="AE59" s="23">
        <v>0</v>
      </c>
      <c r="AF59" s="1">
        <v>0</v>
      </c>
      <c r="AG59" s="1">
        <v>0</v>
      </c>
      <c r="AH59" s="1">
        <v>0</v>
      </c>
      <c r="AI59" s="1">
        <v>0</v>
      </c>
      <c r="AJ59" s="1">
        <v>0</v>
      </c>
      <c r="AK59" s="1">
        <v>0</v>
      </c>
      <c r="AL59" s="1">
        <v>0</v>
      </c>
      <c r="AM59" s="1">
        <v>0</v>
      </c>
      <c r="AN59" s="1">
        <v>0</v>
      </c>
      <c r="AO59" s="1">
        <v>0</v>
      </c>
      <c r="AP59" s="1">
        <v>0</v>
      </c>
      <c r="AQ59" s="24">
        <f t="shared" si="2"/>
        <v>0</v>
      </c>
    </row>
    <row r="60" spans="1:43" ht="17.25" customHeight="1" x14ac:dyDescent="0.45">
      <c r="A60" s="12" t="s">
        <v>10</v>
      </c>
      <c r="B60" s="12" t="s">
        <v>66</v>
      </c>
      <c r="C60" s="12" t="s">
        <v>133</v>
      </c>
      <c r="D60" s="12" t="s">
        <v>68</v>
      </c>
      <c r="E60" s="25">
        <v>2</v>
      </c>
      <c r="F60" s="10">
        <v>0</v>
      </c>
      <c r="G60" s="10">
        <v>0</v>
      </c>
      <c r="H60" s="10">
        <v>0</v>
      </c>
      <c r="I60" s="10">
        <v>1</v>
      </c>
      <c r="J60" s="10">
        <v>3</v>
      </c>
      <c r="K60" s="10">
        <v>0</v>
      </c>
      <c r="L60" s="10">
        <v>0</v>
      </c>
      <c r="M60" s="10">
        <v>0</v>
      </c>
      <c r="N60" s="10">
        <v>0</v>
      </c>
      <c r="O60" s="10">
        <v>0</v>
      </c>
      <c r="P60" s="10">
        <v>0</v>
      </c>
      <c r="Q60" s="26">
        <f t="shared" si="0"/>
        <v>6</v>
      </c>
      <c r="R60" s="25">
        <v>350</v>
      </c>
      <c r="S60" s="10">
        <v>0</v>
      </c>
      <c r="T60" s="10">
        <v>0</v>
      </c>
      <c r="U60" s="10">
        <v>0</v>
      </c>
      <c r="V60" s="10">
        <v>10</v>
      </c>
      <c r="W60" s="10">
        <v>338</v>
      </c>
      <c r="X60" s="10">
        <v>0</v>
      </c>
      <c r="Y60" s="10">
        <v>0</v>
      </c>
      <c r="Z60" s="10">
        <v>0</v>
      </c>
      <c r="AA60" s="10">
        <v>0</v>
      </c>
      <c r="AB60" s="10">
        <v>0</v>
      </c>
      <c r="AC60" s="10">
        <v>0</v>
      </c>
      <c r="AD60" s="26">
        <f t="shared" si="1"/>
        <v>698</v>
      </c>
      <c r="AE60" s="25">
        <v>0</v>
      </c>
      <c r="AF60" s="10">
        <v>0</v>
      </c>
      <c r="AG60" s="10">
        <v>0</v>
      </c>
      <c r="AH60" s="10">
        <v>0</v>
      </c>
      <c r="AI60" s="10">
        <v>0</v>
      </c>
      <c r="AJ60" s="10">
        <v>0</v>
      </c>
      <c r="AK60" s="10">
        <v>0</v>
      </c>
      <c r="AL60" s="10">
        <v>0</v>
      </c>
      <c r="AM60" s="10">
        <v>0</v>
      </c>
      <c r="AN60" s="10">
        <v>0</v>
      </c>
      <c r="AO60" s="10">
        <v>0</v>
      </c>
      <c r="AP60" s="10">
        <v>0</v>
      </c>
      <c r="AQ60" s="26">
        <f t="shared" si="2"/>
        <v>0</v>
      </c>
    </row>
    <row r="61" spans="1:43" ht="17.25" customHeight="1" x14ac:dyDescent="0.45">
      <c r="A61" s="2" t="s">
        <v>10</v>
      </c>
      <c r="B61" s="2" t="s">
        <v>66</v>
      </c>
      <c r="C61" s="2" t="s">
        <v>261</v>
      </c>
      <c r="D61" s="2" t="s">
        <v>262</v>
      </c>
      <c r="E61" s="23">
        <v>0</v>
      </c>
      <c r="F61" s="1">
        <v>1</v>
      </c>
      <c r="G61" s="1">
        <v>1</v>
      </c>
      <c r="H61" s="1">
        <v>0</v>
      </c>
      <c r="I61" s="1">
        <v>0</v>
      </c>
      <c r="J61" s="1">
        <v>0</v>
      </c>
      <c r="K61" s="1">
        <v>0</v>
      </c>
      <c r="L61" s="1">
        <v>0</v>
      </c>
      <c r="M61" s="1">
        <v>0</v>
      </c>
      <c r="N61" s="1">
        <v>0</v>
      </c>
      <c r="O61" s="1">
        <v>0</v>
      </c>
      <c r="P61" s="1">
        <v>0</v>
      </c>
      <c r="Q61" s="24">
        <f t="shared" si="0"/>
        <v>2</v>
      </c>
      <c r="R61" s="23">
        <v>0</v>
      </c>
      <c r="S61" s="1">
        <v>294</v>
      </c>
      <c r="T61" s="1">
        <v>270</v>
      </c>
      <c r="U61" s="1">
        <v>0</v>
      </c>
      <c r="V61" s="1">
        <v>0</v>
      </c>
      <c r="W61" s="1">
        <v>0</v>
      </c>
      <c r="X61" s="1">
        <v>0</v>
      </c>
      <c r="Y61" s="1">
        <v>0</v>
      </c>
      <c r="Z61" s="1">
        <v>0</v>
      </c>
      <c r="AA61" s="1">
        <v>0</v>
      </c>
      <c r="AB61" s="1">
        <v>0</v>
      </c>
      <c r="AC61" s="1">
        <v>0</v>
      </c>
      <c r="AD61" s="24">
        <f t="shared" si="1"/>
        <v>564</v>
      </c>
      <c r="AE61" s="23">
        <v>0</v>
      </c>
      <c r="AF61" s="1">
        <v>0</v>
      </c>
      <c r="AG61" s="1">
        <v>0</v>
      </c>
      <c r="AH61" s="1">
        <v>0</v>
      </c>
      <c r="AI61" s="1">
        <v>0</v>
      </c>
      <c r="AJ61" s="1">
        <v>0</v>
      </c>
      <c r="AK61" s="1">
        <v>0</v>
      </c>
      <c r="AL61" s="1">
        <v>0</v>
      </c>
      <c r="AM61" s="1">
        <v>0</v>
      </c>
      <c r="AN61" s="1">
        <v>0</v>
      </c>
      <c r="AO61" s="1">
        <v>0</v>
      </c>
      <c r="AP61" s="1">
        <v>0</v>
      </c>
      <c r="AQ61" s="24">
        <f t="shared" si="2"/>
        <v>0</v>
      </c>
    </row>
    <row r="62" spans="1:43" ht="17.25" customHeight="1" x14ac:dyDescent="0.45">
      <c r="A62" s="12" t="s">
        <v>10</v>
      </c>
      <c r="B62" s="12" t="s">
        <v>66</v>
      </c>
      <c r="C62" s="12" t="s">
        <v>216</v>
      </c>
      <c r="D62" s="12" t="s">
        <v>68</v>
      </c>
      <c r="E62" s="25">
        <v>4</v>
      </c>
      <c r="F62" s="10">
        <v>7</v>
      </c>
      <c r="G62" s="10">
        <v>5</v>
      </c>
      <c r="H62" s="10">
        <v>3</v>
      </c>
      <c r="I62" s="10">
        <v>4</v>
      </c>
      <c r="J62" s="10">
        <v>8</v>
      </c>
      <c r="K62" s="10">
        <v>8</v>
      </c>
      <c r="L62" s="10">
        <v>3</v>
      </c>
      <c r="M62" s="10">
        <v>0</v>
      </c>
      <c r="N62" s="10">
        <v>0</v>
      </c>
      <c r="O62" s="10">
        <v>0</v>
      </c>
      <c r="P62" s="10">
        <v>0</v>
      </c>
      <c r="Q62" s="26">
        <f t="shared" si="0"/>
        <v>42</v>
      </c>
      <c r="R62" s="25">
        <v>460</v>
      </c>
      <c r="S62" s="10">
        <v>992</v>
      </c>
      <c r="T62" s="10">
        <v>849</v>
      </c>
      <c r="U62" s="10">
        <v>450</v>
      </c>
      <c r="V62" s="10">
        <v>589</v>
      </c>
      <c r="W62" s="10">
        <v>1210</v>
      </c>
      <c r="X62" s="10">
        <v>899</v>
      </c>
      <c r="Y62" s="10">
        <v>455</v>
      </c>
      <c r="Z62" s="10">
        <v>0</v>
      </c>
      <c r="AA62" s="10">
        <v>0</v>
      </c>
      <c r="AB62" s="10">
        <v>0</v>
      </c>
      <c r="AC62" s="10">
        <v>0</v>
      </c>
      <c r="AD62" s="26">
        <f t="shared" si="1"/>
        <v>5904</v>
      </c>
      <c r="AE62" s="25">
        <v>0</v>
      </c>
      <c r="AF62" s="10">
        <v>0</v>
      </c>
      <c r="AG62" s="10">
        <v>0</v>
      </c>
      <c r="AH62" s="10">
        <v>0</v>
      </c>
      <c r="AI62" s="10">
        <v>0</v>
      </c>
      <c r="AJ62" s="10">
        <v>0</v>
      </c>
      <c r="AK62" s="10">
        <v>0</v>
      </c>
      <c r="AL62" s="10">
        <v>0</v>
      </c>
      <c r="AM62" s="10">
        <v>0</v>
      </c>
      <c r="AN62" s="10">
        <v>0</v>
      </c>
      <c r="AO62" s="10">
        <v>0</v>
      </c>
      <c r="AP62" s="10">
        <v>0</v>
      </c>
      <c r="AQ62" s="26">
        <f t="shared" si="2"/>
        <v>0</v>
      </c>
    </row>
    <row r="63" spans="1:43" ht="17.25" customHeight="1" x14ac:dyDescent="0.45">
      <c r="A63" s="2" t="s">
        <v>10</v>
      </c>
      <c r="B63" s="2" t="s">
        <v>66</v>
      </c>
      <c r="C63" s="2" t="s">
        <v>271</v>
      </c>
      <c r="D63" s="2" t="s">
        <v>159</v>
      </c>
      <c r="E63" s="23">
        <v>0</v>
      </c>
      <c r="F63" s="1">
        <v>0</v>
      </c>
      <c r="G63" s="1">
        <v>1</v>
      </c>
      <c r="H63" s="1">
        <v>0</v>
      </c>
      <c r="I63" s="1">
        <v>0</v>
      </c>
      <c r="J63" s="1">
        <v>0</v>
      </c>
      <c r="K63" s="1">
        <v>0</v>
      </c>
      <c r="L63" s="1">
        <v>0</v>
      </c>
      <c r="M63" s="1">
        <v>0</v>
      </c>
      <c r="N63" s="1">
        <v>0</v>
      </c>
      <c r="O63" s="1">
        <v>0</v>
      </c>
      <c r="P63" s="1">
        <v>0</v>
      </c>
      <c r="Q63" s="24">
        <f t="shared" si="0"/>
        <v>1</v>
      </c>
      <c r="R63" s="23">
        <v>0</v>
      </c>
      <c r="S63" s="1">
        <v>0</v>
      </c>
      <c r="T63" s="1">
        <v>205</v>
      </c>
      <c r="U63" s="1">
        <v>0</v>
      </c>
      <c r="V63" s="1">
        <v>0</v>
      </c>
      <c r="W63" s="1">
        <v>0</v>
      </c>
      <c r="X63" s="1">
        <v>0</v>
      </c>
      <c r="Y63" s="1">
        <v>0</v>
      </c>
      <c r="Z63" s="1">
        <v>0</v>
      </c>
      <c r="AA63" s="1">
        <v>0</v>
      </c>
      <c r="AB63" s="1">
        <v>0</v>
      </c>
      <c r="AC63" s="1">
        <v>0</v>
      </c>
      <c r="AD63" s="24">
        <f t="shared" si="1"/>
        <v>205</v>
      </c>
      <c r="AE63" s="23">
        <v>0</v>
      </c>
      <c r="AF63" s="1">
        <v>0</v>
      </c>
      <c r="AG63" s="1">
        <v>0</v>
      </c>
      <c r="AH63" s="1">
        <v>0</v>
      </c>
      <c r="AI63" s="1">
        <v>0</v>
      </c>
      <c r="AJ63" s="1">
        <v>0</v>
      </c>
      <c r="AK63" s="1">
        <v>0</v>
      </c>
      <c r="AL63" s="1">
        <v>0</v>
      </c>
      <c r="AM63" s="1">
        <v>0</v>
      </c>
      <c r="AN63" s="1">
        <v>0</v>
      </c>
      <c r="AO63" s="1">
        <v>0</v>
      </c>
      <c r="AP63" s="1">
        <v>0</v>
      </c>
      <c r="AQ63" s="24">
        <f t="shared" si="2"/>
        <v>0</v>
      </c>
    </row>
    <row r="64" spans="1:43" ht="17.25" customHeight="1" x14ac:dyDescent="0.45">
      <c r="A64" s="12" t="s">
        <v>10</v>
      </c>
      <c r="B64" s="12" t="s">
        <v>66</v>
      </c>
      <c r="C64" s="12" t="s">
        <v>154</v>
      </c>
      <c r="D64" s="12" t="s">
        <v>155</v>
      </c>
      <c r="E64" s="25">
        <v>0</v>
      </c>
      <c r="F64" s="10">
        <v>0</v>
      </c>
      <c r="G64" s="10">
        <v>0</v>
      </c>
      <c r="H64" s="10">
        <v>0</v>
      </c>
      <c r="I64" s="10">
        <v>0</v>
      </c>
      <c r="J64" s="10">
        <v>0</v>
      </c>
      <c r="K64" s="10">
        <v>0</v>
      </c>
      <c r="L64" s="10">
        <v>0</v>
      </c>
      <c r="M64" s="10">
        <v>2</v>
      </c>
      <c r="N64" s="10">
        <v>0</v>
      </c>
      <c r="O64" s="10">
        <v>0</v>
      </c>
      <c r="P64" s="10">
        <v>0</v>
      </c>
      <c r="Q64" s="26">
        <f t="shared" si="0"/>
        <v>2</v>
      </c>
      <c r="R64" s="25">
        <v>0</v>
      </c>
      <c r="S64" s="10">
        <v>0</v>
      </c>
      <c r="T64" s="10">
        <v>0</v>
      </c>
      <c r="U64" s="10">
        <v>0</v>
      </c>
      <c r="V64" s="10">
        <v>0</v>
      </c>
      <c r="W64" s="10">
        <v>0</v>
      </c>
      <c r="X64" s="10">
        <v>0</v>
      </c>
      <c r="Y64" s="10">
        <v>0</v>
      </c>
      <c r="Z64" s="10">
        <v>0</v>
      </c>
      <c r="AA64" s="10">
        <v>0</v>
      </c>
      <c r="AB64" s="10">
        <v>0</v>
      </c>
      <c r="AC64" s="10">
        <v>0</v>
      </c>
      <c r="AD64" s="26">
        <f t="shared" si="1"/>
        <v>0</v>
      </c>
      <c r="AE64" s="25">
        <v>0</v>
      </c>
      <c r="AF64" s="10">
        <v>0</v>
      </c>
      <c r="AG64" s="10">
        <v>0</v>
      </c>
      <c r="AH64" s="10">
        <v>0</v>
      </c>
      <c r="AI64" s="10">
        <v>0</v>
      </c>
      <c r="AJ64" s="10">
        <v>0</v>
      </c>
      <c r="AK64" s="10">
        <v>0</v>
      </c>
      <c r="AL64" s="10">
        <v>0</v>
      </c>
      <c r="AM64" s="10">
        <v>36755</v>
      </c>
      <c r="AN64" s="10">
        <v>0</v>
      </c>
      <c r="AO64" s="10">
        <v>0</v>
      </c>
      <c r="AP64" s="10">
        <v>0</v>
      </c>
      <c r="AQ64" s="26">
        <f t="shared" si="2"/>
        <v>36755</v>
      </c>
    </row>
    <row r="65" spans="1:43" ht="17.25" customHeight="1" x14ac:dyDescent="0.45">
      <c r="A65" s="2" t="s">
        <v>10</v>
      </c>
      <c r="B65" s="2" t="s">
        <v>66</v>
      </c>
      <c r="C65" s="2" t="s">
        <v>218</v>
      </c>
      <c r="D65" s="2" t="s">
        <v>215</v>
      </c>
      <c r="E65" s="23">
        <v>7</v>
      </c>
      <c r="F65" s="1">
        <v>8</v>
      </c>
      <c r="G65" s="1">
        <v>6</v>
      </c>
      <c r="H65" s="1">
        <v>0</v>
      </c>
      <c r="I65" s="1">
        <v>0</v>
      </c>
      <c r="J65" s="1">
        <v>0</v>
      </c>
      <c r="K65" s="1">
        <v>0</v>
      </c>
      <c r="L65" s="1">
        <v>0</v>
      </c>
      <c r="M65" s="1">
        <v>0</v>
      </c>
      <c r="N65" s="1">
        <v>0</v>
      </c>
      <c r="O65" s="1">
        <v>5</v>
      </c>
      <c r="P65" s="1">
        <v>8</v>
      </c>
      <c r="Q65" s="24">
        <f t="shared" si="0"/>
        <v>34</v>
      </c>
      <c r="R65" s="23">
        <v>1889</v>
      </c>
      <c r="S65" s="1">
        <v>2218</v>
      </c>
      <c r="T65" s="1">
        <v>1611</v>
      </c>
      <c r="U65" s="1">
        <v>0</v>
      </c>
      <c r="V65" s="1">
        <v>0</v>
      </c>
      <c r="W65" s="1">
        <v>0</v>
      </c>
      <c r="X65" s="1">
        <v>0</v>
      </c>
      <c r="Y65" s="1">
        <v>0</v>
      </c>
      <c r="Z65" s="1">
        <v>0</v>
      </c>
      <c r="AA65" s="1">
        <v>0</v>
      </c>
      <c r="AB65" s="1">
        <v>655</v>
      </c>
      <c r="AC65" s="1">
        <v>2150</v>
      </c>
      <c r="AD65" s="24">
        <f t="shared" si="1"/>
        <v>8523</v>
      </c>
      <c r="AE65" s="23">
        <v>0</v>
      </c>
      <c r="AF65" s="1">
        <v>0</v>
      </c>
      <c r="AG65" s="1">
        <v>0</v>
      </c>
      <c r="AH65" s="1">
        <v>0</v>
      </c>
      <c r="AI65" s="1">
        <v>0</v>
      </c>
      <c r="AJ65" s="1">
        <v>0</v>
      </c>
      <c r="AK65" s="1">
        <v>0</v>
      </c>
      <c r="AL65" s="1">
        <v>0</v>
      </c>
      <c r="AM65" s="1">
        <v>0</v>
      </c>
      <c r="AN65" s="1">
        <v>0</v>
      </c>
      <c r="AO65" s="1">
        <v>0</v>
      </c>
      <c r="AP65" s="1">
        <v>0</v>
      </c>
      <c r="AQ65" s="24">
        <f t="shared" si="2"/>
        <v>0</v>
      </c>
    </row>
    <row r="66" spans="1:43" ht="17.25" customHeight="1" x14ac:dyDescent="0.45">
      <c r="A66" s="12" t="s">
        <v>219</v>
      </c>
      <c r="B66" s="12" t="s">
        <v>220</v>
      </c>
      <c r="C66" s="12" t="s">
        <v>14</v>
      </c>
      <c r="D66" s="12" t="s">
        <v>66</v>
      </c>
      <c r="E66" s="25">
        <v>1</v>
      </c>
      <c r="F66" s="10">
        <v>0</v>
      </c>
      <c r="G66" s="10">
        <v>0</v>
      </c>
      <c r="H66" s="10">
        <v>0</v>
      </c>
      <c r="I66" s="10">
        <v>0</v>
      </c>
      <c r="J66" s="10">
        <v>0</v>
      </c>
      <c r="K66" s="10">
        <v>0</v>
      </c>
      <c r="L66" s="10">
        <v>0</v>
      </c>
      <c r="M66" s="10">
        <v>0</v>
      </c>
      <c r="N66" s="10">
        <v>0</v>
      </c>
      <c r="O66" s="10">
        <v>0</v>
      </c>
      <c r="P66" s="10">
        <v>0</v>
      </c>
      <c r="Q66" s="26">
        <f t="shared" si="0"/>
        <v>1</v>
      </c>
      <c r="R66" s="25">
        <v>106</v>
      </c>
      <c r="S66" s="10">
        <v>0</v>
      </c>
      <c r="T66" s="10">
        <v>0</v>
      </c>
      <c r="U66" s="10">
        <v>0</v>
      </c>
      <c r="V66" s="10">
        <v>0</v>
      </c>
      <c r="W66" s="10">
        <v>0</v>
      </c>
      <c r="X66" s="10">
        <v>0</v>
      </c>
      <c r="Y66" s="10">
        <v>0</v>
      </c>
      <c r="Z66" s="10">
        <v>0</v>
      </c>
      <c r="AA66" s="10">
        <v>0</v>
      </c>
      <c r="AB66" s="10">
        <v>0</v>
      </c>
      <c r="AC66" s="10">
        <v>0</v>
      </c>
      <c r="AD66" s="26">
        <f t="shared" si="1"/>
        <v>106</v>
      </c>
      <c r="AE66" s="25">
        <v>0</v>
      </c>
      <c r="AF66" s="10">
        <v>0</v>
      </c>
      <c r="AG66" s="10">
        <v>0</v>
      </c>
      <c r="AH66" s="10">
        <v>0</v>
      </c>
      <c r="AI66" s="10">
        <v>0</v>
      </c>
      <c r="AJ66" s="10">
        <v>0</v>
      </c>
      <c r="AK66" s="10">
        <v>0</v>
      </c>
      <c r="AL66" s="10">
        <v>0</v>
      </c>
      <c r="AM66" s="10">
        <v>0</v>
      </c>
      <c r="AN66" s="10">
        <v>0</v>
      </c>
      <c r="AO66" s="10">
        <v>0</v>
      </c>
      <c r="AP66" s="10">
        <v>0</v>
      </c>
      <c r="AQ66" s="26">
        <f t="shared" si="2"/>
        <v>0</v>
      </c>
    </row>
    <row r="67" spans="1:43" ht="17.25" customHeight="1" x14ac:dyDescent="0.45">
      <c r="A67" s="2" t="s">
        <v>97</v>
      </c>
      <c r="B67" s="2" t="s">
        <v>68</v>
      </c>
      <c r="C67" s="2" t="s">
        <v>13</v>
      </c>
      <c r="D67" s="2" t="s">
        <v>66</v>
      </c>
      <c r="E67" s="23">
        <v>0</v>
      </c>
      <c r="F67" s="1">
        <v>0</v>
      </c>
      <c r="G67" s="1">
        <v>0</v>
      </c>
      <c r="H67" s="1">
        <v>0</v>
      </c>
      <c r="I67" s="1">
        <v>0</v>
      </c>
      <c r="J67" s="1">
        <v>0</v>
      </c>
      <c r="K67" s="1">
        <v>0</v>
      </c>
      <c r="L67" s="1">
        <v>0</v>
      </c>
      <c r="M67" s="1">
        <v>0</v>
      </c>
      <c r="N67" s="1">
        <v>0</v>
      </c>
      <c r="O67" s="1">
        <v>0</v>
      </c>
      <c r="P67" s="1">
        <v>1</v>
      </c>
      <c r="Q67" s="24">
        <f t="shared" si="0"/>
        <v>1</v>
      </c>
      <c r="R67" s="23">
        <v>0</v>
      </c>
      <c r="S67" s="1">
        <v>0</v>
      </c>
      <c r="T67" s="1">
        <v>0</v>
      </c>
      <c r="U67" s="1">
        <v>0</v>
      </c>
      <c r="V67" s="1">
        <v>0</v>
      </c>
      <c r="W67" s="1">
        <v>0</v>
      </c>
      <c r="X67" s="1">
        <v>0</v>
      </c>
      <c r="Y67" s="1">
        <v>0</v>
      </c>
      <c r="Z67" s="1">
        <v>0</v>
      </c>
      <c r="AA67" s="1">
        <v>0</v>
      </c>
      <c r="AB67" s="1">
        <v>0</v>
      </c>
      <c r="AC67" s="1">
        <v>6</v>
      </c>
      <c r="AD67" s="24">
        <f t="shared" si="1"/>
        <v>6</v>
      </c>
      <c r="AE67" s="23">
        <v>0</v>
      </c>
      <c r="AF67" s="1">
        <v>0</v>
      </c>
      <c r="AG67" s="1">
        <v>0</v>
      </c>
      <c r="AH67" s="1">
        <v>0</v>
      </c>
      <c r="AI67" s="1">
        <v>0</v>
      </c>
      <c r="AJ67" s="1">
        <v>0</v>
      </c>
      <c r="AK67" s="1">
        <v>0</v>
      </c>
      <c r="AL67" s="1">
        <v>0</v>
      </c>
      <c r="AM67" s="1">
        <v>0</v>
      </c>
      <c r="AN67" s="1">
        <v>0</v>
      </c>
      <c r="AO67" s="1">
        <v>0</v>
      </c>
      <c r="AP67" s="1">
        <v>0</v>
      </c>
      <c r="AQ67" s="24">
        <f t="shared" si="2"/>
        <v>0</v>
      </c>
    </row>
    <row r="68" spans="1:43" ht="17.25" customHeight="1" x14ac:dyDescent="0.45">
      <c r="A68" s="12" t="s">
        <v>234</v>
      </c>
      <c r="B68" s="12" t="s">
        <v>68</v>
      </c>
      <c r="C68" s="12" t="s">
        <v>13</v>
      </c>
      <c r="D68" s="12" t="s">
        <v>66</v>
      </c>
      <c r="E68" s="25">
        <v>1</v>
      </c>
      <c r="F68" s="10">
        <v>0</v>
      </c>
      <c r="G68" s="10">
        <v>0</v>
      </c>
      <c r="H68" s="10">
        <v>0</v>
      </c>
      <c r="I68" s="10">
        <v>0</v>
      </c>
      <c r="J68" s="10">
        <v>0</v>
      </c>
      <c r="K68" s="10">
        <v>0</v>
      </c>
      <c r="L68" s="10">
        <v>0</v>
      </c>
      <c r="M68" s="10">
        <v>0</v>
      </c>
      <c r="N68" s="10">
        <v>0</v>
      </c>
      <c r="O68" s="10">
        <v>0</v>
      </c>
      <c r="P68" s="10">
        <v>0</v>
      </c>
      <c r="Q68" s="26">
        <f t="shared" si="0"/>
        <v>1</v>
      </c>
      <c r="R68" s="25">
        <v>0</v>
      </c>
      <c r="S68" s="10">
        <v>0</v>
      </c>
      <c r="T68" s="10">
        <v>0</v>
      </c>
      <c r="U68" s="10">
        <v>0</v>
      </c>
      <c r="V68" s="10">
        <v>0</v>
      </c>
      <c r="W68" s="10">
        <v>0</v>
      </c>
      <c r="X68" s="10">
        <v>0</v>
      </c>
      <c r="Y68" s="10">
        <v>0</v>
      </c>
      <c r="Z68" s="10">
        <v>0</v>
      </c>
      <c r="AA68" s="10">
        <v>0</v>
      </c>
      <c r="AB68" s="10">
        <v>0</v>
      </c>
      <c r="AC68" s="10">
        <v>0</v>
      </c>
      <c r="AD68" s="26">
        <f t="shared" si="1"/>
        <v>0</v>
      </c>
      <c r="AE68" s="25">
        <v>30684</v>
      </c>
      <c r="AF68" s="10">
        <v>0</v>
      </c>
      <c r="AG68" s="10">
        <v>0</v>
      </c>
      <c r="AH68" s="10">
        <v>0</v>
      </c>
      <c r="AI68" s="10">
        <v>0</v>
      </c>
      <c r="AJ68" s="10">
        <v>0</v>
      </c>
      <c r="AK68" s="10">
        <v>0</v>
      </c>
      <c r="AL68" s="10">
        <v>0</v>
      </c>
      <c r="AM68" s="10">
        <v>0</v>
      </c>
      <c r="AN68" s="10">
        <v>0</v>
      </c>
      <c r="AO68" s="10">
        <v>0</v>
      </c>
      <c r="AP68" s="10">
        <v>0</v>
      </c>
      <c r="AQ68" s="26">
        <f t="shared" si="2"/>
        <v>30684</v>
      </c>
    </row>
    <row r="69" spans="1:43" ht="17.25" customHeight="1" x14ac:dyDescent="0.45">
      <c r="A69" s="2" t="s">
        <v>234</v>
      </c>
      <c r="B69" s="2" t="s">
        <v>68</v>
      </c>
      <c r="C69" s="2" t="s">
        <v>206</v>
      </c>
      <c r="D69" s="2" t="s">
        <v>66</v>
      </c>
      <c r="E69" s="23">
        <v>0</v>
      </c>
      <c r="F69" s="1">
        <v>0</v>
      </c>
      <c r="G69" s="1">
        <v>1</v>
      </c>
      <c r="H69" s="1">
        <v>0</v>
      </c>
      <c r="I69" s="1">
        <v>0</v>
      </c>
      <c r="J69" s="1">
        <v>0</v>
      </c>
      <c r="K69" s="1">
        <v>0</v>
      </c>
      <c r="L69" s="1">
        <v>0</v>
      </c>
      <c r="M69" s="1">
        <v>0</v>
      </c>
      <c r="N69" s="1">
        <v>0</v>
      </c>
      <c r="O69" s="1">
        <v>0</v>
      </c>
      <c r="P69" s="1">
        <v>0</v>
      </c>
      <c r="Q69" s="24">
        <f t="shared" si="0"/>
        <v>1</v>
      </c>
      <c r="R69" s="23">
        <v>0</v>
      </c>
      <c r="S69" s="1">
        <v>0</v>
      </c>
      <c r="T69" s="1">
        <v>0</v>
      </c>
      <c r="U69" s="1">
        <v>0</v>
      </c>
      <c r="V69" s="1">
        <v>0</v>
      </c>
      <c r="W69" s="1">
        <v>0</v>
      </c>
      <c r="X69" s="1">
        <v>0</v>
      </c>
      <c r="Y69" s="1">
        <v>0</v>
      </c>
      <c r="Z69" s="1">
        <v>0</v>
      </c>
      <c r="AA69" s="1">
        <v>0</v>
      </c>
      <c r="AB69" s="1">
        <v>0</v>
      </c>
      <c r="AC69" s="1">
        <v>0</v>
      </c>
      <c r="AD69" s="24">
        <f t="shared" si="1"/>
        <v>0</v>
      </c>
      <c r="AE69" s="23">
        <v>0</v>
      </c>
      <c r="AF69" s="1">
        <v>0</v>
      </c>
      <c r="AG69" s="1">
        <v>30691</v>
      </c>
      <c r="AH69" s="1">
        <v>0</v>
      </c>
      <c r="AI69" s="1">
        <v>0</v>
      </c>
      <c r="AJ69" s="1">
        <v>0</v>
      </c>
      <c r="AK69" s="1">
        <v>0</v>
      </c>
      <c r="AL69" s="1">
        <v>0</v>
      </c>
      <c r="AM69" s="1">
        <v>0</v>
      </c>
      <c r="AN69" s="1">
        <v>0</v>
      </c>
      <c r="AO69" s="1">
        <v>0</v>
      </c>
      <c r="AP69" s="1">
        <v>0</v>
      </c>
      <c r="AQ69" s="24">
        <f t="shared" si="2"/>
        <v>30691</v>
      </c>
    </row>
    <row r="70" spans="1:43" ht="17.25" customHeight="1" x14ac:dyDescent="0.45">
      <c r="A70" s="12" t="s">
        <v>72</v>
      </c>
      <c r="B70" s="12" t="s">
        <v>68</v>
      </c>
      <c r="C70" s="12" t="s">
        <v>55</v>
      </c>
      <c r="D70" s="12" t="s">
        <v>66</v>
      </c>
      <c r="E70" s="25">
        <v>0</v>
      </c>
      <c r="F70" s="10">
        <v>0</v>
      </c>
      <c r="G70" s="10">
        <v>0</v>
      </c>
      <c r="H70" s="10">
        <v>0</v>
      </c>
      <c r="I70" s="10">
        <v>0</v>
      </c>
      <c r="J70" s="10">
        <v>0</v>
      </c>
      <c r="K70" s="10">
        <v>0</v>
      </c>
      <c r="L70" s="10">
        <v>0</v>
      </c>
      <c r="M70" s="10">
        <v>0</v>
      </c>
      <c r="N70" s="10">
        <v>0</v>
      </c>
      <c r="O70" s="10">
        <v>0</v>
      </c>
      <c r="P70" s="10">
        <v>1</v>
      </c>
      <c r="Q70" s="26">
        <f t="shared" si="0"/>
        <v>1</v>
      </c>
      <c r="R70" s="25">
        <v>0</v>
      </c>
      <c r="S70" s="10">
        <v>0</v>
      </c>
      <c r="T70" s="10">
        <v>0</v>
      </c>
      <c r="U70" s="10">
        <v>0</v>
      </c>
      <c r="V70" s="10">
        <v>0</v>
      </c>
      <c r="W70" s="10">
        <v>0</v>
      </c>
      <c r="X70" s="10">
        <v>0</v>
      </c>
      <c r="Y70" s="10">
        <v>0</v>
      </c>
      <c r="Z70" s="10">
        <v>0</v>
      </c>
      <c r="AA70" s="10">
        <v>0</v>
      </c>
      <c r="AB70" s="10">
        <v>0</v>
      </c>
      <c r="AC70" s="10">
        <v>7</v>
      </c>
      <c r="AD70" s="26">
        <f t="shared" si="1"/>
        <v>7</v>
      </c>
      <c r="AE70" s="25">
        <v>0</v>
      </c>
      <c r="AF70" s="10">
        <v>0</v>
      </c>
      <c r="AG70" s="10">
        <v>0</v>
      </c>
      <c r="AH70" s="10">
        <v>0</v>
      </c>
      <c r="AI70" s="10">
        <v>0</v>
      </c>
      <c r="AJ70" s="10">
        <v>0</v>
      </c>
      <c r="AK70" s="10">
        <v>0</v>
      </c>
      <c r="AL70" s="10">
        <v>0</v>
      </c>
      <c r="AM70" s="10">
        <v>0</v>
      </c>
      <c r="AN70" s="10">
        <v>0</v>
      </c>
      <c r="AO70" s="10">
        <v>0</v>
      </c>
      <c r="AP70" s="10">
        <v>0</v>
      </c>
      <c r="AQ70" s="26">
        <f t="shared" si="2"/>
        <v>0</v>
      </c>
    </row>
    <row r="71" spans="1:43" ht="17.25" customHeight="1" x14ac:dyDescent="0.45">
      <c r="A71" s="2" t="s">
        <v>72</v>
      </c>
      <c r="B71" s="2" t="s">
        <v>68</v>
      </c>
      <c r="C71" s="2" t="s">
        <v>14</v>
      </c>
      <c r="D71" s="2" t="s">
        <v>66</v>
      </c>
      <c r="E71" s="23">
        <v>0</v>
      </c>
      <c r="F71" s="1">
        <v>0</v>
      </c>
      <c r="G71" s="1">
        <v>0</v>
      </c>
      <c r="H71" s="1">
        <v>0</v>
      </c>
      <c r="I71" s="1">
        <v>0</v>
      </c>
      <c r="J71" s="1">
        <v>0</v>
      </c>
      <c r="K71" s="1">
        <v>0</v>
      </c>
      <c r="L71" s="1">
        <v>0</v>
      </c>
      <c r="M71" s="1">
        <v>0</v>
      </c>
      <c r="N71" s="1">
        <v>1</v>
      </c>
      <c r="O71" s="1">
        <v>2</v>
      </c>
      <c r="P71" s="1">
        <v>0</v>
      </c>
      <c r="Q71" s="24">
        <f t="shared" si="0"/>
        <v>3</v>
      </c>
      <c r="R71" s="23">
        <v>0</v>
      </c>
      <c r="S71" s="1">
        <v>0</v>
      </c>
      <c r="T71" s="1">
        <v>0</v>
      </c>
      <c r="U71" s="1">
        <v>0</v>
      </c>
      <c r="V71" s="1">
        <v>0</v>
      </c>
      <c r="W71" s="1">
        <v>0</v>
      </c>
      <c r="X71" s="1">
        <v>0</v>
      </c>
      <c r="Y71" s="1">
        <v>0</v>
      </c>
      <c r="Z71" s="1">
        <v>0</v>
      </c>
      <c r="AA71" s="1">
        <v>0</v>
      </c>
      <c r="AB71" s="1">
        <v>0</v>
      </c>
      <c r="AC71" s="1">
        <v>0</v>
      </c>
      <c r="AD71" s="24">
        <f t="shared" si="1"/>
        <v>0</v>
      </c>
      <c r="AE71" s="23">
        <v>0</v>
      </c>
      <c r="AF71" s="1">
        <v>0</v>
      </c>
      <c r="AG71" s="1">
        <v>0</v>
      </c>
      <c r="AH71" s="1">
        <v>0</v>
      </c>
      <c r="AI71" s="1">
        <v>0</v>
      </c>
      <c r="AJ71" s="1">
        <v>0</v>
      </c>
      <c r="AK71" s="1">
        <v>0</v>
      </c>
      <c r="AL71" s="1">
        <v>0</v>
      </c>
      <c r="AM71" s="1">
        <v>0</v>
      </c>
      <c r="AN71" s="1">
        <v>129876</v>
      </c>
      <c r="AO71" s="1">
        <v>213792</v>
      </c>
      <c r="AP71" s="1">
        <v>0</v>
      </c>
      <c r="AQ71" s="24">
        <f t="shared" si="2"/>
        <v>343668</v>
      </c>
    </row>
    <row r="72" spans="1:43" ht="17.25" customHeight="1" x14ac:dyDescent="0.45">
      <c r="A72" s="12" t="s">
        <v>283</v>
      </c>
      <c r="B72" s="12" t="s">
        <v>68</v>
      </c>
      <c r="C72" s="12" t="s">
        <v>206</v>
      </c>
      <c r="D72" s="12" t="s">
        <v>66</v>
      </c>
      <c r="E72" s="25">
        <v>0</v>
      </c>
      <c r="F72" s="10">
        <v>0</v>
      </c>
      <c r="G72" s="10">
        <v>0</v>
      </c>
      <c r="H72" s="10">
        <v>1</v>
      </c>
      <c r="I72" s="10">
        <v>0</v>
      </c>
      <c r="J72" s="10">
        <v>0</v>
      </c>
      <c r="K72" s="10">
        <v>0</v>
      </c>
      <c r="L72" s="10">
        <v>0</v>
      </c>
      <c r="M72" s="10">
        <v>0</v>
      </c>
      <c r="N72" s="10">
        <v>0</v>
      </c>
      <c r="O72" s="10">
        <v>0</v>
      </c>
      <c r="P72" s="10">
        <v>0</v>
      </c>
      <c r="Q72" s="26">
        <f t="shared" ref="Q72:Q135" si="3">SUM(E72:P72)</f>
        <v>1</v>
      </c>
      <c r="R72" s="25">
        <v>0</v>
      </c>
      <c r="S72" s="10">
        <v>0</v>
      </c>
      <c r="T72" s="10">
        <v>0</v>
      </c>
      <c r="U72" s="10">
        <v>0</v>
      </c>
      <c r="V72" s="10">
        <v>0</v>
      </c>
      <c r="W72" s="10">
        <v>0</v>
      </c>
      <c r="X72" s="10">
        <v>0</v>
      </c>
      <c r="Y72" s="10">
        <v>0</v>
      </c>
      <c r="Z72" s="10">
        <v>0</v>
      </c>
      <c r="AA72" s="10">
        <v>0</v>
      </c>
      <c r="AB72" s="10">
        <v>0</v>
      </c>
      <c r="AC72" s="10">
        <v>0</v>
      </c>
      <c r="AD72" s="26">
        <f t="shared" ref="AD72:AD135" si="4">SUM(R72:AC72)</f>
        <v>0</v>
      </c>
      <c r="AE72" s="25">
        <v>0</v>
      </c>
      <c r="AF72" s="10">
        <v>0</v>
      </c>
      <c r="AG72" s="10">
        <v>0</v>
      </c>
      <c r="AH72" s="10">
        <v>10987</v>
      </c>
      <c r="AI72" s="10">
        <v>0</v>
      </c>
      <c r="AJ72" s="10">
        <v>0</v>
      </c>
      <c r="AK72" s="10">
        <v>0</v>
      </c>
      <c r="AL72" s="10">
        <v>0</v>
      </c>
      <c r="AM72" s="10">
        <v>0</v>
      </c>
      <c r="AN72" s="10">
        <v>0</v>
      </c>
      <c r="AO72" s="10">
        <v>0</v>
      </c>
      <c r="AP72" s="10">
        <v>0</v>
      </c>
      <c r="AQ72" s="26">
        <f t="shared" ref="AQ72:AQ135" si="5">SUM(AE72:AP72)</f>
        <v>10987</v>
      </c>
    </row>
    <row r="73" spans="1:43" ht="17.25" customHeight="1" x14ac:dyDescent="0.45">
      <c r="A73" s="2" t="s">
        <v>263</v>
      </c>
      <c r="B73" s="2" t="s">
        <v>68</v>
      </c>
      <c r="C73" s="2" t="s">
        <v>19</v>
      </c>
      <c r="D73" s="2" t="s">
        <v>66</v>
      </c>
      <c r="E73" s="23">
        <v>0</v>
      </c>
      <c r="F73" s="1">
        <v>1</v>
      </c>
      <c r="G73" s="1">
        <v>0</v>
      </c>
      <c r="H73" s="1">
        <v>0</v>
      </c>
      <c r="I73" s="1">
        <v>0</v>
      </c>
      <c r="J73" s="1">
        <v>0</v>
      </c>
      <c r="K73" s="1">
        <v>0</v>
      </c>
      <c r="L73" s="1">
        <v>0</v>
      </c>
      <c r="M73" s="1">
        <v>0</v>
      </c>
      <c r="N73" s="1">
        <v>0</v>
      </c>
      <c r="O73" s="1">
        <v>0</v>
      </c>
      <c r="P73" s="1">
        <v>0</v>
      </c>
      <c r="Q73" s="24">
        <f t="shared" si="3"/>
        <v>1</v>
      </c>
      <c r="R73" s="23">
        <v>0</v>
      </c>
      <c r="S73" s="1">
        <v>0</v>
      </c>
      <c r="T73" s="1">
        <v>0</v>
      </c>
      <c r="U73" s="1">
        <v>0</v>
      </c>
      <c r="V73" s="1">
        <v>0</v>
      </c>
      <c r="W73" s="1">
        <v>0</v>
      </c>
      <c r="X73" s="1">
        <v>0</v>
      </c>
      <c r="Y73" s="1">
        <v>0</v>
      </c>
      <c r="Z73" s="1">
        <v>0</v>
      </c>
      <c r="AA73" s="1">
        <v>0</v>
      </c>
      <c r="AB73" s="1">
        <v>0</v>
      </c>
      <c r="AC73" s="1">
        <v>0</v>
      </c>
      <c r="AD73" s="24">
        <f t="shared" si="4"/>
        <v>0</v>
      </c>
      <c r="AE73" s="23">
        <v>0</v>
      </c>
      <c r="AF73" s="1">
        <v>32546</v>
      </c>
      <c r="AG73" s="1">
        <v>0</v>
      </c>
      <c r="AH73" s="1">
        <v>0</v>
      </c>
      <c r="AI73" s="1">
        <v>0</v>
      </c>
      <c r="AJ73" s="1">
        <v>0</v>
      </c>
      <c r="AK73" s="1">
        <v>0</v>
      </c>
      <c r="AL73" s="1">
        <v>0</v>
      </c>
      <c r="AM73" s="1">
        <v>0</v>
      </c>
      <c r="AN73" s="1">
        <v>0</v>
      </c>
      <c r="AO73" s="1">
        <v>0</v>
      </c>
      <c r="AP73" s="1">
        <v>0</v>
      </c>
      <c r="AQ73" s="24">
        <f t="shared" si="5"/>
        <v>32546</v>
      </c>
    </row>
    <row r="74" spans="1:43" ht="17.25" customHeight="1" x14ac:dyDescent="0.45">
      <c r="A74" s="12" t="s">
        <v>263</v>
      </c>
      <c r="B74" s="12" t="s">
        <v>68</v>
      </c>
      <c r="C74" s="12" t="s">
        <v>206</v>
      </c>
      <c r="D74" s="12" t="s">
        <v>66</v>
      </c>
      <c r="E74" s="25">
        <v>0</v>
      </c>
      <c r="F74" s="10">
        <v>0</v>
      </c>
      <c r="G74" s="10">
        <v>0</v>
      </c>
      <c r="H74" s="10">
        <v>1</v>
      </c>
      <c r="I74" s="10">
        <v>0</v>
      </c>
      <c r="J74" s="10">
        <v>0</v>
      </c>
      <c r="K74" s="10">
        <v>0</v>
      </c>
      <c r="L74" s="10">
        <v>0</v>
      </c>
      <c r="M74" s="10">
        <v>0</v>
      </c>
      <c r="N74" s="10">
        <v>0</v>
      </c>
      <c r="O74" s="10">
        <v>0</v>
      </c>
      <c r="P74" s="10">
        <v>0</v>
      </c>
      <c r="Q74" s="26">
        <f t="shared" si="3"/>
        <v>1</v>
      </c>
      <c r="R74" s="25">
        <v>0</v>
      </c>
      <c r="S74" s="10">
        <v>0</v>
      </c>
      <c r="T74" s="10">
        <v>0</v>
      </c>
      <c r="U74" s="10">
        <v>0</v>
      </c>
      <c r="V74" s="10">
        <v>0</v>
      </c>
      <c r="W74" s="10">
        <v>0</v>
      </c>
      <c r="X74" s="10">
        <v>0</v>
      </c>
      <c r="Y74" s="10">
        <v>0</v>
      </c>
      <c r="Z74" s="10">
        <v>0</v>
      </c>
      <c r="AA74" s="10">
        <v>0</v>
      </c>
      <c r="AB74" s="10">
        <v>0</v>
      </c>
      <c r="AC74" s="10">
        <v>0</v>
      </c>
      <c r="AD74" s="26">
        <f t="shared" si="4"/>
        <v>0</v>
      </c>
      <c r="AE74" s="25">
        <v>0</v>
      </c>
      <c r="AF74" s="10">
        <v>0</v>
      </c>
      <c r="AG74" s="10">
        <v>0</v>
      </c>
      <c r="AH74" s="10">
        <v>5567</v>
      </c>
      <c r="AI74" s="10">
        <v>0</v>
      </c>
      <c r="AJ74" s="10">
        <v>0</v>
      </c>
      <c r="AK74" s="10">
        <v>0</v>
      </c>
      <c r="AL74" s="10">
        <v>0</v>
      </c>
      <c r="AM74" s="10">
        <v>0</v>
      </c>
      <c r="AN74" s="10">
        <v>0</v>
      </c>
      <c r="AO74" s="10">
        <v>0</v>
      </c>
      <c r="AP74" s="10">
        <v>0</v>
      </c>
      <c r="AQ74" s="26">
        <f t="shared" si="5"/>
        <v>5567</v>
      </c>
    </row>
    <row r="75" spans="1:43" ht="17.25" customHeight="1" x14ac:dyDescent="0.45">
      <c r="A75" s="2" t="s">
        <v>284</v>
      </c>
      <c r="B75" s="2" t="s">
        <v>68</v>
      </c>
      <c r="C75" s="2" t="s">
        <v>48</v>
      </c>
      <c r="D75" s="2" t="s">
        <v>66</v>
      </c>
      <c r="E75" s="23">
        <v>0</v>
      </c>
      <c r="F75" s="1">
        <v>0</v>
      </c>
      <c r="G75" s="1">
        <v>0</v>
      </c>
      <c r="H75" s="1">
        <v>1</v>
      </c>
      <c r="I75" s="1">
        <v>0</v>
      </c>
      <c r="J75" s="1">
        <v>0</v>
      </c>
      <c r="K75" s="1">
        <v>0</v>
      </c>
      <c r="L75" s="1">
        <v>0</v>
      </c>
      <c r="M75" s="1">
        <v>0</v>
      </c>
      <c r="N75" s="1">
        <v>0</v>
      </c>
      <c r="O75" s="1">
        <v>0</v>
      </c>
      <c r="P75" s="1">
        <v>0</v>
      </c>
      <c r="Q75" s="24">
        <f t="shared" si="3"/>
        <v>1</v>
      </c>
      <c r="R75" s="23">
        <v>0</v>
      </c>
      <c r="S75" s="1">
        <v>0</v>
      </c>
      <c r="T75" s="1">
        <v>0</v>
      </c>
      <c r="U75" s="1">
        <v>4</v>
      </c>
      <c r="V75" s="1">
        <v>0</v>
      </c>
      <c r="W75" s="1">
        <v>0</v>
      </c>
      <c r="X75" s="1">
        <v>0</v>
      </c>
      <c r="Y75" s="1">
        <v>0</v>
      </c>
      <c r="Z75" s="1">
        <v>0</v>
      </c>
      <c r="AA75" s="1">
        <v>0</v>
      </c>
      <c r="AB75" s="1">
        <v>0</v>
      </c>
      <c r="AC75" s="1">
        <v>0</v>
      </c>
      <c r="AD75" s="24">
        <f t="shared" si="4"/>
        <v>4</v>
      </c>
      <c r="AE75" s="23">
        <v>0</v>
      </c>
      <c r="AF75" s="1">
        <v>0</v>
      </c>
      <c r="AG75" s="1">
        <v>0</v>
      </c>
      <c r="AH75" s="1">
        <v>0</v>
      </c>
      <c r="AI75" s="1">
        <v>0</v>
      </c>
      <c r="AJ75" s="1">
        <v>0</v>
      </c>
      <c r="AK75" s="1">
        <v>0</v>
      </c>
      <c r="AL75" s="1">
        <v>0</v>
      </c>
      <c r="AM75" s="1">
        <v>0</v>
      </c>
      <c r="AN75" s="1">
        <v>0</v>
      </c>
      <c r="AO75" s="1">
        <v>0</v>
      </c>
      <c r="AP75" s="1">
        <v>0</v>
      </c>
      <c r="AQ75" s="24">
        <f t="shared" si="5"/>
        <v>0</v>
      </c>
    </row>
    <row r="76" spans="1:43" ht="17.25" customHeight="1" x14ac:dyDescent="0.45">
      <c r="A76" s="12" t="s">
        <v>19</v>
      </c>
      <c r="B76" s="12" t="s">
        <v>66</v>
      </c>
      <c r="C76" s="12" t="s">
        <v>227</v>
      </c>
      <c r="D76" s="12" t="s">
        <v>68</v>
      </c>
      <c r="E76" s="25">
        <v>0</v>
      </c>
      <c r="F76" s="10">
        <v>0</v>
      </c>
      <c r="G76" s="10">
        <v>0</v>
      </c>
      <c r="H76" s="10">
        <v>3</v>
      </c>
      <c r="I76" s="10">
        <v>0</v>
      </c>
      <c r="J76" s="10">
        <v>0</v>
      </c>
      <c r="K76" s="10">
        <v>0</v>
      </c>
      <c r="L76" s="10">
        <v>0</v>
      </c>
      <c r="M76" s="10">
        <v>0</v>
      </c>
      <c r="N76" s="10">
        <v>0</v>
      </c>
      <c r="O76" s="10">
        <v>0</v>
      </c>
      <c r="P76" s="10">
        <v>0</v>
      </c>
      <c r="Q76" s="26">
        <f t="shared" si="3"/>
        <v>3</v>
      </c>
      <c r="R76" s="25">
        <v>0</v>
      </c>
      <c r="S76" s="10">
        <v>0</v>
      </c>
      <c r="T76" s="10">
        <v>0</v>
      </c>
      <c r="U76" s="10">
        <v>0</v>
      </c>
      <c r="V76" s="10">
        <v>0</v>
      </c>
      <c r="W76" s="10">
        <v>0</v>
      </c>
      <c r="X76" s="10">
        <v>0</v>
      </c>
      <c r="Y76" s="10">
        <v>0</v>
      </c>
      <c r="Z76" s="10">
        <v>0</v>
      </c>
      <c r="AA76" s="10">
        <v>0</v>
      </c>
      <c r="AB76" s="10">
        <v>0</v>
      </c>
      <c r="AC76" s="10">
        <v>0</v>
      </c>
      <c r="AD76" s="26">
        <f t="shared" si="4"/>
        <v>0</v>
      </c>
      <c r="AE76" s="25">
        <v>0</v>
      </c>
      <c r="AF76" s="10">
        <v>0</v>
      </c>
      <c r="AG76" s="10">
        <v>0</v>
      </c>
      <c r="AH76" s="10">
        <v>8062</v>
      </c>
      <c r="AI76" s="10">
        <v>0</v>
      </c>
      <c r="AJ76" s="10">
        <v>0</v>
      </c>
      <c r="AK76" s="10">
        <v>0</v>
      </c>
      <c r="AL76" s="10">
        <v>0</v>
      </c>
      <c r="AM76" s="10">
        <v>0</v>
      </c>
      <c r="AN76" s="10">
        <v>0</v>
      </c>
      <c r="AO76" s="10">
        <v>0</v>
      </c>
      <c r="AP76" s="10">
        <v>0</v>
      </c>
      <c r="AQ76" s="26">
        <f t="shared" si="5"/>
        <v>8062</v>
      </c>
    </row>
    <row r="77" spans="1:43" ht="17.25" customHeight="1" x14ac:dyDescent="0.45">
      <c r="A77" s="2" t="s">
        <v>19</v>
      </c>
      <c r="B77" s="2" t="s">
        <v>66</v>
      </c>
      <c r="C77" s="2" t="s">
        <v>221</v>
      </c>
      <c r="D77" s="2" t="s">
        <v>68</v>
      </c>
      <c r="E77" s="23">
        <v>20</v>
      </c>
      <c r="F77" s="1">
        <v>21</v>
      </c>
      <c r="G77" s="1">
        <v>19</v>
      </c>
      <c r="H77" s="1">
        <v>22</v>
      </c>
      <c r="I77" s="1">
        <v>22</v>
      </c>
      <c r="J77" s="1">
        <v>22</v>
      </c>
      <c r="K77" s="1">
        <v>21</v>
      </c>
      <c r="L77" s="1">
        <v>22</v>
      </c>
      <c r="M77" s="1">
        <v>17</v>
      </c>
      <c r="N77" s="1">
        <v>23</v>
      </c>
      <c r="O77" s="1">
        <v>21</v>
      </c>
      <c r="P77" s="1">
        <v>18</v>
      </c>
      <c r="Q77" s="24">
        <f t="shared" si="3"/>
        <v>248</v>
      </c>
      <c r="R77" s="23">
        <v>0</v>
      </c>
      <c r="S77" s="1">
        <v>0</v>
      </c>
      <c r="T77" s="1">
        <v>0</v>
      </c>
      <c r="U77" s="1">
        <v>0</v>
      </c>
      <c r="V77" s="1">
        <v>0</v>
      </c>
      <c r="W77" s="1">
        <v>0</v>
      </c>
      <c r="X77" s="1">
        <v>0</v>
      </c>
      <c r="Y77" s="1">
        <v>0</v>
      </c>
      <c r="Z77" s="1">
        <v>0</v>
      </c>
      <c r="AA77" s="1">
        <v>0</v>
      </c>
      <c r="AB77" s="1">
        <v>0</v>
      </c>
      <c r="AC77" s="1">
        <v>0</v>
      </c>
      <c r="AD77" s="24">
        <f t="shared" si="4"/>
        <v>0</v>
      </c>
      <c r="AE77" s="23">
        <v>20895</v>
      </c>
      <c r="AF77" s="1">
        <v>17523</v>
      </c>
      <c r="AG77" s="1">
        <v>15937</v>
      </c>
      <c r="AH77" s="1">
        <v>22792</v>
      </c>
      <c r="AI77" s="1">
        <v>27763</v>
      </c>
      <c r="AJ77" s="1">
        <v>50958</v>
      </c>
      <c r="AK77" s="1">
        <v>35910</v>
      </c>
      <c r="AL77" s="1">
        <v>24739</v>
      </c>
      <c r="AM77" s="1">
        <v>22753</v>
      </c>
      <c r="AN77" s="1">
        <v>45203</v>
      </c>
      <c r="AO77" s="1">
        <v>34987</v>
      </c>
      <c r="AP77" s="1">
        <v>35691</v>
      </c>
      <c r="AQ77" s="24">
        <f t="shared" si="5"/>
        <v>355151</v>
      </c>
    </row>
    <row r="78" spans="1:43" ht="17.25" customHeight="1" x14ac:dyDescent="0.45">
      <c r="A78" s="12" t="s">
        <v>19</v>
      </c>
      <c r="B78" s="12" t="s">
        <v>66</v>
      </c>
      <c r="C78" s="12" t="s">
        <v>194</v>
      </c>
      <c r="D78" s="12" t="s">
        <v>68</v>
      </c>
      <c r="E78" s="25">
        <v>3</v>
      </c>
      <c r="F78" s="10">
        <v>4</v>
      </c>
      <c r="G78" s="10">
        <v>15</v>
      </c>
      <c r="H78" s="10">
        <v>9</v>
      </c>
      <c r="I78" s="10">
        <v>14</v>
      </c>
      <c r="J78" s="10">
        <v>4</v>
      </c>
      <c r="K78" s="10">
        <v>0</v>
      </c>
      <c r="L78" s="10">
        <v>2</v>
      </c>
      <c r="M78" s="10">
        <v>0</v>
      </c>
      <c r="N78" s="10">
        <v>5</v>
      </c>
      <c r="O78" s="10">
        <v>0</v>
      </c>
      <c r="P78" s="10">
        <v>0</v>
      </c>
      <c r="Q78" s="26">
        <f t="shared" si="3"/>
        <v>56</v>
      </c>
      <c r="R78" s="25">
        <v>0</v>
      </c>
      <c r="S78" s="10">
        <v>0</v>
      </c>
      <c r="T78" s="10">
        <v>0</v>
      </c>
      <c r="U78" s="10">
        <v>0</v>
      </c>
      <c r="V78" s="10">
        <v>32</v>
      </c>
      <c r="W78" s="10">
        <v>0</v>
      </c>
      <c r="X78" s="10">
        <v>0</v>
      </c>
      <c r="Y78" s="10">
        <v>0</v>
      </c>
      <c r="Z78" s="10">
        <v>0</v>
      </c>
      <c r="AA78" s="10">
        <v>0</v>
      </c>
      <c r="AB78" s="10">
        <v>0</v>
      </c>
      <c r="AC78" s="10">
        <v>0</v>
      </c>
      <c r="AD78" s="26">
        <f t="shared" si="4"/>
        <v>32</v>
      </c>
      <c r="AE78" s="25">
        <v>3224</v>
      </c>
      <c r="AF78" s="10">
        <v>17246</v>
      </c>
      <c r="AG78" s="10">
        <v>15676</v>
      </c>
      <c r="AH78" s="10">
        <v>15869</v>
      </c>
      <c r="AI78" s="10">
        <v>54398</v>
      </c>
      <c r="AJ78" s="10">
        <v>5867</v>
      </c>
      <c r="AK78" s="10">
        <v>0</v>
      </c>
      <c r="AL78" s="10">
        <v>8620</v>
      </c>
      <c r="AM78" s="10">
        <v>0</v>
      </c>
      <c r="AN78" s="10">
        <v>19278</v>
      </c>
      <c r="AO78" s="10">
        <v>0</v>
      </c>
      <c r="AP78" s="10">
        <v>0</v>
      </c>
      <c r="AQ78" s="26">
        <f t="shared" si="5"/>
        <v>140178</v>
      </c>
    </row>
    <row r="79" spans="1:43" ht="17.25" customHeight="1" x14ac:dyDescent="0.45">
      <c r="A79" s="2" t="s">
        <v>19</v>
      </c>
      <c r="B79" s="2" t="s">
        <v>66</v>
      </c>
      <c r="C79" s="2" t="s">
        <v>126</v>
      </c>
      <c r="D79" s="2" t="s">
        <v>68</v>
      </c>
      <c r="E79" s="23">
        <v>0</v>
      </c>
      <c r="F79" s="1">
        <v>0</v>
      </c>
      <c r="G79" s="1">
        <v>0</v>
      </c>
      <c r="H79" s="1">
        <v>0</v>
      </c>
      <c r="I79" s="1">
        <v>0</v>
      </c>
      <c r="J79" s="1">
        <v>0</v>
      </c>
      <c r="K79" s="1">
        <v>0</v>
      </c>
      <c r="L79" s="1">
        <v>1</v>
      </c>
      <c r="M79" s="1">
        <v>0</v>
      </c>
      <c r="N79" s="1">
        <v>0</v>
      </c>
      <c r="O79" s="1">
        <v>0</v>
      </c>
      <c r="P79" s="1">
        <v>0</v>
      </c>
      <c r="Q79" s="24">
        <f t="shared" si="3"/>
        <v>1</v>
      </c>
      <c r="R79" s="23">
        <v>0</v>
      </c>
      <c r="S79" s="1">
        <v>0</v>
      </c>
      <c r="T79" s="1">
        <v>0</v>
      </c>
      <c r="U79" s="1">
        <v>0</v>
      </c>
      <c r="V79" s="1">
        <v>0</v>
      </c>
      <c r="W79" s="1">
        <v>0</v>
      </c>
      <c r="X79" s="1">
        <v>0</v>
      </c>
      <c r="Y79" s="1">
        <v>0</v>
      </c>
      <c r="Z79" s="1">
        <v>0</v>
      </c>
      <c r="AA79" s="1">
        <v>0</v>
      </c>
      <c r="AB79" s="1">
        <v>0</v>
      </c>
      <c r="AC79" s="1">
        <v>0</v>
      </c>
      <c r="AD79" s="24">
        <f t="shared" si="4"/>
        <v>0</v>
      </c>
      <c r="AE79" s="23">
        <v>0</v>
      </c>
      <c r="AF79" s="1">
        <v>0</v>
      </c>
      <c r="AG79" s="1">
        <v>0</v>
      </c>
      <c r="AH79" s="1">
        <v>0</v>
      </c>
      <c r="AI79" s="1">
        <v>0</v>
      </c>
      <c r="AJ79" s="1">
        <v>0</v>
      </c>
      <c r="AK79" s="1">
        <v>0</v>
      </c>
      <c r="AL79" s="1">
        <v>1863</v>
      </c>
      <c r="AM79" s="1">
        <v>0</v>
      </c>
      <c r="AN79" s="1">
        <v>0</v>
      </c>
      <c r="AO79" s="1">
        <v>0</v>
      </c>
      <c r="AP79" s="1">
        <v>0</v>
      </c>
      <c r="AQ79" s="24">
        <f t="shared" si="5"/>
        <v>1863</v>
      </c>
    </row>
    <row r="80" spans="1:43" ht="17.25" customHeight="1" x14ac:dyDescent="0.45">
      <c r="A80" s="12" t="s">
        <v>19</v>
      </c>
      <c r="B80" s="12" t="s">
        <v>66</v>
      </c>
      <c r="C80" s="12" t="s">
        <v>162</v>
      </c>
      <c r="D80" s="12" t="s">
        <v>68</v>
      </c>
      <c r="E80" s="25">
        <v>0</v>
      </c>
      <c r="F80" s="10">
        <v>0</v>
      </c>
      <c r="G80" s="10">
        <v>0</v>
      </c>
      <c r="H80" s="10">
        <v>0</v>
      </c>
      <c r="I80" s="10">
        <v>0</v>
      </c>
      <c r="J80" s="10">
        <v>1</v>
      </c>
      <c r="K80" s="10">
        <v>0</v>
      </c>
      <c r="L80" s="10">
        <v>0</v>
      </c>
      <c r="M80" s="10">
        <v>0</v>
      </c>
      <c r="N80" s="10">
        <v>0</v>
      </c>
      <c r="O80" s="10">
        <v>0</v>
      </c>
      <c r="P80" s="10">
        <v>0</v>
      </c>
      <c r="Q80" s="26">
        <f t="shared" si="3"/>
        <v>1</v>
      </c>
      <c r="R80" s="25">
        <v>0</v>
      </c>
      <c r="S80" s="10">
        <v>0</v>
      </c>
      <c r="T80" s="10">
        <v>0</v>
      </c>
      <c r="U80" s="10">
        <v>0</v>
      </c>
      <c r="V80" s="10">
        <v>0</v>
      </c>
      <c r="W80" s="10">
        <v>0</v>
      </c>
      <c r="X80" s="10">
        <v>0</v>
      </c>
      <c r="Y80" s="10">
        <v>0</v>
      </c>
      <c r="Z80" s="10">
        <v>0</v>
      </c>
      <c r="AA80" s="10">
        <v>0</v>
      </c>
      <c r="AB80" s="10">
        <v>0</v>
      </c>
      <c r="AC80" s="10">
        <v>0</v>
      </c>
      <c r="AD80" s="26">
        <f t="shared" si="4"/>
        <v>0</v>
      </c>
      <c r="AE80" s="25">
        <v>0</v>
      </c>
      <c r="AF80" s="10">
        <v>0</v>
      </c>
      <c r="AG80" s="10">
        <v>0</v>
      </c>
      <c r="AH80" s="10">
        <v>0</v>
      </c>
      <c r="AI80" s="10">
        <v>0</v>
      </c>
      <c r="AJ80" s="10">
        <v>2057</v>
      </c>
      <c r="AK80" s="10">
        <v>0</v>
      </c>
      <c r="AL80" s="10">
        <v>0</v>
      </c>
      <c r="AM80" s="10">
        <v>0</v>
      </c>
      <c r="AN80" s="10">
        <v>0</v>
      </c>
      <c r="AO80" s="10">
        <v>0</v>
      </c>
      <c r="AP80" s="10">
        <v>0</v>
      </c>
      <c r="AQ80" s="26">
        <f t="shared" si="5"/>
        <v>2057</v>
      </c>
    </row>
    <row r="81" spans="1:43" ht="17.25" customHeight="1" x14ac:dyDescent="0.45">
      <c r="A81" s="2" t="s">
        <v>98</v>
      </c>
      <c r="B81" s="2" t="s">
        <v>68</v>
      </c>
      <c r="C81" s="2" t="s">
        <v>38</v>
      </c>
      <c r="D81" s="2" t="s">
        <v>66</v>
      </c>
      <c r="E81" s="23">
        <v>1</v>
      </c>
      <c r="F81" s="1">
        <v>0</v>
      </c>
      <c r="G81" s="1">
        <v>0</v>
      </c>
      <c r="H81" s="1">
        <v>0</v>
      </c>
      <c r="I81" s="1">
        <v>0</v>
      </c>
      <c r="J81" s="1">
        <v>0</v>
      </c>
      <c r="K81" s="1">
        <v>0</v>
      </c>
      <c r="L81" s="1">
        <v>0</v>
      </c>
      <c r="M81" s="1">
        <v>0</v>
      </c>
      <c r="N81" s="1">
        <v>0</v>
      </c>
      <c r="O81" s="1">
        <v>0</v>
      </c>
      <c r="P81" s="1">
        <v>0</v>
      </c>
      <c r="Q81" s="24">
        <f t="shared" si="3"/>
        <v>1</v>
      </c>
      <c r="R81" s="23">
        <v>0</v>
      </c>
      <c r="S81" s="1">
        <v>0</v>
      </c>
      <c r="T81" s="1">
        <v>0</v>
      </c>
      <c r="U81" s="1">
        <v>0</v>
      </c>
      <c r="V81" s="1">
        <v>0</v>
      </c>
      <c r="W81" s="1">
        <v>0</v>
      </c>
      <c r="X81" s="1">
        <v>0</v>
      </c>
      <c r="Y81" s="1">
        <v>0</v>
      </c>
      <c r="Z81" s="1">
        <v>0</v>
      </c>
      <c r="AA81" s="1">
        <v>0</v>
      </c>
      <c r="AB81" s="1">
        <v>0</v>
      </c>
      <c r="AC81" s="1">
        <v>0</v>
      </c>
      <c r="AD81" s="24">
        <f t="shared" si="4"/>
        <v>0</v>
      </c>
      <c r="AE81" s="23">
        <v>31062</v>
      </c>
      <c r="AF81" s="1">
        <v>0</v>
      </c>
      <c r="AG81" s="1">
        <v>0</v>
      </c>
      <c r="AH81" s="1">
        <v>0</v>
      </c>
      <c r="AI81" s="1">
        <v>0</v>
      </c>
      <c r="AJ81" s="1">
        <v>0</v>
      </c>
      <c r="AK81" s="1">
        <v>0</v>
      </c>
      <c r="AL81" s="1">
        <v>0</v>
      </c>
      <c r="AM81" s="1">
        <v>0</v>
      </c>
      <c r="AN81" s="1">
        <v>0</v>
      </c>
      <c r="AO81" s="1">
        <v>0</v>
      </c>
      <c r="AP81" s="1">
        <v>0</v>
      </c>
      <c r="AQ81" s="24">
        <f t="shared" si="5"/>
        <v>31062</v>
      </c>
    </row>
    <row r="82" spans="1:43" ht="17.25" customHeight="1" x14ac:dyDescent="0.45">
      <c r="A82" s="12" t="s">
        <v>98</v>
      </c>
      <c r="B82" s="12" t="s">
        <v>68</v>
      </c>
      <c r="C82" s="12" t="s">
        <v>28</v>
      </c>
      <c r="D82" s="12" t="s">
        <v>66</v>
      </c>
      <c r="E82" s="25">
        <v>0</v>
      </c>
      <c r="F82" s="10">
        <v>0</v>
      </c>
      <c r="G82" s="10">
        <v>0</v>
      </c>
      <c r="H82" s="10">
        <v>0</v>
      </c>
      <c r="I82" s="10">
        <v>0</v>
      </c>
      <c r="J82" s="10">
        <v>0</v>
      </c>
      <c r="K82" s="10">
        <v>0</v>
      </c>
      <c r="L82" s="10">
        <v>0</v>
      </c>
      <c r="M82" s="10">
        <v>1</v>
      </c>
      <c r="N82" s="10">
        <v>0</v>
      </c>
      <c r="O82" s="10">
        <v>0</v>
      </c>
      <c r="P82" s="10">
        <v>0</v>
      </c>
      <c r="Q82" s="26">
        <f t="shared" si="3"/>
        <v>1</v>
      </c>
      <c r="R82" s="25">
        <v>0</v>
      </c>
      <c r="S82" s="10">
        <v>0</v>
      </c>
      <c r="T82" s="10">
        <v>0</v>
      </c>
      <c r="U82" s="10">
        <v>0</v>
      </c>
      <c r="V82" s="10">
        <v>0</v>
      </c>
      <c r="W82" s="10">
        <v>0</v>
      </c>
      <c r="X82" s="10">
        <v>0</v>
      </c>
      <c r="Y82" s="10">
        <v>0</v>
      </c>
      <c r="Z82" s="10">
        <v>0</v>
      </c>
      <c r="AA82" s="10">
        <v>0</v>
      </c>
      <c r="AB82" s="10">
        <v>0</v>
      </c>
      <c r="AC82" s="10">
        <v>0</v>
      </c>
      <c r="AD82" s="26">
        <f t="shared" si="4"/>
        <v>0</v>
      </c>
      <c r="AE82" s="25">
        <v>0</v>
      </c>
      <c r="AF82" s="10">
        <v>0</v>
      </c>
      <c r="AG82" s="10">
        <v>0</v>
      </c>
      <c r="AH82" s="10">
        <v>0</v>
      </c>
      <c r="AI82" s="10">
        <v>0</v>
      </c>
      <c r="AJ82" s="10">
        <v>0</v>
      </c>
      <c r="AK82" s="10">
        <v>0</v>
      </c>
      <c r="AL82" s="10">
        <v>0</v>
      </c>
      <c r="AM82" s="10">
        <v>2780</v>
      </c>
      <c r="AN82" s="10">
        <v>0</v>
      </c>
      <c r="AO82" s="10">
        <v>0</v>
      </c>
      <c r="AP82" s="10">
        <v>0</v>
      </c>
      <c r="AQ82" s="26">
        <f t="shared" si="5"/>
        <v>2780</v>
      </c>
    </row>
    <row r="83" spans="1:43" ht="17.25" customHeight="1" x14ac:dyDescent="0.45">
      <c r="A83" s="2" t="s">
        <v>98</v>
      </c>
      <c r="B83" s="2" t="s">
        <v>68</v>
      </c>
      <c r="C83" s="2" t="s">
        <v>206</v>
      </c>
      <c r="D83" s="2" t="s">
        <v>66</v>
      </c>
      <c r="E83" s="23">
        <v>0</v>
      </c>
      <c r="F83" s="1">
        <v>1</v>
      </c>
      <c r="G83" s="1">
        <v>0</v>
      </c>
      <c r="H83" s="1">
        <v>0</v>
      </c>
      <c r="I83" s="1">
        <v>0</v>
      </c>
      <c r="J83" s="1">
        <v>0</v>
      </c>
      <c r="K83" s="1">
        <v>0</v>
      </c>
      <c r="L83" s="1">
        <v>1</v>
      </c>
      <c r="M83" s="1">
        <v>0</v>
      </c>
      <c r="N83" s="1">
        <v>0</v>
      </c>
      <c r="O83" s="1">
        <v>0</v>
      </c>
      <c r="P83" s="1">
        <v>0</v>
      </c>
      <c r="Q83" s="24">
        <f t="shared" si="3"/>
        <v>2</v>
      </c>
      <c r="R83" s="23">
        <v>0</v>
      </c>
      <c r="S83" s="1">
        <v>0</v>
      </c>
      <c r="T83" s="1">
        <v>0</v>
      </c>
      <c r="U83" s="1">
        <v>0</v>
      </c>
      <c r="V83" s="1">
        <v>0</v>
      </c>
      <c r="W83" s="1">
        <v>0</v>
      </c>
      <c r="X83" s="1">
        <v>0</v>
      </c>
      <c r="Y83" s="1">
        <v>0</v>
      </c>
      <c r="Z83" s="1">
        <v>0</v>
      </c>
      <c r="AA83" s="1">
        <v>0</v>
      </c>
      <c r="AB83" s="1">
        <v>0</v>
      </c>
      <c r="AC83" s="1">
        <v>0</v>
      </c>
      <c r="AD83" s="24">
        <f t="shared" si="4"/>
        <v>0</v>
      </c>
      <c r="AE83" s="23">
        <v>0</v>
      </c>
      <c r="AF83" s="1">
        <v>29650</v>
      </c>
      <c r="AG83" s="1">
        <v>0</v>
      </c>
      <c r="AH83" s="1">
        <v>0</v>
      </c>
      <c r="AI83" s="1">
        <v>0</v>
      </c>
      <c r="AJ83" s="1">
        <v>0</v>
      </c>
      <c r="AK83" s="1">
        <v>0</v>
      </c>
      <c r="AL83" s="1">
        <v>2840</v>
      </c>
      <c r="AM83" s="1">
        <v>0</v>
      </c>
      <c r="AN83" s="1">
        <v>0</v>
      </c>
      <c r="AO83" s="1">
        <v>0</v>
      </c>
      <c r="AP83" s="1">
        <v>0</v>
      </c>
      <c r="AQ83" s="24">
        <f t="shared" si="5"/>
        <v>32490</v>
      </c>
    </row>
    <row r="84" spans="1:43" ht="17.25" customHeight="1" x14ac:dyDescent="0.45">
      <c r="A84" s="12" t="s">
        <v>320</v>
      </c>
      <c r="B84" s="12" t="s">
        <v>68</v>
      </c>
      <c r="C84" s="12" t="s">
        <v>206</v>
      </c>
      <c r="D84" s="12" t="s">
        <v>66</v>
      </c>
      <c r="E84" s="25">
        <v>0</v>
      </c>
      <c r="F84" s="10">
        <v>0</v>
      </c>
      <c r="G84" s="10">
        <v>0</v>
      </c>
      <c r="H84" s="10">
        <v>0</v>
      </c>
      <c r="I84" s="10">
        <v>0</v>
      </c>
      <c r="J84" s="10">
        <v>0</v>
      </c>
      <c r="K84" s="10">
        <v>0</v>
      </c>
      <c r="L84" s="10">
        <v>0</v>
      </c>
      <c r="M84" s="10">
        <v>1</v>
      </c>
      <c r="N84" s="10">
        <v>0</v>
      </c>
      <c r="O84" s="10">
        <v>0</v>
      </c>
      <c r="P84" s="10">
        <v>0</v>
      </c>
      <c r="Q84" s="26">
        <f t="shared" si="3"/>
        <v>1</v>
      </c>
      <c r="R84" s="25">
        <v>0</v>
      </c>
      <c r="S84" s="10">
        <v>0</v>
      </c>
      <c r="T84" s="10">
        <v>0</v>
      </c>
      <c r="U84" s="10">
        <v>0</v>
      </c>
      <c r="V84" s="10">
        <v>0</v>
      </c>
      <c r="W84" s="10">
        <v>0</v>
      </c>
      <c r="X84" s="10">
        <v>0</v>
      </c>
      <c r="Y84" s="10">
        <v>0</v>
      </c>
      <c r="Z84" s="10">
        <v>0</v>
      </c>
      <c r="AA84" s="10">
        <v>0</v>
      </c>
      <c r="AB84" s="10">
        <v>0</v>
      </c>
      <c r="AC84" s="10">
        <v>0</v>
      </c>
      <c r="AD84" s="26">
        <f t="shared" si="4"/>
        <v>0</v>
      </c>
      <c r="AE84" s="25">
        <v>0</v>
      </c>
      <c r="AF84" s="10">
        <v>0</v>
      </c>
      <c r="AG84" s="10">
        <v>0</v>
      </c>
      <c r="AH84" s="10">
        <v>0</v>
      </c>
      <c r="AI84" s="10">
        <v>0</v>
      </c>
      <c r="AJ84" s="10">
        <v>0</v>
      </c>
      <c r="AK84" s="10">
        <v>0</v>
      </c>
      <c r="AL84" s="10">
        <v>0</v>
      </c>
      <c r="AM84" s="10">
        <v>8500</v>
      </c>
      <c r="AN84" s="10">
        <v>0</v>
      </c>
      <c r="AO84" s="10">
        <v>0</v>
      </c>
      <c r="AP84" s="10">
        <v>0</v>
      </c>
      <c r="AQ84" s="26">
        <f t="shared" si="5"/>
        <v>8500</v>
      </c>
    </row>
    <row r="85" spans="1:43" ht="17.25" customHeight="1" x14ac:dyDescent="0.45">
      <c r="A85" s="2" t="s">
        <v>259</v>
      </c>
      <c r="B85" s="2" t="s">
        <v>68</v>
      </c>
      <c r="C85" s="2" t="s">
        <v>10</v>
      </c>
      <c r="D85" s="2" t="s">
        <v>66</v>
      </c>
      <c r="E85" s="23">
        <v>0</v>
      </c>
      <c r="F85" s="1">
        <v>2</v>
      </c>
      <c r="G85" s="1">
        <v>5</v>
      </c>
      <c r="H85" s="1">
        <v>4</v>
      </c>
      <c r="I85" s="1">
        <v>4</v>
      </c>
      <c r="J85" s="1">
        <v>5</v>
      </c>
      <c r="K85" s="1">
        <v>4</v>
      </c>
      <c r="L85" s="1">
        <v>0</v>
      </c>
      <c r="M85" s="1">
        <v>0</v>
      </c>
      <c r="N85" s="1">
        <v>0</v>
      </c>
      <c r="O85" s="1">
        <v>0</v>
      </c>
      <c r="P85" s="1">
        <v>0</v>
      </c>
      <c r="Q85" s="24">
        <f t="shared" si="3"/>
        <v>24</v>
      </c>
      <c r="R85" s="23">
        <v>0</v>
      </c>
      <c r="S85" s="1">
        <v>280</v>
      </c>
      <c r="T85" s="1">
        <v>760</v>
      </c>
      <c r="U85" s="1">
        <v>350</v>
      </c>
      <c r="V85" s="1">
        <v>461</v>
      </c>
      <c r="W85" s="1">
        <v>832</v>
      </c>
      <c r="X85" s="1">
        <v>502</v>
      </c>
      <c r="Y85" s="1">
        <v>0</v>
      </c>
      <c r="Z85" s="1">
        <v>0</v>
      </c>
      <c r="AA85" s="1">
        <v>0</v>
      </c>
      <c r="AB85" s="1">
        <v>0</v>
      </c>
      <c r="AC85" s="1">
        <v>0</v>
      </c>
      <c r="AD85" s="24">
        <f t="shared" si="4"/>
        <v>3185</v>
      </c>
      <c r="AE85" s="23">
        <v>0</v>
      </c>
      <c r="AF85" s="1">
        <v>0</v>
      </c>
      <c r="AG85" s="1">
        <v>0</v>
      </c>
      <c r="AH85" s="1">
        <v>0</v>
      </c>
      <c r="AI85" s="1">
        <v>0</v>
      </c>
      <c r="AJ85" s="1">
        <v>0</v>
      </c>
      <c r="AK85" s="1">
        <v>0</v>
      </c>
      <c r="AL85" s="1">
        <v>0</v>
      </c>
      <c r="AM85" s="1">
        <v>0</v>
      </c>
      <c r="AN85" s="1">
        <v>0</v>
      </c>
      <c r="AO85" s="1">
        <v>0</v>
      </c>
      <c r="AP85" s="1">
        <v>0</v>
      </c>
      <c r="AQ85" s="24">
        <f t="shared" si="5"/>
        <v>0</v>
      </c>
    </row>
    <row r="86" spans="1:43" ht="17.25" customHeight="1" x14ac:dyDescent="0.45">
      <c r="A86" s="12" t="s">
        <v>259</v>
      </c>
      <c r="B86" s="12" t="s">
        <v>68</v>
      </c>
      <c r="C86" s="12" t="s">
        <v>13</v>
      </c>
      <c r="D86" s="12" t="s">
        <v>66</v>
      </c>
      <c r="E86" s="25">
        <v>0</v>
      </c>
      <c r="F86" s="10">
        <v>0</v>
      </c>
      <c r="G86" s="10">
        <v>0</v>
      </c>
      <c r="H86" s="10">
        <v>2</v>
      </c>
      <c r="I86" s="10">
        <v>0</v>
      </c>
      <c r="J86" s="10">
        <v>0</v>
      </c>
      <c r="K86" s="10">
        <v>0</v>
      </c>
      <c r="L86" s="10">
        <v>0</v>
      </c>
      <c r="M86" s="10">
        <v>0</v>
      </c>
      <c r="N86" s="10">
        <v>0</v>
      </c>
      <c r="O86" s="10">
        <v>0</v>
      </c>
      <c r="P86" s="10">
        <v>0</v>
      </c>
      <c r="Q86" s="26">
        <f t="shared" si="3"/>
        <v>2</v>
      </c>
      <c r="R86" s="25">
        <v>0</v>
      </c>
      <c r="S86" s="10">
        <v>0</v>
      </c>
      <c r="T86" s="10">
        <v>0</v>
      </c>
      <c r="U86" s="10">
        <v>94</v>
      </c>
      <c r="V86" s="10">
        <v>0</v>
      </c>
      <c r="W86" s="10">
        <v>0</v>
      </c>
      <c r="X86" s="10">
        <v>0</v>
      </c>
      <c r="Y86" s="10">
        <v>0</v>
      </c>
      <c r="Z86" s="10">
        <v>0</v>
      </c>
      <c r="AA86" s="10">
        <v>0</v>
      </c>
      <c r="AB86" s="10">
        <v>0</v>
      </c>
      <c r="AC86" s="10">
        <v>0</v>
      </c>
      <c r="AD86" s="26">
        <f t="shared" si="4"/>
        <v>94</v>
      </c>
      <c r="AE86" s="25">
        <v>0</v>
      </c>
      <c r="AF86" s="10">
        <v>0</v>
      </c>
      <c r="AG86" s="10">
        <v>0</v>
      </c>
      <c r="AH86" s="10">
        <v>0</v>
      </c>
      <c r="AI86" s="10">
        <v>0</v>
      </c>
      <c r="AJ86" s="10">
        <v>0</v>
      </c>
      <c r="AK86" s="10">
        <v>0</v>
      </c>
      <c r="AL86" s="10">
        <v>0</v>
      </c>
      <c r="AM86" s="10">
        <v>0</v>
      </c>
      <c r="AN86" s="10">
        <v>0</v>
      </c>
      <c r="AO86" s="10">
        <v>0</v>
      </c>
      <c r="AP86" s="10">
        <v>0</v>
      </c>
      <c r="AQ86" s="26">
        <f t="shared" si="5"/>
        <v>0</v>
      </c>
    </row>
    <row r="87" spans="1:43" ht="17.25" customHeight="1" x14ac:dyDescent="0.45">
      <c r="A87" s="2" t="s">
        <v>259</v>
      </c>
      <c r="B87" s="2" t="s">
        <v>68</v>
      </c>
      <c r="C87" s="2" t="s">
        <v>14</v>
      </c>
      <c r="D87" s="2" t="s">
        <v>66</v>
      </c>
      <c r="E87" s="23">
        <v>0</v>
      </c>
      <c r="F87" s="1">
        <v>0</v>
      </c>
      <c r="G87" s="1">
        <v>0</v>
      </c>
      <c r="H87" s="1">
        <v>0</v>
      </c>
      <c r="I87" s="1">
        <v>1</v>
      </c>
      <c r="J87" s="1">
        <v>0</v>
      </c>
      <c r="K87" s="1">
        <v>0</v>
      </c>
      <c r="L87" s="1">
        <v>0</v>
      </c>
      <c r="M87" s="1">
        <v>1</v>
      </c>
      <c r="N87" s="1">
        <v>0</v>
      </c>
      <c r="O87" s="1">
        <v>0</v>
      </c>
      <c r="P87" s="1">
        <v>0</v>
      </c>
      <c r="Q87" s="24">
        <f t="shared" si="3"/>
        <v>2</v>
      </c>
      <c r="R87" s="23">
        <v>0</v>
      </c>
      <c r="S87" s="1">
        <v>0</v>
      </c>
      <c r="T87" s="1">
        <v>0</v>
      </c>
      <c r="U87" s="1">
        <v>0</v>
      </c>
      <c r="V87" s="1">
        <v>72</v>
      </c>
      <c r="W87" s="1">
        <v>0</v>
      </c>
      <c r="X87" s="1">
        <v>0</v>
      </c>
      <c r="Y87" s="1">
        <v>0</v>
      </c>
      <c r="Z87" s="1">
        <v>59</v>
      </c>
      <c r="AA87" s="1">
        <v>0</v>
      </c>
      <c r="AB87" s="1">
        <v>0</v>
      </c>
      <c r="AC87" s="1">
        <v>0</v>
      </c>
      <c r="AD87" s="24">
        <f t="shared" si="4"/>
        <v>131</v>
      </c>
      <c r="AE87" s="23">
        <v>0</v>
      </c>
      <c r="AF87" s="1">
        <v>0</v>
      </c>
      <c r="AG87" s="1">
        <v>0</v>
      </c>
      <c r="AH87" s="1">
        <v>0</v>
      </c>
      <c r="AI87" s="1">
        <v>0</v>
      </c>
      <c r="AJ87" s="1">
        <v>0</v>
      </c>
      <c r="AK87" s="1">
        <v>0</v>
      </c>
      <c r="AL87" s="1">
        <v>0</v>
      </c>
      <c r="AM87" s="1">
        <v>0</v>
      </c>
      <c r="AN87" s="1">
        <v>0</v>
      </c>
      <c r="AO87" s="1">
        <v>0</v>
      </c>
      <c r="AP87" s="1">
        <v>0</v>
      </c>
      <c r="AQ87" s="24">
        <f t="shared" si="5"/>
        <v>0</v>
      </c>
    </row>
    <row r="88" spans="1:43" ht="17.25" customHeight="1" x14ac:dyDescent="0.45">
      <c r="A88" s="12" t="s">
        <v>259</v>
      </c>
      <c r="B88" s="12" t="s">
        <v>68</v>
      </c>
      <c r="C88" s="12" t="s">
        <v>32</v>
      </c>
      <c r="D88" s="12" t="s">
        <v>66</v>
      </c>
      <c r="E88" s="25">
        <v>0</v>
      </c>
      <c r="F88" s="10">
        <v>0</v>
      </c>
      <c r="G88" s="10">
        <v>0</v>
      </c>
      <c r="H88" s="10">
        <v>0</v>
      </c>
      <c r="I88" s="10">
        <v>0</v>
      </c>
      <c r="J88" s="10">
        <v>0</v>
      </c>
      <c r="K88" s="10">
        <v>1</v>
      </c>
      <c r="L88" s="10">
        <v>0</v>
      </c>
      <c r="M88" s="10">
        <v>0</v>
      </c>
      <c r="N88" s="10">
        <v>0</v>
      </c>
      <c r="O88" s="10">
        <v>0</v>
      </c>
      <c r="P88" s="10">
        <v>0</v>
      </c>
      <c r="Q88" s="26">
        <f t="shared" si="3"/>
        <v>1</v>
      </c>
      <c r="R88" s="25">
        <v>0</v>
      </c>
      <c r="S88" s="10">
        <v>0</v>
      </c>
      <c r="T88" s="10">
        <v>0</v>
      </c>
      <c r="U88" s="10">
        <v>0</v>
      </c>
      <c r="V88" s="10">
        <v>0</v>
      </c>
      <c r="W88" s="10">
        <v>0</v>
      </c>
      <c r="X88" s="10">
        <v>92</v>
      </c>
      <c r="Y88" s="10">
        <v>0</v>
      </c>
      <c r="Z88" s="10">
        <v>0</v>
      </c>
      <c r="AA88" s="10">
        <v>0</v>
      </c>
      <c r="AB88" s="10">
        <v>0</v>
      </c>
      <c r="AC88" s="10">
        <v>0</v>
      </c>
      <c r="AD88" s="26">
        <f t="shared" si="4"/>
        <v>92</v>
      </c>
      <c r="AE88" s="25">
        <v>0</v>
      </c>
      <c r="AF88" s="10">
        <v>0</v>
      </c>
      <c r="AG88" s="10">
        <v>0</v>
      </c>
      <c r="AH88" s="10">
        <v>0</v>
      </c>
      <c r="AI88" s="10">
        <v>0</v>
      </c>
      <c r="AJ88" s="10">
        <v>0</v>
      </c>
      <c r="AK88" s="10">
        <v>0</v>
      </c>
      <c r="AL88" s="10">
        <v>0</v>
      </c>
      <c r="AM88" s="10">
        <v>0</v>
      </c>
      <c r="AN88" s="10">
        <v>0</v>
      </c>
      <c r="AO88" s="10">
        <v>0</v>
      </c>
      <c r="AP88" s="10">
        <v>0</v>
      </c>
      <c r="AQ88" s="26">
        <f t="shared" si="5"/>
        <v>0</v>
      </c>
    </row>
    <row r="89" spans="1:43" ht="17.25" customHeight="1" x14ac:dyDescent="0.45">
      <c r="A89" s="2" t="s">
        <v>208</v>
      </c>
      <c r="B89" s="2" t="s">
        <v>209</v>
      </c>
      <c r="C89" s="2" t="s">
        <v>10</v>
      </c>
      <c r="D89" s="2" t="s">
        <v>66</v>
      </c>
      <c r="E89" s="23">
        <v>2</v>
      </c>
      <c r="F89" s="1">
        <v>3</v>
      </c>
      <c r="G89" s="1">
        <v>2</v>
      </c>
      <c r="H89" s="1">
        <v>0</v>
      </c>
      <c r="I89" s="1">
        <v>0</v>
      </c>
      <c r="J89" s="1">
        <v>0</v>
      </c>
      <c r="K89" s="1">
        <v>0</v>
      </c>
      <c r="L89" s="1">
        <v>0</v>
      </c>
      <c r="M89" s="1">
        <v>0</v>
      </c>
      <c r="N89" s="1">
        <v>0</v>
      </c>
      <c r="O89" s="1">
        <v>2</v>
      </c>
      <c r="P89" s="1">
        <v>1</v>
      </c>
      <c r="Q89" s="24">
        <f t="shared" si="3"/>
        <v>10</v>
      </c>
      <c r="R89" s="23">
        <v>590</v>
      </c>
      <c r="S89" s="1">
        <v>861</v>
      </c>
      <c r="T89" s="1">
        <v>550</v>
      </c>
      <c r="U89" s="1">
        <v>0</v>
      </c>
      <c r="V89" s="1">
        <v>0</v>
      </c>
      <c r="W89" s="1">
        <v>0</v>
      </c>
      <c r="X89" s="1">
        <v>0</v>
      </c>
      <c r="Y89" s="1">
        <v>0</v>
      </c>
      <c r="Z89" s="1">
        <v>0</v>
      </c>
      <c r="AA89" s="1">
        <v>0</v>
      </c>
      <c r="AB89" s="1">
        <v>603</v>
      </c>
      <c r="AC89" s="1">
        <v>297</v>
      </c>
      <c r="AD89" s="24">
        <f t="shared" si="4"/>
        <v>2901</v>
      </c>
      <c r="AE89" s="23">
        <v>0</v>
      </c>
      <c r="AF89" s="1">
        <v>0</v>
      </c>
      <c r="AG89" s="1">
        <v>0</v>
      </c>
      <c r="AH89" s="1">
        <v>0</v>
      </c>
      <c r="AI89" s="1">
        <v>0</v>
      </c>
      <c r="AJ89" s="1">
        <v>0</v>
      </c>
      <c r="AK89" s="1">
        <v>0</v>
      </c>
      <c r="AL89" s="1">
        <v>0</v>
      </c>
      <c r="AM89" s="1">
        <v>0</v>
      </c>
      <c r="AN89" s="1">
        <v>0</v>
      </c>
      <c r="AO89" s="1">
        <v>0</v>
      </c>
      <c r="AP89" s="1">
        <v>0</v>
      </c>
      <c r="AQ89" s="24">
        <f t="shared" si="5"/>
        <v>0</v>
      </c>
    </row>
    <row r="90" spans="1:43" ht="17.25" customHeight="1" x14ac:dyDescent="0.45">
      <c r="A90" s="12" t="s">
        <v>99</v>
      </c>
      <c r="B90" s="12" t="s">
        <v>68</v>
      </c>
      <c r="C90" s="12" t="s">
        <v>10</v>
      </c>
      <c r="D90" s="12" t="s">
        <v>66</v>
      </c>
      <c r="E90" s="25">
        <v>0</v>
      </c>
      <c r="F90" s="10">
        <v>0</v>
      </c>
      <c r="G90" s="10">
        <v>0</v>
      </c>
      <c r="H90" s="10">
        <v>0</v>
      </c>
      <c r="I90" s="10">
        <v>1</v>
      </c>
      <c r="J90" s="10">
        <v>5</v>
      </c>
      <c r="K90" s="10">
        <v>4</v>
      </c>
      <c r="L90" s="10">
        <v>0</v>
      </c>
      <c r="M90" s="10">
        <v>0</v>
      </c>
      <c r="N90" s="10">
        <v>0</v>
      </c>
      <c r="O90" s="10">
        <v>0</v>
      </c>
      <c r="P90" s="10">
        <v>0</v>
      </c>
      <c r="Q90" s="26">
        <f t="shared" si="3"/>
        <v>10</v>
      </c>
      <c r="R90" s="25">
        <v>0</v>
      </c>
      <c r="S90" s="10">
        <v>0</v>
      </c>
      <c r="T90" s="10">
        <v>0</v>
      </c>
      <c r="U90" s="10">
        <v>0</v>
      </c>
      <c r="V90" s="10">
        <v>135</v>
      </c>
      <c r="W90" s="10">
        <v>740</v>
      </c>
      <c r="X90" s="10">
        <v>326</v>
      </c>
      <c r="Y90" s="10">
        <v>0</v>
      </c>
      <c r="Z90" s="10">
        <v>0</v>
      </c>
      <c r="AA90" s="10">
        <v>0</v>
      </c>
      <c r="AB90" s="10">
        <v>0</v>
      </c>
      <c r="AC90" s="10">
        <v>0</v>
      </c>
      <c r="AD90" s="26">
        <f t="shared" si="4"/>
        <v>1201</v>
      </c>
      <c r="AE90" s="25">
        <v>0</v>
      </c>
      <c r="AF90" s="10">
        <v>0</v>
      </c>
      <c r="AG90" s="10">
        <v>0</v>
      </c>
      <c r="AH90" s="10">
        <v>0</v>
      </c>
      <c r="AI90" s="10">
        <v>0</v>
      </c>
      <c r="AJ90" s="10">
        <v>0</v>
      </c>
      <c r="AK90" s="10">
        <v>0</v>
      </c>
      <c r="AL90" s="10">
        <v>0</v>
      </c>
      <c r="AM90" s="10">
        <v>0</v>
      </c>
      <c r="AN90" s="10">
        <v>0</v>
      </c>
      <c r="AO90" s="10">
        <v>0</v>
      </c>
      <c r="AP90" s="10">
        <v>0</v>
      </c>
      <c r="AQ90" s="26">
        <f t="shared" si="5"/>
        <v>0</v>
      </c>
    </row>
    <row r="91" spans="1:43" ht="17.25" customHeight="1" x14ac:dyDescent="0.45">
      <c r="A91" s="2" t="s">
        <v>99</v>
      </c>
      <c r="B91" s="2" t="s">
        <v>68</v>
      </c>
      <c r="C91" s="2" t="s">
        <v>28</v>
      </c>
      <c r="D91" s="2" t="s">
        <v>66</v>
      </c>
      <c r="E91" s="23">
        <v>1</v>
      </c>
      <c r="F91" s="1">
        <v>0</v>
      </c>
      <c r="G91" s="1">
        <v>0</v>
      </c>
      <c r="H91" s="1">
        <v>0</v>
      </c>
      <c r="I91" s="1">
        <v>0</v>
      </c>
      <c r="J91" s="1">
        <v>0</v>
      </c>
      <c r="K91" s="1">
        <v>0</v>
      </c>
      <c r="L91" s="1">
        <v>1</v>
      </c>
      <c r="M91" s="1">
        <v>0</v>
      </c>
      <c r="N91" s="1">
        <v>0</v>
      </c>
      <c r="O91" s="1">
        <v>0</v>
      </c>
      <c r="P91" s="1">
        <v>0</v>
      </c>
      <c r="Q91" s="24">
        <f t="shared" si="3"/>
        <v>2</v>
      </c>
      <c r="R91" s="23">
        <v>0</v>
      </c>
      <c r="S91" s="1">
        <v>0</v>
      </c>
      <c r="T91" s="1">
        <v>0</v>
      </c>
      <c r="U91" s="1">
        <v>0</v>
      </c>
      <c r="V91" s="1">
        <v>0</v>
      </c>
      <c r="W91" s="1">
        <v>0</v>
      </c>
      <c r="X91" s="1">
        <v>0</v>
      </c>
      <c r="Y91" s="1">
        <v>70</v>
      </c>
      <c r="Z91" s="1">
        <v>0</v>
      </c>
      <c r="AA91" s="1">
        <v>0</v>
      </c>
      <c r="AB91" s="1">
        <v>0</v>
      </c>
      <c r="AC91" s="1">
        <v>0</v>
      </c>
      <c r="AD91" s="24">
        <f t="shared" si="4"/>
        <v>70</v>
      </c>
      <c r="AE91" s="23">
        <v>6862</v>
      </c>
      <c r="AF91" s="1">
        <v>0</v>
      </c>
      <c r="AG91" s="1">
        <v>0</v>
      </c>
      <c r="AH91" s="1">
        <v>0</v>
      </c>
      <c r="AI91" s="1">
        <v>0</v>
      </c>
      <c r="AJ91" s="1">
        <v>0</v>
      </c>
      <c r="AK91" s="1">
        <v>0</v>
      </c>
      <c r="AL91" s="1">
        <v>0</v>
      </c>
      <c r="AM91" s="1">
        <v>0</v>
      </c>
      <c r="AN91" s="1">
        <v>0</v>
      </c>
      <c r="AO91" s="1">
        <v>0</v>
      </c>
      <c r="AP91" s="1">
        <v>0</v>
      </c>
      <c r="AQ91" s="24">
        <f t="shared" si="5"/>
        <v>6862</v>
      </c>
    </row>
    <row r="92" spans="1:43" ht="17.25" customHeight="1" x14ac:dyDescent="0.45">
      <c r="A92" s="12" t="s">
        <v>99</v>
      </c>
      <c r="B92" s="12" t="s">
        <v>68</v>
      </c>
      <c r="C92" s="12" t="s">
        <v>206</v>
      </c>
      <c r="D92" s="12" t="s">
        <v>66</v>
      </c>
      <c r="E92" s="25">
        <v>0</v>
      </c>
      <c r="F92" s="10">
        <v>0</v>
      </c>
      <c r="G92" s="10">
        <v>0</v>
      </c>
      <c r="H92" s="10">
        <v>0</v>
      </c>
      <c r="I92" s="10">
        <v>0</v>
      </c>
      <c r="J92" s="10">
        <v>0</v>
      </c>
      <c r="K92" s="10">
        <v>0</v>
      </c>
      <c r="L92" s="10">
        <v>0</v>
      </c>
      <c r="M92" s="10">
        <v>0</v>
      </c>
      <c r="N92" s="10">
        <v>0</v>
      </c>
      <c r="O92" s="10">
        <v>1</v>
      </c>
      <c r="P92" s="10">
        <v>0</v>
      </c>
      <c r="Q92" s="26">
        <f t="shared" si="3"/>
        <v>1</v>
      </c>
      <c r="R92" s="25">
        <v>0</v>
      </c>
      <c r="S92" s="10">
        <v>0</v>
      </c>
      <c r="T92" s="10">
        <v>0</v>
      </c>
      <c r="U92" s="10">
        <v>0</v>
      </c>
      <c r="V92" s="10">
        <v>0</v>
      </c>
      <c r="W92" s="10">
        <v>0</v>
      </c>
      <c r="X92" s="10">
        <v>0</v>
      </c>
      <c r="Y92" s="10">
        <v>0</v>
      </c>
      <c r="Z92" s="10">
        <v>0</v>
      </c>
      <c r="AA92" s="10">
        <v>0</v>
      </c>
      <c r="AB92" s="10">
        <v>0</v>
      </c>
      <c r="AC92" s="10">
        <v>0</v>
      </c>
      <c r="AD92" s="26">
        <f t="shared" si="4"/>
        <v>0</v>
      </c>
      <c r="AE92" s="25">
        <v>0</v>
      </c>
      <c r="AF92" s="10">
        <v>0</v>
      </c>
      <c r="AG92" s="10">
        <v>0</v>
      </c>
      <c r="AH92" s="10">
        <v>0</v>
      </c>
      <c r="AI92" s="10">
        <v>0</v>
      </c>
      <c r="AJ92" s="10">
        <v>0</v>
      </c>
      <c r="AK92" s="10">
        <v>0</v>
      </c>
      <c r="AL92" s="10">
        <v>0</v>
      </c>
      <c r="AM92" s="10">
        <v>0</v>
      </c>
      <c r="AN92" s="10">
        <v>0</v>
      </c>
      <c r="AO92" s="10">
        <v>1984</v>
      </c>
      <c r="AP92" s="10">
        <v>0</v>
      </c>
      <c r="AQ92" s="26">
        <f t="shared" si="5"/>
        <v>1984</v>
      </c>
    </row>
    <row r="93" spans="1:43" ht="17.25" customHeight="1" x14ac:dyDescent="0.45">
      <c r="A93" s="2" t="s">
        <v>99</v>
      </c>
      <c r="B93" s="2" t="s">
        <v>68</v>
      </c>
      <c r="C93" s="2" t="s">
        <v>33</v>
      </c>
      <c r="D93" s="2" t="s">
        <v>66</v>
      </c>
      <c r="E93" s="23">
        <v>0</v>
      </c>
      <c r="F93" s="1">
        <v>0</v>
      </c>
      <c r="G93" s="1">
        <v>0</v>
      </c>
      <c r="H93" s="1">
        <v>0</v>
      </c>
      <c r="I93" s="1">
        <v>0</v>
      </c>
      <c r="J93" s="1">
        <v>0</v>
      </c>
      <c r="K93" s="1">
        <v>0</v>
      </c>
      <c r="L93" s="1">
        <v>1</v>
      </c>
      <c r="M93" s="1">
        <v>0</v>
      </c>
      <c r="N93" s="1">
        <v>0</v>
      </c>
      <c r="O93" s="1">
        <v>0</v>
      </c>
      <c r="P93" s="1">
        <v>0</v>
      </c>
      <c r="Q93" s="24">
        <f t="shared" si="3"/>
        <v>1</v>
      </c>
      <c r="R93" s="23">
        <v>0</v>
      </c>
      <c r="S93" s="1">
        <v>0</v>
      </c>
      <c r="T93" s="1">
        <v>0</v>
      </c>
      <c r="U93" s="1">
        <v>0</v>
      </c>
      <c r="V93" s="1">
        <v>0</v>
      </c>
      <c r="W93" s="1">
        <v>0</v>
      </c>
      <c r="X93" s="1">
        <v>0</v>
      </c>
      <c r="Y93" s="1">
        <v>66</v>
      </c>
      <c r="Z93" s="1">
        <v>0</v>
      </c>
      <c r="AA93" s="1">
        <v>0</v>
      </c>
      <c r="AB93" s="1">
        <v>0</v>
      </c>
      <c r="AC93" s="1">
        <v>0</v>
      </c>
      <c r="AD93" s="24">
        <f t="shared" si="4"/>
        <v>66</v>
      </c>
      <c r="AE93" s="23">
        <v>0</v>
      </c>
      <c r="AF93" s="1">
        <v>0</v>
      </c>
      <c r="AG93" s="1">
        <v>0</v>
      </c>
      <c r="AH93" s="1">
        <v>0</v>
      </c>
      <c r="AI93" s="1">
        <v>0</v>
      </c>
      <c r="AJ93" s="1">
        <v>0</v>
      </c>
      <c r="AK93" s="1">
        <v>0</v>
      </c>
      <c r="AL93" s="1">
        <v>0</v>
      </c>
      <c r="AM93" s="1">
        <v>0</v>
      </c>
      <c r="AN93" s="1">
        <v>0</v>
      </c>
      <c r="AO93" s="1">
        <v>0</v>
      </c>
      <c r="AP93" s="1">
        <v>0</v>
      </c>
      <c r="AQ93" s="24">
        <f t="shared" si="5"/>
        <v>0</v>
      </c>
    </row>
    <row r="94" spans="1:43" ht="17.25" customHeight="1" x14ac:dyDescent="0.45">
      <c r="A94" s="12" t="s">
        <v>46</v>
      </c>
      <c r="B94" s="12" t="s">
        <v>66</v>
      </c>
      <c r="C94" s="12" t="s">
        <v>69</v>
      </c>
      <c r="D94" s="12" t="s">
        <v>68</v>
      </c>
      <c r="E94" s="25">
        <v>0</v>
      </c>
      <c r="F94" s="10">
        <v>0</v>
      </c>
      <c r="G94" s="10">
        <v>0</v>
      </c>
      <c r="H94" s="10">
        <v>0</v>
      </c>
      <c r="I94" s="10">
        <v>1</v>
      </c>
      <c r="J94" s="10">
        <v>0</v>
      </c>
      <c r="K94" s="10">
        <v>0</v>
      </c>
      <c r="L94" s="10">
        <v>0</v>
      </c>
      <c r="M94" s="10">
        <v>0</v>
      </c>
      <c r="N94" s="10">
        <v>0</v>
      </c>
      <c r="O94" s="10">
        <v>0</v>
      </c>
      <c r="P94" s="10">
        <v>0</v>
      </c>
      <c r="Q94" s="26">
        <f t="shared" si="3"/>
        <v>1</v>
      </c>
      <c r="R94" s="25">
        <v>0</v>
      </c>
      <c r="S94" s="10">
        <v>0</v>
      </c>
      <c r="T94" s="10">
        <v>0</v>
      </c>
      <c r="U94" s="10">
        <v>0</v>
      </c>
      <c r="V94" s="10">
        <v>0</v>
      </c>
      <c r="W94" s="10">
        <v>0</v>
      </c>
      <c r="X94" s="10">
        <v>0</v>
      </c>
      <c r="Y94" s="10">
        <v>0</v>
      </c>
      <c r="Z94" s="10">
        <v>0</v>
      </c>
      <c r="AA94" s="10">
        <v>0</v>
      </c>
      <c r="AB94" s="10">
        <v>0</v>
      </c>
      <c r="AC94" s="10">
        <v>0</v>
      </c>
      <c r="AD94" s="26">
        <f t="shared" si="4"/>
        <v>0</v>
      </c>
      <c r="AE94" s="25">
        <v>0</v>
      </c>
      <c r="AF94" s="10">
        <v>0</v>
      </c>
      <c r="AG94" s="10">
        <v>0</v>
      </c>
      <c r="AH94" s="10">
        <v>0</v>
      </c>
      <c r="AI94" s="10">
        <v>1089</v>
      </c>
      <c r="AJ94" s="10">
        <v>0</v>
      </c>
      <c r="AK94" s="10">
        <v>0</v>
      </c>
      <c r="AL94" s="10">
        <v>0</v>
      </c>
      <c r="AM94" s="10">
        <v>0</v>
      </c>
      <c r="AN94" s="10">
        <v>0</v>
      </c>
      <c r="AO94" s="10">
        <v>0</v>
      </c>
      <c r="AP94" s="10">
        <v>0</v>
      </c>
      <c r="AQ94" s="26">
        <f t="shared" si="5"/>
        <v>1089</v>
      </c>
    </row>
    <row r="95" spans="1:43" ht="17.25" customHeight="1" x14ac:dyDescent="0.45">
      <c r="A95" s="2" t="s">
        <v>235</v>
      </c>
      <c r="B95" s="2" t="s">
        <v>68</v>
      </c>
      <c r="C95" s="2" t="s">
        <v>38</v>
      </c>
      <c r="D95" s="2" t="s">
        <v>66</v>
      </c>
      <c r="E95" s="23">
        <v>1</v>
      </c>
      <c r="F95" s="1">
        <v>0</v>
      </c>
      <c r="G95" s="1">
        <v>0</v>
      </c>
      <c r="H95" s="1">
        <v>0</v>
      </c>
      <c r="I95" s="1">
        <v>0</v>
      </c>
      <c r="J95" s="1">
        <v>0</v>
      </c>
      <c r="K95" s="1">
        <v>0</v>
      </c>
      <c r="L95" s="1">
        <v>0</v>
      </c>
      <c r="M95" s="1">
        <v>0</v>
      </c>
      <c r="N95" s="1">
        <v>0</v>
      </c>
      <c r="O95" s="1">
        <v>0</v>
      </c>
      <c r="P95" s="1">
        <v>0</v>
      </c>
      <c r="Q95" s="24">
        <f t="shared" si="3"/>
        <v>1</v>
      </c>
      <c r="R95" s="23">
        <v>0</v>
      </c>
      <c r="S95" s="1">
        <v>0</v>
      </c>
      <c r="T95" s="1">
        <v>0</v>
      </c>
      <c r="U95" s="1">
        <v>0</v>
      </c>
      <c r="V95" s="1">
        <v>0</v>
      </c>
      <c r="W95" s="1">
        <v>0</v>
      </c>
      <c r="X95" s="1">
        <v>0</v>
      </c>
      <c r="Y95" s="1">
        <v>0</v>
      </c>
      <c r="Z95" s="1">
        <v>0</v>
      </c>
      <c r="AA95" s="1">
        <v>0</v>
      </c>
      <c r="AB95" s="1">
        <v>0</v>
      </c>
      <c r="AC95" s="1">
        <v>0</v>
      </c>
      <c r="AD95" s="24">
        <f t="shared" si="4"/>
        <v>0</v>
      </c>
      <c r="AE95" s="23">
        <v>7620</v>
      </c>
      <c r="AF95" s="1">
        <v>0</v>
      </c>
      <c r="AG95" s="1">
        <v>0</v>
      </c>
      <c r="AH95" s="1">
        <v>0</v>
      </c>
      <c r="AI95" s="1">
        <v>0</v>
      </c>
      <c r="AJ95" s="1">
        <v>0</v>
      </c>
      <c r="AK95" s="1">
        <v>0</v>
      </c>
      <c r="AL95" s="1">
        <v>0</v>
      </c>
      <c r="AM95" s="1">
        <v>0</v>
      </c>
      <c r="AN95" s="1">
        <v>0</v>
      </c>
      <c r="AO95" s="1">
        <v>0</v>
      </c>
      <c r="AP95" s="1">
        <v>0</v>
      </c>
      <c r="AQ95" s="24">
        <f t="shared" si="5"/>
        <v>7620</v>
      </c>
    </row>
    <row r="96" spans="1:43" ht="17.25" customHeight="1" x14ac:dyDescent="0.45">
      <c r="A96" s="12" t="s">
        <v>235</v>
      </c>
      <c r="B96" s="12" t="s">
        <v>68</v>
      </c>
      <c r="C96" s="12" t="s">
        <v>13</v>
      </c>
      <c r="D96" s="12" t="s">
        <v>66</v>
      </c>
      <c r="E96" s="25">
        <v>0</v>
      </c>
      <c r="F96" s="10">
        <v>0</v>
      </c>
      <c r="G96" s="10">
        <v>0</v>
      </c>
      <c r="H96" s="10">
        <v>0</v>
      </c>
      <c r="I96" s="10">
        <v>1</v>
      </c>
      <c r="J96" s="10">
        <v>0</v>
      </c>
      <c r="K96" s="10">
        <v>0</v>
      </c>
      <c r="L96" s="10">
        <v>0</v>
      </c>
      <c r="M96" s="10">
        <v>0</v>
      </c>
      <c r="N96" s="10">
        <v>0</v>
      </c>
      <c r="O96" s="10">
        <v>0</v>
      </c>
      <c r="P96" s="10">
        <v>0</v>
      </c>
      <c r="Q96" s="26">
        <f t="shared" si="3"/>
        <v>1</v>
      </c>
      <c r="R96" s="25">
        <v>0</v>
      </c>
      <c r="S96" s="10">
        <v>0</v>
      </c>
      <c r="T96" s="10">
        <v>0</v>
      </c>
      <c r="U96" s="10">
        <v>0</v>
      </c>
      <c r="V96" s="10">
        <v>32</v>
      </c>
      <c r="W96" s="10">
        <v>0</v>
      </c>
      <c r="X96" s="10">
        <v>0</v>
      </c>
      <c r="Y96" s="10">
        <v>0</v>
      </c>
      <c r="Z96" s="10">
        <v>0</v>
      </c>
      <c r="AA96" s="10">
        <v>0</v>
      </c>
      <c r="AB96" s="10">
        <v>0</v>
      </c>
      <c r="AC96" s="10">
        <v>0</v>
      </c>
      <c r="AD96" s="26">
        <f t="shared" si="4"/>
        <v>32</v>
      </c>
      <c r="AE96" s="25">
        <v>0</v>
      </c>
      <c r="AF96" s="10">
        <v>0</v>
      </c>
      <c r="AG96" s="10">
        <v>0</v>
      </c>
      <c r="AH96" s="10">
        <v>0</v>
      </c>
      <c r="AI96" s="10">
        <v>0</v>
      </c>
      <c r="AJ96" s="10">
        <v>0</v>
      </c>
      <c r="AK96" s="10">
        <v>0</v>
      </c>
      <c r="AL96" s="10">
        <v>0</v>
      </c>
      <c r="AM96" s="10">
        <v>0</v>
      </c>
      <c r="AN96" s="10">
        <v>0</v>
      </c>
      <c r="AO96" s="10">
        <v>0</v>
      </c>
      <c r="AP96" s="10">
        <v>0</v>
      </c>
      <c r="AQ96" s="26">
        <f t="shared" si="5"/>
        <v>0</v>
      </c>
    </row>
    <row r="97" spans="1:43" ht="17.25" customHeight="1" x14ac:dyDescent="0.45">
      <c r="A97" s="2" t="s">
        <v>235</v>
      </c>
      <c r="B97" s="2" t="s">
        <v>68</v>
      </c>
      <c r="C97" s="2" t="s">
        <v>17</v>
      </c>
      <c r="D97" s="2" t="s">
        <v>66</v>
      </c>
      <c r="E97" s="23">
        <v>0</v>
      </c>
      <c r="F97" s="1">
        <v>0</v>
      </c>
      <c r="G97" s="1">
        <v>0</v>
      </c>
      <c r="H97" s="1">
        <v>0</v>
      </c>
      <c r="I97" s="1">
        <v>0</v>
      </c>
      <c r="J97" s="1">
        <v>0</v>
      </c>
      <c r="K97" s="1">
        <v>0</v>
      </c>
      <c r="L97" s="1">
        <v>0</v>
      </c>
      <c r="M97" s="1">
        <v>0</v>
      </c>
      <c r="N97" s="1">
        <v>0</v>
      </c>
      <c r="O97" s="1">
        <v>0</v>
      </c>
      <c r="P97" s="1">
        <v>1</v>
      </c>
      <c r="Q97" s="24">
        <f t="shared" si="3"/>
        <v>1</v>
      </c>
      <c r="R97" s="23">
        <v>0</v>
      </c>
      <c r="S97" s="1">
        <v>0</v>
      </c>
      <c r="T97" s="1">
        <v>0</v>
      </c>
      <c r="U97" s="1">
        <v>0</v>
      </c>
      <c r="V97" s="1">
        <v>0</v>
      </c>
      <c r="W97" s="1">
        <v>0</v>
      </c>
      <c r="X97" s="1">
        <v>0</v>
      </c>
      <c r="Y97" s="1">
        <v>0</v>
      </c>
      <c r="Z97" s="1">
        <v>0</v>
      </c>
      <c r="AA97" s="1">
        <v>0</v>
      </c>
      <c r="AB97" s="1">
        <v>0</v>
      </c>
      <c r="AC97" s="1">
        <v>11</v>
      </c>
      <c r="AD97" s="24">
        <f t="shared" si="4"/>
        <v>11</v>
      </c>
      <c r="AE97" s="23">
        <v>0</v>
      </c>
      <c r="AF97" s="1">
        <v>0</v>
      </c>
      <c r="AG97" s="1">
        <v>0</v>
      </c>
      <c r="AH97" s="1">
        <v>0</v>
      </c>
      <c r="AI97" s="1">
        <v>0</v>
      </c>
      <c r="AJ97" s="1">
        <v>0</v>
      </c>
      <c r="AK97" s="1">
        <v>0</v>
      </c>
      <c r="AL97" s="1">
        <v>0</v>
      </c>
      <c r="AM97" s="1">
        <v>0</v>
      </c>
      <c r="AN97" s="1">
        <v>0</v>
      </c>
      <c r="AO97" s="1">
        <v>0</v>
      </c>
      <c r="AP97" s="1">
        <v>0</v>
      </c>
      <c r="AQ97" s="24">
        <f t="shared" si="5"/>
        <v>0</v>
      </c>
    </row>
    <row r="98" spans="1:43" ht="17.25" customHeight="1" x14ac:dyDescent="0.45">
      <c r="A98" s="12" t="s">
        <v>235</v>
      </c>
      <c r="B98" s="12" t="s">
        <v>68</v>
      </c>
      <c r="C98" s="12" t="s">
        <v>48</v>
      </c>
      <c r="D98" s="12" t="s">
        <v>66</v>
      </c>
      <c r="E98" s="25">
        <v>0</v>
      </c>
      <c r="F98" s="10">
        <v>1</v>
      </c>
      <c r="G98" s="10">
        <v>0</v>
      </c>
      <c r="H98" s="10">
        <v>0</v>
      </c>
      <c r="I98" s="10">
        <v>0</v>
      </c>
      <c r="J98" s="10">
        <v>2</v>
      </c>
      <c r="K98" s="10">
        <v>0</v>
      </c>
      <c r="L98" s="10">
        <v>1</v>
      </c>
      <c r="M98" s="10">
        <v>0</v>
      </c>
      <c r="N98" s="10">
        <v>0</v>
      </c>
      <c r="O98" s="10">
        <v>1</v>
      </c>
      <c r="P98" s="10">
        <v>0</v>
      </c>
      <c r="Q98" s="26">
        <f t="shared" si="3"/>
        <v>5</v>
      </c>
      <c r="R98" s="25">
        <v>0</v>
      </c>
      <c r="S98" s="10">
        <v>6</v>
      </c>
      <c r="T98" s="10">
        <v>0</v>
      </c>
      <c r="U98" s="10">
        <v>0</v>
      </c>
      <c r="V98" s="10">
        <v>0</v>
      </c>
      <c r="W98" s="10">
        <v>5</v>
      </c>
      <c r="X98" s="10">
        <v>0</v>
      </c>
      <c r="Y98" s="10">
        <v>2</v>
      </c>
      <c r="Z98" s="10">
        <v>0</v>
      </c>
      <c r="AA98" s="10">
        <v>0</v>
      </c>
      <c r="AB98" s="10">
        <v>3</v>
      </c>
      <c r="AC98" s="10">
        <v>0</v>
      </c>
      <c r="AD98" s="26">
        <f t="shared" si="4"/>
        <v>16</v>
      </c>
      <c r="AE98" s="25">
        <v>0</v>
      </c>
      <c r="AF98" s="10">
        <v>0</v>
      </c>
      <c r="AG98" s="10">
        <v>0</v>
      </c>
      <c r="AH98" s="10">
        <v>0</v>
      </c>
      <c r="AI98" s="10">
        <v>0</v>
      </c>
      <c r="AJ98" s="10">
        <v>0</v>
      </c>
      <c r="AK98" s="10">
        <v>0</v>
      </c>
      <c r="AL98" s="10">
        <v>0</v>
      </c>
      <c r="AM98" s="10">
        <v>0</v>
      </c>
      <c r="AN98" s="10">
        <v>0</v>
      </c>
      <c r="AO98" s="10">
        <v>0</v>
      </c>
      <c r="AP98" s="10">
        <v>0</v>
      </c>
      <c r="AQ98" s="26">
        <f t="shared" si="5"/>
        <v>0</v>
      </c>
    </row>
    <row r="99" spans="1:43" ht="17.25" customHeight="1" x14ac:dyDescent="0.45">
      <c r="A99" s="2" t="s">
        <v>235</v>
      </c>
      <c r="B99" s="2" t="s">
        <v>68</v>
      </c>
      <c r="C99" s="2" t="s">
        <v>32</v>
      </c>
      <c r="D99" s="2" t="s">
        <v>66</v>
      </c>
      <c r="E99" s="23">
        <v>0</v>
      </c>
      <c r="F99" s="1">
        <v>1</v>
      </c>
      <c r="G99" s="1">
        <v>0</v>
      </c>
      <c r="H99" s="1">
        <v>0</v>
      </c>
      <c r="I99" s="1">
        <v>1</v>
      </c>
      <c r="J99" s="1">
        <v>0</v>
      </c>
      <c r="K99" s="1">
        <v>0</v>
      </c>
      <c r="L99" s="1">
        <v>0</v>
      </c>
      <c r="M99" s="1">
        <v>0</v>
      </c>
      <c r="N99" s="1">
        <v>0</v>
      </c>
      <c r="O99" s="1">
        <v>1</v>
      </c>
      <c r="P99" s="1">
        <v>0</v>
      </c>
      <c r="Q99" s="24">
        <f t="shared" si="3"/>
        <v>3</v>
      </c>
      <c r="R99" s="23">
        <v>0</v>
      </c>
      <c r="S99" s="1">
        <v>47</v>
      </c>
      <c r="T99" s="1">
        <v>0</v>
      </c>
      <c r="U99" s="1">
        <v>0</v>
      </c>
      <c r="V99" s="1">
        <v>9</v>
      </c>
      <c r="W99" s="1">
        <v>0</v>
      </c>
      <c r="X99" s="1">
        <v>0</v>
      </c>
      <c r="Y99" s="1">
        <v>0</v>
      </c>
      <c r="Z99" s="1">
        <v>0</v>
      </c>
      <c r="AA99" s="1">
        <v>0</v>
      </c>
      <c r="AB99" s="1">
        <v>6</v>
      </c>
      <c r="AC99" s="1">
        <v>0</v>
      </c>
      <c r="AD99" s="24">
        <f t="shared" si="4"/>
        <v>62</v>
      </c>
      <c r="AE99" s="23">
        <v>0</v>
      </c>
      <c r="AF99" s="1">
        <v>0</v>
      </c>
      <c r="AG99" s="1">
        <v>0</v>
      </c>
      <c r="AH99" s="1">
        <v>0</v>
      </c>
      <c r="AI99" s="1">
        <v>0</v>
      </c>
      <c r="AJ99" s="1">
        <v>0</v>
      </c>
      <c r="AK99" s="1">
        <v>0</v>
      </c>
      <c r="AL99" s="1">
        <v>0</v>
      </c>
      <c r="AM99" s="1">
        <v>0</v>
      </c>
      <c r="AN99" s="1">
        <v>0</v>
      </c>
      <c r="AO99" s="1">
        <v>0</v>
      </c>
      <c r="AP99" s="1">
        <v>0</v>
      </c>
      <c r="AQ99" s="24">
        <f t="shared" si="5"/>
        <v>0</v>
      </c>
    </row>
    <row r="100" spans="1:43" ht="17.25" customHeight="1" x14ac:dyDescent="0.45">
      <c r="A100" s="12" t="s">
        <v>67</v>
      </c>
      <c r="B100" s="12" t="s">
        <v>68</v>
      </c>
      <c r="C100" s="12" t="s">
        <v>206</v>
      </c>
      <c r="D100" s="12" t="s">
        <v>66</v>
      </c>
      <c r="E100" s="25">
        <v>0</v>
      </c>
      <c r="F100" s="10">
        <v>0</v>
      </c>
      <c r="G100" s="10">
        <v>0</v>
      </c>
      <c r="H100" s="10">
        <v>1</v>
      </c>
      <c r="I100" s="10">
        <v>0</v>
      </c>
      <c r="J100" s="10">
        <v>0</v>
      </c>
      <c r="K100" s="10">
        <v>0</v>
      </c>
      <c r="L100" s="10">
        <v>0</v>
      </c>
      <c r="M100" s="10">
        <v>0</v>
      </c>
      <c r="N100" s="10">
        <v>0</v>
      </c>
      <c r="O100" s="10">
        <v>0</v>
      </c>
      <c r="P100" s="10">
        <v>0</v>
      </c>
      <c r="Q100" s="26">
        <f t="shared" si="3"/>
        <v>1</v>
      </c>
      <c r="R100" s="25">
        <v>0</v>
      </c>
      <c r="S100" s="10">
        <v>0</v>
      </c>
      <c r="T100" s="10">
        <v>0</v>
      </c>
      <c r="U100" s="10">
        <v>0</v>
      </c>
      <c r="V100" s="10">
        <v>0</v>
      </c>
      <c r="W100" s="10">
        <v>0</v>
      </c>
      <c r="X100" s="10">
        <v>0</v>
      </c>
      <c r="Y100" s="10">
        <v>0</v>
      </c>
      <c r="Z100" s="10">
        <v>0</v>
      </c>
      <c r="AA100" s="10">
        <v>0</v>
      </c>
      <c r="AB100" s="10">
        <v>0</v>
      </c>
      <c r="AC100" s="10">
        <v>0</v>
      </c>
      <c r="AD100" s="26">
        <f t="shared" si="4"/>
        <v>0</v>
      </c>
      <c r="AE100" s="25">
        <v>0</v>
      </c>
      <c r="AF100" s="10">
        <v>0</v>
      </c>
      <c r="AG100" s="10">
        <v>0</v>
      </c>
      <c r="AH100" s="10">
        <v>28643</v>
      </c>
      <c r="AI100" s="10">
        <v>0</v>
      </c>
      <c r="AJ100" s="10">
        <v>0</v>
      </c>
      <c r="AK100" s="10">
        <v>0</v>
      </c>
      <c r="AL100" s="10">
        <v>0</v>
      </c>
      <c r="AM100" s="10">
        <v>0</v>
      </c>
      <c r="AN100" s="10">
        <v>0</v>
      </c>
      <c r="AO100" s="10">
        <v>0</v>
      </c>
      <c r="AP100" s="10">
        <v>0</v>
      </c>
      <c r="AQ100" s="26">
        <f t="shared" si="5"/>
        <v>28643</v>
      </c>
    </row>
    <row r="101" spans="1:43" ht="17.25" customHeight="1" x14ac:dyDescent="0.45">
      <c r="A101" s="2" t="s">
        <v>67</v>
      </c>
      <c r="B101" s="2" t="s">
        <v>68</v>
      </c>
      <c r="C101" s="2" t="s">
        <v>32</v>
      </c>
      <c r="D101" s="2" t="s">
        <v>66</v>
      </c>
      <c r="E101" s="23">
        <v>0</v>
      </c>
      <c r="F101" s="1">
        <v>0</v>
      </c>
      <c r="G101" s="1">
        <v>0</v>
      </c>
      <c r="H101" s="1">
        <v>0</v>
      </c>
      <c r="I101" s="1">
        <v>1</v>
      </c>
      <c r="J101" s="1">
        <v>0</v>
      </c>
      <c r="K101" s="1">
        <v>0</v>
      </c>
      <c r="L101" s="1">
        <v>0</v>
      </c>
      <c r="M101" s="1">
        <v>0</v>
      </c>
      <c r="N101" s="1">
        <v>0</v>
      </c>
      <c r="O101" s="1">
        <v>0</v>
      </c>
      <c r="P101" s="1">
        <v>0</v>
      </c>
      <c r="Q101" s="24">
        <f t="shared" si="3"/>
        <v>1</v>
      </c>
      <c r="R101" s="23">
        <v>0</v>
      </c>
      <c r="S101" s="1">
        <v>0</v>
      </c>
      <c r="T101" s="1">
        <v>0</v>
      </c>
      <c r="U101" s="1">
        <v>0</v>
      </c>
      <c r="V101" s="1">
        <v>0</v>
      </c>
      <c r="W101" s="1">
        <v>0</v>
      </c>
      <c r="X101" s="1">
        <v>0</v>
      </c>
      <c r="Y101" s="1">
        <v>0</v>
      </c>
      <c r="Z101" s="1">
        <v>0</v>
      </c>
      <c r="AA101" s="1">
        <v>0</v>
      </c>
      <c r="AB101" s="1">
        <v>0</v>
      </c>
      <c r="AC101" s="1">
        <v>0</v>
      </c>
      <c r="AD101" s="24">
        <f t="shared" si="4"/>
        <v>0</v>
      </c>
      <c r="AE101" s="23">
        <v>0</v>
      </c>
      <c r="AF101" s="1">
        <v>0</v>
      </c>
      <c r="AG101" s="1">
        <v>0</v>
      </c>
      <c r="AH101" s="1">
        <v>0</v>
      </c>
      <c r="AI101" s="1">
        <v>39720</v>
      </c>
      <c r="AJ101" s="1">
        <v>0</v>
      </c>
      <c r="AK101" s="1">
        <v>0</v>
      </c>
      <c r="AL101" s="1">
        <v>0</v>
      </c>
      <c r="AM101" s="1">
        <v>0</v>
      </c>
      <c r="AN101" s="1">
        <v>0</v>
      </c>
      <c r="AO101" s="1">
        <v>0</v>
      </c>
      <c r="AP101" s="1">
        <v>0</v>
      </c>
      <c r="AQ101" s="24">
        <f t="shared" si="5"/>
        <v>39720</v>
      </c>
    </row>
    <row r="102" spans="1:43" ht="17.25" customHeight="1" x14ac:dyDescent="0.45">
      <c r="A102" s="12" t="s">
        <v>227</v>
      </c>
      <c r="B102" s="12" t="s">
        <v>68</v>
      </c>
      <c r="C102" s="12" t="s">
        <v>19</v>
      </c>
      <c r="D102" s="12" t="s">
        <v>66</v>
      </c>
      <c r="E102" s="25">
        <v>0</v>
      </c>
      <c r="F102" s="10">
        <v>0</v>
      </c>
      <c r="G102" s="10">
        <v>0</v>
      </c>
      <c r="H102" s="10">
        <v>2</v>
      </c>
      <c r="I102" s="10">
        <v>0</v>
      </c>
      <c r="J102" s="10">
        <v>0</v>
      </c>
      <c r="K102" s="10">
        <v>0</v>
      </c>
      <c r="L102" s="10">
        <v>0</v>
      </c>
      <c r="M102" s="10">
        <v>0</v>
      </c>
      <c r="N102" s="10">
        <v>0</v>
      </c>
      <c r="O102" s="10">
        <v>0</v>
      </c>
      <c r="P102" s="10">
        <v>0</v>
      </c>
      <c r="Q102" s="26">
        <f t="shared" si="3"/>
        <v>2</v>
      </c>
      <c r="R102" s="25">
        <v>0</v>
      </c>
      <c r="S102" s="10">
        <v>0</v>
      </c>
      <c r="T102" s="10">
        <v>0</v>
      </c>
      <c r="U102" s="10">
        <v>0</v>
      </c>
      <c r="V102" s="10">
        <v>0</v>
      </c>
      <c r="W102" s="10">
        <v>0</v>
      </c>
      <c r="X102" s="10">
        <v>0</v>
      </c>
      <c r="Y102" s="10">
        <v>0</v>
      </c>
      <c r="Z102" s="10">
        <v>0</v>
      </c>
      <c r="AA102" s="10">
        <v>0</v>
      </c>
      <c r="AB102" s="10">
        <v>0</v>
      </c>
      <c r="AC102" s="10">
        <v>0</v>
      </c>
      <c r="AD102" s="26">
        <f t="shared" si="4"/>
        <v>0</v>
      </c>
      <c r="AE102" s="25">
        <v>0</v>
      </c>
      <c r="AF102" s="10">
        <v>0</v>
      </c>
      <c r="AG102" s="10">
        <v>0</v>
      </c>
      <c r="AH102" s="10">
        <v>79806</v>
      </c>
      <c r="AI102" s="10">
        <v>0</v>
      </c>
      <c r="AJ102" s="10">
        <v>0</v>
      </c>
      <c r="AK102" s="10">
        <v>0</v>
      </c>
      <c r="AL102" s="10">
        <v>0</v>
      </c>
      <c r="AM102" s="10">
        <v>0</v>
      </c>
      <c r="AN102" s="10">
        <v>0</v>
      </c>
      <c r="AO102" s="10">
        <v>0</v>
      </c>
      <c r="AP102" s="10">
        <v>0</v>
      </c>
      <c r="AQ102" s="26">
        <f t="shared" si="5"/>
        <v>79806</v>
      </c>
    </row>
    <row r="103" spans="1:43" ht="17.25" customHeight="1" x14ac:dyDescent="0.45">
      <c r="A103" s="2" t="s">
        <v>227</v>
      </c>
      <c r="B103" s="2" t="s">
        <v>68</v>
      </c>
      <c r="C103" s="2" t="s">
        <v>11</v>
      </c>
      <c r="D103" s="2" t="s">
        <v>66</v>
      </c>
      <c r="E103" s="23">
        <v>0</v>
      </c>
      <c r="F103" s="1">
        <v>0</v>
      </c>
      <c r="G103" s="1">
        <v>0</v>
      </c>
      <c r="H103" s="1">
        <v>2</v>
      </c>
      <c r="I103" s="1">
        <v>0</v>
      </c>
      <c r="J103" s="1">
        <v>0</v>
      </c>
      <c r="K103" s="1">
        <v>0</v>
      </c>
      <c r="L103" s="1">
        <v>0</v>
      </c>
      <c r="M103" s="1">
        <v>0</v>
      </c>
      <c r="N103" s="1">
        <v>0</v>
      </c>
      <c r="O103" s="1">
        <v>0</v>
      </c>
      <c r="P103" s="1">
        <v>0</v>
      </c>
      <c r="Q103" s="24">
        <f t="shared" si="3"/>
        <v>2</v>
      </c>
      <c r="R103" s="23">
        <v>0</v>
      </c>
      <c r="S103" s="1">
        <v>0</v>
      </c>
      <c r="T103" s="1">
        <v>0</v>
      </c>
      <c r="U103" s="1">
        <v>0</v>
      </c>
      <c r="V103" s="1">
        <v>0</v>
      </c>
      <c r="W103" s="1">
        <v>0</v>
      </c>
      <c r="X103" s="1">
        <v>0</v>
      </c>
      <c r="Y103" s="1">
        <v>0</v>
      </c>
      <c r="Z103" s="1">
        <v>0</v>
      </c>
      <c r="AA103" s="1">
        <v>0</v>
      </c>
      <c r="AB103" s="1">
        <v>0</v>
      </c>
      <c r="AC103" s="1">
        <v>0</v>
      </c>
      <c r="AD103" s="24">
        <f t="shared" si="4"/>
        <v>0</v>
      </c>
      <c r="AE103" s="23">
        <v>0</v>
      </c>
      <c r="AF103" s="1">
        <v>0</v>
      </c>
      <c r="AG103" s="1">
        <v>0</v>
      </c>
      <c r="AH103" s="1">
        <v>71482</v>
      </c>
      <c r="AI103" s="1">
        <v>0</v>
      </c>
      <c r="AJ103" s="1">
        <v>0</v>
      </c>
      <c r="AK103" s="1">
        <v>0</v>
      </c>
      <c r="AL103" s="1">
        <v>0</v>
      </c>
      <c r="AM103" s="1">
        <v>0</v>
      </c>
      <c r="AN103" s="1">
        <v>0</v>
      </c>
      <c r="AO103" s="1">
        <v>0</v>
      </c>
      <c r="AP103" s="1">
        <v>0</v>
      </c>
      <c r="AQ103" s="24">
        <f t="shared" si="5"/>
        <v>71482</v>
      </c>
    </row>
    <row r="104" spans="1:43" ht="17.25" customHeight="1" x14ac:dyDescent="0.45">
      <c r="A104" s="12" t="s">
        <v>227</v>
      </c>
      <c r="B104" s="12" t="s">
        <v>68</v>
      </c>
      <c r="C104" s="12" t="s">
        <v>206</v>
      </c>
      <c r="D104" s="12" t="s">
        <v>66</v>
      </c>
      <c r="E104" s="25">
        <v>1</v>
      </c>
      <c r="F104" s="10">
        <v>0</v>
      </c>
      <c r="G104" s="10">
        <v>0</v>
      </c>
      <c r="H104" s="10">
        <v>0</v>
      </c>
      <c r="I104" s="10">
        <v>0</v>
      </c>
      <c r="J104" s="10">
        <v>0</v>
      </c>
      <c r="K104" s="10">
        <v>0</v>
      </c>
      <c r="L104" s="10">
        <v>0</v>
      </c>
      <c r="M104" s="10">
        <v>0</v>
      </c>
      <c r="N104" s="10">
        <v>1</v>
      </c>
      <c r="O104" s="10">
        <v>0</v>
      </c>
      <c r="P104" s="10">
        <v>0</v>
      </c>
      <c r="Q104" s="26">
        <f t="shared" si="3"/>
        <v>2</v>
      </c>
      <c r="R104" s="25">
        <v>0</v>
      </c>
      <c r="S104" s="10">
        <v>0</v>
      </c>
      <c r="T104" s="10">
        <v>0</v>
      </c>
      <c r="U104" s="10">
        <v>0</v>
      </c>
      <c r="V104" s="10">
        <v>0</v>
      </c>
      <c r="W104" s="10">
        <v>0</v>
      </c>
      <c r="X104" s="10">
        <v>0</v>
      </c>
      <c r="Y104" s="10">
        <v>0</v>
      </c>
      <c r="Z104" s="10">
        <v>0</v>
      </c>
      <c r="AA104" s="10">
        <v>0</v>
      </c>
      <c r="AB104" s="10">
        <v>0</v>
      </c>
      <c r="AC104" s="10">
        <v>0</v>
      </c>
      <c r="AD104" s="26">
        <f t="shared" si="4"/>
        <v>0</v>
      </c>
      <c r="AE104" s="25">
        <v>30028</v>
      </c>
      <c r="AF104" s="10">
        <v>0</v>
      </c>
      <c r="AG104" s="10">
        <v>0</v>
      </c>
      <c r="AH104" s="10">
        <v>0</v>
      </c>
      <c r="AI104" s="10">
        <v>0</v>
      </c>
      <c r="AJ104" s="10">
        <v>0</v>
      </c>
      <c r="AK104" s="10">
        <v>0</v>
      </c>
      <c r="AL104" s="10">
        <v>0</v>
      </c>
      <c r="AM104" s="10">
        <v>0</v>
      </c>
      <c r="AN104" s="10">
        <v>2580</v>
      </c>
      <c r="AO104" s="10">
        <v>0</v>
      </c>
      <c r="AP104" s="10">
        <v>0</v>
      </c>
      <c r="AQ104" s="26">
        <f t="shared" si="5"/>
        <v>32608</v>
      </c>
    </row>
    <row r="105" spans="1:43" ht="17.25" customHeight="1" x14ac:dyDescent="0.45">
      <c r="A105" s="2" t="s">
        <v>227</v>
      </c>
      <c r="B105" s="2" t="s">
        <v>68</v>
      </c>
      <c r="C105" s="2" t="s">
        <v>30</v>
      </c>
      <c r="D105" s="2" t="s">
        <v>66</v>
      </c>
      <c r="E105" s="23">
        <v>0</v>
      </c>
      <c r="F105" s="1">
        <v>0</v>
      </c>
      <c r="G105" s="1">
        <v>0</v>
      </c>
      <c r="H105" s="1">
        <v>2</v>
      </c>
      <c r="I105" s="1">
        <v>1</v>
      </c>
      <c r="J105" s="1">
        <v>0</v>
      </c>
      <c r="K105" s="1">
        <v>0</v>
      </c>
      <c r="L105" s="1">
        <v>0</v>
      </c>
      <c r="M105" s="1">
        <v>0</v>
      </c>
      <c r="N105" s="1">
        <v>0</v>
      </c>
      <c r="O105" s="1">
        <v>0</v>
      </c>
      <c r="P105" s="1">
        <v>0</v>
      </c>
      <c r="Q105" s="24">
        <f t="shared" si="3"/>
        <v>3</v>
      </c>
      <c r="R105" s="23">
        <v>0</v>
      </c>
      <c r="S105" s="1">
        <v>0</v>
      </c>
      <c r="T105" s="1">
        <v>0</v>
      </c>
      <c r="U105" s="1">
        <v>0</v>
      </c>
      <c r="V105" s="1">
        <v>0</v>
      </c>
      <c r="W105" s="1">
        <v>0</v>
      </c>
      <c r="X105" s="1">
        <v>0</v>
      </c>
      <c r="Y105" s="1">
        <v>0</v>
      </c>
      <c r="Z105" s="1">
        <v>0</v>
      </c>
      <c r="AA105" s="1">
        <v>0</v>
      </c>
      <c r="AB105" s="1">
        <v>0</v>
      </c>
      <c r="AC105" s="1">
        <v>0</v>
      </c>
      <c r="AD105" s="24">
        <f t="shared" si="4"/>
        <v>0</v>
      </c>
      <c r="AE105" s="23">
        <v>0</v>
      </c>
      <c r="AF105" s="1">
        <v>0</v>
      </c>
      <c r="AG105" s="1">
        <v>0</v>
      </c>
      <c r="AH105" s="1">
        <v>50227</v>
      </c>
      <c r="AI105" s="1">
        <v>11862</v>
      </c>
      <c r="AJ105" s="1">
        <v>0</v>
      </c>
      <c r="AK105" s="1">
        <v>0</v>
      </c>
      <c r="AL105" s="1">
        <v>0</v>
      </c>
      <c r="AM105" s="1">
        <v>0</v>
      </c>
      <c r="AN105" s="1">
        <v>0</v>
      </c>
      <c r="AO105" s="1">
        <v>0</v>
      </c>
      <c r="AP105" s="1">
        <v>0</v>
      </c>
      <c r="AQ105" s="24">
        <f t="shared" si="5"/>
        <v>62089</v>
      </c>
    </row>
    <row r="106" spans="1:43" ht="17.25" customHeight="1" x14ac:dyDescent="0.45">
      <c r="A106" s="12" t="s">
        <v>22</v>
      </c>
      <c r="B106" s="12" t="s">
        <v>66</v>
      </c>
      <c r="C106" s="12" t="s">
        <v>264</v>
      </c>
      <c r="D106" s="12" t="s">
        <v>68</v>
      </c>
      <c r="E106" s="25">
        <v>0</v>
      </c>
      <c r="F106" s="10">
        <v>0</v>
      </c>
      <c r="G106" s="10">
        <v>0</v>
      </c>
      <c r="H106" s="10">
        <v>0</v>
      </c>
      <c r="I106" s="10">
        <v>0</v>
      </c>
      <c r="J106" s="10">
        <v>0</v>
      </c>
      <c r="K106" s="10">
        <v>0</v>
      </c>
      <c r="L106" s="10">
        <v>0</v>
      </c>
      <c r="M106" s="10">
        <v>0</v>
      </c>
      <c r="N106" s="10">
        <v>1</v>
      </c>
      <c r="O106" s="10">
        <v>0</v>
      </c>
      <c r="P106" s="10">
        <v>0</v>
      </c>
      <c r="Q106" s="26">
        <f t="shared" si="3"/>
        <v>1</v>
      </c>
      <c r="R106" s="25">
        <v>0</v>
      </c>
      <c r="S106" s="10">
        <v>0</v>
      </c>
      <c r="T106" s="10">
        <v>0</v>
      </c>
      <c r="U106" s="10">
        <v>0</v>
      </c>
      <c r="V106" s="10">
        <v>0</v>
      </c>
      <c r="W106" s="10">
        <v>0</v>
      </c>
      <c r="X106" s="10">
        <v>0</v>
      </c>
      <c r="Y106" s="10">
        <v>0</v>
      </c>
      <c r="Z106" s="10">
        <v>0</v>
      </c>
      <c r="AA106" s="10">
        <v>0</v>
      </c>
      <c r="AB106" s="10">
        <v>0</v>
      </c>
      <c r="AC106" s="10">
        <v>0</v>
      </c>
      <c r="AD106" s="26">
        <f t="shared" si="4"/>
        <v>0</v>
      </c>
      <c r="AE106" s="25">
        <v>0</v>
      </c>
      <c r="AF106" s="10">
        <v>0</v>
      </c>
      <c r="AG106" s="10">
        <v>0</v>
      </c>
      <c r="AH106" s="10">
        <v>0</v>
      </c>
      <c r="AI106" s="10">
        <v>0</v>
      </c>
      <c r="AJ106" s="10">
        <v>0</v>
      </c>
      <c r="AK106" s="10">
        <v>0</v>
      </c>
      <c r="AL106" s="10">
        <v>0</v>
      </c>
      <c r="AM106" s="10">
        <v>0</v>
      </c>
      <c r="AN106" s="10">
        <v>2343</v>
      </c>
      <c r="AO106" s="10">
        <v>0</v>
      </c>
      <c r="AP106" s="10">
        <v>0</v>
      </c>
      <c r="AQ106" s="26">
        <f t="shared" si="5"/>
        <v>2343</v>
      </c>
    </row>
    <row r="107" spans="1:43" ht="17.25" customHeight="1" x14ac:dyDescent="0.45">
      <c r="A107" s="2" t="s">
        <v>22</v>
      </c>
      <c r="B107" s="2" t="s">
        <v>66</v>
      </c>
      <c r="C107" s="2" t="s">
        <v>101</v>
      </c>
      <c r="D107" s="2" t="s">
        <v>68</v>
      </c>
      <c r="E107" s="23">
        <v>0</v>
      </c>
      <c r="F107" s="1">
        <v>1</v>
      </c>
      <c r="G107" s="1">
        <v>0</v>
      </c>
      <c r="H107" s="1">
        <v>0</v>
      </c>
      <c r="I107" s="1">
        <v>0</v>
      </c>
      <c r="J107" s="1">
        <v>0</v>
      </c>
      <c r="K107" s="1">
        <v>0</v>
      </c>
      <c r="L107" s="1">
        <v>1</v>
      </c>
      <c r="M107" s="1">
        <v>0</v>
      </c>
      <c r="N107" s="1">
        <v>2</v>
      </c>
      <c r="O107" s="1">
        <v>1</v>
      </c>
      <c r="P107" s="1">
        <v>0</v>
      </c>
      <c r="Q107" s="24">
        <f t="shared" si="3"/>
        <v>5</v>
      </c>
      <c r="R107" s="23">
        <v>0</v>
      </c>
      <c r="S107" s="1">
        <v>0</v>
      </c>
      <c r="T107" s="1">
        <v>0</v>
      </c>
      <c r="U107" s="1">
        <v>0</v>
      </c>
      <c r="V107" s="1">
        <v>0</v>
      </c>
      <c r="W107" s="1">
        <v>0</v>
      </c>
      <c r="X107" s="1">
        <v>0</v>
      </c>
      <c r="Y107" s="1">
        <v>0</v>
      </c>
      <c r="Z107" s="1">
        <v>0</v>
      </c>
      <c r="AA107" s="1">
        <v>0</v>
      </c>
      <c r="AB107" s="1">
        <v>0</v>
      </c>
      <c r="AC107" s="1">
        <v>0</v>
      </c>
      <c r="AD107" s="24">
        <f t="shared" si="4"/>
        <v>0</v>
      </c>
      <c r="AE107" s="23">
        <v>0</v>
      </c>
      <c r="AF107" s="1">
        <v>1089</v>
      </c>
      <c r="AG107" s="1">
        <v>0</v>
      </c>
      <c r="AH107" s="1">
        <v>0</v>
      </c>
      <c r="AI107" s="1">
        <v>0</v>
      </c>
      <c r="AJ107" s="1">
        <v>0</v>
      </c>
      <c r="AK107" s="1">
        <v>0</v>
      </c>
      <c r="AL107" s="1">
        <v>2053</v>
      </c>
      <c r="AM107" s="1">
        <v>0</v>
      </c>
      <c r="AN107" s="1">
        <v>4915</v>
      </c>
      <c r="AO107" s="1">
        <v>2135</v>
      </c>
      <c r="AP107" s="1">
        <v>0</v>
      </c>
      <c r="AQ107" s="24">
        <f t="shared" si="5"/>
        <v>10192</v>
      </c>
    </row>
    <row r="108" spans="1:43" ht="17.25" customHeight="1" x14ac:dyDescent="0.45">
      <c r="A108" s="12" t="s">
        <v>22</v>
      </c>
      <c r="B108" s="12" t="s">
        <v>66</v>
      </c>
      <c r="C108" s="12" t="s">
        <v>221</v>
      </c>
      <c r="D108" s="12" t="s">
        <v>68</v>
      </c>
      <c r="E108" s="25">
        <v>0</v>
      </c>
      <c r="F108" s="10">
        <v>0</v>
      </c>
      <c r="G108" s="10">
        <v>0</v>
      </c>
      <c r="H108" s="10">
        <v>0</v>
      </c>
      <c r="I108" s="10">
        <v>0</v>
      </c>
      <c r="J108" s="10">
        <v>0</v>
      </c>
      <c r="K108" s="10">
        <v>0</v>
      </c>
      <c r="L108" s="10">
        <v>0</v>
      </c>
      <c r="M108" s="10">
        <v>0</v>
      </c>
      <c r="N108" s="10">
        <v>1</v>
      </c>
      <c r="O108" s="10">
        <v>1</v>
      </c>
      <c r="P108" s="10">
        <v>0</v>
      </c>
      <c r="Q108" s="26">
        <f t="shared" si="3"/>
        <v>2</v>
      </c>
      <c r="R108" s="25">
        <v>0</v>
      </c>
      <c r="S108" s="10">
        <v>0</v>
      </c>
      <c r="T108" s="10">
        <v>0</v>
      </c>
      <c r="U108" s="10">
        <v>0</v>
      </c>
      <c r="V108" s="10">
        <v>0</v>
      </c>
      <c r="W108" s="10">
        <v>0</v>
      </c>
      <c r="X108" s="10">
        <v>0</v>
      </c>
      <c r="Y108" s="10">
        <v>0</v>
      </c>
      <c r="Z108" s="10">
        <v>0</v>
      </c>
      <c r="AA108" s="10">
        <v>0</v>
      </c>
      <c r="AB108" s="10">
        <v>0</v>
      </c>
      <c r="AC108" s="10">
        <v>0</v>
      </c>
      <c r="AD108" s="26">
        <f t="shared" si="4"/>
        <v>0</v>
      </c>
      <c r="AE108" s="25">
        <v>0</v>
      </c>
      <c r="AF108" s="10">
        <v>0</v>
      </c>
      <c r="AG108" s="10">
        <v>0</v>
      </c>
      <c r="AH108" s="10">
        <v>0</v>
      </c>
      <c r="AI108" s="10">
        <v>0</v>
      </c>
      <c r="AJ108" s="10">
        <v>0</v>
      </c>
      <c r="AK108" s="10">
        <v>0</v>
      </c>
      <c r="AL108" s="10">
        <v>0</v>
      </c>
      <c r="AM108" s="10">
        <v>0</v>
      </c>
      <c r="AN108" s="10">
        <v>2176</v>
      </c>
      <c r="AO108" s="10">
        <v>2520</v>
      </c>
      <c r="AP108" s="10">
        <v>0</v>
      </c>
      <c r="AQ108" s="26">
        <f t="shared" si="5"/>
        <v>4696</v>
      </c>
    </row>
    <row r="109" spans="1:43" ht="17.25" customHeight="1" x14ac:dyDescent="0.45">
      <c r="A109" s="2" t="s">
        <v>22</v>
      </c>
      <c r="B109" s="2" t="s">
        <v>66</v>
      </c>
      <c r="C109" s="2" t="s">
        <v>110</v>
      </c>
      <c r="D109" s="2" t="s">
        <v>65</v>
      </c>
      <c r="E109" s="23">
        <v>0</v>
      </c>
      <c r="F109" s="1">
        <v>0</v>
      </c>
      <c r="G109" s="1">
        <v>1</v>
      </c>
      <c r="H109" s="1">
        <v>0</v>
      </c>
      <c r="I109" s="1">
        <v>0</v>
      </c>
      <c r="J109" s="1">
        <v>0</v>
      </c>
      <c r="K109" s="1">
        <v>0</v>
      </c>
      <c r="L109" s="1">
        <v>0</v>
      </c>
      <c r="M109" s="1">
        <v>0</v>
      </c>
      <c r="N109" s="1">
        <v>0</v>
      </c>
      <c r="O109" s="1">
        <v>0</v>
      </c>
      <c r="P109" s="1">
        <v>0</v>
      </c>
      <c r="Q109" s="24">
        <f t="shared" si="3"/>
        <v>1</v>
      </c>
      <c r="R109" s="23">
        <v>0</v>
      </c>
      <c r="S109" s="1">
        <v>0</v>
      </c>
      <c r="T109" s="1">
        <v>0</v>
      </c>
      <c r="U109" s="1">
        <v>0</v>
      </c>
      <c r="V109" s="1">
        <v>0</v>
      </c>
      <c r="W109" s="1">
        <v>0</v>
      </c>
      <c r="X109" s="1">
        <v>0</v>
      </c>
      <c r="Y109" s="1">
        <v>0</v>
      </c>
      <c r="Z109" s="1">
        <v>0</v>
      </c>
      <c r="AA109" s="1">
        <v>0</v>
      </c>
      <c r="AB109" s="1">
        <v>0</v>
      </c>
      <c r="AC109" s="1">
        <v>0</v>
      </c>
      <c r="AD109" s="24">
        <f t="shared" si="4"/>
        <v>0</v>
      </c>
      <c r="AE109" s="23">
        <v>0</v>
      </c>
      <c r="AF109" s="1">
        <v>0</v>
      </c>
      <c r="AG109" s="1">
        <v>846</v>
      </c>
      <c r="AH109" s="1">
        <v>0</v>
      </c>
      <c r="AI109" s="1">
        <v>0</v>
      </c>
      <c r="AJ109" s="1">
        <v>0</v>
      </c>
      <c r="AK109" s="1">
        <v>0</v>
      </c>
      <c r="AL109" s="1">
        <v>0</v>
      </c>
      <c r="AM109" s="1">
        <v>0</v>
      </c>
      <c r="AN109" s="1">
        <v>0</v>
      </c>
      <c r="AO109" s="1">
        <v>0</v>
      </c>
      <c r="AP109" s="1">
        <v>0</v>
      </c>
      <c r="AQ109" s="24">
        <f t="shared" si="5"/>
        <v>846</v>
      </c>
    </row>
    <row r="110" spans="1:43" ht="17.25" customHeight="1" x14ac:dyDescent="0.45">
      <c r="A110" s="12" t="s">
        <v>22</v>
      </c>
      <c r="B110" s="12" t="s">
        <v>66</v>
      </c>
      <c r="C110" s="12" t="s">
        <v>194</v>
      </c>
      <c r="D110" s="12" t="s">
        <v>68</v>
      </c>
      <c r="E110" s="25">
        <v>6</v>
      </c>
      <c r="F110" s="10">
        <v>7</v>
      </c>
      <c r="G110" s="10">
        <v>8</v>
      </c>
      <c r="H110" s="10">
        <v>10</v>
      </c>
      <c r="I110" s="10">
        <v>0</v>
      </c>
      <c r="J110" s="10">
        <v>0</v>
      </c>
      <c r="K110" s="10">
        <v>0</v>
      </c>
      <c r="L110" s="10">
        <v>6</v>
      </c>
      <c r="M110" s="10">
        <v>1</v>
      </c>
      <c r="N110" s="10">
        <v>13</v>
      </c>
      <c r="O110" s="10">
        <v>6</v>
      </c>
      <c r="P110" s="10">
        <v>13</v>
      </c>
      <c r="Q110" s="26">
        <f t="shared" si="3"/>
        <v>70</v>
      </c>
      <c r="R110" s="25">
        <v>0</v>
      </c>
      <c r="S110" s="10">
        <v>0</v>
      </c>
      <c r="T110" s="10">
        <v>0</v>
      </c>
      <c r="U110" s="10">
        <v>0</v>
      </c>
      <c r="V110" s="10">
        <v>0</v>
      </c>
      <c r="W110" s="10">
        <v>0</v>
      </c>
      <c r="X110" s="10">
        <v>0</v>
      </c>
      <c r="Y110" s="10">
        <v>0</v>
      </c>
      <c r="Z110" s="10">
        <v>0</v>
      </c>
      <c r="AA110" s="10">
        <v>0</v>
      </c>
      <c r="AB110" s="10">
        <v>0</v>
      </c>
      <c r="AC110" s="10">
        <v>0</v>
      </c>
      <c r="AD110" s="26">
        <f t="shared" si="4"/>
        <v>0</v>
      </c>
      <c r="AE110" s="25">
        <v>6836</v>
      </c>
      <c r="AF110" s="10">
        <v>7477</v>
      </c>
      <c r="AG110" s="10">
        <v>31474</v>
      </c>
      <c r="AH110" s="10">
        <v>43278</v>
      </c>
      <c r="AI110" s="10">
        <v>0</v>
      </c>
      <c r="AJ110" s="10">
        <v>0</v>
      </c>
      <c r="AK110" s="10">
        <v>0</v>
      </c>
      <c r="AL110" s="10">
        <v>9943</v>
      </c>
      <c r="AM110" s="10">
        <v>420</v>
      </c>
      <c r="AN110" s="10">
        <v>24795</v>
      </c>
      <c r="AO110" s="10">
        <v>12670</v>
      </c>
      <c r="AP110" s="10">
        <v>25814</v>
      </c>
      <c r="AQ110" s="26">
        <f t="shared" si="5"/>
        <v>162707</v>
      </c>
    </row>
    <row r="111" spans="1:43" ht="17.25" customHeight="1" x14ac:dyDescent="0.45">
      <c r="A111" s="2" t="s">
        <v>264</v>
      </c>
      <c r="B111" s="2" t="s">
        <v>68</v>
      </c>
      <c r="C111" s="2" t="s">
        <v>206</v>
      </c>
      <c r="D111" s="2" t="s">
        <v>66</v>
      </c>
      <c r="E111" s="23">
        <v>0</v>
      </c>
      <c r="F111" s="1">
        <v>1</v>
      </c>
      <c r="G111" s="1">
        <v>1</v>
      </c>
      <c r="H111" s="1">
        <v>0</v>
      </c>
      <c r="I111" s="1">
        <v>0</v>
      </c>
      <c r="J111" s="1">
        <v>0</v>
      </c>
      <c r="K111" s="1">
        <v>0</v>
      </c>
      <c r="L111" s="1">
        <v>0</v>
      </c>
      <c r="M111" s="1">
        <v>0</v>
      </c>
      <c r="N111" s="1">
        <v>0</v>
      </c>
      <c r="O111" s="1">
        <v>0</v>
      </c>
      <c r="P111" s="1">
        <v>0</v>
      </c>
      <c r="Q111" s="24">
        <f t="shared" si="3"/>
        <v>2</v>
      </c>
      <c r="R111" s="23">
        <v>0</v>
      </c>
      <c r="S111" s="1">
        <v>0</v>
      </c>
      <c r="T111" s="1">
        <v>0</v>
      </c>
      <c r="U111" s="1">
        <v>0</v>
      </c>
      <c r="V111" s="1">
        <v>0</v>
      </c>
      <c r="W111" s="1">
        <v>0</v>
      </c>
      <c r="X111" s="1">
        <v>0</v>
      </c>
      <c r="Y111" s="1">
        <v>0</v>
      </c>
      <c r="Z111" s="1">
        <v>0</v>
      </c>
      <c r="AA111" s="1">
        <v>0</v>
      </c>
      <c r="AB111" s="1">
        <v>0</v>
      </c>
      <c r="AC111" s="1">
        <v>0</v>
      </c>
      <c r="AD111" s="24">
        <f t="shared" si="4"/>
        <v>0</v>
      </c>
      <c r="AE111" s="23">
        <v>0</v>
      </c>
      <c r="AF111" s="1">
        <v>100</v>
      </c>
      <c r="AG111" s="1">
        <v>1040</v>
      </c>
      <c r="AH111" s="1">
        <v>0</v>
      </c>
      <c r="AI111" s="1">
        <v>0</v>
      </c>
      <c r="AJ111" s="1">
        <v>0</v>
      </c>
      <c r="AK111" s="1">
        <v>0</v>
      </c>
      <c r="AL111" s="1">
        <v>0</v>
      </c>
      <c r="AM111" s="1">
        <v>0</v>
      </c>
      <c r="AN111" s="1">
        <v>0</v>
      </c>
      <c r="AO111" s="1">
        <v>0</v>
      </c>
      <c r="AP111" s="1">
        <v>0</v>
      </c>
      <c r="AQ111" s="24">
        <f t="shared" si="5"/>
        <v>1140</v>
      </c>
    </row>
    <row r="112" spans="1:43" ht="17.25" customHeight="1" x14ac:dyDescent="0.45">
      <c r="A112" s="12" t="s">
        <v>100</v>
      </c>
      <c r="B112" s="12" t="s">
        <v>68</v>
      </c>
      <c r="C112" s="12" t="s">
        <v>22</v>
      </c>
      <c r="D112" s="12" t="s">
        <v>66</v>
      </c>
      <c r="E112" s="25">
        <v>0</v>
      </c>
      <c r="F112" s="10">
        <v>0</v>
      </c>
      <c r="G112" s="10">
        <v>0</v>
      </c>
      <c r="H112" s="10">
        <v>0</v>
      </c>
      <c r="I112" s="10">
        <v>0</v>
      </c>
      <c r="J112" s="10">
        <v>0</v>
      </c>
      <c r="K112" s="10">
        <v>0</v>
      </c>
      <c r="L112" s="10">
        <v>1</v>
      </c>
      <c r="M112" s="10">
        <v>0</v>
      </c>
      <c r="N112" s="10">
        <v>0</v>
      </c>
      <c r="O112" s="10">
        <v>0</v>
      </c>
      <c r="P112" s="10">
        <v>0</v>
      </c>
      <c r="Q112" s="26">
        <f t="shared" si="3"/>
        <v>1</v>
      </c>
      <c r="R112" s="25">
        <v>0</v>
      </c>
      <c r="S112" s="10">
        <v>0</v>
      </c>
      <c r="T112" s="10">
        <v>0</v>
      </c>
      <c r="U112" s="10">
        <v>0</v>
      </c>
      <c r="V112" s="10">
        <v>0</v>
      </c>
      <c r="W112" s="10">
        <v>0</v>
      </c>
      <c r="X112" s="10">
        <v>0</v>
      </c>
      <c r="Y112" s="10">
        <v>56</v>
      </c>
      <c r="Z112" s="10">
        <v>0</v>
      </c>
      <c r="AA112" s="10">
        <v>0</v>
      </c>
      <c r="AB112" s="10">
        <v>0</v>
      </c>
      <c r="AC112" s="10">
        <v>0</v>
      </c>
      <c r="AD112" s="26">
        <f t="shared" si="4"/>
        <v>56</v>
      </c>
      <c r="AE112" s="25">
        <v>0</v>
      </c>
      <c r="AF112" s="10">
        <v>0</v>
      </c>
      <c r="AG112" s="10">
        <v>0</v>
      </c>
      <c r="AH112" s="10">
        <v>0</v>
      </c>
      <c r="AI112" s="10">
        <v>0</v>
      </c>
      <c r="AJ112" s="10">
        <v>0</v>
      </c>
      <c r="AK112" s="10">
        <v>0</v>
      </c>
      <c r="AL112" s="10">
        <v>0</v>
      </c>
      <c r="AM112" s="10">
        <v>0</v>
      </c>
      <c r="AN112" s="10">
        <v>0</v>
      </c>
      <c r="AO112" s="10">
        <v>0</v>
      </c>
      <c r="AP112" s="10">
        <v>0</v>
      </c>
      <c r="AQ112" s="26">
        <f t="shared" si="5"/>
        <v>0</v>
      </c>
    </row>
    <row r="113" spans="1:43" ht="17.25" customHeight="1" x14ac:dyDescent="0.45">
      <c r="A113" s="2" t="s">
        <v>100</v>
      </c>
      <c r="B113" s="2" t="s">
        <v>68</v>
      </c>
      <c r="C113" s="2" t="s">
        <v>28</v>
      </c>
      <c r="D113" s="2" t="s">
        <v>66</v>
      </c>
      <c r="E113" s="23">
        <v>1</v>
      </c>
      <c r="F113" s="1">
        <v>0</v>
      </c>
      <c r="G113" s="1">
        <v>0</v>
      </c>
      <c r="H113" s="1">
        <v>0</v>
      </c>
      <c r="I113" s="1">
        <v>0</v>
      </c>
      <c r="J113" s="1">
        <v>0</v>
      </c>
      <c r="K113" s="1">
        <v>0</v>
      </c>
      <c r="L113" s="1">
        <v>0</v>
      </c>
      <c r="M113" s="1">
        <v>0</v>
      </c>
      <c r="N113" s="1">
        <v>0</v>
      </c>
      <c r="O113" s="1">
        <v>0</v>
      </c>
      <c r="P113" s="1">
        <v>0</v>
      </c>
      <c r="Q113" s="24">
        <f t="shared" si="3"/>
        <v>1</v>
      </c>
      <c r="R113" s="23">
        <v>57</v>
      </c>
      <c r="S113" s="1">
        <v>0</v>
      </c>
      <c r="T113" s="1">
        <v>0</v>
      </c>
      <c r="U113" s="1">
        <v>0</v>
      </c>
      <c r="V113" s="1">
        <v>0</v>
      </c>
      <c r="W113" s="1">
        <v>0</v>
      </c>
      <c r="X113" s="1">
        <v>0</v>
      </c>
      <c r="Y113" s="1">
        <v>0</v>
      </c>
      <c r="Z113" s="1">
        <v>0</v>
      </c>
      <c r="AA113" s="1">
        <v>0</v>
      </c>
      <c r="AB113" s="1">
        <v>0</v>
      </c>
      <c r="AC113" s="1">
        <v>0</v>
      </c>
      <c r="AD113" s="24">
        <f t="shared" si="4"/>
        <v>57</v>
      </c>
      <c r="AE113" s="23">
        <v>0</v>
      </c>
      <c r="AF113" s="1">
        <v>0</v>
      </c>
      <c r="AG113" s="1">
        <v>0</v>
      </c>
      <c r="AH113" s="1">
        <v>0</v>
      </c>
      <c r="AI113" s="1">
        <v>0</v>
      </c>
      <c r="AJ113" s="1">
        <v>0</v>
      </c>
      <c r="AK113" s="1">
        <v>0</v>
      </c>
      <c r="AL113" s="1">
        <v>0</v>
      </c>
      <c r="AM113" s="1">
        <v>0</v>
      </c>
      <c r="AN113" s="1">
        <v>0</v>
      </c>
      <c r="AO113" s="1">
        <v>0</v>
      </c>
      <c r="AP113" s="1">
        <v>0</v>
      </c>
      <c r="AQ113" s="24">
        <f t="shared" si="5"/>
        <v>0</v>
      </c>
    </row>
    <row r="114" spans="1:43" ht="17.25" customHeight="1" x14ac:dyDescent="0.45">
      <c r="A114" s="12" t="s">
        <v>100</v>
      </c>
      <c r="B114" s="12" t="s">
        <v>68</v>
      </c>
      <c r="C114" s="12" t="s">
        <v>14</v>
      </c>
      <c r="D114" s="12" t="s">
        <v>66</v>
      </c>
      <c r="E114" s="25">
        <v>0</v>
      </c>
      <c r="F114" s="10">
        <v>0</v>
      </c>
      <c r="G114" s="10">
        <v>0</v>
      </c>
      <c r="H114" s="10">
        <v>0</v>
      </c>
      <c r="I114" s="10">
        <v>0</v>
      </c>
      <c r="J114" s="10">
        <v>0</v>
      </c>
      <c r="K114" s="10">
        <v>0</v>
      </c>
      <c r="L114" s="10">
        <v>1</v>
      </c>
      <c r="M114" s="10">
        <v>0</v>
      </c>
      <c r="N114" s="10">
        <v>0</v>
      </c>
      <c r="O114" s="10">
        <v>0</v>
      </c>
      <c r="P114" s="10">
        <v>0</v>
      </c>
      <c r="Q114" s="26">
        <f t="shared" si="3"/>
        <v>1</v>
      </c>
      <c r="R114" s="25">
        <v>0</v>
      </c>
      <c r="S114" s="10">
        <v>0</v>
      </c>
      <c r="T114" s="10">
        <v>0</v>
      </c>
      <c r="U114" s="10">
        <v>0</v>
      </c>
      <c r="V114" s="10">
        <v>0</v>
      </c>
      <c r="W114" s="10">
        <v>0</v>
      </c>
      <c r="X114" s="10">
        <v>0</v>
      </c>
      <c r="Y114" s="10">
        <v>54</v>
      </c>
      <c r="Z114" s="10">
        <v>0</v>
      </c>
      <c r="AA114" s="10">
        <v>0</v>
      </c>
      <c r="AB114" s="10">
        <v>0</v>
      </c>
      <c r="AC114" s="10">
        <v>0</v>
      </c>
      <c r="AD114" s="26">
        <f t="shared" si="4"/>
        <v>54</v>
      </c>
      <c r="AE114" s="25">
        <v>0</v>
      </c>
      <c r="AF114" s="10">
        <v>0</v>
      </c>
      <c r="AG114" s="10">
        <v>0</v>
      </c>
      <c r="AH114" s="10">
        <v>0</v>
      </c>
      <c r="AI114" s="10">
        <v>0</v>
      </c>
      <c r="AJ114" s="10">
        <v>0</v>
      </c>
      <c r="AK114" s="10">
        <v>0</v>
      </c>
      <c r="AL114" s="10">
        <v>0</v>
      </c>
      <c r="AM114" s="10">
        <v>0</v>
      </c>
      <c r="AN114" s="10">
        <v>0</v>
      </c>
      <c r="AO114" s="10">
        <v>0</v>
      </c>
      <c r="AP114" s="10">
        <v>0</v>
      </c>
      <c r="AQ114" s="26">
        <f t="shared" si="5"/>
        <v>0</v>
      </c>
    </row>
    <row r="115" spans="1:43" ht="17.25" customHeight="1" x14ac:dyDescent="0.45">
      <c r="A115" s="2" t="s">
        <v>313</v>
      </c>
      <c r="B115" s="2" t="s">
        <v>68</v>
      </c>
      <c r="C115" s="2" t="s">
        <v>15</v>
      </c>
      <c r="D115" s="2" t="s">
        <v>66</v>
      </c>
      <c r="E115" s="23">
        <v>0</v>
      </c>
      <c r="F115" s="1">
        <v>0</v>
      </c>
      <c r="G115" s="1">
        <v>0</v>
      </c>
      <c r="H115" s="1">
        <v>0</v>
      </c>
      <c r="I115" s="1">
        <v>0</v>
      </c>
      <c r="J115" s="1">
        <v>0</v>
      </c>
      <c r="K115" s="1">
        <v>0</v>
      </c>
      <c r="L115" s="1">
        <v>1</v>
      </c>
      <c r="M115" s="1">
        <v>0</v>
      </c>
      <c r="N115" s="1">
        <v>0</v>
      </c>
      <c r="O115" s="1">
        <v>0</v>
      </c>
      <c r="P115" s="1">
        <v>0</v>
      </c>
      <c r="Q115" s="24">
        <f t="shared" si="3"/>
        <v>1</v>
      </c>
      <c r="R115" s="23">
        <v>0</v>
      </c>
      <c r="S115" s="1">
        <v>0</v>
      </c>
      <c r="T115" s="1">
        <v>0</v>
      </c>
      <c r="U115" s="1">
        <v>0</v>
      </c>
      <c r="V115" s="1">
        <v>0</v>
      </c>
      <c r="W115" s="1">
        <v>0</v>
      </c>
      <c r="X115" s="1">
        <v>0</v>
      </c>
      <c r="Y115" s="1">
        <v>39</v>
      </c>
      <c r="Z115" s="1">
        <v>0</v>
      </c>
      <c r="AA115" s="1">
        <v>0</v>
      </c>
      <c r="AB115" s="1">
        <v>0</v>
      </c>
      <c r="AC115" s="1">
        <v>0</v>
      </c>
      <c r="AD115" s="24">
        <f t="shared" si="4"/>
        <v>39</v>
      </c>
      <c r="AE115" s="23">
        <v>0</v>
      </c>
      <c r="AF115" s="1">
        <v>0</v>
      </c>
      <c r="AG115" s="1">
        <v>0</v>
      </c>
      <c r="AH115" s="1">
        <v>0</v>
      </c>
      <c r="AI115" s="1">
        <v>0</v>
      </c>
      <c r="AJ115" s="1">
        <v>0</v>
      </c>
      <c r="AK115" s="1">
        <v>0</v>
      </c>
      <c r="AL115" s="1">
        <v>0</v>
      </c>
      <c r="AM115" s="1">
        <v>0</v>
      </c>
      <c r="AN115" s="1">
        <v>0</v>
      </c>
      <c r="AO115" s="1">
        <v>0</v>
      </c>
      <c r="AP115" s="1">
        <v>0</v>
      </c>
      <c r="AQ115" s="24">
        <f t="shared" si="5"/>
        <v>0</v>
      </c>
    </row>
    <row r="116" spans="1:43" ht="17.25" customHeight="1" x14ac:dyDescent="0.45">
      <c r="A116" s="12" t="s">
        <v>222</v>
      </c>
      <c r="B116" s="12" t="s">
        <v>68</v>
      </c>
      <c r="C116" s="12" t="s">
        <v>10</v>
      </c>
      <c r="D116" s="12" t="s">
        <v>66</v>
      </c>
      <c r="E116" s="25">
        <v>1</v>
      </c>
      <c r="F116" s="10">
        <v>0</v>
      </c>
      <c r="G116" s="10">
        <v>0</v>
      </c>
      <c r="H116" s="10">
        <v>0</v>
      </c>
      <c r="I116" s="10">
        <v>0</v>
      </c>
      <c r="J116" s="10">
        <v>0</v>
      </c>
      <c r="K116" s="10">
        <v>0</v>
      </c>
      <c r="L116" s="10">
        <v>0</v>
      </c>
      <c r="M116" s="10">
        <v>0</v>
      </c>
      <c r="N116" s="10">
        <v>0</v>
      </c>
      <c r="O116" s="10">
        <v>0</v>
      </c>
      <c r="P116" s="10">
        <v>0</v>
      </c>
      <c r="Q116" s="26">
        <f t="shared" si="3"/>
        <v>1</v>
      </c>
      <c r="R116" s="25">
        <v>180</v>
      </c>
      <c r="S116" s="10">
        <v>0</v>
      </c>
      <c r="T116" s="10">
        <v>0</v>
      </c>
      <c r="U116" s="10">
        <v>0</v>
      </c>
      <c r="V116" s="10">
        <v>0</v>
      </c>
      <c r="W116" s="10">
        <v>0</v>
      </c>
      <c r="X116" s="10">
        <v>0</v>
      </c>
      <c r="Y116" s="10">
        <v>0</v>
      </c>
      <c r="Z116" s="10">
        <v>0</v>
      </c>
      <c r="AA116" s="10">
        <v>0</v>
      </c>
      <c r="AB116" s="10">
        <v>0</v>
      </c>
      <c r="AC116" s="10">
        <v>0</v>
      </c>
      <c r="AD116" s="26">
        <f t="shared" si="4"/>
        <v>180</v>
      </c>
      <c r="AE116" s="25">
        <v>0</v>
      </c>
      <c r="AF116" s="10">
        <v>0</v>
      </c>
      <c r="AG116" s="10">
        <v>0</v>
      </c>
      <c r="AH116" s="10">
        <v>0</v>
      </c>
      <c r="AI116" s="10">
        <v>0</v>
      </c>
      <c r="AJ116" s="10">
        <v>0</v>
      </c>
      <c r="AK116" s="10">
        <v>0</v>
      </c>
      <c r="AL116" s="10">
        <v>0</v>
      </c>
      <c r="AM116" s="10">
        <v>0</v>
      </c>
      <c r="AN116" s="10">
        <v>0</v>
      </c>
      <c r="AO116" s="10">
        <v>0</v>
      </c>
      <c r="AP116" s="10">
        <v>0</v>
      </c>
      <c r="AQ116" s="26">
        <f t="shared" si="5"/>
        <v>0</v>
      </c>
    </row>
    <row r="117" spans="1:43" ht="17.25" customHeight="1" x14ac:dyDescent="0.45">
      <c r="A117" s="2" t="s">
        <v>101</v>
      </c>
      <c r="B117" s="2" t="s">
        <v>68</v>
      </c>
      <c r="C117" s="2" t="s">
        <v>19</v>
      </c>
      <c r="D117" s="2" t="s">
        <v>66</v>
      </c>
      <c r="E117" s="23">
        <v>0</v>
      </c>
      <c r="F117" s="1">
        <v>0</v>
      </c>
      <c r="G117" s="1">
        <v>0</v>
      </c>
      <c r="H117" s="1">
        <v>0</v>
      </c>
      <c r="I117" s="1">
        <v>0</v>
      </c>
      <c r="J117" s="1">
        <v>0</v>
      </c>
      <c r="K117" s="1">
        <v>0</v>
      </c>
      <c r="L117" s="1">
        <v>0</v>
      </c>
      <c r="M117" s="1">
        <v>0</v>
      </c>
      <c r="N117" s="1">
        <v>2</v>
      </c>
      <c r="O117" s="1">
        <v>0</v>
      </c>
      <c r="P117" s="1">
        <v>0</v>
      </c>
      <c r="Q117" s="24">
        <f t="shared" si="3"/>
        <v>2</v>
      </c>
      <c r="R117" s="23">
        <v>0</v>
      </c>
      <c r="S117" s="1">
        <v>0</v>
      </c>
      <c r="T117" s="1">
        <v>0</v>
      </c>
      <c r="U117" s="1">
        <v>0</v>
      </c>
      <c r="V117" s="1">
        <v>0</v>
      </c>
      <c r="W117" s="1">
        <v>0</v>
      </c>
      <c r="X117" s="1">
        <v>0</v>
      </c>
      <c r="Y117" s="1">
        <v>0</v>
      </c>
      <c r="Z117" s="1">
        <v>0</v>
      </c>
      <c r="AA117" s="1">
        <v>0</v>
      </c>
      <c r="AB117" s="1">
        <v>0</v>
      </c>
      <c r="AC117" s="1">
        <v>0</v>
      </c>
      <c r="AD117" s="24">
        <f t="shared" si="4"/>
        <v>0</v>
      </c>
      <c r="AE117" s="23">
        <v>0</v>
      </c>
      <c r="AF117" s="1">
        <v>0</v>
      </c>
      <c r="AG117" s="1">
        <v>0</v>
      </c>
      <c r="AH117" s="1">
        <v>0</v>
      </c>
      <c r="AI117" s="1">
        <v>0</v>
      </c>
      <c r="AJ117" s="1">
        <v>0</v>
      </c>
      <c r="AK117" s="1">
        <v>0</v>
      </c>
      <c r="AL117" s="1">
        <v>0</v>
      </c>
      <c r="AM117" s="1">
        <v>0</v>
      </c>
      <c r="AN117" s="1">
        <v>95098</v>
      </c>
      <c r="AO117" s="1">
        <v>0</v>
      </c>
      <c r="AP117" s="1">
        <v>0</v>
      </c>
      <c r="AQ117" s="24">
        <f t="shared" si="5"/>
        <v>95098</v>
      </c>
    </row>
    <row r="118" spans="1:43" ht="17.25" customHeight="1" x14ac:dyDescent="0.45">
      <c r="A118" s="12" t="s">
        <v>101</v>
      </c>
      <c r="B118" s="12" t="s">
        <v>68</v>
      </c>
      <c r="C118" s="12" t="s">
        <v>22</v>
      </c>
      <c r="D118" s="12" t="s">
        <v>66</v>
      </c>
      <c r="E118" s="25">
        <v>1</v>
      </c>
      <c r="F118" s="10">
        <v>2</v>
      </c>
      <c r="G118" s="10">
        <v>0</v>
      </c>
      <c r="H118" s="10">
        <v>1</v>
      </c>
      <c r="I118" s="10">
        <v>1</v>
      </c>
      <c r="J118" s="10">
        <v>0</v>
      </c>
      <c r="K118" s="10">
        <v>0</v>
      </c>
      <c r="L118" s="10">
        <v>1</v>
      </c>
      <c r="M118" s="10">
        <v>0</v>
      </c>
      <c r="N118" s="10">
        <v>5</v>
      </c>
      <c r="O118" s="10">
        <v>1</v>
      </c>
      <c r="P118" s="10">
        <v>0</v>
      </c>
      <c r="Q118" s="26">
        <f t="shared" si="3"/>
        <v>12</v>
      </c>
      <c r="R118" s="25">
        <v>0</v>
      </c>
      <c r="S118" s="10">
        <v>0</v>
      </c>
      <c r="T118" s="10">
        <v>0</v>
      </c>
      <c r="U118" s="10">
        <v>0</v>
      </c>
      <c r="V118" s="10">
        <v>0</v>
      </c>
      <c r="W118" s="10">
        <v>0</v>
      </c>
      <c r="X118" s="10">
        <v>0</v>
      </c>
      <c r="Y118" s="10">
        <v>0</v>
      </c>
      <c r="Z118" s="10">
        <v>0</v>
      </c>
      <c r="AA118" s="10">
        <v>0</v>
      </c>
      <c r="AB118" s="10">
        <v>0</v>
      </c>
      <c r="AC118" s="10">
        <v>0</v>
      </c>
      <c r="AD118" s="26">
        <f t="shared" si="4"/>
        <v>0</v>
      </c>
      <c r="AE118" s="25">
        <v>35421</v>
      </c>
      <c r="AF118" s="10">
        <v>64281</v>
      </c>
      <c r="AG118" s="10">
        <v>0</v>
      </c>
      <c r="AH118" s="10">
        <v>32267</v>
      </c>
      <c r="AI118" s="10">
        <v>100</v>
      </c>
      <c r="AJ118" s="10">
        <v>0</v>
      </c>
      <c r="AK118" s="10">
        <v>0</v>
      </c>
      <c r="AL118" s="10">
        <v>48563</v>
      </c>
      <c r="AM118" s="10">
        <v>0</v>
      </c>
      <c r="AN118" s="10">
        <v>177863</v>
      </c>
      <c r="AO118" s="10">
        <v>1200</v>
      </c>
      <c r="AP118" s="10">
        <v>0</v>
      </c>
      <c r="AQ118" s="26">
        <f t="shared" si="5"/>
        <v>359695</v>
      </c>
    </row>
    <row r="119" spans="1:43" ht="17.25" customHeight="1" x14ac:dyDescent="0.45">
      <c r="A119" s="2" t="s">
        <v>101</v>
      </c>
      <c r="B119" s="2" t="s">
        <v>68</v>
      </c>
      <c r="C119" s="2" t="s">
        <v>11</v>
      </c>
      <c r="D119" s="2" t="s">
        <v>66</v>
      </c>
      <c r="E119" s="23">
        <v>0</v>
      </c>
      <c r="F119" s="1">
        <v>0</v>
      </c>
      <c r="G119" s="1">
        <v>0</v>
      </c>
      <c r="H119" s="1">
        <v>0</v>
      </c>
      <c r="I119" s="1">
        <v>0</v>
      </c>
      <c r="J119" s="1">
        <v>1</v>
      </c>
      <c r="K119" s="1">
        <v>0</v>
      </c>
      <c r="L119" s="1">
        <v>0</v>
      </c>
      <c r="M119" s="1">
        <v>0</v>
      </c>
      <c r="N119" s="1">
        <v>1</v>
      </c>
      <c r="O119" s="1">
        <v>0</v>
      </c>
      <c r="P119" s="1">
        <v>0</v>
      </c>
      <c r="Q119" s="24">
        <f t="shared" si="3"/>
        <v>2</v>
      </c>
      <c r="R119" s="23">
        <v>0</v>
      </c>
      <c r="S119" s="1">
        <v>0</v>
      </c>
      <c r="T119" s="1">
        <v>0</v>
      </c>
      <c r="U119" s="1">
        <v>0</v>
      </c>
      <c r="V119" s="1">
        <v>0</v>
      </c>
      <c r="W119" s="1">
        <v>0</v>
      </c>
      <c r="X119" s="1">
        <v>0</v>
      </c>
      <c r="Y119" s="1">
        <v>0</v>
      </c>
      <c r="Z119" s="1">
        <v>0</v>
      </c>
      <c r="AA119" s="1">
        <v>0</v>
      </c>
      <c r="AB119" s="1">
        <v>0</v>
      </c>
      <c r="AC119" s="1">
        <v>0</v>
      </c>
      <c r="AD119" s="24">
        <f t="shared" si="4"/>
        <v>0</v>
      </c>
      <c r="AE119" s="23">
        <v>0</v>
      </c>
      <c r="AF119" s="1">
        <v>0</v>
      </c>
      <c r="AG119" s="1">
        <v>0</v>
      </c>
      <c r="AH119" s="1">
        <v>0</v>
      </c>
      <c r="AI119" s="1">
        <v>0</v>
      </c>
      <c r="AJ119" s="1">
        <v>64893</v>
      </c>
      <c r="AK119" s="1">
        <v>0</v>
      </c>
      <c r="AL119" s="1">
        <v>0</v>
      </c>
      <c r="AM119" s="1">
        <v>0</v>
      </c>
      <c r="AN119" s="1">
        <v>52607</v>
      </c>
      <c r="AO119" s="1">
        <v>0</v>
      </c>
      <c r="AP119" s="1">
        <v>0</v>
      </c>
      <c r="AQ119" s="24">
        <f t="shared" si="5"/>
        <v>117500</v>
      </c>
    </row>
    <row r="120" spans="1:43" ht="17.25" customHeight="1" x14ac:dyDescent="0.45">
      <c r="A120" s="12" t="s">
        <v>101</v>
      </c>
      <c r="B120" s="12" t="s">
        <v>68</v>
      </c>
      <c r="C120" s="12" t="s">
        <v>38</v>
      </c>
      <c r="D120" s="12" t="s">
        <v>66</v>
      </c>
      <c r="E120" s="25">
        <v>0</v>
      </c>
      <c r="F120" s="10">
        <v>0</v>
      </c>
      <c r="G120" s="10">
        <v>0</v>
      </c>
      <c r="H120" s="10">
        <v>0</v>
      </c>
      <c r="I120" s="10">
        <v>0</v>
      </c>
      <c r="J120" s="10">
        <v>0</v>
      </c>
      <c r="K120" s="10">
        <v>0</v>
      </c>
      <c r="L120" s="10">
        <v>0</v>
      </c>
      <c r="M120" s="10">
        <v>1</v>
      </c>
      <c r="N120" s="10">
        <v>0</v>
      </c>
      <c r="O120" s="10">
        <v>0</v>
      </c>
      <c r="P120" s="10">
        <v>0</v>
      </c>
      <c r="Q120" s="26">
        <f t="shared" si="3"/>
        <v>1</v>
      </c>
      <c r="R120" s="25">
        <v>0</v>
      </c>
      <c r="S120" s="10">
        <v>0</v>
      </c>
      <c r="T120" s="10">
        <v>0</v>
      </c>
      <c r="U120" s="10">
        <v>0</v>
      </c>
      <c r="V120" s="10">
        <v>0</v>
      </c>
      <c r="W120" s="10">
        <v>0</v>
      </c>
      <c r="X120" s="10">
        <v>0</v>
      </c>
      <c r="Y120" s="10">
        <v>0</v>
      </c>
      <c r="Z120" s="10">
        <v>0</v>
      </c>
      <c r="AA120" s="10">
        <v>0</v>
      </c>
      <c r="AB120" s="10">
        <v>0</v>
      </c>
      <c r="AC120" s="10">
        <v>0</v>
      </c>
      <c r="AD120" s="26">
        <f t="shared" si="4"/>
        <v>0</v>
      </c>
      <c r="AE120" s="25">
        <v>0</v>
      </c>
      <c r="AF120" s="10">
        <v>0</v>
      </c>
      <c r="AG120" s="10">
        <v>0</v>
      </c>
      <c r="AH120" s="10">
        <v>0</v>
      </c>
      <c r="AI120" s="10">
        <v>0</v>
      </c>
      <c r="AJ120" s="10">
        <v>0</v>
      </c>
      <c r="AK120" s="10">
        <v>0</v>
      </c>
      <c r="AL120" s="10">
        <v>0</v>
      </c>
      <c r="AM120" s="10">
        <v>48695</v>
      </c>
      <c r="AN120" s="10">
        <v>0</v>
      </c>
      <c r="AO120" s="10">
        <v>0</v>
      </c>
      <c r="AP120" s="10">
        <v>0</v>
      </c>
      <c r="AQ120" s="26">
        <f t="shared" si="5"/>
        <v>48695</v>
      </c>
    </row>
    <row r="121" spans="1:43" ht="17.25" customHeight="1" x14ac:dyDescent="0.45">
      <c r="A121" s="2" t="s">
        <v>101</v>
      </c>
      <c r="B121" s="2" t="s">
        <v>68</v>
      </c>
      <c r="C121" s="2" t="s">
        <v>23</v>
      </c>
      <c r="D121" s="2" t="s">
        <v>66</v>
      </c>
      <c r="E121" s="23">
        <v>0</v>
      </c>
      <c r="F121" s="1">
        <v>0</v>
      </c>
      <c r="G121" s="1">
        <v>0</v>
      </c>
      <c r="H121" s="1">
        <v>0</v>
      </c>
      <c r="I121" s="1">
        <v>0</v>
      </c>
      <c r="J121" s="1">
        <v>0</v>
      </c>
      <c r="K121" s="1">
        <v>0</v>
      </c>
      <c r="L121" s="1">
        <v>0</v>
      </c>
      <c r="M121" s="1">
        <v>0</v>
      </c>
      <c r="N121" s="1">
        <v>0</v>
      </c>
      <c r="O121" s="1">
        <v>0</v>
      </c>
      <c r="P121" s="1">
        <v>1</v>
      </c>
      <c r="Q121" s="24">
        <f t="shared" si="3"/>
        <v>1</v>
      </c>
      <c r="R121" s="23">
        <v>0</v>
      </c>
      <c r="S121" s="1">
        <v>0</v>
      </c>
      <c r="T121" s="1">
        <v>0</v>
      </c>
      <c r="U121" s="1">
        <v>0</v>
      </c>
      <c r="V121" s="1">
        <v>0</v>
      </c>
      <c r="W121" s="1">
        <v>0</v>
      </c>
      <c r="X121" s="1">
        <v>0</v>
      </c>
      <c r="Y121" s="1">
        <v>0</v>
      </c>
      <c r="Z121" s="1">
        <v>0</v>
      </c>
      <c r="AA121" s="1">
        <v>0</v>
      </c>
      <c r="AB121" s="1">
        <v>0</v>
      </c>
      <c r="AC121" s="1">
        <v>0</v>
      </c>
      <c r="AD121" s="24">
        <f t="shared" si="4"/>
        <v>0</v>
      </c>
      <c r="AE121" s="23">
        <v>0</v>
      </c>
      <c r="AF121" s="1">
        <v>0</v>
      </c>
      <c r="AG121" s="1">
        <v>0</v>
      </c>
      <c r="AH121" s="1">
        <v>0</v>
      </c>
      <c r="AI121" s="1">
        <v>0</v>
      </c>
      <c r="AJ121" s="1">
        <v>0</v>
      </c>
      <c r="AK121" s="1">
        <v>0</v>
      </c>
      <c r="AL121" s="1">
        <v>0</v>
      </c>
      <c r="AM121" s="1">
        <v>0</v>
      </c>
      <c r="AN121" s="1">
        <v>0</v>
      </c>
      <c r="AO121" s="1">
        <v>0</v>
      </c>
      <c r="AP121" s="1">
        <v>46820</v>
      </c>
      <c r="AQ121" s="24">
        <f t="shared" si="5"/>
        <v>46820</v>
      </c>
    </row>
    <row r="122" spans="1:43" ht="17.25" customHeight="1" x14ac:dyDescent="0.45">
      <c r="A122" s="12" t="s">
        <v>101</v>
      </c>
      <c r="B122" s="12" t="s">
        <v>68</v>
      </c>
      <c r="C122" s="12" t="s">
        <v>13</v>
      </c>
      <c r="D122" s="12" t="s">
        <v>66</v>
      </c>
      <c r="E122" s="25">
        <v>0</v>
      </c>
      <c r="F122" s="10">
        <v>0</v>
      </c>
      <c r="G122" s="10">
        <v>0</v>
      </c>
      <c r="H122" s="10">
        <v>0</v>
      </c>
      <c r="I122" s="10">
        <v>0</v>
      </c>
      <c r="J122" s="10">
        <v>0</v>
      </c>
      <c r="K122" s="10">
        <v>0</v>
      </c>
      <c r="L122" s="10">
        <v>0</v>
      </c>
      <c r="M122" s="10">
        <v>0</v>
      </c>
      <c r="N122" s="10">
        <v>0</v>
      </c>
      <c r="O122" s="10">
        <v>0</v>
      </c>
      <c r="P122" s="10">
        <v>1</v>
      </c>
      <c r="Q122" s="26">
        <f t="shared" si="3"/>
        <v>1</v>
      </c>
      <c r="R122" s="25">
        <v>0</v>
      </c>
      <c r="S122" s="10">
        <v>0</v>
      </c>
      <c r="T122" s="10">
        <v>0</v>
      </c>
      <c r="U122" s="10">
        <v>0</v>
      </c>
      <c r="V122" s="10">
        <v>0</v>
      </c>
      <c r="W122" s="10">
        <v>0</v>
      </c>
      <c r="X122" s="10">
        <v>0</v>
      </c>
      <c r="Y122" s="10">
        <v>0</v>
      </c>
      <c r="Z122" s="10">
        <v>0</v>
      </c>
      <c r="AA122" s="10">
        <v>0</v>
      </c>
      <c r="AB122" s="10">
        <v>0</v>
      </c>
      <c r="AC122" s="10">
        <v>0</v>
      </c>
      <c r="AD122" s="26">
        <f t="shared" si="4"/>
        <v>0</v>
      </c>
      <c r="AE122" s="25">
        <v>0</v>
      </c>
      <c r="AF122" s="10">
        <v>0</v>
      </c>
      <c r="AG122" s="10">
        <v>0</v>
      </c>
      <c r="AH122" s="10">
        <v>0</v>
      </c>
      <c r="AI122" s="10">
        <v>0</v>
      </c>
      <c r="AJ122" s="10">
        <v>0</v>
      </c>
      <c r="AK122" s="10">
        <v>0</v>
      </c>
      <c r="AL122" s="10">
        <v>0</v>
      </c>
      <c r="AM122" s="10">
        <v>0</v>
      </c>
      <c r="AN122" s="10">
        <v>0</v>
      </c>
      <c r="AO122" s="10">
        <v>0</v>
      </c>
      <c r="AP122" s="10">
        <v>50784</v>
      </c>
      <c r="AQ122" s="26">
        <f t="shared" si="5"/>
        <v>50784</v>
      </c>
    </row>
    <row r="123" spans="1:43" ht="17.25" customHeight="1" x14ac:dyDescent="0.45">
      <c r="A123" s="2" t="s">
        <v>101</v>
      </c>
      <c r="B123" s="2" t="s">
        <v>68</v>
      </c>
      <c r="C123" s="2" t="s">
        <v>27</v>
      </c>
      <c r="D123" s="2" t="s">
        <v>66</v>
      </c>
      <c r="E123" s="23">
        <v>0</v>
      </c>
      <c r="F123" s="1">
        <v>0</v>
      </c>
      <c r="G123" s="1">
        <v>0</v>
      </c>
      <c r="H123" s="1">
        <v>0</v>
      </c>
      <c r="I123" s="1">
        <v>0</v>
      </c>
      <c r="J123" s="1">
        <v>0</v>
      </c>
      <c r="K123" s="1">
        <v>0</v>
      </c>
      <c r="L123" s="1">
        <v>0</v>
      </c>
      <c r="M123" s="1">
        <v>2</v>
      </c>
      <c r="N123" s="1">
        <v>0</v>
      </c>
      <c r="O123" s="1">
        <v>0</v>
      </c>
      <c r="P123" s="1">
        <v>0</v>
      </c>
      <c r="Q123" s="24">
        <f t="shared" si="3"/>
        <v>2</v>
      </c>
      <c r="R123" s="23">
        <v>0</v>
      </c>
      <c r="S123" s="1">
        <v>0</v>
      </c>
      <c r="T123" s="1">
        <v>0</v>
      </c>
      <c r="U123" s="1">
        <v>0</v>
      </c>
      <c r="V123" s="1">
        <v>0</v>
      </c>
      <c r="W123" s="1">
        <v>0</v>
      </c>
      <c r="X123" s="1">
        <v>0</v>
      </c>
      <c r="Y123" s="1">
        <v>0</v>
      </c>
      <c r="Z123" s="1">
        <v>0</v>
      </c>
      <c r="AA123" s="1">
        <v>0</v>
      </c>
      <c r="AB123" s="1">
        <v>0</v>
      </c>
      <c r="AC123" s="1">
        <v>0</v>
      </c>
      <c r="AD123" s="24">
        <f t="shared" si="4"/>
        <v>0</v>
      </c>
      <c r="AE123" s="23">
        <v>0</v>
      </c>
      <c r="AF123" s="1">
        <v>0</v>
      </c>
      <c r="AG123" s="1">
        <v>0</v>
      </c>
      <c r="AH123" s="1">
        <v>0</v>
      </c>
      <c r="AI123" s="1">
        <v>0</v>
      </c>
      <c r="AJ123" s="1">
        <v>0</v>
      </c>
      <c r="AK123" s="1">
        <v>0</v>
      </c>
      <c r="AL123" s="1">
        <v>0</v>
      </c>
      <c r="AM123" s="1">
        <v>114146</v>
      </c>
      <c r="AN123" s="1">
        <v>0</v>
      </c>
      <c r="AO123" s="1">
        <v>0</v>
      </c>
      <c r="AP123" s="1">
        <v>0</v>
      </c>
      <c r="AQ123" s="24">
        <f t="shared" si="5"/>
        <v>114146</v>
      </c>
    </row>
    <row r="124" spans="1:43" ht="17.25" customHeight="1" x14ac:dyDescent="0.45">
      <c r="A124" s="12" t="s">
        <v>101</v>
      </c>
      <c r="B124" s="12" t="s">
        <v>68</v>
      </c>
      <c r="C124" s="12" t="s">
        <v>28</v>
      </c>
      <c r="D124" s="12" t="s">
        <v>66</v>
      </c>
      <c r="E124" s="25">
        <v>1</v>
      </c>
      <c r="F124" s="10">
        <v>0</v>
      </c>
      <c r="G124" s="10">
        <v>0</v>
      </c>
      <c r="H124" s="10">
        <v>2</v>
      </c>
      <c r="I124" s="10">
        <v>1</v>
      </c>
      <c r="J124" s="10">
        <v>5</v>
      </c>
      <c r="K124" s="10">
        <v>3</v>
      </c>
      <c r="L124" s="10">
        <v>2</v>
      </c>
      <c r="M124" s="10">
        <v>4</v>
      </c>
      <c r="N124" s="10">
        <v>1</v>
      </c>
      <c r="O124" s="10">
        <v>3</v>
      </c>
      <c r="P124" s="10">
        <v>2</v>
      </c>
      <c r="Q124" s="26">
        <f t="shared" si="3"/>
        <v>24</v>
      </c>
      <c r="R124" s="25">
        <v>0</v>
      </c>
      <c r="S124" s="10">
        <v>0</v>
      </c>
      <c r="T124" s="10">
        <v>0</v>
      </c>
      <c r="U124" s="10">
        <v>0</v>
      </c>
      <c r="V124" s="10">
        <v>0</v>
      </c>
      <c r="W124" s="10">
        <v>0</v>
      </c>
      <c r="X124" s="10">
        <v>0</v>
      </c>
      <c r="Y124" s="10">
        <v>0</v>
      </c>
      <c r="Z124" s="10">
        <v>0</v>
      </c>
      <c r="AA124" s="10">
        <v>0</v>
      </c>
      <c r="AB124" s="10">
        <v>0</v>
      </c>
      <c r="AC124" s="10">
        <v>0</v>
      </c>
      <c r="AD124" s="26">
        <f t="shared" si="4"/>
        <v>0</v>
      </c>
      <c r="AE124" s="25">
        <v>33597</v>
      </c>
      <c r="AF124" s="10">
        <v>0</v>
      </c>
      <c r="AG124" s="10">
        <v>0</v>
      </c>
      <c r="AH124" s="10">
        <v>55710</v>
      </c>
      <c r="AI124" s="10">
        <v>37684</v>
      </c>
      <c r="AJ124" s="10">
        <v>196814</v>
      </c>
      <c r="AK124" s="10">
        <v>119974</v>
      </c>
      <c r="AL124" s="10">
        <v>98382</v>
      </c>
      <c r="AM124" s="10">
        <v>198941</v>
      </c>
      <c r="AN124" s="10">
        <v>52370</v>
      </c>
      <c r="AO124" s="10">
        <v>154167</v>
      </c>
      <c r="AP124" s="10">
        <v>100269</v>
      </c>
      <c r="AQ124" s="26">
        <f t="shared" si="5"/>
        <v>1047908</v>
      </c>
    </row>
    <row r="125" spans="1:43" ht="17.25" customHeight="1" x14ac:dyDescent="0.45">
      <c r="A125" s="2" t="s">
        <v>101</v>
      </c>
      <c r="B125" s="2" t="s">
        <v>68</v>
      </c>
      <c r="C125" s="2" t="s">
        <v>206</v>
      </c>
      <c r="D125" s="2" t="s">
        <v>66</v>
      </c>
      <c r="E125" s="23">
        <v>2</v>
      </c>
      <c r="F125" s="1">
        <v>3</v>
      </c>
      <c r="G125" s="1">
        <v>3</v>
      </c>
      <c r="H125" s="1">
        <v>2</v>
      </c>
      <c r="I125" s="1">
        <v>16</v>
      </c>
      <c r="J125" s="1">
        <v>15</v>
      </c>
      <c r="K125" s="1">
        <v>2</v>
      </c>
      <c r="L125" s="1">
        <v>4</v>
      </c>
      <c r="M125" s="1">
        <v>8</v>
      </c>
      <c r="N125" s="1">
        <v>10</v>
      </c>
      <c r="O125" s="1">
        <v>4</v>
      </c>
      <c r="P125" s="1">
        <v>2</v>
      </c>
      <c r="Q125" s="24">
        <f t="shared" si="3"/>
        <v>71</v>
      </c>
      <c r="R125" s="23">
        <v>0</v>
      </c>
      <c r="S125" s="1">
        <v>0</v>
      </c>
      <c r="T125" s="1">
        <v>0</v>
      </c>
      <c r="U125" s="1">
        <v>0</v>
      </c>
      <c r="V125" s="1">
        <v>0</v>
      </c>
      <c r="W125" s="1">
        <v>0</v>
      </c>
      <c r="X125" s="1">
        <v>0</v>
      </c>
      <c r="Y125" s="1">
        <v>0</v>
      </c>
      <c r="Z125" s="1">
        <v>0</v>
      </c>
      <c r="AA125" s="1">
        <v>0</v>
      </c>
      <c r="AB125" s="1">
        <v>0</v>
      </c>
      <c r="AC125" s="1">
        <v>0</v>
      </c>
      <c r="AD125" s="24">
        <f t="shared" si="4"/>
        <v>0</v>
      </c>
      <c r="AE125" s="23">
        <v>59951</v>
      </c>
      <c r="AF125" s="1">
        <v>75781</v>
      </c>
      <c r="AG125" s="1">
        <v>46485</v>
      </c>
      <c r="AH125" s="1">
        <v>3205</v>
      </c>
      <c r="AI125" s="1">
        <v>521689</v>
      </c>
      <c r="AJ125" s="1">
        <v>462862</v>
      </c>
      <c r="AK125" s="1">
        <v>59572</v>
      </c>
      <c r="AL125" s="1">
        <v>148406</v>
      </c>
      <c r="AM125" s="1">
        <v>341314</v>
      </c>
      <c r="AN125" s="1">
        <v>406924</v>
      </c>
      <c r="AO125" s="1">
        <v>125773</v>
      </c>
      <c r="AP125" s="1">
        <v>101211</v>
      </c>
      <c r="AQ125" s="24">
        <f t="shared" si="5"/>
        <v>2353173</v>
      </c>
    </row>
    <row r="126" spans="1:43" ht="17.25" customHeight="1" x14ac:dyDescent="0.45">
      <c r="A126" s="12" t="s">
        <v>101</v>
      </c>
      <c r="B126" s="12" t="s">
        <v>68</v>
      </c>
      <c r="C126" s="12" t="s">
        <v>30</v>
      </c>
      <c r="D126" s="12" t="s">
        <v>66</v>
      </c>
      <c r="E126" s="25">
        <v>0</v>
      </c>
      <c r="F126" s="10">
        <v>0</v>
      </c>
      <c r="G126" s="10">
        <v>0</v>
      </c>
      <c r="H126" s="10">
        <v>2</v>
      </c>
      <c r="I126" s="10">
        <v>0</v>
      </c>
      <c r="J126" s="10">
        <v>0</v>
      </c>
      <c r="K126" s="10">
        <v>0</v>
      </c>
      <c r="L126" s="10">
        <v>1</v>
      </c>
      <c r="M126" s="10">
        <v>1</v>
      </c>
      <c r="N126" s="10">
        <v>1</v>
      </c>
      <c r="O126" s="10">
        <v>0</v>
      </c>
      <c r="P126" s="10">
        <v>0</v>
      </c>
      <c r="Q126" s="26">
        <f t="shared" si="3"/>
        <v>5</v>
      </c>
      <c r="R126" s="25">
        <v>0</v>
      </c>
      <c r="S126" s="10">
        <v>0</v>
      </c>
      <c r="T126" s="10">
        <v>0</v>
      </c>
      <c r="U126" s="10">
        <v>0</v>
      </c>
      <c r="V126" s="10">
        <v>0</v>
      </c>
      <c r="W126" s="10">
        <v>0</v>
      </c>
      <c r="X126" s="10">
        <v>0</v>
      </c>
      <c r="Y126" s="10">
        <v>0</v>
      </c>
      <c r="Z126" s="10">
        <v>0</v>
      </c>
      <c r="AA126" s="10">
        <v>0</v>
      </c>
      <c r="AB126" s="10">
        <v>0</v>
      </c>
      <c r="AC126" s="10">
        <v>0</v>
      </c>
      <c r="AD126" s="26">
        <f t="shared" si="4"/>
        <v>0</v>
      </c>
      <c r="AE126" s="25">
        <v>0</v>
      </c>
      <c r="AF126" s="10">
        <v>0</v>
      </c>
      <c r="AG126" s="10">
        <v>0</v>
      </c>
      <c r="AH126" s="10">
        <v>13000</v>
      </c>
      <c r="AI126" s="10">
        <v>0</v>
      </c>
      <c r="AJ126" s="10">
        <v>0</v>
      </c>
      <c r="AK126" s="10">
        <v>0</v>
      </c>
      <c r="AL126" s="10">
        <v>51864</v>
      </c>
      <c r="AM126" s="10">
        <v>52894</v>
      </c>
      <c r="AN126" s="10">
        <v>200</v>
      </c>
      <c r="AO126" s="10">
        <v>0</v>
      </c>
      <c r="AP126" s="10">
        <v>0</v>
      </c>
      <c r="AQ126" s="26">
        <f t="shared" si="5"/>
        <v>117958</v>
      </c>
    </row>
    <row r="127" spans="1:43" ht="17.25" customHeight="1" x14ac:dyDescent="0.45">
      <c r="A127" s="2" t="s">
        <v>101</v>
      </c>
      <c r="B127" s="2" t="s">
        <v>68</v>
      </c>
      <c r="C127" s="2" t="s">
        <v>32</v>
      </c>
      <c r="D127" s="2" t="s">
        <v>66</v>
      </c>
      <c r="E127" s="23">
        <v>0</v>
      </c>
      <c r="F127" s="1">
        <v>0</v>
      </c>
      <c r="G127" s="1">
        <v>0</v>
      </c>
      <c r="H127" s="1">
        <v>0</v>
      </c>
      <c r="I127" s="1">
        <v>0</v>
      </c>
      <c r="J127" s="1">
        <v>0</v>
      </c>
      <c r="K127" s="1">
        <v>0</v>
      </c>
      <c r="L127" s="1">
        <v>0</v>
      </c>
      <c r="M127" s="1">
        <v>1</v>
      </c>
      <c r="N127" s="1">
        <v>0</v>
      </c>
      <c r="O127" s="1">
        <v>0</v>
      </c>
      <c r="P127" s="1">
        <v>0</v>
      </c>
      <c r="Q127" s="24">
        <f t="shared" si="3"/>
        <v>1</v>
      </c>
      <c r="R127" s="23">
        <v>0</v>
      </c>
      <c r="S127" s="1">
        <v>0</v>
      </c>
      <c r="T127" s="1">
        <v>0</v>
      </c>
      <c r="U127" s="1">
        <v>0</v>
      </c>
      <c r="V127" s="1">
        <v>0</v>
      </c>
      <c r="W127" s="1">
        <v>0</v>
      </c>
      <c r="X127" s="1">
        <v>0</v>
      </c>
      <c r="Y127" s="1">
        <v>0</v>
      </c>
      <c r="Z127" s="1">
        <v>0</v>
      </c>
      <c r="AA127" s="1">
        <v>0</v>
      </c>
      <c r="AB127" s="1">
        <v>0</v>
      </c>
      <c r="AC127" s="1">
        <v>0</v>
      </c>
      <c r="AD127" s="24">
        <f t="shared" si="4"/>
        <v>0</v>
      </c>
      <c r="AE127" s="23">
        <v>0</v>
      </c>
      <c r="AF127" s="1">
        <v>0</v>
      </c>
      <c r="AG127" s="1">
        <v>0</v>
      </c>
      <c r="AH127" s="1">
        <v>0</v>
      </c>
      <c r="AI127" s="1">
        <v>0</v>
      </c>
      <c r="AJ127" s="1">
        <v>0</v>
      </c>
      <c r="AK127" s="1">
        <v>0</v>
      </c>
      <c r="AL127" s="1">
        <v>0</v>
      </c>
      <c r="AM127" s="1">
        <v>600</v>
      </c>
      <c r="AN127" s="1">
        <v>0</v>
      </c>
      <c r="AO127" s="1">
        <v>0</v>
      </c>
      <c r="AP127" s="1">
        <v>0</v>
      </c>
      <c r="AQ127" s="24">
        <f t="shared" si="5"/>
        <v>600</v>
      </c>
    </row>
    <row r="128" spans="1:43" ht="17.25" customHeight="1" x14ac:dyDescent="0.45">
      <c r="A128" s="12" t="s">
        <v>293</v>
      </c>
      <c r="B128" s="12" t="s">
        <v>68</v>
      </c>
      <c r="C128" s="12" t="s">
        <v>11</v>
      </c>
      <c r="D128" s="12" t="s">
        <v>66</v>
      </c>
      <c r="E128" s="25">
        <v>0</v>
      </c>
      <c r="F128" s="10">
        <v>0</v>
      </c>
      <c r="G128" s="10">
        <v>0</v>
      </c>
      <c r="H128" s="10">
        <v>0</v>
      </c>
      <c r="I128" s="10">
        <v>1</v>
      </c>
      <c r="J128" s="10">
        <v>0</v>
      </c>
      <c r="K128" s="10">
        <v>0</v>
      </c>
      <c r="L128" s="10">
        <v>0</v>
      </c>
      <c r="M128" s="10">
        <v>0</v>
      </c>
      <c r="N128" s="10">
        <v>0</v>
      </c>
      <c r="O128" s="10">
        <v>0</v>
      </c>
      <c r="P128" s="10">
        <v>0</v>
      </c>
      <c r="Q128" s="26">
        <f t="shared" si="3"/>
        <v>1</v>
      </c>
      <c r="R128" s="25">
        <v>0</v>
      </c>
      <c r="S128" s="10">
        <v>0</v>
      </c>
      <c r="T128" s="10">
        <v>0</v>
      </c>
      <c r="U128" s="10">
        <v>0</v>
      </c>
      <c r="V128" s="10">
        <v>0</v>
      </c>
      <c r="W128" s="10">
        <v>0</v>
      </c>
      <c r="X128" s="10">
        <v>0</v>
      </c>
      <c r="Y128" s="10">
        <v>0</v>
      </c>
      <c r="Z128" s="10">
        <v>0</v>
      </c>
      <c r="AA128" s="10">
        <v>0</v>
      </c>
      <c r="AB128" s="10">
        <v>0</v>
      </c>
      <c r="AC128" s="10">
        <v>0</v>
      </c>
      <c r="AD128" s="26">
        <f t="shared" si="4"/>
        <v>0</v>
      </c>
      <c r="AE128" s="25">
        <v>0</v>
      </c>
      <c r="AF128" s="10">
        <v>0</v>
      </c>
      <c r="AG128" s="10">
        <v>0</v>
      </c>
      <c r="AH128" s="10">
        <v>0</v>
      </c>
      <c r="AI128" s="10">
        <v>120385</v>
      </c>
      <c r="AJ128" s="10">
        <v>0</v>
      </c>
      <c r="AK128" s="10">
        <v>0</v>
      </c>
      <c r="AL128" s="10">
        <v>0</v>
      </c>
      <c r="AM128" s="10">
        <v>0</v>
      </c>
      <c r="AN128" s="10">
        <v>0</v>
      </c>
      <c r="AO128" s="10">
        <v>0</v>
      </c>
      <c r="AP128" s="10">
        <v>0</v>
      </c>
      <c r="AQ128" s="26">
        <f t="shared" si="5"/>
        <v>120385</v>
      </c>
    </row>
    <row r="129" spans="1:43" ht="17.25" customHeight="1" x14ac:dyDescent="0.45">
      <c r="A129" s="2" t="s">
        <v>250</v>
      </c>
      <c r="B129" s="2" t="s">
        <v>68</v>
      </c>
      <c r="C129" s="2" t="s">
        <v>32</v>
      </c>
      <c r="D129" s="2" t="s">
        <v>66</v>
      </c>
      <c r="E129" s="23">
        <v>1</v>
      </c>
      <c r="F129" s="1">
        <v>0</v>
      </c>
      <c r="G129" s="1">
        <v>0</v>
      </c>
      <c r="H129" s="1">
        <v>0</v>
      </c>
      <c r="I129" s="1">
        <v>0</v>
      </c>
      <c r="J129" s="1">
        <v>0</v>
      </c>
      <c r="K129" s="1">
        <v>0</v>
      </c>
      <c r="L129" s="1">
        <v>0</v>
      </c>
      <c r="M129" s="1">
        <v>0</v>
      </c>
      <c r="N129" s="1">
        <v>0</v>
      </c>
      <c r="O129" s="1">
        <v>0</v>
      </c>
      <c r="P129" s="1">
        <v>0</v>
      </c>
      <c r="Q129" s="24">
        <f t="shared" si="3"/>
        <v>1</v>
      </c>
      <c r="R129" s="23">
        <v>31</v>
      </c>
      <c r="S129" s="1">
        <v>0</v>
      </c>
      <c r="T129" s="1">
        <v>0</v>
      </c>
      <c r="U129" s="1">
        <v>0</v>
      </c>
      <c r="V129" s="1">
        <v>0</v>
      </c>
      <c r="W129" s="1">
        <v>0</v>
      </c>
      <c r="X129" s="1">
        <v>0</v>
      </c>
      <c r="Y129" s="1">
        <v>0</v>
      </c>
      <c r="Z129" s="1">
        <v>0</v>
      </c>
      <c r="AA129" s="1">
        <v>0</v>
      </c>
      <c r="AB129" s="1">
        <v>0</v>
      </c>
      <c r="AC129" s="1">
        <v>0</v>
      </c>
      <c r="AD129" s="24">
        <f t="shared" si="4"/>
        <v>31</v>
      </c>
      <c r="AE129" s="23">
        <v>0</v>
      </c>
      <c r="AF129" s="1">
        <v>0</v>
      </c>
      <c r="AG129" s="1">
        <v>0</v>
      </c>
      <c r="AH129" s="1">
        <v>0</v>
      </c>
      <c r="AI129" s="1">
        <v>0</v>
      </c>
      <c r="AJ129" s="1">
        <v>0</v>
      </c>
      <c r="AK129" s="1">
        <v>0</v>
      </c>
      <c r="AL129" s="1">
        <v>0</v>
      </c>
      <c r="AM129" s="1">
        <v>0</v>
      </c>
      <c r="AN129" s="1">
        <v>0</v>
      </c>
      <c r="AO129" s="1">
        <v>0</v>
      </c>
      <c r="AP129" s="1">
        <v>0</v>
      </c>
      <c r="AQ129" s="24">
        <f t="shared" si="5"/>
        <v>0</v>
      </c>
    </row>
    <row r="130" spans="1:43" ht="17.25" customHeight="1" x14ac:dyDescent="0.45">
      <c r="A130" s="12" t="s">
        <v>221</v>
      </c>
      <c r="B130" s="12" t="s">
        <v>68</v>
      </c>
      <c r="C130" s="12" t="s">
        <v>19</v>
      </c>
      <c r="D130" s="12" t="s">
        <v>66</v>
      </c>
      <c r="E130" s="25">
        <v>20</v>
      </c>
      <c r="F130" s="10">
        <v>21</v>
      </c>
      <c r="G130" s="10">
        <v>19</v>
      </c>
      <c r="H130" s="10">
        <v>22</v>
      </c>
      <c r="I130" s="10">
        <v>20</v>
      </c>
      <c r="J130" s="10">
        <v>22</v>
      </c>
      <c r="K130" s="10">
        <v>21</v>
      </c>
      <c r="L130" s="10">
        <v>23</v>
      </c>
      <c r="M130" s="10">
        <v>17</v>
      </c>
      <c r="N130" s="10">
        <v>23</v>
      </c>
      <c r="O130" s="10">
        <v>20</v>
      </c>
      <c r="P130" s="10">
        <v>18</v>
      </c>
      <c r="Q130" s="26">
        <f t="shared" si="3"/>
        <v>246</v>
      </c>
      <c r="R130" s="25">
        <v>0</v>
      </c>
      <c r="S130" s="10">
        <v>0</v>
      </c>
      <c r="T130" s="10">
        <v>0</v>
      </c>
      <c r="U130" s="10">
        <v>0</v>
      </c>
      <c r="V130" s="10">
        <v>0</v>
      </c>
      <c r="W130" s="10">
        <v>0</v>
      </c>
      <c r="X130" s="10">
        <v>0</v>
      </c>
      <c r="Y130" s="10">
        <v>0</v>
      </c>
      <c r="Z130" s="10">
        <v>0</v>
      </c>
      <c r="AA130" s="10">
        <v>0</v>
      </c>
      <c r="AB130" s="10">
        <v>0</v>
      </c>
      <c r="AC130" s="10">
        <v>0</v>
      </c>
      <c r="AD130" s="26">
        <f t="shared" si="4"/>
        <v>0</v>
      </c>
      <c r="AE130" s="25">
        <v>256430</v>
      </c>
      <c r="AF130" s="10">
        <v>286409</v>
      </c>
      <c r="AG130" s="10">
        <v>228460</v>
      </c>
      <c r="AH130" s="10">
        <v>316872</v>
      </c>
      <c r="AI130" s="10">
        <v>286409</v>
      </c>
      <c r="AJ130" s="10">
        <v>425497</v>
      </c>
      <c r="AK130" s="10">
        <v>420867</v>
      </c>
      <c r="AL130" s="10">
        <v>303284</v>
      </c>
      <c r="AM130" s="10">
        <v>328460</v>
      </c>
      <c r="AN130" s="10">
        <v>384226</v>
      </c>
      <c r="AO130" s="10">
        <v>303147</v>
      </c>
      <c r="AP130" s="10">
        <v>362480</v>
      </c>
      <c r="AQ130" s="26">
        <f t="shared" si="5"/>
        <v>3902541</v>
      </c>
    </row>
    <row r="131" spans="1:43" ht="17.25" customHeight="1" x14ac:dyDescent="0.45">
      <c r="A131" s="2" t="s">
        <v>221</v>
      </c>
      <c r="B131" s="2" t="s">
        <v>68</v>
      </c>
      <c r="C131" s="2" t="s">
        <v>22</v>
      </c>
      <c r="D131" s="2" t="s">
        <v>66</v>
      </c>
      <c r="E131" s="23">
        <v>0</v>
      </c>
      <c r="F131" s="1">
        <v>0</v>
      </c>
      <c r="G131" s="1">
        <v>1</v>
      </c>
      <c r="H131" s="1">
        <v>1</v>
      </c>
      <c r="I131" s="1">
        <v>0</v>
      </c>
      <c r="J131" s="1">
        <v>0</v>
      </c>
      <c r="K131" s="1">
        <v>0</v>
      </c>
      <c r="L131" s="1">
        <v>0</v>
      </c>
      <c r="M131" s="1">
        <v>0</v>
      </c>
      <c r="N131" s="1">
        <v>1</v>
      </c>
      <c r="O131" s="1">
        <v>0</v>
      </c>
      <c r="P131" s="1">
        <v>0</v>
      </c>
      <c r="Q131" s="24">
        <f t="shared" si="3"/>
        <v>3</v>
      </c>
      <c r="R131" s="23">
        <v>0</v>
      </c>
      <c r="S131" s="1">
        <v>0</v>
      </c>
      <c r="T131" s="1">
        <v>0</v>
      </c>
      <c r="U131" s="1">
        <v>0</v>
      </c>
      <c r="V131" s="1">
        <v>0</v>
      </c>
      <c r="W131" s="1">
        <v>0</v>
      </c>
      <c r="X131" s="1">
        <v>0</v>
      </c>
      <c r="Y131" s="1">
        <v>0</v>
      </c>
      <c r="Z131" s="1">
        <v>0</v>
      </c>
      <c r="AA131" s="1">
        <v>0</v>
      </c>
      <c r="AB131" s="1">
        <v>0</v>
      </c>
      <c r="AC131" s="1">
        <v>0</v>
      </c>
      <c r="AD131" s="24">
        <f t="shared" si="4"/>
        <v>0</v>
      </c>
      <c r="AE131" s="23">
        <v>0</v>
      </c>
      <c r="AF131" s="1">
        <v>0</v>
      </c>
      <c r="AG131" s="1">
        <v>31975</v>
      </c>
      <c r="AH131" s="1">
        <v>33648</v>
      </c>
      <c r="AI131" s="1">
        <v>0</v>
      </c>
      <c r="AJ131" s="1">
        <v>0</v>
      </c>
      <c r="AK131" s="1">
        <v>0</v>
      </c>
      <c r="AL131" s="1">
        <v>0</v>
      </c>
      <c r="AM131" s="1">
        <v>0</v>
      </c>
      <c r="AN131" s="1">
        <v>49730</v>
      </c>
      <c r="AO131" s="1">
        <v>0</v>
      </c>
      <c r="AP131" s="1">
        <v>0</v>
      </c>
      <c r="AQ131" s="24">
        <f t="shared" si="5"/>
        <v>115353</v>
      </c>
    </row>
    <row r="132" spans="1:43" ht="17.25" customHeight="1" x14ac:dyDescent="0.45">
      <c r="A132" s="12" t="s">
        <v>221</v>
      </c>
      <c r="B132" s="12" t="s">
        <v>68</v>
      </c>
      <c r="C132" s="12" t="s">
        <v>11</v>
      </c>
      <c r="D132" s="12" t="s">
        <v>66</v>
      </c>
      <c r="E132" s="25">
        <v>0</v>
      </c>
      <c r="F132" s="10">
        <v>4</v>
      </c>
      <c r="G132" s="10">
        <v>0</v>
      </c>
      <c r="H132" s="10">
        <v>0</v>
      </c>
      <c r="I132" s="10">
        <v>0</v>
      </c>
      <c r="J132" s="10">
        <v>0</v>
      </c>
      <c r="K132" s="10">
        <v>0</v>
      </c>
      <c r="L132" s="10">
        <v>0</v>
      </c>
      <c r="M132" s="10">
        <v>0</v>
      </c>
      <c r="N132" s="10">
        <v>0</v>
      </c>
      <c r="O132" s="10">
        <v>0</v>
      </c>
      <c r="P132" s="10">
        <v>0</v>
      </c>
      <c r="Q132" s="26">
        <f t="shared" si="3"/>
        <v>4</v>
      </c>
      <c r="R132" s="25">
        <v>0</v>
      </c>
      <c r="S132" s="10">
        <v>562</v>
      </c>
      <c r="T132" s="10">
        <v>0</v>
      </c>
      <c r="U132" s="10">
        <v>0</v>
      </c>
      <c r="V132" s="10">
        <v>0</v>
      </c>
      <c r="W132" s="10">
        <v>0</v>
      </c>
      <c r="X132" s="10">
        <v>0</v>
      </c>
      <c r="Y132" s="10">
        <v>0</v>
      </c>
      <c r="Z132" s="10">
        <v>0</v>
      </c>
      <c r="AA132" s="10">
        <v>0</v>
      </c>
      <c r="AB132" s="10">
        <v>0</v>
      </c>
      <c r="AC132" s="10">
        <v>0</v>
      </c>
      <c r="AD132" s="26">
        <f t="shared" si="4"/>
        <v>562</v>
      </c>
      <c r="AE132" s="25">
        <v>0</v>
      </c>
      <c r="AF132" s="10">
        <v>0</v>
      </c>
      <c r="AG132" s="10">
        <v>0</v>
      </c>
      <c r="AH132" s="10">
        <v>0</v>
      </c>
      <c r="AI132" s="10">
        <v>0</v>
      </c>
      <c r="AJ132" s="10">
        <v>0</v>
      </c>
      <c r="AK132" s="10">
        <v>0</v>
      </c>
      <c r="AL132" s="10">
        <v>0</v>
      </c>
      <c r="AM132" s="10">
        <v>0</v>
      </c>
      <c r="AN132" s="10">
        <v>0</v>
      </c>
      <c r="AO132" s="10">
        <v>0</v>
      </c>
      <c r="AP132" s="10">
        <v>0</v>
      </c>
      <c r="AQ132" s="26">
        <f t="shared" si="5"/>
        <v>0</v>
      </c>
    </row>
    <row r="133" spans="1:43" ht="17.25" customHeight="1" x14ac:dyDescent="0.45">
      <c r="A133" s="2" t="s">
        <v>221</v>
      </c>
      <c r="B133" s="2" t="s">
        <v>68</v>
      </c>
      <c r="C133" s="2" t="s">
        <v>38</v>
      </c>
      <c r="D133" s="2" t="s">
        <v>66</v>
      </c>
      <c r="E133" s="23">
        <v>4</v>
      </c>
      <c r="F133" s="1">
        <v>2</v>
      </c>
      <c r="G133" s="1">
        <v>1</v>
      </c>
      <c r="H133" s="1">
        <v>0</v>
      </c>
      <c r="I133" s="1">
        <v>11</v>
      </c>
      <c r="J133" s="1">
        <v>19</v>
      </c>
      <c r="K133" s="1">
        <v>23</v>
      </c>
      <c r="L133" s="1">
        <v>22</v>
      </c>
      <c r="M133" s="1">
        <v>22</v>
      </c>
      <c r="N133" s="1">
        <v>23</v>
      </c>
      <c r="O133" s="1">
        <v>24</v>
      </c>
      <c r="P133" s="1">
        <v>24</v>
      </c>
      <c r="Q133" s="24">
        <f t="shared" si="3"/>
        <v>175</v>
      </c>
      <c r="R133" s="23">
        <v>0</v>
      </c>
      <c r="S133" s="1">
        <v>0</v>
      </c>
      <c r="T133" s="1">
        <v>0</v>
      </c>
      <c r="U133" s="1">
        <v>0</v>
      </c>
      <c r="V133" s="1">
        <v>0</v>
      </c>
      <c r="W133" s="1">
        <v>0</v>
      </c>
      <c r="X133" s="1">
        <v>0</v>
      </c>
      <c r="Y133" s="1">
        <v>0</v>
      </c>
      <c r="Z133" s="1">
        <v>0</v>
      </c>
      <c r="AA133" s="1">
        <v>0</v>
      </c>
      <c r="AB133" s="1">
        <v>0</v>
      </c>
      <c r="AC133" s="1">
        <v>0</v>
      </c>
      <c r="AD133" s="24">
        <f t="shared" si="4"/>
        <v>0</v>
      </c>
      <c r="AE133" s="23">
        <v>38468</v>
      </c>
      <c r="AF133" s="1">
        <v>14986</v>
      </c>
      <c r="AG133" s="1">
        <v>3485</v>
      </c>
      <c r="AH133" s="1">
        <v>0</v>
      </c>
      <c r="AI133" s="1">
        <v>21512</v>
      </c>
      <c r="AJ133" s="1">
        <v>31785</v>
      </c>
      <c r="AK133" s="1">
        <v>38788</v>
      </c>
      <c r="AL133" s="1">
        <v>29035</v>
      </c>
      <c r="AM133" s="1">
        <v>28927</v>
      </c>
      <c r="AN133" s="1">
        <v>25733</v>
      </c>
      <c r="AO133" s="1">
        <v>51368</v>
      </c>
      <c r="AP133" s="1">
        <v>151505</v>
      </c>
      <c r="AQ133" s="24">
        <f t="shared" si="5"/>
        <v>435592</v>
      </c>
    </row>
    <row r="134" spans="1:43" ht="17.25" customHeight="1" x14ac:dyDescent="0.45">
      <c r="A134" s="12" t="s">
        <v>221</v>
      </c>
      <c r="B134" s="12" t="s">
        <v>68</v>
      </c>
      <c r="C134" s="12" t="s">
        <v>25</v>
      </c>
      <c r="D134" s="12" t="s">
        <v>66</v>
      </c>
      <c r="E134" s="25">
        <v>0</v>
      </c>
      <c r="F134" s="10">
        <v>4</v>
      </c>
      <c r="G134" s="10">
        <v>4</v>
      </c>
      <c r="H134" s="10">
        <v>0</v>
      </c>
      <c r="I134" s="10">
        <v>0</v>
      </c>
      <c r="J134" s="10">
        <v>0</v>
      </c>
      <c r="K134" s="10">
        <v>0</v>
      </c>
      <c r="L134" s="10">
        <v>0</v>
      </c>
      <c r="M134" s="10">
        <v>0</v>
      </c>
      <c r="N134" s="10">
        <v>0</v>
      </c>
      <c r="O134" s="10">
        <v>0</v>
      </c>
      <c r="P134" s="10">
        <v>0</v>
      </c>
      <c r="Q134" s="26">
        <f t="shared" si="3"/>
        <v>8</v>
      </c>
      <c r="R134" s="25">
        <v>0</v>
      </c>
      <c r="S134" s="10">
        <v>507</v>
      </c>
      <c r="T134" s="10">
        <v>553</v>
      </c>
      <c r="U134" s="10">
        <v>0</v>
      </c>
      <c r="V134" s="10">
        <v>0</v>
      </c>
      <c r="W134" s="10">
        <v>0</v>
      </c>
      <c r="X134" s="10">
        <v>0</v>
      </c>
      <c r="Y134" s="10">
        <v>0</v>
      </c>
      <c r="Z134" s="10">
        <v>0</v>
      </c>
      <c r="AA134" s="10">
        <v>0</v>
      </c>
      <c r="AB134" s="10">
        <v>0</v>
      </c>
      <c r="AC134" s="10">
        <v>0</v>
      </c>
      <c r="AD134" s="26">
        <f t="shared" si="4"/>
        <v>1060</v>
      </c>
      <c r="AE134" s="25">
        <v>0</v>
      </c>
      <c r="AF134" s="10">
        <v>0</v>
      </c>
      <c r="AG134" s="10">
        <v>0</v>
      </c>
      <c r="AH134" s="10">
        <v>0</v>
      </c>
      <c r="AI134" s="10">
        <v>0</v>
      </c>
      <c r="AJ134" s="10">
        <v>0</v>
      </c>
      <c r="AK134" s="10">
        <v>0</v>
      </c>
      <c r="AL134" s="10">
        <v>0</v>
      </c>
      <c r="AM134" s="10">
        <v>0</v>
      </c>
      <c r="AN134" s="10">
        <v>0</v>
      </c>
      <c r="AO134" s="10">
        <v>0</v>
      </c>
      <c r="AP134" s="10">
        <v>0</v>
      </c>
      <c r="AQ134" s="26">
        <f t="shared" si="5"/>
        <v>0</v>
      </c>
    </row>
    <row r="135" spans="1:43" ht="17.25" customHeight="1" x14ac:dyDescent="0.45">
      <c r="A135" s="2" t="s">
        <v>221</v>
      </c>
      <c r="B135" s="2" t="s">
        <v>68</v>
      </c>
      <c r="C135" s="2" t="s">
        <v>28</v>
      </c>
      <c r="D135" s="2" t="s">
        <v>66</v>
      </c>
      <c r="E135" s="23">
        <v>0</v>
      </c>
      <c r="F135" s="1">
        <v>0</v>
      </c>
      <c r="G135" s="1">
        <v>1</v>
      </c>
      <c r="H135" s="1">
        <v>0</v>
      </c>
      <c r="I135" s="1">
        <v>0</v>
      </c>
      <c r="J135" s="1">
        <v>1</v>
      </c>
      <c r="K135" s="1">
        <v>1</v>
      </c>
      <c r="L135" s="1">
        <v>0</v>
      </c>
      <c r="M135" s="1">
        <v>1</v>
      </c>
      <c r="N135" s="1">
        <v>0</v>
      </c>
      <c r="O135" s="1">
        <v>0</v>
      </c>
      <c r="P135" s="1">
        <v>1</v>
      </c>
      <c r="Q135" s="24">
        <f t="shared" si="3"/>
        <v>5</v>
      </c>
      <c r="R135" s="23">
        <v>0</v>
      </c>
      <c r="S135" s="1">
        <v>0</v>
      </c>
      <c r="T135" s="1">
        <v>0</v>
      </c>
      <c r="U135" s="1">
        <v>0</v>
      </c>
      <c r="V135" s="1">
        <v>0</v>
      </c>
      <c r="W135" s="1">
        <v>0</v>
      </c>
      <c r="X135" s="1">
        <v>0</v>
      </c>
      <c r="Y135" s="1">
        <v>0</v>
      </c>
      <c r="Z135" s="1">
        <v>0</v>
      </c>
      <c r="AA135" s="1">
        <v>0</v>
      </c>
      <c r="AB135" s="1">
        <v>0</v>
      </c>
      <c r="AC135" s="1">
        <v>0</v>
      </c>
      <c r="AD135" s="24">
        <f t="shared" si="4"/>
        <v>0</v>
      </c>
      <c r="AE135" s="23">
        <v>0</v>
      </c>
      <c r="AF135" s="1">
        <v>0</v>
      </c>
      <c r="AG135" s="1">
        <v>30648</v>
      </c>
      <c r="AH135" s="1">
        <v>0</v>
      </c>
      <c r="AI135" s="1">
        <v>0</v>
      </c>
      <c r="AJ135" s="1">
        <v>12086</v>
      </c>
      <c r="AK135" s="1">
        <v>59471</v>
      </c>
      <c r="AL135" s="1">
        <v>0</v>
      </c>
      <c r="AM135" s="1">
        <v>35648</v>
      </c>
      <c r="AN135" s="1">
        <v>0</v>
      </c>
      <c r="AO135" s="1">
        <v>0</v>
      </c>
      <c r="AP135" s="1">
        <v>48552</v>
      </c>
      <c r="AQ135" s="24">
        <f t="shared" si="5"/>
        <v>186405</v>
      </c>
    </row>
    <row r="136" spans="1:43" ht="17.25" customHeight="1" x14ac:dyDescent="0.45">
      <c r="A136" s="12" t="s">
        <v>221</v>
      </c>
      <c r="B136" s="12" t="s">
        <v>68</v>
      </c>
      <c r="C136" s="12" t="s">
        <v>206</v>
      </c>
      <c r="D136" s="12" t="s">
        <v>66</v>
      </c>
      <c r="E136" s="25">
        <v>5</v>
      </c>
      <c r="F136" s="10">
        <v>2</v>
      </c>
      <c r="G136" s="10">
        <v>0</v>
      </c>
      <c r="H136" s="10">
        <v>0</v>
      </c>
      <c r="I136" s="10">
        <v>1</v>
      </c>
      <c r="J136" s="10">
        <v>1</v>
      </c>
      <c r="K136" s="10">
        <v>0</v>
      </c>
      <c r="L136" s="10">
        <v>1</v>
      </c>
      <c r="M136" s="10">
        <v>2</v>
      </c>
      <c r="N136" s="10">
        <v>0</v>
      </c>
      <c r="O136" s="10">
        <v>0</v>
      </c>
      <c r="P136" s="10">
        <v>0</v>
      </c>
      <c r="Q136" s="26">
        <f t="shared" ref="Q136:Q199" si="6">SUM(E136:P136)</f>
        <v>12</v>
      </c>
      <c r="R136" s="25">
        <v>0</v>
      </c>
      <c r="S136" s="10">
        <v>0</v>
      </c>
      <c r="T136" s="10">
        <v>0</v>
      </c>
      <c r="U136" s="10">
        <v>0</v>
      </c>
      <c r="V136" s="10">
        <v>0</v>
      </c>
      <c r="W136" s="10">
        <v>0</v>
      </c>
      <c r="X136" s="10">
        <v>0</v>
      </c>
      <c r="Y136" s="10">
        <v>0</v>
      </c>
      <c r="Z136" s="10">
        <v>0</v>
      </c>
      <c r="AA136" s="10">
        <v>0</v>
      </c>
      <c r="AB136" s="10">
        <v>0</v>
      </c>
      <c r="AC136" s="10">
        <v>0</v>
      </c>
      <c r="AD136" s="26">
        <f t="shared" ref="AD136:AD199" si="7">SUM(R136:AC136)</f>
        <v>0</v>
      </c>
      <c r="AE136" s="25">
        <v>85604</v>
      </c>
      <c r="AF136" s="10">
        <v>35762</v>
      </c>
      <c r="AG136" s="10">
        <v>0</v>
      </c>
      <c r="AH136" s="10">
        <v>0</v>
      </c>
      <c r="AI136" s="10">
        <v>9528</v>
      </c>
      <c r="AJ136" s="10">
        <v>49562</v>
      </c>
      <c r="AK136" s="10">
        <v>0</v>
      </c>
      <c r="AL136" s="10">
        <v>49635</v>
      </c>
      <c r="AM136" s="10">
        <v>48638</v>
      </c>
      <c r="AN136" s="10">
        <v>0</v>
      </c>
      <c r="AO136" s="10">
        <v>0</v>
      </c>
      <c r="AP136" s="10">
        <v>0</v>
      </c>
      <c r="AQ136" s="26">
        <f t="shared" ref="AQ136:AQ199" si="8">SUM(AE136:AP136)</f>
        <v>278729</v>
      </c>
    </row>
    <row r="137" spans="1:43" ht="17.25" customHeight="1" x14ac:dyDescent="0.45">
      <c r="A137" s="2" t="s">
        <v>221</v>
      </c>
      <c r="B137" s="2" t="s">
        <v>68</v>
      </c>
      <c r="C137" s="2" t="s">
        <v>14</v>
      </c>
      <c r="D137" s="2" t="s">
        <v>66</v>
      </c>
      <c r="E137" s="23">
        <v>0</v>
      </c>
      <c r="F137" s="1">
        <v>2</v>
      </c>
      <c r="G137" s="1">
        <v>4</v>
      </c>
      <c r="H137" s="1">
        <v>1</v>
      </c>
      <c r="I137" s="1">
        <v>0</v>
      </c>
      <c r="J137" s="1">
        <v>0</v>
      </c>
      <c r="K137" s="1">
        <v>0</v>
      </c>
      <c r="L137" s="1">
        <v>0</v>
      </c>
      <c r="M137" s="1">
        <v>0</v>
      </c>
      <c r="N137" s="1">
        <v>0</v>
      </c>
      <c r="O137" s="1">
        <v>0</v>
      </c>
      <c r="P137" s="1">
        <v>0</v>
      </c>
      <c r="Q137" s="24">
        <f t="shared" si="6"/>
        <v>7</v>
      </c>
      <c r="R137" s="23">
        <v>0</v>
      </c>
      <c r="S137" s="1">
        <v>280</v>
      </c>
      <c r="T137" s="1">
        <v>570</v>
      </c>
      <c r="U137" s="1">
        <v>150</v>
      </c>
      <c r="V137" s="1">
        <v>0</v>
      </c>
      <c r="W137" s="1">
        <v>0</v>
      </c>
      <c r="X137" s="1">
        <v>0</v>
      </c>
      <c r="Y137" s="1">
        <v>0</v>
      </c>
      <c r="Z137" s="1">
        <v>0</v>
      </c>
      <c r="AA137" s="1">
        <v>0</v>
      </c>
      <c r="AB137" s="1">
        <v>0</v>
      </c>
      <c r="AC137" s="1">
        <v>0</v>
      </c>
      <c r="AD137" s="24">
        <f t="shared" si="7"/>
        <v>1000</v>
      </c>
      <c r="AE137" s="23">
        <v>0</v>
      </c>
      <c r="AF137" s="1">
        <v>0</v>
      </c>
      <c r="AG137" s="1">
        <v>0</v>
      </c>
      <c r="AH137" s="1">
        <v>0</v>
      </c>
      <c r="AI137" s="1">
        <v>0</v>
      </c>
      <c r="AJ137" s="1">
        <v>0</v>
      </c>
      <c r="AK137" s="1">
        <v>0</v>
      </c>
      <c r="AL137" s="1">
        <v>0</v>
      </c>
      <c r="AM137" s="1">
        <v>0</v>
      </c>
      <c r="AN137" s="1">
        <v>0</v>
      </c>
      <c r="AO137" s="1">
        <v>0</v>
      </c>
      <c r="AP137" s="1">
        <v>0</v>
      </c>
      <c r="AQ137" s="24">
        <f t="shared" si="8"/>
        <v>0</v>
      </c>
    </row>
    <row r="138" spans="1:43" ht="17.25" customHeight="1" x14ac:dyDescent="0.45">
      <c r="A138" s="12" t="s">
        <v>210</v>
      </c>
      <c r="B138" s="12" t="s">
        <v>211</v>
      </c>
      <c r="C138" s="12" t="s">
        <v>10</v>
      </c>
      <c r="D138" s="12" t="s">
        <v>66</v>
      </c>
      <c r="E138" s="25">
        <v>4</v>
      </c>
      <c r="F138" s="10">
        <v>3</v>
      </c>
      <c r="G138" s="10">
        <v>3</v>
      </c>
      <c r="H138" s="10">
        <v>2</v>
      </c>
      <c r="I138" s="10">
        <v>0</v>
      </c>
      <c r="J138" s="10">
        <v>0</v>
      </c>
      <c r="K138" s="10">
        <v>0</v>
      </c>
      <c r="L138" s="10">
        <v>0</v>
      </c>
      <c r="M138" s="10">
        <v>0</v>
      </c>
      <c r="N138" s="10">
        <v>1</v>
      </c>
      <c r="O138" s="10">
        <v>2</v>
      </c>
      <c r="P138" s="10">
        <v>3</v>
      </c>
      <c r="Q138" s="26">
        <f t="shared" si="6"/>
        <v>18</v>
      </c>
      <c r="R138" s="25">
        <v>1172</v>
      </c>
      <c r="S138" s="10">
        <v>775</v>
      </c>
      <c r="T138" s="10">
        <v>726</v>
      </c>
      <c r="U138" s="10">
        <v>271</v>
      </c>
      <c r="V138" s="10">
        <v>0</v>
      </c>
      <c r="W138" s="10">
        <v>0</v>
      </c>
      <c r="X138" s="10">
        <v>0</v>
      </c>
      <c r="Y138" s="10">
        <v>0</v>
      </c>
      <c r="Z138" s="10">
        <v>0</v>
      </c>
      <c r="AA138" s="10">
        <v>332</v>
      </c>
      <c r="AB138" s="10">
        <v>610</v>
      </c>
      <c r="AC138" s="10">
        <v>831</v>
      </c>
      <c r="AD138" s="26">
        <f t="shared" si="7"/>
        <v>4717</v>
      </c>
      <c r="AE138" s="25">
        <v>0</v>
      </c>
      <c r="AF138" s="10">
        <v>0</v>
      </c>
      <c r="AG138" s="10">
        <v>0</v>
      </c>
      <c r="AH138" s="10">
        <v>0</v>
      </c>
      <c r="AI138" s="10">
        <v>0</v>
      </c>
      <c r="AJ138" s="10">
        <v>0</v>
      </c>
      <c r="AK138" s="10">
        <v>0</v>
      </c>
      <c r="AL138" s="10">
        <v>0</v>
      </c>
      <c r="AM138" s="10">
        <v>0</v>
      </c>
      <c r="AN138" s="10">
        <v>0</v>
      </c>
      <c r="AO138" s="10">
        <v>0</v>
      </c>
      <c r="AP138" s="10">
        <v>0</v>
      </c>
      <c r="AQ138" s="26">
        <f t="shared" si="8"/>
        <v>0</v>
      </c>
    </row>
    <row r="139" spans="1:43" ht="17.25" customHeight="1" x14ac:dyDescent="0.45">
      <c r="A139" s="2" t="s">
        <v>265</v>
      </c>
      <c r="B139" s="2" t="s">
        <v>68</v>
      </c>
      <c r="C139" s="2" t="s">
        <v>10</v>
      </c>
      <c r="D139" s="2" t="s">
        <v>66</v>
      </c>
      <c r="E139" s="23">
        <v>0</v>
      </c>
      <c r="F139" s="1">
        <v>1</v>
      </c>
      <c r="G139" s="1">
        <v>0</v>
      </c>
      <c r="H139" s="1">
        <v>0</v>
      </c>
      <c r="I139" s="1">
        <v>0</v>
      </c>
      <c r="J139" s="1">
        <v>0</v>
      </c>
      <c r="K139" s="1">
        <v>0</v>
      </c>
      <c r="L139" s="1">
        <v>0</v>
      </c>
      <c r="M139" s="1">
        <v>0</v>
      </c>
      <c r="N139" s="1">
        <v>0</v>
      </c>
      <c r="O139" s="1">
        <v>0</v>
      </c>
      <c r="P139" s="1">
        <v>0</v>
      </c>
      <c r="Q139" s="24">
        <f t="shared" si="6"/>
        <v>1</v>
      </c>
      <c r="R139" s="23">
        <v>0</v>
      </c>
      <c r="S139" s="1">
        <v>175</v>
      </c>
      <c r="T139" s="1">
        <v>0</v>
      </c>
      <c r="U139" s="1">
        <v>0</v>
      </c>
      <c r="V139" s="1">
        <v>0</v>
      </c>
      <c r="W139" s="1">
        <v>0</v>
      </c>
      <c r="X139" s="1">
        <v>0</v>
      </c>
      <c r="Y139" s="1">
        <v>0</v>
      </c>
      <c r="Z139" s="1">
        <v>0</v>
      </c>
      <c r="AA139" s="1">
        <v>0</v>
      </c>
      <c r="AB139" s="1">
        <v>0</v>
      </c>
      <c r="AC139" s="1">
        <v>0</v>
      </c>
      <c r="AD139" s="24">
        <f t="shared" si="7"/>
        <v>175</v>
      </c>
      <c r="AE139" s="23">
        <v>0</v>
      </c>
      <c r="AF139" s="1">
        <v>0</v>
      </c>
      <c r="AG139" s="1">
        <v>0</v>
      </c>
      <c r="AH139" s="1">
        <v>0</v>
      </c>
      <c r="AI139" s="1">
        <v>0</v>
      </c>
      <c r="AJ139" s="1">
        <v>0</v>
      </c>
      <c r="AK139" s="1">
        <v>0</v>
      </c>
      <c r="AL139" s="1">
        <v>0</v>
      </c>
      <c r="AM139" s="1">
        <v>0</v>
      </c>
      <c r="AN139" s="1">
        <v>0</v>
      </c>
      <c r="AO139" s="1">
        <v>0</v>
      </c>
      <c r="AP139" s="1">
        <v>0</v>
      </c>
      <c r="AQ139" s="24">
        <f t="shared" si="8"/>
        <v>0</v>
      </c>
    </row>
    <row r="140" spans="1:43" ht="17.25" customHeight="1" x14ac:dyDescent="0.45">
      <c r="A140" s="12" t="s">
        <v>103</v>
      </c>
      <c r="B140" s="12" t="s">
        <v>104</v>
      </c>
      <c r="C140" s="12" t="s">
        <v>32</v>
      </c>
      <c r="D140" s="12" t="s">
        <v>66</v>
      </c>
      <c r="E140" s="25">
        <v>0</v>
      </c>
      <c r="F140" s="10">
        <v>0</v>
      </c>
      <c r="G140" s="10">
        <v>0</v>
      </c>
      <c r="H140" s="10">
        <v>0</v>
      </c>
      <c r="I140" s="10">
        <v>2</v>
      </c>
      <c r="J140" s="10">
        <v>0</v>
      </c>
      <c r="K140" s="10">
        <v>0</v>
      </c>
      <c r="L140" s="10">
        <v>0</v>
      </c>
      <c r="M140" s="10">
        <v>0</v>
      </c>
      <c r="N140" s="10">
        <v>0</v>
      </c>
      <c r="O140" s="10">
        <v>0</v>
      </c>
      <c r="P140" s="10">
        <v>0</v>
      </c>
      <c r="Q140" s="26">
        <f t="shared" si="6"/>
        <v>2</v>
      </c>
      <c r="R140" s="25">
        <v>0</v>
      </c>
      <c r="S140" s="10">
        <v>0</v>
      </c>
      <c r="T140" s="10">
        <v>0</v>
      </c>
      <c r="U140" s="10">
        <v>0</v>
      </c>
      <c r="V140" s="10">
        <v>79</v>
      </c>
      <c r="W140" s="10">
        <v>0</v>
      </c>
      <c r="X140" s="10">
        <v>0</v>
      </c>
      <c r="Y140" s="10">
        <v>0</v>
      </c>
      <c r="Z140" s="10">
        <v>0</v>
      </c>
      <c r="AA140" s="10">
        <v>0</v>
      </c>
      <c r="AB140" s="10">
        <v>0</v>
      </c>
      <c r="AC140" s="10">
        <v>0</v>
      </c>
      <c r="AD140" s="26">
        <f t="shared" si="7"/>
        <v>79</v>
      </c>
      <c r="AE140" s="25">
        <v>0</v>
      </c>
      <c r="AF140" s="10">
        <v>0</v>
      </c>
      <c r="AG140" s="10">
        <v>0</v>
      </c>
      <c r="AH140" s="10">
        <v>0</v>
      </c>
      <c r="AI140" s="10">
        <v>0</v>
      </c>
      <c r="AJ140" s="10">
        <v>0</v>
      </c>
      <c r="AK140" s="10">
        <v>0</v>
      </c>
      <c r="AL140" s="10">
        <v>0</v>
      </c>
      <c r="AM140" s="10">
        <v>0</v>
      </c>
      <c r="AN140" s="10">
        <v>0</v>
      </c>
      <c r="AO140" s="10">
        <v>0</v>
      </c>
      <c r="AP140" s="10">
        <v>0</v>
      </c>
      <c r="AQ140" s="26">
        <f t="shared" si="8"/>
        <v>0</v>
      </c>
    </row>
    <row r="141" spans="1:43" ht="17.25" customHeight="1" x14ac:dyDescent="0.45">
      <c r="A141" s="2" t="s">
        <v>105</v>
      </c>
      <c r="B141" s="2" t="s">
        <v>68</v>
      </c>
      <c r="C141" s="2" t="s">
        <v>13</v>
      </c>
      <c r="D141" s="2" t="s">
        <v>66</v>
      </c>
      <c r="E141" s="23">
        <v>0</v>
      </c>
      <c r="F141" s="1">
        <v>0</v>
      </c>
      <c r="G141" s="1">
        <v>0</v>
      </c>
      <c r="H141" s="1">
        <v>1</v>
      </c>
      <c r="I141" s="1">
        <v>0</v>
      </c>
      <c r="J141" s="1">
        <v>0</v>
      </c>
      <c r="K141" s="1">
        <v>0</v>
      </c>
      <c r="L141" s="1">
        <v>0</v>
      </c>
      <c r="M141" s="1">
        <v>0</v>
      </c>
      <c r="N141" s="1">
        <v>0</v>
      </c>
      <c r="O141" s="1">
        <v>0</v>
      </c>
      <c r="P141" s="1">
        <v>0</v>
      </c>
      <c r="Q141" s="24">
        <f t="shared" si="6"/>
        <v>1</v>
      </c>
      <c r="R141" s="23">
        <v>0</v>
      </c>
      <c r="S141" s="1">
        <v>0</v>
      </c>
      <c r="T141" s="1">
        <v>0</v>
      </c>
      <c r="U141" s="1">
        <v>54</v>
      </c>
      <c r="V141" s="1">
        <v>0</v>
      </c>
      <c r="W141" s="1">
        <v>0</v>
      </c>
      <c r="X141" s="1">
        <v>0</v>
      </c>
      <c r="Y141" s="1">
        <v>0</v>
      </c>
      <c r="Z141" s="1">
        <v>0</v>
      </c>
      <c r="AA141" s="1">
        <v>0</v>
      </c>
      <c r="AB141" s="1">
        <v>0</v>
      </c>
      <c r="AC141" s="1">
        <v>0</v>
      </c>
      <c r="AD141" s="24">
        <f t="shared" si="7"/>
        <v>54</v>
      </c>
      <c r="AE141" s="23">
        <v>0</v>
      </c>
      <c r="AF141" s="1">
        <v>0</v>
      </c>
      <c r="AG141" s="1">
        <v>0</v>
      </c>
      <c r="AH141" s="1">
        <v>0</v>
      </c>
      <c r="AI141" s="1">
        <v>0</v>
      </c>
      <c r="AJ141" s="1">
        <v>0</v>
      </c>
      <c r="AK141" s="1">
        <v>0</v>
      </c>
      <c r="AL141" s="1">
        <v>0</v>
      </c>
      <c r="AM141" s="1">
        <v>0</v>
      </c>
      <c r="AN141" s="1">
        <v>0</v>
      </c>
      <c r="AO141" s="1">
        <v>0</v>
      </c>
      <c r="AP141" s="1">
        <v>0</v>
      </c>
      <c r="AQ141" s="24">
        <f t="shared" si="8"/>
        <v>0</v>
      </c>
    </row>
    <row r="142" spans="1:43" ht="17.25" customHeight="1" x14ac:dyDescent="0.45">
      <c r="A142" s="12" t="s">
        <v>105</v>
      </c>
      <c r="B142" s="12" t="s">
        <v>68</v>
      </c>
      <c r="C142" s="12" t="s">
        <v>32</v>
      </c>
      <c r="D142" s="12" t="s">
        <v>66</v>
      </c>
      <c r="E142" s="25">
        <v>0</v>
      </c>
      <c r="F142" s="10">
        <v>0</v>
      </c>
      <c r="G142" s="10">
        <v>0</v>
      </c>
      <c r="H142" s="10">
        <v>1</v>
      </c>
      <c r="I142" s="10">
        <v>1</v>
      </c>
      <c r="J142" s="10">
        <v>0</v>
      </c>
      <c r="K142" s="10">
        <v>0</v>
      </c>
      <c r="L142" s="10">
        <v>1</v>
      </c>
      <c r="M142" s="10">
        <v>0</v>
      </c>
      <c r="N142" s="10">
        <v>0</v>
      </c>
      <c r="O142" s="10">
        <v>0</v>
      </c>
      <c r="P142" s="10">
        <v>0</v>
      </c>
      <c r="Q142" s="26">
        <f t="shared" si="6"/>
        <v>3</v>
      </c>
      <c r="R142" s="25">
        <v>0</v>
      </c>
      <c r="S142" s="10">
        <v>0</v>
      </c>
      <c r="T142" s="10">
        <v>0</v>
      </c>
      <c r="U142" s="10">
        <v>76</v>
      </c>
      <c r="V142" s="10">
        <v>34</v>
      </c>
      <c r="W142" s="10">
        <v>0</v>
      </c>
      <c r="X142" s="10">
        <v>0</v>
      </c>
      <c r="Y142" s="10">
        <v>50</v>
      </c>
      <c r="Z142" s="10">
        <v>0</v>
      </c>
      <c r="AA142" s="10">
        <v>0</v>
      </c>
      <c r="AB142" s="10">
        <v>0</v>
      </c>
      <c r="AC142" s="10">
        <v>0</v>
      </c>
      <c r="AD142" s="26">
        <f t="shared" si="7"/>
        <v>160</v>
      </c>
      <c r="AE142" s="25">
        <v>0</v>
      </c>
      <c r="AF142" s="10">
        <v>0</v>
      </c>
      <c r="AG142" s="10">
        <v>0</v>
      </c>
      <c r="AH142" s="10">
        <v>0</v>
      </c>
      <c r="AI142" s="10">
        <v>0</v>
      </c>
      <c r="AJ142" s="10">
        <v>0</v>
      </c>
      <c r="AK142" s="10">
        <v>0</v>
      </c>
      <c r="AL142" s="10">
        <v>0</v>
      </c>
      <c r="AM142" s="10">
        <v>0</v>
      </c>
      <c r="AN142" s="10">
        <v>0</v>
      </c>
      <c r="AO142" s="10">
        <v>0</v>
      </c>
      <c r="AP142" s="10">
        <v>0</v>
      </c>
      <c r="AQ142" s="26">
        <f t="shared" si="8"/>
        <v>0</v>
      </c>
    </row>
    <row r="143" spans="1:43" ht="17.25" customHeight="1" x14ac:dyDescent="0.45">
      <c r="A143" s="2" t="s">
        <v>456</v>
      </c>
      <c r="B143" s="2" t="s">
        <v>68</v>
      </c>
      <c r="C143" s="2" t="s">
        <v>17</v>
      </c>
      <c r="D143" s="2" t="s">
        <v>66</v>
      </c>
      <c r="E143" s="23">
        <v>0</v>
      </c>
      <c r="F143" s="1">
        <v>1</v>
      </c>
      <c r="G143" s="1">
        <v>0</v>
      </c>
      <c r="H143" s="1">
        <v>0</v>
      </c>
      <c r="I143" s="1">
        <v>0</v>
      </c>
      <c r="J143" s="1">
        <v>0</v>
      </c>
      <c r="K143" s="1">
        <v>0</v>
      </c>
      <c r="L143" s="1">
        <v>0</v>
      </c>
      <c r="M143" s="1">
        <v>0</v>
      </c>
      <c r="N143" s="1">
        <v>0</v>
      </c>
      <c r="O143" s="1">
        <v>0</v>
      </c>
      <c r="P143" s="1">
        <v>0</v>
      </c>
      <c r="Q143" s="24">
        <f t="shared" si="6"/>
        <v>1</v>
      </c>
      <c r="R143" s="23">
        <v>0</v>
      </c>
      <c r="S143" s="1">
        <v>2</v>
      </c>
      <c r="T143" s="1">
        <v>0</v>
      </c>
      <c r="U143" s="1">
        <v>0</v>
      </c>
      <c r="V143" s="1">
        <v>0</v>
      </c>
      <c r="W143" s="1">
        <v>0</v>
      </c>
      <c r="X143" s="1">
        <v>0</v>
      </c>
      <c r="Y143" s="1">
        <v>0</v>
      </c>
      <c r="Z143" s="1">
        <v>0</v>
      </c>
      <c r="AA143" s="1">
        <v>0</v>
      </c>
      <c r="AB143" s="1">
        <v>0</v>
      </c>
      <c r="AC143" s="1">
        <v>0</v>
      </c>
      <c r="AD143" s="24">
        <f t="shared" si="7"/>
        <v>2</v>
      </c>
      <c r="AE143" s="23">
        <v>0</v>
      </c>
      <c r="AF143" s="1">
        <v>0</v>
      </c>
      <c r="AG143" s="1">
        <v>0</v>
      </c>
      <c r="AH143" s="1">
        <v>0</v>
      </c>
      <c r="AI143" s="1">
        <v>0</v>
      </c>
      <c r="AJ143" s="1">
        <v>0</v>
      </c>
      <c r="AK143" s="1">
        <v>0</v>
      </c>
      <c r="AL143" s="1">
        <v>0</v>
      </c>
      <c r="AM143" s="1">
        <v>0</v>
      </c>
      <c r="AN143" s="1">
        <v>0</v>
      </c>
      <c r="AO143" s="1">
        <v>0</v>
      </c>
      <c r="AP143" s="1">
        <v>0</v>
      </c>
      <c r="AQ143" s="24">
        <f t="shared" si="8"/>
        <v>0</v>
      </c>
    </row>
    <row r="144" spans="1:43" ht="17.25" customHeight="1" x14ac:dyDescent="0.45">
      <c r="A144" s="12" t="s">
        <v>223</v>
      </c>
      <c r="B144" s="12" t="s">
        <v>68</v>
      </c>
      <c r="C144" s="12" t="s">
        <v>22</v>
      </c>
      <c r="D144" s="12" t="s">
        <v>66</v>
      </c>
      <c r="E144" s="25">
        <v>0</v>
      </c>
      <c r="F144" s="10">
        <v>0</v>
      </c>
      <c r="G144" s="10">
        <v>0</v>
      </c>
      <c r="H144" s="10">
        <v>0</v>
      </c>
      <c r="I144" s="10">
        <v>0</v>
      </c>
      <c r="J144" s="10">
        <v>0</v>
      </c>
      <c r="K144" s="10">
        <v>0</v>
      </c>
      <c r="L144" s="10">
        <v>0</v>
      </c>
      <c r="M144" s="10">
        <v>0</v>
      </c>
      <c r="N144" s="10">
        <v>0</v>
      </c>
      <c r="O144" s="10">
        <v>0</v>
      </c>
      <c r="P144" s="10">
        <v>1</v>
      </c>
      <c r="Q144" s="26">
        <f t="shared" si="6"/>
        <v>1</v>
      </c>
      <c r="R144" s="25">
        <v>0</v>
      </c>
      <c r="S144" s="10">
        <v>0</v>
      </c>
      <c r="T144" s="10">
        <v>0</v>
      </c>
      <c r="U144" s="10">
        <v>0</v>
      </c>
      <c r="V144" s="10">
        <v>0</v>
      </c>
      <c r="W144" s="10">
        <v>0</v>
      </c>
      <c r="X144" s="10">
        <v>0</v>
      </c>
      <c r="Y144" s="10">
        <v>0</v>
      </c>
      <c r="Z144" s="10">
        <v>0</v>
      </c>
      <c r="AA144" s="10">
        <v>0</v>
      </c>
      <c r="AB144" s="10">
        <v>0</v>
      </c>
      <c r="AC144" s="10">
        <v>0</v>
      </c>
      <c r="AD144" s="26">
        <f t="shared" si="7"/>
        <v>0</v>
      </c>
      <c r="AE144" s="25">
        <v>0</v>
      </c>
      <c r="AF144" s="10">
        <v>0</v>
      </c>
      <c r="AG144" s="10">
        <v>0</v>
      </c>
      <c r="AH144" s="10">
        <v>0</v>
      </c>
      <c r="AI144" s="10">
        <v>0</v>
      </c>
      <c r="AJ144" s="10">
        <v>0</v>
      </c>
      <c r="AK144" s="10">
        <v>0</v>
      </c>
      <c r="AL144" s="10">
        <v>0</v>
      </c>
      <c r="AM144" s="10">
        <v>0</v>
      </c>
      <c r="AN144" s="10">
        <v>0</v>
      </c>
      <c r="AO144" s="10">
        <v>0</v>
      </c>
      <c r="AP144" s="10">
        <v>62547</v>
      </c>
      <c r="AQ144" s="26">
        <f t="shared" si="8"/>
        <v>62547</v>
      </c>
    </row>
    <row r="145" spans="1:43" ht="17.25" customHeight="1" x14ac:dyDescent="0.45">
      <c r="A145" s="2" t="s">
        <v>223</v>
      </c>
      <c r="B145" s="2" t="s">
        <v>68</v>
      </c>
      <c r="C145" s="2" t="s">
        <v>11</v>
      </c>
      <c r="D145" s="2" t="s">
        <v>66</v>
      </c>
      <c r="E145" s="23">
        <v>0</v>
      </c>
      <c r="F145" s="1">
        <v>0</v>
      </c>
      <c r="G145" s="1">
        <v>0</v>
      </c>
      <c r="H145" s="1">
        <v>0</v>
      </c>
      <c r="I145" s="1">
        <v>0</v>
      </c>
      <c r="J145" s="1">
        <v>0</v>
      </c>
      <c r="K145" s="1">
        <v>0</v>
      </c>
      <c r="L145" s="1">
        <v>0</v>
      </c>
      <c r="M145" s="1">
        <v>0</v>
      </c>
      <c r="N145" s="1">
        <v>1</v>
      </c>
      <c r="O145" s="1">
        <v>0</v>
      </c>
      <c r="P145" s="1">
        <v>1</v>
      </c>
      <c r="Q145" s="24">
        <f t="shared" si="6"/>
        <v>2</v>
      </c>
      <c r="R145" s="23">
        <v>0</v>
      </c>
      <c r="S145" s="1">
        <v>0</v>
      </c>
      <c r="T145" s="1">
        <v>0</v>
      </c>
      <c r="U145" s="1">
        <v>0</v>
      </c>
      <c r="V145" s="1">
        <v>0</v>
      </c>
      <c r="W145" s="1">
        <v>0</v>
      </c>
      <c r="X145" s="1">
        <v>0</v>
      </c>
      <c r="Y145" s="1">
        <v>0</v>
      </c>
      <c r="Z145" s="1">
        <v>0</v>
      </c>
      <c r="AA145" s="1">
        <v>0</v>
      </c>
      <c r="AB145" s="1">
        <v>0</v>
      </c>
      <c r="AC145" s="1">
        <v>0</v>
      </c>
      <c r="AD145" s="24">
        <f t="shared" si="7"/>
        <v>0</v>
      </c>
      <c r="AE145" s="23">
        <v>0</v>
      </c>
      <c r="AF145" s="1">
        <v>0</v>
      </c>
      <c r="AG145" s="1">
        <v>0</v>
      </c>
      <c r="AH145" s="1">
        <v>0</v>
      </c>
      <c r="AI145" s="1">
        <v>0</v>
      </c>
      <c r="AJ145" s="1">
        <v>0</v>
      </c>
      <c r="AK145" s="1">
        <v>0</v>
      </c>
      <c r="AL145" s="1">
        <v>0</v>
      </c>
      <c r="AM145" s="1">
        <v>0</v>
      </c>
      <c r="AN145" s="1">
        <v>50646</v>
      </c>
      <c r="AO145" s="1">
        <v>0</v>
      </c>
      <c r="AP145" s="1">
        <v>52684</v>
      </c>
      <c r="AQ145" s="24">
        <f t="shared" si="8"/>
        <v>103330</v>
      </c>
    </row>
    <row r="146" spans="1:43" ht="17.25" customHeight="1" x14ac:dyDescent="0.45">
      <c r="A146" s="12" t="s">
        <v>223</v>
      </c>
      <c r="B146" s="12" t="s">
        <v>68</v>
      </c>
      <c r="C146" s="12" t="s">
        <v>28</v>
      </c>
      <c r="D146" s="12" t="s">
        <v>66</v>
      </c>
      <c r="E146" s="25">
        <v>0</v>
      </c>
      <c r="F146" s="10">
        <v>1</v>
      </c>
      <c r="G146" s="10">
        <v>1</v>
      </c>
      <c r="H146" s="10">
        <v>0</v>
      </c>
      <c r="I146" s="10">
        <v>0</v>
      </c>
      <c r="J146" s="10">
        <v>2</v>
      </c>
      <c r="K146" s="10">
        <v>0</v>
      </c>
      <c r="L146" s="10">
        <v>0</v>
      </c>
      <c r="M146" s="10">
        <v>1</v>
      </c>
      <c r="N146" s="10">
        <v>1</v>
      </c>
      <c r="O146" s="10">
        <v>1</v>
      </c>
      <c r="P146" s="10">
        <v>1</v>
      </c>
      <c r="Q146" s="26">
        <f t="shared" si="6"/>
        <v>8</v>
      </c>
      <c r="R146" s="25">
        <v>0</v>
      </c>
      <c r="S146" s="10">
        <v>0</v>
      </c>
      <c r="T146" s="10">
        <v>0</v>
      </c>
      <c r="U146" s="10">
        <v>0</v>
      </c>
      <c r="V146" s="10">
        <v>0</v>
      </c>
      <c r="W146" s="10">
        <v>0</v>
      </c>
      <c r="X146" s="10">
        <v>0</v>
      </c>
      <c r="Y146" s="10">
        <v>0</v>
      </c>
      <c r="Z146" s="10">
        <v>0</v>
      </c>
      <c r="AA146" s="10">
        <v>0</v>
      </c>
      <c r="AB146" s="10">
        <v>0</v>
      </c>
      <c r="AC146" s="10">
        <v>0</v>
      </c>
      <c r="AD146" s="26">
        <f t="shared" si="7"/>
        <v>0</v>
      </c>
      <c r="AE146" s="25">
        <v>0</v>
      </c>
      <c r="AF146" s="10">
        <v>29683</v>
      </c>
      <c r="AG146" s="10">
        <v>29465</v>
      </c>
      <c r="AH146" s="10">
        <v>0</v>
      </c>
      <c r="AI146" s="10">
        <v>0</v>
      </c>
      <c r="AJ146" s="10">
        <v>85692</v>
      </c>
      <c r="AK146" s="10">
        <v>0</v>
      </c>
      <c r="AL146" s="10">
        <v>0</v>
      </c>
      <c r="AM146" s="10">
        <v>48620</v>
      </c>
      <c r="AN146" s="10">
        <v>54286</v>
      </c>
      <c r="AO146" s="10">
        <v>50693</v>
      </c>
      <c r="AP146" s="10">
        <v>44697</v>
      </c>
      <c r="AQ146" s="26">
        <f t="shared" si="8"/>
        <v>343136</v>
      </c>
    </row>
    <row r="147" spans="1:43" ht="17.25" customHeight="1" x14ac:dyDescent="0.45">
      <c r="A147" s="2" t="s">
        <v>223</v>
      </c>
      <c r="B147" s="2" t="s">
        <v>68</v>
      </c>
      <c r="C147" s="2" t="s">
        <v>206</v>
      </c>
      <c r="D147" s="2" t="s">
        <v>66</v>
      </c>
      <c r="E147" s="23">
        <v>1</v>
      </c>
      <c r="F147" s="1">
        <v>3</v>
      </c>
      <c r="G147" s="1">
        <v>0</v>
      </c>
      <c r="H147" s="1">
        <v>0</v>
      </c>
      <c r="I147" s="1">
        <v>2</v>
      </c>
      <c r="J147" s="1">
        <v>1</v>
      </c>
      <c r="K147" s="1">
        <v>1</v>
      </c>
      <c r="L147" s="1">
        <v>1</v>
      </c>
      <c r="M147" s="1">
        <v>0</v>
      </c>
      <c r="N147" s="1">
        <v>1</v>
      </c>
      <c r="O147" s="1">
        <v>1</v>
      </c>
      <c r="P147" s="1">
        <v>1</v>
      </c>
      <c r="Q147" s="24">
        <f t="shared" si="6"/>
        <v>12</v>
      </c>
      <c r="R147" s="23">
        <v>0</v>
      </c>
      <c r="S147" s="1">
        <v>0</v>
      </c>
      <c r="T147" s="1">
        <v>0</v>
      </c>
      <c r="U147" s="1">
        <v>0</v>
      </c>
      <c r="V147" s="1">
        <v>0</v>
      </c>
      <c r="W147" s="1">
        <v>0</v>
      </c>
      <c r="X147" s="1">
        <v>0</v>
      </c>
      <c r="Y147" s="1">
        <v>0</v>
      </c>
      <c r="Z147" s="1">
        <v>0</v>
      </c>
      <c r="AA147" s="1">
        <v>0</v>
      </c>
      <c r="AB147" s="1">
        <v>0</v>
      </c>
      <c r="AC147" s="1">
        <v>0</v>
      </c>
      <c r="AD147" s="24">
        <f t="shared" si="7"/>
        <v>0</v>
      </c>
      <c r="AE147" s="23">
        <v>31642</v>
      </c>
      <c r="AF147" s="1">
        <v>87400</v>
      </c>
      <c r="AG147" s="1">
        <v>0</v>
      </c>
      <c r="AH147" s="1">
        <v>0</v>
      </c>
      <c r="AI147" s="1">
        <v>4932</v>
      </c>
      <c r="AJ147" s="1">
        <v>38692</v>
      </c>
      <c r="AK147" s="1">
        <v>49628</v>
      </c>
      <c r="AL147" s="1">
        <v>52689</v>
      </c>
      <c r="AM147" s="1">
        <v>0</v>
      </c>
      <c r="AN147" s="1">
        <v>52740</v>
      </c>
      <c r="AO147" s="1">
        <v>52680</v>
      </c>
      <c r="AP147" s="1">
        <v>1878</v>
      </c>
      <c r="AQ147" s="24">
        <f t="shared" si="8"/>
        <v>372281</v>
      </c>
    </row>
    <row r="148" spans="1:43" ht="17.25" customHeight="1" x14ac:dyDescent="0.45">
      <c r="A148" s="12" t="s">
        <v>223</v>
      </c>
      <c r="B148" s="12" t="s">
        <v>68</v>
      </c>
      <c r="C148" s="12" t="s">
        <v>30</v>
      </c>
      <c r="D148" s="12" t="s">
        <v>66</v>
      </c>
      <c r="E148" s="25">
        <v>0</v>
      </c>
      <c r="F148" s="10">
        <v>1</v>
      </c>
      <c r="G148" s="10">
        <v>0</v>
      </c>
      <c r="H148" s="10">
        <v>0</v>
      </c>
      <c r="I148" s="10">
        <v>0</v>
      </c>
      <c r="J148" s="10">
        <v>0</v>
      </c>
      <c r="K148" s="10">
        <v>0</v>
      </c>
      <c r="L148" s="10">
        <v>0</v>
      </c>
      <c r="M148" s="10">
        <v>0</v>
      </c>
      <c r="N148" s="10">
        <v>0</v>
      </c>
      <c r="O148" s="10">
        <v>0</v>
      </c>
      <c r="P148" s="10">
        <v>0</v>
      </c>
      <c r="Q148" s="26">
        <f t="shared" si="6"/>
        <v>1</v>
      </c>
      <c r="R148" s="25">
        <v>0</v>
      </c>
      <c r="S148" s="10">
        <v>0</v>
      </c>
      <c r="T148" s="10">
        <v>0</v>
      </c>
      <c r="U148" s="10">
        <v>0</v>
      </c>
      <c r="V148" s="10">
        <v>0</v>
      </c>
      <c r="W148" s="10">
        <v>0</v>
      </c>
      <c r="X148" s="10">
        <v>0</v>
      </c>
      <c r="Y148" s="10">
        <v>0</v>
      </c>
      <c r="Z148" s="10">
        <v>0</v>
      </c>
      <c r="AA148" s="10">
        <v>0</v>
      </c>
      <c r="AB148" s="10">
        <v>0</v>
      </c>
      <c r="AC148" s="10">
        <v>0</v>
      </c>
      <c r="AD148" s="26">
        <f t="shared" si="7"/>
        <v>0</v>
      </c>
      <c r="AE148" s="25">
        <v>0</v>
      </c>
      <c r="AF148" s="10">
        <v>31767</v>
      </c>
      <c r="AG148" s="10">
        <v>0</v>
      </c>
      <c r="AH148" s="10">
        <v>0</v>
      </c>
      <c r="AI148" s="10">
        <v>0</v>
      </c>
      <c r="AJ148" s="10">
        <v>0</v>
      </c>
      <c r="AK148" s="10">
        <v>0</v>
      </c>
      <c r="AL148" s="10">
        <v>0</v>
      </c>
      <c r="AM148" s="10">
        <v>0</v>
      </c>
      <c r="AN148" s="10">
        <v>0</v>
      </c>
      <c r="AO148" s="10">
        <v>0</v>
      </c>
      <c r="AP148" s="10">
        <v>0</v>
      </c>
      <c r="AQ148" s="26">
        <f t="shared" si="8"/>
        <v>31767</v>
      </c>
    </row>
    <row r="149" spans="1:43" ht="17.25" customHeight="1" x14ac:dyDescent="0.45">
      <c r="A149" s="2" t="s">
        <v>223</v>
      </c>
      <c r="B149" s="2" t="s">
        <v>68</v>
      </c>
      <c r="C149" s="2" t="s">
        <v>32</v>
      </c>
      <c r="D149" s="2" t="s">
        <v>66</v>
      </c>
      <c r="E149" s="23">
        <v>0</v>
      </c>
      <c r="F149" s="1">
        <v>0</v>
      </c>
      <c r="G149" s="1">
        <v>0</v>
      </c>
      <c r="H149" s="1">
        <v>0</v>
      </c>
      <c r="I149" s="1">
        <v>1</v>
      </c>
      <c r="J149" s="1">
        <v>0</v>
      </c>
      <c r="K149" s="1">
        <v>0</v>
      </c>
      <c r="L149" s="1">
        <v>0</v>
      </c>
      <c r="M149" s="1">
        <v>0</v>
      </c>
      <c r="N149" s="1">
        <v>0</v>
      </c>
      <c r="O149" s="1">
        <v>0</v>
      </c>
      <c r="P149" s="1">
        <v>0</v>
      </c>
      <c r="Q149" s="24">
        <f t="shared" si="6"/>
        <v>1</v>
      </c>
      <c r="R149" s="23">
        <v>0</v>
      </c>
      <c r="S149" s="1">
        <v>0</v>
      </c>
      <c r="T149" s="1">
        <v>0</v>
      </c>
      <c r="U149" s="1">
        <v>0</v>
      </c>
      <c r="V149" s="1">
        <v>0</v>
      </c>
      <c r="W149" s="1">
        <v>0</v>
      </c>
      <c r="X149" s="1">
        <v>0</v>
      </c>
      <c r="Y149" s="1">
        <v>0</v>
      </c>
      <c r="Z149" s="1">
        <v>0</v>
      </c>
      <c r="AA149" s="1">
        <v>0</v>
      </c>
      <c r="AB149" s="1">
        <v>0</v>
      </c>
      <c r="AC149" s="1">
        <v>0</v>
      </c>
      <c r="AD149" s="24">
        <f t="shared" si="7"/>
        <v>0</v>
      </c>
      <c r="AE149" s="23">
        <v>0</v>
      </c>
      <c r="AF149" s="1">
        <v>0</v>
      </c>
      <c r="AG149" s="1">
        <v>0</v>
      </c>
      <c r="AH149" s="1">
        <v>0</v>
      </c>
      <c r="AI149" s="1">
        <v>42860</v>
      </c>
      <c r="AJ149" s="1">
        <v>0</v>
      </c>
      <c r="AK149" s="1">
        <v>0</v>
      </c>
      <c r="AL149" s="1">
        <v>0</v>
      </c>
      <c r="AM149" s="1">
        <v>0</v>
      </c>
      <c r="AN149" s="1">
        <v>0</v>
      </c>
      <c r="AO149" s="1">
        <v>0</v>
      </c>
      <c r="AP149" s="1">
        <v>0</v>
      </c>
      <c r="AQ149" s="24">
        <f t="shared" si="8"/>
        <v>42860</v>
      </c>
    </row>
    <row r="150" spans="1:43" ht="17.25" customHeight="1" x14ac:dyDescent="0.45">
      <c r="A150" s="12" t="s">
        <v>174</v>
      </c>
      <c r="B150" s="12" t="s">
        <v>68</v>
      </c>
      <c r="C150" s="12" t="s">
        <v>13</v>
      </c>
      <c r="D150" s="12" t="s">
        <v>66</v>
      </c>
      <c r="E150" s="25">
        <v>0</v>
      </c>
      <c r="F150" s="10">
        <v>0</v>
      </c>
      <c r="G150" s="10">
        <v>0</v>
      </c>
      <c r="H150" s="10">
        <v>0</v>
      </c>
      <c r="I150" s="10">
        <v>0</v>
      </c>
      <c r="J150" s="10">
        <v>0</v>
      </c>
      <c r="K150" s="10">
        <v>0</v>
      </c>
      <c r="L150" s="10">
        <v>0</v>
      </c>
      <c r="M150" s="10">
        <v>0</v>
      </c>
      <c r="N150" s="10">
        <v>1</v>
      </c>
      <c r="O150" s="10">
        <v>0</v>
      </c>
      <c r="P150" s="10">
        <v>0</v>
      </c>
      <c r="Q150" s="26">
        <f t="shared" si="6"/>
        <v>1</v>
      </c>
      <c r="R150" s="25">
        <v>0</v>
      </c>
      <c r="S150" s="10">
        <v>0</v>
      </c>
      <c r="T150" s="10">
        <v>0</v>
      </c>
      <c r="U150" s="10">
        <v>0</v>
      </c>
      <c r="V150" s="10">
        <v>0</v>
      </c>
      <c r="W150" s="10">
        <v>0</v>
      </c>
      <c r="X150" s="10">
        <v>0</v>
      </c>
      <c r="Y150" s="10">
        <v>0</v>
      </c>
      <c r="Z150" s="10">
        <v>0</v>
      </c>
      <c r="AA150" s="10">
        <v>39</v>
      </c>
      <c r="AB150" s="10">
        <v>0</v>
      </c>
      <c r="AC150" s="10">
        <v>0</v>
      </c>
      <c r="AD150" s="26">
        <f t="shared" si="7"/>
        <v>39</v>
      </c>
      <c r="AE150" s="25">
        <v>0</v>
      </c>
      <c r="AF150" s="10">
        <v>0</v>
      </c>
      <c r="AG150" s="10">
        <v>0</v>
      </c>
      <c r="AH150" s="10">
        <v>0</v>
      </c>
      <c r="AI150" s="10">
        <v>0</v>
      </c>
      <c r="AJ150" s="10">
        <v>0</v>
      </c>
      <c r="AK150" s="10">
        <v>0</v>
      </c>
      <c r="AL150" s="10">
        <v>0</v>
      </c>
      <c r="AM150" s="10">
        <v>0</v>
      </c>
      <c r="AN150" s="10">
        <v>0</v>
      </c>
      <c r="AO150" s="10">
        <v>0</v>
      </c>
      <c r="AP150" s="10">
        <v>0</v>
      </c>
      <c r="AQ150" s="26">
        <f t="shared" si="8"/>
        <v>0</v>
      </c>
    </row>
    <row r="151" spans="1:43" ht="17.25" customHeight="1" x14ac:dyDescent="0.45">
      <c r="A151" s="2" t="s">
        <v>174</v>
      </c>
      <c r="B151" s="2" t="s">
        <v>68</v>
      </c>
      <c r="C151" s="2" t="s">
        <v>48</v>
      </c>
      <c r="D151" s="2" t="s">
        <v>66</v>
      </c>
      <c r="E151" s="23">
        <v>2</v>
      </c>
      <c r="F151" s="1">
        <v>0</v>
      </c>
      <c r="G151" s="1">
        <v>0</v>
      </c>
      <c r="H151" s="1">
        <v>0</v>
      </c>
      <c r="I151" s="1">
        <v>0</v>
      </c>
      <c r="J151" s="1">
        <v>0</v>
      </c>
      <c r="K151" s="1">
        <v>0</v>
      </c>
      <c r="L151" s="1">
        <v>0</v>
      </c>
      <c r="M151" s="1">
        <v>0</v>
      </c>
      <c r="N151" s="1">
        <v>0</v>
      </c>
      <c r="O151" s="1">
        <v>0</v>
      </c>
      <c r="P151" s="1">
        <v>0</v>
      </c>
      <c r="Q151" s="24">
        <f t="shared" si="6"/>
        <v>2</v>
      </c>
      <c r="R151" s="23">
        <v>281</v>
      </c>
      <c r="S151" s="1">
        <v>0</v>
      </c>
      <c r="T151" s="1">
        <v>0</v>
      </c>
      <c r="U151" s="1">
        <v>0</v>
      </c>
      <c r="V151" s="1">
        <v>0</v>
      </c>
      <c r="W151" s="1">
        <v>0</v>
      </c>
      <c r="X151" s="1">
        <v>0</v>
      </c>
      <c r="Y151" s="1">
        <v>0</v>
      </c>
      <c r="Z151" s="1">
        <v>0</v>
      </c>
      <c r="AA151" s="1">
        <v>0</v>
      </c>
      <c r="AB151" s="1">
        <v>0</v>
      </c>
      <c r="AC151" s="1">
        <v>0</v>
      </c>
      <c r="AD151" s="24">
        <f t="shared" si="7"/>
        <v>281</v>
      </c>
      <c r="AE151" s="23">
        <v>0</v>
      </c>
      <c r="AF151" s="1">
        <v>0</v>
      </c>
      <c r="AG151" s="1">
        <v>0</v>
      </c>
      <c r="AH151" s="1">
        <v>0</v>
      </c>
      <c r="AI151" s="1">
        <v>0</v>
      </c>
      <c r="AJ151" s="1">
        <v>0</v>
      </c>
      <c r="AK151" s="1">
        <v>0</v>
      </c>
      <c r="AL151" s="1">
        <v>0</v>
      </c>
      <c r="AM151" s="1">
        <v>0</v>
      </c>
      <c r="AN151" s="1">
        <v>0</v>
      </c>
      <c r="AO151" s="1">
        <v>0</v>
      </c>
      <c r="AP151" s="1">
        <v>0</v>
      </c>
      <c r="AQ151" s="24">
        <f t="shared" si="8"/>
        <v>0</v>
      </c>
    </row>
    <row r="152" spans="1:43" ht="17.25" customHeight="1" x14ac:dyDescent="0.45">
      <c r="A152" s="12" t="s">
        <v>272</v>
      </c>
      <c r="B152" s="12" t="s">
        <v>68</v>
      </c>
      <c r="C152" s="12" t="s">
        <v>55</v>
      </c>
      <c r="D152" s="12" t="s">
        <v>66</v>
      </c>
      <c r="E152" s="25">
        <v>2</v>
      </c>
      <c r="F152" s="10">
        <v>1</v>
      </c>
      <c r="G152" s="10">
        <v>1</v>
      </c>
      <c r="H152" s="10">
        <v>0</v>
      </c>
      <c r="I152" s="10">
        <v>0</v>
      </c>
      <c r="J152" s="10">
        <v>0</v>
      </c>
      <c r="K152" s="10">
        <v>0</v>
      </c>
      <c r="L152" s="10">
        <v>0</v>
      </c>
      <c r="M152" s="10">
        <v>0</v>
      </c>
      <c r="N152" s="10">
        <v>0</v>
      </c>
      <c r="O152" s="10">
        <v>2</v>
      </c>
      <c r="P152" s="10">
        <v>0</v>
      </c>
      <c r="Q152" s="26">
        <f t="shared" si="6"/>
        <v>6</v>
      </c>
      <c r="R152" s="25">
        <v>8</v>
      </c>
      <c r="S152" s="10">
        <v>1</v>
      </c>
      <c r="T152" s="10">
        <v>7</v>
      </c>
      <c r="U152" s="10">
        <v>0</v>
      </c>
      <c r="V152" s="10">
        <v>0</v>
      </c>
      <c r="W152" s="10">
        <v>0</v>
      </c>
      <c r="X152" s="10">
        <v>0</v>
      </c>
      <c r="Y152" s="10">
        <v>0</v>
      </c>
      <c r="Z152" s="10">
        <v>0</v>
      </c>
      <c r="AA152" s="10">
        <v>0</v>
      </c>
      <c r="AB152" s="10">
        <v>12</v>
      </c>
      <c r="AC152" s="10">
        <v>0</v>
      </c>
      <c r="AD152" s="26">
        <f t="shared" si="7"/>
        <v>28</v>
      </c>
      <c r="AE152" s="25">
        <v>0</v>
      </c>
      <c r="AF152" s="10">
        <v>0</v>
      </c>
      <c r="AG152" s="10">
        <v>0</v>
      </c>
      <c r="AH152" s="10">
        <v>0</v>
      </c>
      <c r="AI152" s="10">
        <v>0</v>
      </c>
      <c r="AJ152" s="10">
        <v>0</v>
      </c>
      <c r="AK152" s="10">
        <v>0</v>
      </c>
      <c r="AL152" s="10">
        <v>0</v>
      </c>
      <c r="AM152" s="10">
        <v>0</v>
      </c>
      <c r="AN152" s="10">
        <v>0</v>
      </c>
      <c r="AO152" s="10">
        <v>0</v>
      </c>
      <c r="AP152" s="10">
        <v>0</v>
      </c>
      <c r="AQ152" s="26">
        <f t="shared" si="8"/>
        <v>0</v>
      </c>
    </row>
    <row r="153" spans="1:43" ht="17.25" customHeight="1" x14ac:dyDescent="0.45">
      <c r="A153" s="2" t="s">
        <v>260</v>
      </c>
      <c r="B153" s="2" t="s">
        <v>211</v>
      </c>
      <c r="C153" s="2" t="s">
        <v>10</v>
      </c>
      <c r="D153" s="2" t="s">
        <v>66</v>
      </c>
      <c r="E153" s="23">
        <v>0</v>
      </c>
      <c r="F153" s="1">
        <v>1</v>
      </c>
      <c r="G153" s="1">
        <v>0</v>
      </c>
      <c r="H153" s="1">
        <v>0</v>
      </c>
      <c r="I153" s="1">
        <v>0</v>
      </c>
      <c r="J153" s="1">
        <v>0</v>
      </c>
      <c r="K153" s="1">
        <v>0</v>
      </c>
      <c r="L153" s="1">
        <v>0</v>
      </c>
      <c r="M153" s="1">
        <v>0</v>
      </c>
      <c r="N153" s="1">
        <v>0</v>
      </c>
      <c r="O153" s="1">
        <v>0</v>
      </c>
      <c r="P153" s="1">
        <v>0</v>
      </c>
      <c r="Q153" s="24">
        <f t="shared" si="6"/>
        <v>1</v>
      </c>
      <c r="R153" s="23">
        <v>0</v>
      </c>
      <c r="S153" s="1">
        <v>230</v>
      </c>
      <c r="T153" s="1">
        <v>0</v>
      </c>
      <c r="U153" s="1">
        <v>0</v>
      </c>
      <c r="V153" s="1">
        <v>0</v>
      </c>
      <c r="W153" s="1">
        <v>0</v>
      </c>
      <c r="X153" s="1">
        <v>0</v>
      </c>
      <c r="Y153" s="1">
        <v>0</v>
      </c>
      <c r="Z153" s="1">
        <v>0</v>
      </c>
      <c r="AA153" s="1">
        <v>0</v>
      </c>
      <c r="AB153" s="1">
        <v>0</v>
      </c>
      <c r="AC153" s="1">
        <v>0</v>
      </c>
      <c r="AD153" s="24">
        <f t="shared" si="7"/>
        <v>230</v>
      </c>
      <c r="AE153" s="23">
        <v>0</v>
      </c>
      <c r="AF153" s="1">
        <v>0</v>
      </c>
      <c r="AG153" s="1">
        <v>0</v>
      </c>
      <c r="AH153" s="1">
        <v>0</v>
      </c>
      <c r="AI153" s="1">
        <v>0</v>
      </c>
      <c r="AJ153" s="1">
        <v>0</v>
      </c>
      <c r="AK153" s="1">
        <v>0</v>
      </c>
      <c r="AL153" s="1">
        <v>0</v>
      </c>
      <c r="AM153" s="1">
        <v>0</v>
      </c>
      <c r="AN153" s="1">
        <v>0</v>
      </c>
      <c r="AO153" s="1">
        <v>0</v>
      </c>
      <c r="AP153" s="1">
        <v>0</v>
      </c>
      <c r="AQ153" s="24">
        <f t="shared" si="8"/>
        <v>0</v>
      </c>
    </row>
    <row r="154" spans="1:43" ht="17.25" customHeight="1" x14ac:dyDescent="0.45">
      <c r="A154" s="12" t="s">
        <v>229</v>
      </c>
      <c r="B154" s="12" t="s">
        <v>68</v>
      </c>
      <c r="C154" s="12" t="s">
        <v>10</v>
      </c>
      <c r="D154" s="12" t="s">
        <v>66</v>
      </c>
      <c r="E154" s="25">
        <v>1</v>
      </c>
      <c r="F154" s="10">
        <v>0</v>
      </c>
      <c r="G154" s="10">
        <v>0</v>
      </c>
      <c r="H154" s="10">
        <v>0</v>
      </c>
      <c r="I154" s="10">
        <v>0</v>
      </c>
      <c r="J154" s="10">
        <v>0</v>
      </c>
      <c r="K154" s="10">
        <v>0</v>
      </c>
      <c r="L154" s="10">
        <v>0</v>
      </c>
      <c r="M154" s="10">
        <v>0</v>
      </c>
      <c r="N154" s="10">
        <v>0</v>
      </c>
      <c r="O154" s="10">
        <v>0</v>
      </c>
      <c r="P154" s="10">
        <v>0</v>
      </c>
      <c r="Q154" s="26">
        <f t="shared" si="6"/>
        <v>1</v>
      </c>
      <c r="R154" s="25">
        <v>170</v>
      </c>
      <c r="S154" s="10">
        <v>0</v>
      </c>
      <c r="T154" s="10">
        <v>0</v>
      </c>
      <c r="U154" s="10">
        <v>0</v>
      </c>
      <c r="V154" s="10">
        <v>0</v>
      </c>
      <c r="W154" s="10">
        <v>0</v>
      </c>
      <c r="X154" s="10">
        <v>0</v>
      </c>
      <c r="Y154" s="10">
        <v>0</v>
      </c>
      <c r="Z154" s="10">
        <v>0</v>
      </c>
      <c r="AA154" s="10">
        <v>0</v>
      </c>
      <c r="AB154" s="10">
        <v>0</v>
      </c>
      <c r="AC154" s="10">
        <v>0</v>
      </c>
      <c r="AD154" s="26">
        <f t="shared" si="7"/>
        <v>170</v>
      </c>
      <c r="AE154" s="25">
        <v>0</v>
      </c>
      <c r="AF154" s="10">
        <v>0</v>
      </c>
      <c r="AG154" s="10">
        <v>0</v>
      </c>
      <c r="AH154" s="10">
        <v>0</v>
      </c>
      <c r="AI154" s="10">
        <v>0</v>
      </c>
      <c r="AJ154" s="10">
        <v>0</v>
      </c>
      <c r="AK154" s="10">
        <v>0</v>
      </c>
      <c r="AL154" s="10">
        <v>0</v>
      </c>
      <c r="AM154" s="10">
        <v>0</v>
      </c>
      <c r="AN154" s="10">
        <v>0</v>
      </c>
      <c r="AO154" s="10">
        <v>0</v>
      </c>
      <c r="AP154" s="10">
        <v>0</v>
      </c>
      <c r="AQ154" s="26">
        <f t="shared" si="8"/>
        <v>0</v>
      </c>
    </row>
    <row r="155" spans="1:43" ht="17.25" customHeight="1" x14ac:dyDescent="0.45">
      <c r="A155" s="2" t="s">
        <v>251</v>
      </c>
      <c r="B155" s="2" t="s">
        <v>68</v>
      </c>
      <c r="C155" s="2" t="s">
        <v>206</v>
      </c>
      <c r="D155" s="2" t="s">
        <v>66</v>
      </c>
      <c r="E155" s="23">
        <v>3</v>
      </c>
      <c r="F155" s="1">
        <v>0</v>
      </c>
      <c r="G155" s="1">
        <v>1</v>
      </c>
      <c r="H155" s="1">
        <v>0</v>
      </c>
      <c r="I155" s="1">
        <v>0</v>
      </c>
      <c r="J155" s="1">
        <v>0</v>
      </c>
      <c r="K155" s="1">
        <v>0</v>
      </c>
      <c r="L155" s="1">
        <v>0</v>
      </c>
      <c r="M155" s="1">
        <v>0</v>
      </c>
      <c r="N155" s="1">
        <v>0</v>
      </c>
      <c r="O155" s="1">
        <v>0</v>
      </c>
      <c r="P155" s="1">
        <v>0</v>
      </c>
      <c r="Q155" s="24">
        <f t="shared" si="6"/>
        <v>4</v>
      </c>
      <c r="R155" s="23">
        <v>0</v>
      </c>
      <c r="S155" s="1">
        <v>0</v>
      </c>
      <c r="T155" s="1">
        <v>0</v>
      </c>
      <c r="U155" s="1">
        <v>0</v>
      </c>
      <c r="V155" s="1">
        <v>0</v>
      </c>
      <c r="W155" s="1">
        <v>0</v>
      </c>
      <c r="X155" s="1">
        <v>0</v>
      </c>
      <c r="Y155" s="1">
        <v>0</v>
      </c>
      <c r="Z155" s="1">
        <v>0</v>
      </c>
      <c r="AA155" s="1">
        <v>0</v>
      </c>
      <c r="AB155" s="1">
        <v>0</v>
      </c>
      <c r="AC155" s="1">
        <v>0</v>
      </c>
      <c r="AD155" s="24">
        <f t="shared" si="7"/>
        <v>0</v>
      </c>
      <c r="AE155" s="23">
        <v>3500</v>
      </c>
      <c r="AF155" s="1">
        <v>0</v>
      </c>
      <c r="AG155" s="1">
        <v>300</v>
      </c>
      <c r="AH155" s="1">
        <v>0</v>
      </c>
      <c r="AI155" s="1">
        <v>0</v>
      </c>
      <c r="AJ155" s="1">
        <v>0</v>
      </c>
      <c r="AK155" s="1">
        <v>0</v>
      </c>
      <c r="AL155" s="1">
        <v>0</v>
      </c>
      <c r="AM155" s="1">
        <v>0</v>
      </c>
      <c r="AN155" s="1">
        <v>0</v>
      </c>
      <c r="AO155" s="1">
        <v>0</v>
      </c>
      <c r="AP155" s="1">
        <v>0</v>
      </c>
      <c r="AQ155" s="24">
        <f t="shared" si="8"/>
        <v>3800</v>
      </c>
    </row>
    <row r="156" spans="1:43" ht="17.25" customHeight="1" x14ac:dyDescent="0.45">
      <c r="A156" s="12" t="s">
        <v>321</v>
      </c>
      <c r="B156" s="12" t="s">
        <v>68</v>
      </c>
      <c r="C156" s="12" t="s">
        <v>206</v>
      </c>
      <c r="D156" s="12" t="s">
        <v>66</v>
      </c>
      <c r="E156" s="25">
        <v>0</v>
      </c>
      <c r="F156" s="10">
        <v>0</v>
      </c>
      <c r="G156" s="10">
        <v>0</v>
      </c>
      <c r="H156" s="10">
        <v>0</v>
      </c>
      <c r="I156" s="10">
        <v>0</v>
      </c>
      <c r="J156" s="10">
        <v>0</v>
      </c>
      <c r="K156" s="10">
        <v>0</v>
      </c>
      <c r="L156" s="10">
        <v>0</v>
      </c>
      <c r="M156" s="10">
        <v>1</v>
      </c>
      <c r="N156" s="10">
        <v>0</v>
      </c>
      <c r="O156" s="10">
        <v>0</v>
      </c>
      <c r="P156" s="10">
        <v>0</v>
      </c>
      <c r="Q156" s="26">
        <f t="shared" si="6"/>
        <v>1</v>
      </c>
      <c r="R156" s="25">
        <v>0</v>
      </c>
      <c r="S156" s="10">
        <v>0</v>
      </c>
      <c r="T156" s="10">
        <v>0</v>
      </c>
      <c r="U156" s="10">
        <v>0</v>
      </c>
      <c r="V156" s="10">
        <v>0</v>
      </c>
      <c r="W156" s="10">
        <v>0</v>
      </c>
      <c r="X156" s="10">
        <v>0</v>
      </c>
      <c r="Y156" s="10">
        <v>0</v>
      </c>
      <c r="Z156" s="10">
        <v>0</v>
      </c>
      <c r="AA156" s="10">
        <v>0</v>
      </c>
      <c r="AB156" s="10">
        <v>0</v>
      </c>
      <c r="AC156" s="10">
        <v>0</v>
      </c>
      <c r="AD156" s="26">
        <f t="shared" si="7"/>
        <v>0</v>
      </c>
      <c r="AE156" s="25">
        <v>0</v>
      </c>
      <c r="AF156" s="10">
        <v>0</v>
      </c>
      <c r="AG156" s="10">
        <v>0</v>
      </c>
      <c r="AH156" s="10">
        <v>0</v>
      </c>
      <c r="AI156" s="10">
        <v>0</v>
      </c>
      <c r="AJ156" s="10">
        <v>0</v>
      </c>
      <c r="AK156" s="10">
        <v>0</v>
      </c>
      <c r="AL156" s="10">
        <v>0</v>
      </c>
      <c r="AM156" s="10">
        <v>2630</v>
      </c>
      <c r="AN156" s="10">
        <v>0</v>
      </c>
      <c r="AO156" s="10">
        <v>0</v>
      </c>
      <c r="AP156" s="10">
        <v>0</v>
      </c>
      <c r="AQ156" s="26">
        <f t="shared" si="8"/>
        <v>2630</v>
      </c>
    </row>
    <row r="157" spans="1:43" ht="17.25" customHeight="1" x14ac:dyDescent="0.45">
      <c r="A157" s="2" t="s">
        <v>232</v>
      </c>
      <c r="B157" s="2" t="s">
        <v>68</v>
      </c>
      <c r="C157" s="2" t="s">
        <v>206</v>
      </c>
      <c r="D157" s="2" t="s">
        <v>66</v>
      </c>
      <c r="E157" s="23">
        <v>1</v>
      </c>
      <c r="F157" s="1">
        <v>0</v>
      </c>
      <c r="G157" s="1">
        <v>0</v>
      </c>
      <c r="H157" s="1">
        <v>0</v>
      </c>
      <c r="I157" s="1">
        <v>0</v>
      </c>
      <c r="J157" s="1">
        <v>0</v>
      </c>
      <c r="K157" s="1">
        <v>0</v>
      </c>
      <c r="L157" s="1">
        <v>0</v>
      </c>
      <c r="M157" s="1">
        <v>0</v>
      </c>
      <c r="N157" s="1">
        <v>2</v>
      </c>
      <c r="O157" s="1">
        <v>2</v>
      </c>
      <c r="P157" s="1">
        <v>0</v>
      </c>
      <c r="Q157" s="24">
        <f t="shared" si="6"/>
        <v>5</v>
      </c>
      <c r="R157" s="23">
        <v>0</v>
      </c>
      <c r="S157" s="1">
        <v>0</v>
      </c>
      <c r="T157" s="1">
        <v>0</v>
      </c>
      <c r="U157" s="1">
        <v>0</v>
      </c>
      <c r="V157" s="1">
        <v>0</v>
      </c>
      <c r="W157" s="1">
        <v>0</v>
      </c>
      <c r="X157" s="1">
        <v>0</v>
      </c>
      <c r="Y157" s="1">
        <v>0</v>
      </c>
      <c r="Z157" s="1">
        <v>0</v>
      </c>
      <c r="AA157" s="1">
        <v>0</v>
      </c>
      <c r="AB157" s="1">
        <v>0</v>
      </c>
      <c r="AC157" s="1">
        <v>0</v>
      </c>
      <c r="AD157" s="24">
        <f t="shared" si="7"/>
        <v>0</v>
      </c>
      <c r="AE157" s="23">
        <v>30745</v>
      </c>
      <c r="AF157" s="1">
        <v>0</v>
      </c>
      <c r="AG157" s="1">
        <v>0</v>
      </c>
      <c r="AH157" s="1">
        <v>0</v>
      </c>
      <c r="AI157" s="1">
        <v>0</v>
      </c>
      <c r="AJ157" s="1">
        <v>0</v>
      </c>
      <c r="AK157" s="1">
        <v>0</v>
      </c>
      <c r="AL157" s="1">
        <v>0</v>
      </c>
      <c r="AM157" s="1">
        <v>0</v>
      </c>
      <c r="AN157" s="1">
        <v>105738</v>
      </c>
      <c r="AO157" s="1">
        <v>98874</v>
      </c>
      <c r="AP157" s="1">
        <v>0</v>
      </c>
      <c r="AQ157" s="24">
        <f t="shared" si="8"/>
        <v>235357</v>
      </c>
    </row>
    <row r="158" spans="1:43" ht="17.25" customHeight="1" x14ac:dyDescent="0.45">
      <c r="A158" s="12" t="s">
        <v>11</v>
      </c>
      <c r="B158" s="12" t="s">
        <v>66</v>
      </c>
      <c r="C158" s="12" t="s">
        <v>291</v>
      </c>
      <c r="D158" s="12" t="s">
        <v>68</v>
      </c>
      <c r="E158" s="25">
        <v>0</v>
      </c>
      <c r="F158" s="10">
        <v>0</v>
      </c>
      <c r="G158" s="10">
        <v>0</v>
      </c>
      <c r="H158" s="10">
        <v>0</v>
      </c>
      <c r="I158" s="10">
        <v>1</v>
      </c>
      <c r="J158" s="10">
        <v>0</v>
      </c>
      <c r="K158" s="10">
        <v>0</v>
      </c>
      <c r="L158" s="10">
        <v>0</v>
      </c>
      <c r="M158" s="10">
        <v>0</v>
      </c>
      <c r="N158" s="10">
        <v>0</v>
      </c>
      <c r="O158" s="10">
        <v>0</v>
      </c>
      <c r="P158" s="10">
        <v>0</v>
      </c>
      <c r="Q158" s="26">
        <f t="shared" si="6"/>
        <v>1</v>
      </c>
      <c r="R158" s="25">
        <v>0</v>
      </c>
      <c r="S158" s="10">
        <v>0</v>
      </c>
      <c r="T158" s="10">
        <v>0</v>
      </c>
      <c r="U158" s="10">
        <v>0</v>
      </c>
      <c r="V158" s="10">
        <v>0</v>
      </c>
      <c r="W158" s="10">
        <v>0</v>
      </c>
      <c r="X158" s="10">
        <v>0</v>
      </c>
      <c r="Y158" s="10">
        <v>0</v>
      </c>
      <c r="Z158" s="10">
        <v>0</v>
      </c>
      <c r="AA158" s="10">
        <v>0</v>
      </c>
      <c r="AB158" s="10">
        <v>0</v>
      </c>
      <c r="AC158" s="10">
        <v>0</v>
      </c>
      <c r="AD158" s="26">
        <f t="shared" si="7"/>
        <v>0</v>
      </c>
      <c r="AE158" s="25">
        <v>0</v>
      </c>
      <c r="AF158" s="10">
        <v>0</v>
      </c>
      <c r="AG158" s="10">
        <v>0</v>
      </c>
      <c r="AH158" s="10">
        <v>0</v>
      </c>
      <c r="AI158" s="10">
        <v>2645</v>
      </c>
      <c r="AJ158" s="10">
        <v>0</v>
      </c>
      <c r="AK158" s="10">
        <v>0</v>
      </c>
      <c r="AL158" s="10">
        <v>0</v>
      </c>
      <c r="AM158" s="10">
        <v>0</v>
      </c>
      <c r="AN158" s="10">
        <v>0</v>
      </c>
      <c r="AO158" s="10">
        <v>0</v>
      </c>
      <c r="AP158" s="10">
        <v>0</v>
      </c>
      <c r="AQ158" s="26">
        <f t="shared" si="8"/>
        <v>2645</v>
      </c>
    </row>
    <row r="159" spans="1:43" ht="17.25" customHeight="1" x14ac:dyDescent="0.45">
      <c r="A159" s="2" t="s">
        <v>11</v>
      </c>
      <c r="B159" s="2" t="s">
        <v>66</v>
      </c>
      <c r="C159" s="2" t="s">
        <v>67</v>
      </c>
      <c r="D159" s="2" t="s">
        <v>68</v>
      </c>
      <c r="E159" s="23">
        <v>0</v>
      </c>
      <c r="F159" s="1">
        <v>0</v>
      </c>
      <c r="G159" s="1">
        <v>0</v>
      </c>
      <c r="H159" s="1">
        <v>0</v>
      </c>
      <c r="I159" s="1">
        <v>0</v>
      </c>
      <c r="J159" s="1">
        <v>0</v>
      </c>
      <c r="K159" s="1">
        <v>0</v>
      </c>
      <c r="L159" s="1">
        <v>0</v>
      </c>
      <c r="M159" s="1">
        <v>1</v>
      </c>
      <c r="N159" s="1">
        <v>0</v>
      </c>
      <c r="O159" s="1">
        <v>0</v>
      </c>
      <c r="P159" s="1">
        <v>0</v>
      </c>
      <c r="Q159" s="24">
        <f t="shared" si="6"/>
        <v>1</v>
      </c>
      <c r="R159" s="23">
        <v>0</v>
      </c>
      <c r="S159" s="1">
        <v>0</v>
      </c>
      <c r="T159" s="1">
        <v>0</v>
      </c>
      <c r="U159" s="1">
        <v>0</v>
      </c>
      <c r="V159" s="1">
        <v>0</v>
      </c>
      <c r="W159" s="1">
        <v>0</v>
      </c>
      <c r="X159" s="1">
        <v>0</v>
      </c>
      <c r="Y159" s="1">
        <v>0</v>
      </c>
      <c r="Z159" s="1">
        <v>0</v>
      </c>
      <c r="AA159" s="1">
        <v>0</v>
      </c>
      <c r="AB159" s="1">
        <v>0</v>
      </c>
      <c r="AC159" s="1">
        <v>0</v>
      </c>
      <c r="AD159" s="24">
        <f t="shared" si="7"/>
        <v>0</v>
      </c>
      <c r="AE159" s="23">
        <v>0</v>
      </c>
      <c r="AF159" s="1">
        <v>0</v>
      </c>
      <c r="AG159" s="1">
        <v>0</v>
      </c>
      <c r="AH159" s="1">
        <v>0</v>
      </c>
      <c r="AI159" s="1">
        <v>0</v>
      </c>
      <c r="AJ159" s="1">
        <v>0</v>
      </c>
      <c r="AK159" s="1">
        <v>0</v>
      </c>
      <c r="AL159" s="1">
        <v>0</v>
      </c>
      <c r="AM159" s="1">
        <v>2880</v>
      </c>
      <c r="AN159" s="1">
        <v>0</v>
      </c>
      <c r="AO159" s="1">
        <v>0</v>
      </c>
      <c r="AP159" s="1">
        <v>0</v>
      </c>
      <c r="AQ159" s="24">
        <f t="shared" si="8"/>
        <v>2880</v>
      </c>
    </row>
    <row r="160" spans="1:43" ht="17.25" customHeight="1" x14ac:dyDescent="0.45">
      <c r="A160" s="12" t="s">
        <v>11</v>
      </c>
      <c r="B160" s="12" t="s">
        <v>66</v>
      </c>
      <c r="C160" s="12" t="s">
        <v>101</v>
      </c>
      <c r="D160" s="12" t="s">
        <v>68</v>
      </c>
      <c r="E160" s="25">
        <v>0</v>
      </c>
      <c r="F160" s="10">
        <v>0</v>
      </c>
      <c r="G160" s="10">
        <v>0</v>
      </c>
      <c r="H160" s="10">
        <v>0</v>
      </c>
      <c r="I160" s="10">
        <v>0</v>
      </c>
      <c r="J160" s="10">
        <v>0</v>
      </c>
      <c r="K160" s="10">
        <v>0</v>
      </c>
      <c r="L160" s="10">
        <v>0</v>
      </c>
      <c r="M160" s="10">
        <v>0</v>
      </c>
      <c r="N160" s="10">
        <v>1</v>
      </c>
      <c r="O160" s="10">
        <v>1</v>
      </c>
      <c r="P160" s="10">
        <v>0</v>
      </c>
      <c r="Q160" s="26">
        <f t="shared" si="6"/>
        <v>2</v>
      </c>
      <c r="R160" s="25">
        <v>0</v>
      </c>
      <c r="S160" s="10">
        <v>0</v>
      </c>
      <c r="T160" s="10">
        <v>0</v>
      </c>
      <c r="U160" s="10">
        <v>0</v>
      </c>
      <c r="V160" s="10">
        <v>0</v>
      </c>
      <c r="W160" s="10">
        <v>0</v>
      </c>
      <c r="X160" s="10">
        <v>0</v>
      </c>
      <c r="Y160" s="10">
        <v>0</v>
      </c>
      <c r="Z160" s="10">
        <v>0</v>
      </c>
      <c r="AA160" s="10">
        <v>0</v>
      </c>
      <c r="AB160" s="10">
        <v>0</v>
      </c>
      <c r="AC160" s="10">
        <v>0</v>
      </c>
      <c r="AD160" s="26">
        <f t="shared" si="7"/>
        <v>0</v>
      </c>
      <c r="AE160" s="25">
        <v>0</v>
      </c>
      <c r="AF160" s="10">
        <v>0</v>
      </c>
      <c r="AG160" s="10">
        <v>0</v>
      </c>
      <c r="AH160" s="10">
        <v>0</v>
      </c>
      <c r="AI160" s="10">
        <v>0</v>
      </c>
      <c r="AJ160" s="10">
        <v>0</v>
      </c>
      <c r="AK160" s="10">
        <v>0</v>
      </c>
      <c r="AL160" s="10">
        <v>0</v>
      </c>
      <c r="AM160" s="10">
        <v>0</v>
      </c>
      <c r="AN160" s="10">
        <v>49735</v>
      </c>
      <c r="AO160" s="10">
        <v>2087</v>
      </c>
      <c r="AP160" s="10">
        <v>0</v>
      </c>
      <c r="AQ160" s="26">
        <f t="shared" si="8"/>
        <v>51822</v>
      </c>
    </row>
    <row r="161" spans="1:43" ht="17.25" customHeight="1" x14ac:dyDescent="0.45">
      <c r="A161" s="2" t="s">
        <v>11</v>
      </c>
      <c r="B161" s="2" t="s">
        <v>66</v>
      </c>
      <c r="C161" s="2" t="s">
        <v>221</v>
      </c>
      <c r="D161" s="2" t="s">
        <v>68</v>
      </c>
      <c r="E161" s="23">
        <v>0</v>
      </c>
      <c r="F161" s="1">
        <v>0</v>
      </c>
      <c r="G161" s="1">
        <v>1</v>
      </c>
      <c r="H161" s="1">
        <v>0</v>
      </c>
      <c r="I161" s="1">
        <v>0</v>
      </c>
      <c r="J161" s="1">
        <v>0</v>
      </c>
      <c r="K161" s="1">
        <v>0</v>
      </c>
      <c r="L161" s="1">
        <v>0</v>
      </c>
      <c r="M161" s="1">
        <v>0</v>
      </c>
      <c r="N161" s="1">
        <v>0</v>
      </c>
      <c r="O161" s="1">
        <v>0</v>
      </c>
      <c r="P161" s="1">
        <v>0</v>
      </c>
      <c r="Q161" s="24">
        <f t="shared" si="6"/>
        <v>1</v>
      </c>
      <c r="R161" s="23">
        <v>0</v>
      </c>
      <c r="S161" s="1">
        <v>0</v>
      </c>
      <c r="T161" s="1">
        <v>0</v>
      </c>
      <c r="U161" s="1">
        <v>0</v>
      </c>
      <c r="V161" s="1">
        <v>0</v>
      </c>
      <c r="W161" s="1">
        <v>0</v>
      </c>
      <c r="X161" s="1">
        <v>0</v>
      </c>
      <c r="Y161" s="1">
        <v>0</v>
      </c>
      <c r="Z161" s="1">
        <v>0</v>
      </c>
      <c r="AA161" s="1">
        <v>0</v>
      </c>
      <c r="AB161" s="1">
        <v>0</v>
      </c>
      <c r="AC161" s="1">
        <v>0</v>
      </c>
      <c r="AD161" s="24">
        <f t="shared" si="7"/>
        <v>0</v>
      </c>
      <c r="AE161" s="23">
        <v>0</v>
      </c>
      <c r="AF161" s="1">
        <v>0</v>
      </c>
      <c r="AG161" s="1">
        <v>2075</v>
      </c>
      <c r="AH161" s="1">
        <v>0</v>
      </c>
      <c r="AI161" s="1">
        <v>0</v>
      </c>
      <c r="AJ161" s="1">
        <v>0</v>
      </c>
      <c r="AK161" s="1">
        <v>0</v>
      </c>
      <c r="AL161" s="1">
        <v>0</v>
      </c>
      <c r="AM161" s="1">
        <v>0</v>
      </c>
      <c r="AN161" s="1">
        <v>0</v>
      </c>
      <c r="AO161" s="1">
        <v>0</v>
      </c>
      <c r="AP161" s="1">
        <v>0</v>
      </c>
      <c r="AQ161" s="24">
        <f t="shared" si="8"/>
        <v>2075</v>
      </c>
    </row>
    <row r="162" spans="1:43" ht="17.25" customHeight="1" x14ac:dyDescent="0.45">
      <c r="A162" s="12" t="s">
        <v>11</v>
      </c>
      <c r="B162" s="12" t="s">
        <v>66</v>
      </c>
      <c r="C162" s="12" t="s">
        <v>314</v>
      </c>
      <c r="D162" s="12" t="s">
        <v>85</v>
      </c>
      <c r="E162" s="25">
        <v>0</v>
      </c>
      <c r="F162" s="10">
        <v>0</v>
      </c>
      <c r="G162" s="10">
        <v>0</v>
      </c>
      <c r="H162" s="10">
        <v>0</v>
      </c>
      <c r="I162" s="10">
        <v>0</v>
      </c>
      <c r="J162" s="10">
        <v>0</v>
      </c>
      <c r="K162" s="10">
        <v>0</v>
      </c>
      <c r="L162" s="10">
        <v>1</v>
      </c>
      <c r="M162" s="10">
        <v>0</v>
      </c>
      <c r="N162" s="10">
        <v>0</v>
      </c>
      <c r="O162" s="10">
        <v>0</v>
      </c>
      <c r="P162" s="10">
        <v>0</v>
      </c>
      <c r="Q162" s="26">
        <f t="shared" si="6"/>
        <v>1</v>
      </c>
      <c r="R162" s="25">
        <v>0</v>
      </c>
      <c r="S162" s="10">
        <v>0</v>
      </c>
      <c r="T162" s="10">
        <v>0</v>
      </c>
      <c r="U162" s="10">
        <v>0</v>
      </c>
      <c r="V162" s="10">
        <v>0</v>
      </c>
      <c r="W162" s="10">
        <v>0</v>
      </c>
      <c r="X162" s="10">
        <v>0</v>
      </c>
      <c r="Y162" s="10">
        <v>0</v>
      </c>
      <c r="Z162" s="10">
        <v>0</v>
      </c>
      <c r="AA162" s="10">
        <v>0</v>
      </c>
      <c r="AB162" s="10">
        <v>0</v>
      </c>
      <c r="AC162" s="10">
        <v>0</v>
      </c>
      <c r="AD162" s="26">
        <f t="shared" si="7"/>
        <v>0</v>
      </c>
      <c r="AE162" s="25">
        <v>0</v>
      </c>
      <c r="AF162" s="10">
        <v>0</v>
      </c>
      <c r="AG162" s="10">
        <v>0</v>
      </c>
      <c r="AH162" s="10">
        <v>0</v>
      </c>
      <c r="AI162" s="10">
        <v>0</v>
      </c>
      <c r="AJ162" s="10">
        <v>0</v>
      </c>
      <c r="AK162" s="10">
        <v>0</v>
      </c>
      <c r="AL162" s="10">
        <v>2067</v>
      </c>
      <c r="AM162" s="10">
        <v>0</v>
      </c>
      <c r="AN162" s="10">
        <v>0</v>
      </c>
      <c r="AO162" s="10">
        <v>0</v>
      </c>
      <c r="AP162" s="10">
        <v>0</v>
      </c>
      <c r="AQ162" s="26">
        <f t="shared" si="8"/>
        <v>2067</v>
      </c>
    </row>
    <row r="163" spans="1:43" ht="17.25" customHeight="1" x14ac:dyDescent="0.45">
      <c r="A163" s="2" t="s">
        <v>11</v>
      </c>
      <c r="B163" s="2" t="s">
        <v>66</v>
      </c>
      <c r="C163" s="2" t="s">
        <v>303</v>
      </c>
      <c r="D163" s="2" t="s">
        <v>68</v>
      </c>
      <c r="E163" s="23">
        <v>0</v>
      </c>
      <c r="F163" s="1">
        <v>0</v>
      </c>
      <c r="G163" s="1">
        <v>0</v>
      </c>
      <c r="H163" s="1">
        <v>0</v>
      </c>
      <c r="I163" s="1">
        <v>0</v>
      </c>
      <c r="J163" s="1">
        <v>0</v>
      </c>
      <c r="K163" s="1">
        <v>0</v>
      </c>
      <c r="L163" s="1">
        <v>0</v>
      </c>
      <c r="M163" s="1">
        <v>0</v>
      </c>
      <c r="N163" s="1">
        <v>0</v>
      </c>
      <c r="O163" s="1">
        <v>0</v>
      </c>
      <c r="P163" s="1">
        <v>1</v>
      </c>
      <c r="Q163" s="24">
        <f t="shared" si="6"/>
        <v>1</v>
      </c>
      <c r="R163" s="23">
        <v>0</v>
      </c>
      <c r="S163" s="1">
        <v>0</v>
      </c>
      <c r="T163" s="1">
        <v>0</v>
      </c>
      <c r="U163" s="1">
        <v>0</v>
      </c>
      <c r="V163" s="1">
        <v>0</v>
      </c>
      <c r="W163" s="1">
        <v>0</v>
      </c>
      <c r="X163" s="1">
        <v>0</v>
      </c>
      <c r="Y163" s="1">
        <v>0</v>
      </c>
      <c r="Z163" s="1">
        <v>0</v>
      </c>
      <c r="AA163" s="1">
        <v>0</v>
      </c>
      <c r="AB163" s="1">
        <v>0</v>
      </c>
      <c r="AC163" s="1">
        <v>0</v>
      </c>
      <c r="AD163" s="24">
        <f t="shared" si="7"/>
        <v>0</v>
      </c>
      <c r="AE163" s="23">
        <v>0</v>
      </c>
      <c r="AF163" s="1">
        <v>0</v>
      </c>
      <c r="AG163" s="1">
        <v>0</v>
      </c>
      <c r="AH163" s="1">
        <v>0</v>
      </c>
      <c r="AI163" s="1">
        <v>0</v>
      </c>
      <c r="AJ163" s="1">
        <v>0</v>
      </c>
      <c r="AK163" s="1">
        <v>0</v>
      </c>
      <c r="AL163" s="1">
        <v>0</v>
      </c>
      <c r="AM163" s="1">
        <v>0</v>
      </c>
      <c r="AN163" s="1">
        <v>0</v>
      </c>
      <c r="AO163" s="1">
        <v>0</v>
      </c>
      <c r="AP163" s="1">
        <v>78066</v>
      </c>
      <c r="AQ163" s="24">
        <f t="shared" si="8"/>
        <v>78066</v>
      </c>
    </row>
    <row r="164" spans="1:43" ht="17.25" customHeight="1" x14ac:dyDescent="0.45">
      <c r="A164" s="12" t="s">
        <v>11</v>
      </c>
      <c r="B164" s="12" t="s">
        <v>66</v>
      </c>
      <c r="C164" s="12" t="s">
        <v>194</v>
      </c>
      <c r="D164" s="12" t="s">
        <v>68</v>
      </c>
      <c r="E164" s="25">
        <v>8</v>
      </c>
      <c r="F164" s="10">
        <v>2</v>
      </c>
      <c r="G164" s="10">
        <v>2</v>
      </c>
      <c r="H164" s="10">
        <v>12</v>
      </c>
      <c r="I164" s="10">
        <v>9</v>
      </c>
      <c r="J164" s="10">
        <v>4</v>
      </c>
      <c r="K164" s="10">
        <v>3</v>
      </c>
      <c r="L164" s="10">
        <v>5</v>
      </c>
      <c r="M164" s="10">
        <v>3</v>
      </c>
      <c r="N164" s="10">
        <v>17</v>
      </c>
      <c r="O164" s="10">
        <v>29</v>
      </c>
      <c r="P164" s="10">
        <v>52</v>
      </c>
      <c r="Q164" s="26">
        <f t="shared" si="6"/>
        <v>146</v>
      </c>
      <c r="R164" s="25">
        <v>0</v>
      </c>
      <c r="S164" s="10">
        <v>0</v>
      </c>
      <c r="T164" s="10">
        <v>0</v>
      </c>
      <c r="U164" s="10">
        <v>0</v>
      </c>
      <c r="V164" s="10">
        <v>0</v>
      </c>
      <c r="W164" s="10">
        <v>0</v>
      </c>
      <c r="X164" s="10">
        <v>0</v>
      </c>
      <c r="Y164" s="10">
        <v>0</v>
      </c>
      <c r="Z164" s="10">
        <v>0</v>
      </c>
      <c r="AA164" s="10">
        <v>0</v>
      </c>
      <c r="AB164" s="10">
        <v>0</v>
      </c>
      <c r="AC164" s="10">
        <v>0</v>
      </c>
      <c r="AD164" s="26">
        <f t="shared" si="7"/>
        <v>0</v>
      </c>
      <c r="AE164" s="25">
        <v>22729</v>
      </c>
      <c r="AF164" s="10">
        <v>850</v>
      </c>
      <c r="AG164" s="10">
        <v>5601</v>
      </c>
      <c r="AH164" s="10">
        <v>34706</v>
      </c>
      <c r="AI164" s="10">
        <v>12920</v>
      </c>
      <c r="AJ164" s="10">
        <v>7249</v>
      </c>
      <c r="AK164" s="10">
        <v>2009</v>
      </c>
      <c r="AL164" s="10">
        <v>5912</v>
      </c>
      <c r="AM164" s="10">
        <v>3757</v>
      </c>
      <c r="AN164" s="10">
        <v>29307</v>
      </c>
      <c r="AO164" s="10">
        <v>34691</v>
      </c>
      <c r="AP164" s="10">
        <v>401511</v>
      </c>
      <c r="AQ164" s="26">
        <f t="shared" si="8"/>
        <v>561242</v>
      </c>
    </row>
    <row r="165" spans="1:43" ht="17.25" customHeight="1" x14ac:dyDescent="0.45">
      <c r="A165" s="2" t="s">
        <v>11</v>
      </c>
      <c r="B165" s="2" t="s">
        <v>66</v>
      </c>
      <c r="C165" s="2" t="s">
        <v>73</v>
      </c>
      <c r="D165" s="2" t="s">
        <v>68</v>
      </c>
      <c r="E165" s="23">
        <v>7</v>
      </c>
      <c r="F165" s="1">
        <v>5</v>
      </c>
      <c r="G165" s="1">
        <v>8</v>
      </c>
      <c r="H165" s="1">
        <v>9</v>
      </c>
      <c r="I165" s="1">
        <v>9</v>
      </c>
      <c r="J165" s="1">
        <v>8</v>
      </c>
      <c r="K165" s="1">
        <v>8</v>
      </c>
      <c r="L165" s="1">
        <v>10</v>
      </c>
      <c r="M165" s="1">
        <v>8</v>
      </c>
      <c r="N165" s="1">
        <v>10</v>
      </c>
      <c r="O165" s="1">
        <v>9</v>
      </c>
      <c r="P165" s="1">
        <v>7</v>
      </c>
      <c r="Q165" s="24">
        <f t="shared" si="6"/>
        <v>98</v>
      </c>
      <c r="R165" s="23">
        <v>0</v>
      </c>
      <c r="S165" s="1">
        <v>0</v>
      </c>
      <c r="T165" s="1">
        <v>0</v>
      </c>
      <c r="U165" s="1">
        <v>0</v>
      </c>
      <c r="V165" s="1">
        <v>0</v>
      </c>
      <c r="W165" s="1">
        <v>0</v>
      </c>
      <c r="X165" s="1">
        <v>0</v>
      </c>
      <c r="Y165" s="1">
        <v>0</v>
      </c>
      <c r="Z165" s="1">
        <v>0</v>
      </c>
      <c r="AA165" s="1">
        <v>0</v>
      </c>
      <c r="AB165" s="1">
        <v>0</v>
      </c>
      <c r="AC165" s="1">
        <v>0</v>
      </c>
      <c r="AD165" s="24">
        <f t="shared" si="7"/>
        <v>0</v>
      </c>
      <c r="AE165" s="23">
        <v>65129</v>
      </c>
      <c r="AF165" s="1">
        <v>1234</v>
      </c>
      <c r="AG165" s="1">
        <v>21582</v>
      </c>
      <c r="AH165" s="1">
        <v>24098</v>
      </c>
      <c r="AI165" s="1">
        <v>17784</v>
      </c>
      <c r="AJ165" s="1">
        <v>46668</v>
      </c>
      <c r="AK165" s="1">
        <v>66607</v>
      </c>
      <c r="AL165" s="1">
        <v>35731</v>
      </c>
      <c r="AM165" s="1">
        <v>39400</v>
      </c>
      <c r="AN165" s="1">
        <v>27305</v>
      </c>
      <c r="AO165" s="1">
        <v>23459</v>
      </c>
      <c r="AP165" s="1">
        <v>21876</v>
      </c>
      <c r="AQ165" s="24">
        <f t="shared" si="8"/>
        <v>390873</v>
      </c>
    </row>
    <row r="166" spans="1:43" ht="17.25" customHeight="1" x14ac:dyDescent="0.45">
      <c r="A166" s="12" t="s">
        <v>11</v>
      </c>
      <c r="B166" s="12" t="s">
        <v>66</v>
      </c>
      <c r="C166" s="12" t="s">
        <v>134</v>
      </c>
      <c r="D166" s="12" t="s">
        <v>68</v>
      </c>
      <c r="E166" s="25">
        <v>0</v>
      </c>
      <c r="F166" s="10">
        <v>0</v>
      </c>
      <c r="G166" s="10">
        <v>1</v>
      </c>
      <c r="H166" s="10">
        <v>0</v>
      </c>
      <c r="I166" s="10">
        <v>2</v>
      </c>
      <c r="J166" s="10">
        <v>0</v>
      </c>
      <c r="K166" s="10">
        <v>1</v>
      </c>
      <c r="L166" s="10">
        <v>0</v>
      </c>
      <c r="M166" s="10">
        <v>0</v>
      </c>
      <c r="N166" s="10">
        <v>0</v>
      </c>
      <c r="O166" s="10">
        <v>0</v>
      </c>
      <c r="P166" s="10">
        <v>0</v>
      </c>
      <c r="Q166" s="26">
        <f t="shared" si="6"/>
        <v>4</v>
      </c>
      <c r="R166" s="25">
        <v>0</v>
      </c>
      <c r="S166" s="10">
        <v>0</v>
      </c>
      <c r="T166" s="10">
        <v>0</v>
      </c>
      <c r="U166" s="10">
        <v>0</v>
      </c>
      <c r="V166" s="10">
        <v>0</v>
      </c>
      <c r="W166" s="10">
        <v>0</v>
      </c>
      <c r="X166" s="10">
        <v>0</v>
      </c>
      <c r="Y166" s="10">
        <v>0</v>
      </c>
      <c r="Z166" s="10">
        <v>0</v>
      </c>
      <c r="AA166" s="10">
        <v>0</v>
      </c>
      <c r="AB166" s="10">
        <v>0</v>
      </c>
      <c r="AC166" s="10">
        <v>0</v>
      </c>
      <c r="AD166" s="26">
        <f t="shared" si="7"/>
        <v>0</v>
      </c>
      <c r="AE166" s="25">
        <v>0</v>
      </c>
      <c r="AF166" s="10">
        <v>0</v>
      </c>
      <c r="AG166" s="10">
        <v>986</v>
      </c>
      <c r="AH166" s="10">
        <v>0</v>
      </c>
      <c r="AI166" s="10">
        <v>4959</v>
      </c>
      <c r="AJ166" s="10">
        <v>0</v>
      </c>
      <c r="AK166" s="10">
        <v>2084</v>
      </c>
      <c r="AL166" s="10">
        <v>0</v>
      </c>
      <c r="AM166" s="10">
        <v>0</v>
      </c>
      <c r="AN166" s="10">
        <v>0</v>
      </c>
      <c r="AO166" s="10">
        <v>0</v>
      </c>
      <c r="AP166" s="10">
        <v>0</v>
      </c>
      <c r="AQ166" s="26">
        <f t="shared" si="8"/>
        <v>8029</v>
      </c>
    </row>
    <row r="167" spans="1:43" ht="17.25" customHeight="1" x14ac:dyDescent="0.45">
      <c r="A167" s="2" t="s">
        <v>11</v>
      </c>
      <c r="B167" s="2" t="s">
        <v>66</v>
      </c>
      <c r="C167" s="2" t="s">
        <v>151</v>
      </c>
      <c r="D167" s="2" t="s">
        <v>68</v>
      </c>
      <c r="E167" s="23">
        <v>0</v>
      </c>
      <c r="F167" s="1">
        <v>0</v>
      </c>
      <c r="G167" s="1">
        <v>0</v>
      </c>
      <c r="H167" s="1">
        <v>0</v>
      </c>
      <c r="I167" s="1">
        <v>0</v>
      </c>
      <c r="J167" s="1">
        <v>0</v>
      </c>
      <c r="K167" s="1">
        <v>0</v>
      </c>
      <c r="L167" s="1">
        <v>1</v>
      </c>
      <c r="M167" s="1">
        <v>0</v>
      </c>
      <c r="N167" s="1">
        <v>0</v>
      </c>
      <c r="O167" s="1">
        <v>0</v>
      </c>
      <c r="P167" s="1">
        <v>0</v>
      </c>
      <c r="Q167" s="24">
        <f t="shared" si="6"/>
        <v>1</v>
      </c>
      <c r="R167" s="23">
        <v>0</v>
      </c>
      <c r="S167" s="1">
        <v>0</v>
      </c>
      <c r="T167" s="1">
        <v>0</v>
      </c>
      <c r="U167" s="1">
        <v>0</v>
      </c>
      <c r="V167" s="1">
        <v>0</v>
      </c>
      <c r="W167" s="1">
        <v>0</v>
      </c>
      <c r="X167" s="1">
        <v>0</v>
      </c>
      <c r="Y167" s="1">
        <v>0</v>
      </c>
      <c r="Z167" s="1">
        <v>0</v>
      </c>
      <c r="AA167" s="1">
        <v>0</v>
      </c>
      <c r="AB167" s="1">
        <v>0</v>
      </c>
      <c r="AC167" s="1">
        <v>0</v>
      </c>
      <c r="AD167" s="24">
        <f t="shared" si="7"/>
        <v>0</v>
      </c>
      <c r="AE167" s="23">
        <v>0</v>
      </c>
      <c r="AF167" s="1">
        <v>0</v>
      </c>
      <c r="AG167" s="1">
        <v>0</v>
      </c>
      <c r="AH167" s="1">
        <v>0</v>
      </c>
      <c r="AI167" s="1">
        <v>0</v>
      </c>
      <c r="AJ167" s="1">
        <v>0</v>
      </c>
      <c r="AK167" s="1">
        <v>0</v>
      </c>
      <c r="AL167" s="1">
        <v>2085</v>
      </c>
      <c r="AM167" s="1">
        <v>0</v>
      </c>
      <c r="AN167" s="1">
        <v>0</v>
      </c>
      <c r="AO167" s="1">
        <v>0</v>
      </c>
      <c r="AP167" s="1">
        <v>0</v>
      </c>
      <c r="AQ167" s="24">
        <f t="shared" si="8"/>
        <v>2085</v>
      </c>
    </row>
    <row r="168" spans="1:43" ht="17.25" customHeight="1" x14ac:dyDescent="0.45">
      <c r="A168" s="12" t="s">
        <v>11</v>
      </c>
      <c r="B168" s="12" t="s">
        <v>66</v>
      </c>
      <c r="C168" s="12" t="s">
        <v>200</v>
      </c>
      <c r="D168" s="12" t="s">
        <v>172</v>
      </c>
      <c r="E168" s="25">
        <v>0</v>
      </c>
      <c r="F168" s="10">
        <v>0</v>
      </c>
      <c r="G168" s="10">
        <v>1</v>
      </c>
      <c r="H168" s="10">
        <v>0</v>
      </c>
      <c r="I168" s="10">
        <v>0</v>
      </c>
      <c r="J168" s="10">
        <v>0</v>
      </c>
      <c r="K168" s="10">
        <v>0</v>
      </c>
      <c r="L168" s="10">
        <v>0</v>
      </c>
      <c r="M168" s="10">
        <v>0</v>
      </c>
      <c r="N168" s="10">
        <v>0</v>
      </c>
      <c r="O168" s="10">
        <v>0</v>
      </c>
      <c r="P168" s="10">
        <v>0</v>
      </c>
      <c r="Q168" s="26">
        <f t="shared" si="6"/>
        <v>1</v>
      </c>
      <c r="R168" s="25">
        <v>0</v>
      </c>
      <c r="S168" s="10">
        <v>0</v>
      </c>
      <c r="T168" s="10">
        <v>0</v>
      </c>
      <c r="U168" s="10">
        <v>0</v>
      </c>
      <c r="V168" s="10">
        <v>0</v>
      </c>
      <c r="W168" s="10">
        <v>0</v>
      </c>
      <c r="X168" s="10">
        <v>0</v>
      </c>
      <c r="Y168" s="10">
        <v>0</v>
      </c>
      <c r="Z168" s="10">
        <v>0</v>
      </c>
      <c r="AA168" s="10">
        <v>0</v>
      </c>
      <c r="AB168" s="10">
        <v>0</v>
      </c>
      <c r="AC168" s="10">
        <v>0</v>
      </c>
      <c r="AD168" s="26">
        <f t="shared" si="7"/>
        <v>0</v>
      </c>
      <c r="AE168" s="25">
        <v>0</v>
      </c>
      <c r="AF168" s="10">
        <v>0</v>
      </c>
      <c r="AG168" s="10">
        <v>3008</v>
      </c>
      <c r="AH168" s="10">
        <v>0</v>
      </c>
      <c r="AI168" s="10">
        <v>0</v>
      </c>
      <c r="AJ168" s="10">
        <v>0</v>
      </c>
      <c r="AK168" s="10">
        <v>0</v>
      </c>
      <c r="AL168" s="10">
        <v>0</v>
      </c>
      <c r="AM168" s="10">
        <v>0</v>
      </c>
      <c r="AN168" s="10">
        <v>0</v>
      </c>
      <c r="AO168" s="10">
        <v>0</v>
      </c>
      <c r="AP168" s="10">
        <v>0</v>
      </c>
      <c r="AQ168" s="26">
        <f t="shared" si="8"/>
        <v>3008</v>
      </c>
    </row>
    <row r="169" spans="1:43" ht="17.25" customHeight="1" x14ac:dyDescent="0.45">
      <c r="A169" s="2" t="s">
        <v>108</v>
      </c>
      <c r="B169" s="2" t="s">
        <v>104</v>
      </c>
      <c r="C169" s="2" t="s">
        <v>12</v>
      </c>
      <c r="D169" s="2" t="s">
        <v>66</v>
      </c>
      <c r="E169" s="23">
        <v>2</v>
      </c>
      <c r="F169" s="1">
        <v>0</v>
      </c>
      <c r="G169" s="1">
        <v>0</v>
      </c>
      <c r="H169" s="1">
        <v>0</v>
      </c>
      <c r="I169" s="1">
        <v>0</v>
      </c>
      <c r="J169" s="1">
        <v>0</v>
      </c>
      <c r="K169" s="1">
        <v>0</v>
      </c>
      <c r="L169" s="1">
        <v>0</v>
      </c>
      <c r="M169" s="1">
        <v>0</v>
      </c>
      <c r="N169" s="1">
        <v>0</v>
      </c>
      <c r="O169" s="1">
        <v>0</v>
      </c>
      <c r="P169" s="1">
        <v>0</v>
      </c>
      <c r="Q169" s="24">
        <f t="shared" si="6"/>
        <v>2</v>
      </c>
      <c r="R169" s="23">
        <v>5</v>
      </c>
      <c r="S169" s="1">
        <v>0</v>
      </c>
      <c r="T169" s="1">
        <v>0</v>
      </c>
      <c r="U169" s="1">
        <v>0</v>
      </c>
      <c r="V169" s="1">
        <v>0</v>
      </c>
      <c r="W169" s="1">
        <v>0</v>
      </c>
      <c r="X169" s="1">
        <v>0</v>
      </c>
      <c r="Y169" s="1">
        <v>0</v>
      </c>
      <c r="Z169" s="1">
        <v>0</v>
      </c>
      <c r="AA169" s="1">
        <v>0</v>
      </c>
      <c r="AB169" s="1">
        <v>0</v>
      </c>
      <c r="AC169" s="1">
        <v>0</v>
      </c>
      <c r="AD169" s="24">
        <f t="shared" si="7"/>
        <v>5</v>
      </c>
      <c r="AE169" s="23">
        <v>0</v>
      </c>
      <c r="AF169" s="1">
        <v>0</v>
      </c>
      <c r="AG169" s="1">
        <v>0</v>
      </c>
      <c r="AH169" s="1">
        <v>0</v>
      </c>
      <c r="AI169" s="1">
        <v>0</v>
      </c>
      <c r="AJ169" s="1">
        <v>0</v>
      </c>
      <c r="AK169" s="1">
        <v>0</v>
      </c>
      <c r="AL169" s="1">
        <v>0</v>
      </c>
      <c r="AM169" s="1">
        <v>0</v>
      </c>
      <c r="AN169" s="1">
        <v>0</v>
      </c>
      <c r="AO169" s="1">
        <v>0</v>
      </c>
      <c r="AP169" s="1">
        <v>0</v>
      </c>
      <c r="AQ169" s="24">
        <f t="shared" si="8"/>
        <v>0</v>
      </c>
    </row>
    <row r="170" spans="1:43" ht="17.25" customHeight="1" x14ac:dyDescent="0.45">
      <c r="A170" s="12" t="s">
        <v>108</v>
      </c>
      <c r="B170" s="12" t="s">
        <v>104</v>
      </c>
      <c r="C170" s="12" t="s">
        <v>13</v>
      </c>
      <c r="D170" s="12" t="s">
        <v>66</v>
      </c>
      <c r="E170" s="25">
        <v>5</v>
      </c>
      <c r="F170" s="10">
        <v>2</v>
      </c>
      <c r="G170" s="10">
        <v>0</v>
      </c>
      <c r="H170" s="10">
        <v>0</v>
      </c>
      <c r="I170" s="10">
        <v>0</v>
      </c>
      <c r="J170" s="10">
        <v>0</v>
      </c>
      <c r="K170" s="10">
        <v>0</v>
      </c>
      <c r="L170" s="10">
        <v>0</v>
      </c>
      <c r="M170" s="10">
        <v>0</v>
      </c>
      <c r="N170" s="10">
        <v>0</v>
      </c>
      <c r="O170" s="10">
        <v>0</v>
      </c>
      <c r="P170" s="10">
        <v>0</v>
      </c>
      <c r="Q170" s="26">
        <f t="shared" si="6"/>
        <v>7</v>
      </c>
      <c r="R170" s="25">
        <v>11</v>
      </c>
      <c r="S170" s="10">
        <v>4</v>
      </c>
      <c r="T170" s="10">
        <v>0</v>
      </c>
      <c r="U170" s="10">
        <v>0</v>
      </c>
      <c r="V170" s="10">
        <v>0</v>
      </c>
      <c r="W170" s="10">
        <v>0</v>
      </c>
      <c r="X170" s="10">
        <v>0</v>
      </c>
      <c r="Y170" s="10">
        <v>0</v>
      </c>
      <c r="Z170" s="10">
        <v>0</v>
      </c>
      <c r="AA170" s="10">
        <v>0</v>
      </c>
      <c r="AB170" s="10">
        <v>0</v>
      </c>
      <c r="AC170" s="10">
        <v>0</v>
      </c>
      <c r="AD170" s="26">
        <f t="shared" si="7"/>
        <v>15</v>
      </c>
      <c r="AE170" s="25">
        <v>0</v>
      </c>
      <c r="AF170" s="10">
        <v>0</v>
      </c>
      <c r="AG170" s="10">
        <v>0</v>
      </c>
      <c r="AH170" s="10">
        <v>0</v>
      </c>
      <c r="AI170" s="10">
        <v>0</v>
      </c>
      <c r="AJ170" s="10">
        <v>0</v>
      </c>
      <c r="AK170" s="10">
        <v>0</v>
      </c>
      <c r="AL170" s="10">
        <v>0</v>
      </c>
      <c r="AM170" s="10">
        <v>0</v>
      </c>
      <c r="AN170" s="10">
        <v>0</v>
      </c>
      <c r="AO170" s="10">
        <v>0</v>
      </c>
      <c r="AP170" s="10">
        <v>0</v>
      </c>
      <c r="AQ170" s="26">
        <f t="shared" si="8"/>
        <v>0</v>
      </c>
    </row>
    <row r="171" spans="1:43" ht="17.25" customHeight="1" x14ac:dyDescent="0.45">
      <c r="A171" s="2" t="s">
        <v>108</v>
      </c>
      <c r="B171" s="2" t="s">
        <v>104</v>
      </c>
      <c r="C171" s="2" t="s">
        <v>14</v>
      </c>
      <c r="D171" s="2" t="s">
        <v>66</v>
      </c>
      <c r="E171" s="23">
        <v>0</v>
      </c>
      <c r="F171" s="1">
        <v>3</v>
      </c>
      <c r="G171" s="1">
        <v>3</v>
      </c>
      <c r="H171" s="1">
        <v>0</v>
      </c>
      <c r="I171" s="1">
        <v>0</v>
      </c>
      <c r="J171" s="1">
        <v>0</v>
      </c>
      <c r="K171" s="1">
        <v>0</v>
      </c>
      <c r="L171" s="1">
        <v>0</v>
      </c>
      <c r="M171" s="1">
        <v>0</v>
      </c>
      <c r="N171" s="1">
        <v>0</v>
      </c>
      <c r="O171" s="1">
        <v>4</v>
      </c>
      <c r="P171" s="1">
        <v>0</v>
      </c>
      <c r="Q171" s="24">
        <f t="shared" si="6"/>
        <v>10</v>
      </c>
      <c r="R171" s="23">
        <v>0</v>
      </c>
      <c r="S171" s="1">
        <v>0</v>
      </c>
      <c r="T171" s="1">
        <v>0</v>
      </c>
      <c r="U171" s="1">
        <v>0</v>
      </c>
      <c r="V171" s="1">
        <v>0</v>
      </c>
      <c r="W171" s="1">
        <v>0</v>
      </c>
      <c r="X171" s="1">
        <v>0</v>
      </c>
      <c r="Y171" s="1">
        <v>0</v>
      </c>
      <c r="Z171" s="1">
        <v>0</v>
      </c>
      <c r="AA171" s="1">
        <v>0</v>
      </c>
      <c r="AB171" s="1">
        <v>0</v>
      </c>
      <c r="AC171" s="1">
        <v>0</v>
      </c>
      <c r="AD171" s="24">
        <f t="shared" si="7"/>
        <v>0</v>
      </c>
      <c r="AE171" s="23">
        <v>0</v>
      </c>
      <c r="AF171" s="1">
        <v>29946</v>
      </c>
      <c r="AG171" s="1">
        <v>31114</v>
      </c>
      <c r="AH171" s="1">
        <v>0</v>
      </c>
      <c r="AI171" s="1">
        <v>0</v>
      </c>
      <c r="AJ171" s="1">
        <v>0</v>
      </c>
      <c r="AK171" s="1">
        <v>0</v>
      </c>
      <c r="AL171" s="1">
        <v>0</v>
      </c>
      <c r="AM171" s="1">
        <v>0</v>
      </c>
      <c r="AN171" s="1">
        <v>0</v>
      </c>
      <c r="AO171" s="1">
        <v>37329</v>
      </c>
      <c r="AP171" s="1">
        <v>0</v>
      </c>
      <c r="AQ171" s="24">
        <f t="shared" si="8"/>
        <v>98389</v>
      </c>
    </row>
    <row r="172" spans="1:43" ht="17.25" customHeight="1" x14ac:dyDescent="0.45">
      <c r="A172" s="12" t="s">
        <v>108</v>
      </c>
      <c r="B172" s="12" t="s">
        <v>104</v>
      </c>
      <c r="C172" s="12" t="s">
        <v>50</v>
      </c>
      <c r="D172" s="12" t="s">
        <v>66</v>
      </c>
      <c r="E172" s="25">
        <v>0</v>
      </c>
      <c r="F172" s="10">
        <v>0</v>
      </c>
      <c r="G172" s="10">
        <v>0</v>
      </c>
      <c r="H172" s="10">
        <v>0</v>
      </c>
      <c r="I172" s="10">
        <v>0</v>
      </c>
      <c r="J172" s="10">
        <v>0</v>
      </c>
      <c r="K172" s="10">
        <v>0</v>
      </c>
      <c r="L172" s="10">
        <v>0</v>
      </c>
      <c r="M172" s="10">
        <v>0</v>
      </c>
      <c r="N172" s="10">
        <v>0</v>
      </c>
      <c r="O172" s="10">
        <v>1</v>
      </c>
      <c r="P172" s="10">
        <v>0</v>
      </c>
      <c r="Q172" s="26">
        <f t="shared" si="6"/>
        <v>1</v>
      </c>
      <c r="R172" s="25">
        <v>0</v>
      </c>
      <c r="S172" s="10">
        <v>0</v>
      </c>
      <c r="T172" s="10">
        <v>0</v>
      </c>
      <c r="U172" s="10">
        <v>0</v>
      </c>
      <c r="V172" s="10">
        <v>0</v>
      </c>
      <c r="W172" s="10">
        <v>0</v>
      </c>
      <c r="X172" s="10">
        <v>0</v>
      </c>
      <c r="Y172" s="10">
        <v>0</v>
      </c>
      <c r="Z172" s="10">
        <v>0</v>
      </c>
      <c r="AA172" s="10">
        <v>0</v>
      </c>
      <c r="AB172" s="10">
        <v>33</v>
      </c>
      <c r="AC172" s="10">
        <v>0</v>
      </c>
      <c r="AD172" s="26">
        <f t="shared" si="7"/>
        <v>33</v>
      </c>
      <c r="AE172" s="25">
        <v>0</v>
      </c>
      <c r="AF172" s="10">
        <v>0</v>
      </c>
      <c r="AG172" s="10">
        <v>0</v>
      </c>
      <c r="AH172" s="10">
        <v>0</v>
      </c>
      <c r="AI172" s="10">
        <v>0</v>
      </c>
      <c r="AJ172" s="10">
        <v>0</v>
      </c>
      <c r="AK172" s="10">
        <v>0</v>
      </c>
      <c r="AL172" s="10">
        <v>0</v>
      </c>
      <c r="AM172" s="10">
        <v>0</v>
      </c>
      <c r="AN172" s="10">
        <v>0</v>
      </c>
      <c r="AO172" s="10">
        <v>0</v>
      </c>
      <c r="AP172" s="10">
        <v>0</v>
      </c>
      <c r="AQ172" s="26">
        <f t="shared" si="8"/>
        <v>0</v>
      </c>
    </row>
    <row r="173" spans="1:43" ht="17.25" customHeight="1" x14ac:dyDescent="0.45">
      <c r="A173" s="2" t="s">
        <v>108</v>
      </c>
      <c r="B173" s="2" t="s">
        <v>104</v>
      </c>
      <c r="C173" s="2" t="s">
        <v>32</v>
      </c>
      <c r="D173" s="2" t="s">
        <v>66</v>
      </c>
      <c r="E173" s="23">
        <v>0</v>
      </c>
      <c r="F173" s="1">
        <v>0</v>
      </c>
      <c r="G173" s="1">
        <v>1</v>
      </c>
      <c r="H173" s="1">
        <v>0</v>
      </c>
      <c r="I173" s="1">
        <v>0</v>
      </c>
      <c r="J173" s="1">
        <v>0</v>
      </c>
      <c r="K173" s="1">
        <v>0</v>
      </c>
      <c r="L173" s="1">
        <v>0</v>
      </c>
      <c r="M173" s="1">
        <v>0</v>
      </c>
      <c r="N173" s="1">
        <v>0</v>
      </c>
      <c r="O173" s="1">
        <v>1</v>
      </c>
      <c r="P173" s="1">
        <v>1</v>
      </c>
      <c r="Q173" s="24">
        <f t="shared" si="6"/>
        <v>3</v>
      </c>
      <c r="R173" s="23">
        <v>0</v>
      </c>
      <c r="S173" s="1">
        <v>0</v>
      </c>
      <c r="T173" s="1">
        <v>15</v>
      </c>
      <c r="U173" s="1">
        <v>0</v>
      </c>
      <c r="V173" s="1">
        <v>0</v>
      </c>
      <c r="W173" s="1">
        <v>0</v>
      </c>
      <c r="X173" s="1">
        <v>0</v>
      </c>
      <c r="Y173" s="1">
        <v>0</v>
      </c>
      <c r="Z173" s="1">
        <v>0</v>
      </c>
      <c r="AA173" s="1">
        <v>0</v>
      </c>
      <c r="AB173" s="1">
        <v>23</v>
      </c>
      <c r="AC173" s="1">
        <v>16</v>
      </c>
      <c r="AD173" s="24">
        <f t="shared" si="7"/>
        <v>54</v>
      </c>
      <c r="AE173" s="23">
        <v>0</v>
      </c>
      <c r="AF173" s="1">
        <v>0</v>
      </c>
      <c r="AG173" s="1">
        <v>0</v>
      </c>
      <c r="AH173" s="1">
        <v>0</v>
      </c>
      <c r="AI173" s="1">
        <v>0</v>
      </c>
      <c r="AJ173" s="1">
        <v>0</v>
      </c>
      <c r="AK173" s="1">
        <v>0</v>
      </c>
      <c r="AL173" s="1">
        <v>0</v>
      </c>
      <c r="AM173" s="1">
        <v>0</v>
      </c>
      <c r="AN173" s="1">
        <v>0</v>
      </c>
      <c r="AO173" s="1">
        <v>0</v>
      </c>
      <c r="AP173" s="1">
        <v>0</v>
      </c>
      <c r="AQ173" s="24">
        <f t="shared" si="8"/>
        <v>0</v>
      </c>
    </row>
    <row r="174" spans="1:43" ht="17.25" customHeight="1" x14ac:dyDescent="0.45">
      <c r="A174" s="12" t="s">
        <v>108</v>
      </c>
      <c r="B174" s="12" t="s">
        <v>104</v>
      </c>
      <c r="C174" s="12" t="s">
        <v>36</v>
      </c>
      <c r="D174" s="12" t="s">
        <v>66</v>
      </c>
      <c r="E174" s="25">
        <v>0</v>
      </c>
      <c r="F174" s="10">
        <v>0</v>
      </c>
      <c r="G174" s="10">
        <v>0</v>
      </c>
      <c r="H174" s="10">
        <v>3</v>
      </c>
      <c r="I174" s="10">
        <v>2</v>
      </c>
      <c r="J174" s="10">
        <v>0</v>
      </c>
      <c r="K174" s="10">
        <v>0</v>
      </c>
      <c r="L174" s="10">
        <v>0</v>
      </c>
      <c r="M174" s="10">
        <v>0</v>
      </c>
      <c r="N174" s="10">
        <v>0</v>
      </c>
      <c r="O174" s="10">
        <v>0</v>
      </c>
      <c r="P174" s="10">
        <v>0</v>
      </c>
      <c r="Q174" s="26">
        <f t="shared" si="6"/>
        <v>5</v>
      </c>
      <c r="R174" s="25">
        <v>0</v>
      </c>
      <c r="S174" s="10">
        <v>0</v>
      </c>
      <c r="T174" s="10">
        <v>0</v>
      </c>
      <c r="U174" s="10">
        <v>39</v>
      </c>
      <c r="V174" s="10">
        <v>25</v>
      </c>
      <c r="W174" s="10">
        <v>0</v>
      </c>
      <c r="X174" s="10">
        <v>0</v>
      </c>
      <c r="Y174" s="10">
        <v>0</v>
      </c>
      <c r="Z174" s="10">
        <v>0</v>
      </c>
      <c r="AA174" s="10">
        <v>0</v>
      </c>
      <c r="AB174" s="10">
        <v>0</v>
      </c>
      <c r="AC174" s="10">
        <v>0</v>
      </c>
      <c r="AD174" s="26">
        <f t="shared" si="7"/>
        <v>64</v>
      </c>
      <c r="AE174" s="25">
        <v>0</v>
      </c>
      <c r="AF174" s="10">
        <v>0</v>
      </c>
      <c r="AG174" s="10">
        <v>0</v>
      </c>
      <c r="AH174" s="10">
        <v>0</v>
      </c>
      <c r="AI174" s="10">
        <v>0</v>
      </c>
      <c r="AJ174" s="10">
        <v>0</v>
      </c>
      <c r="AK174" s="10">
        <v>0</v>
      </c>
      <c r="AL174" s="10">
        <v>0</v>
      </c>
      <c r="AM174" s="10">
        <v>0</v>
      </c>
      <c r="AN174" s="10">
        <v>0</v>
      </c>
      <c r="AO174" s="10">
        <v>0</v>
      </c>
      <c r="AP174" s="10">
        <v>0</v>
      </c>
      <c r="AQ174" s="26">
        <f t="shared" si="8"/>
        <v>0</v>
      </c>
    </row>
    <row r="175" spans="1:43" ht="17.25" customHeight="1" x14ac:dyDescent="0.45">
      <c r="A175" s="2" t="s">
        <v>290</v>
      </c>
      <c r="B175" s="2" t="s">
        <v>199</v>
      </c>
      <c r="C175" s="2" t="s">
        <v>19</v>
      </c>
      <c r="D175" s="2" t="s">
        <v>66</v>
      </c>
      <c r="E175" s="23">
        <v>0</v>
      </c>
      <c r="F175" s="1">
        <v>0</v>
      </c>
      <c r="G175" s="1">
        <v>0</v>
      </c>
      <c r="H175" s="1">
        <v>0</v>
      </c>
      <c r="I175" s="1">
        <v>1</v>
      </c>
      <c r="J175" s="1">
        <v>0</v>
      </c>
      <c r="K175" s="1">
        <v>0</v>
      </c>
      <c r="L175" s="1">
        <v>0</v>
      </c>
      <c r="M175" s="1">
        <v>0</v>
      </c>
      <c r="N175" s="1">
        <v>0</v>
      </c>
      <c r="O175" s="1">
        <v>0</v>
      </c>
      <c r="P175" s="1">
        <v>0</v>
      </c>
      <c r="Q175" s="24">
        <f t="shared" si="6"/>
        <v>1</v>
      </c>
      <c r="R175" s="23">
        <v>0</v>
      </c>
      <c r="S175" s="1">
        <v>0</v>
      </c>
      <c r="T175" s="1">
        <v>0</v>
      </c>
      <c r="U175" s="1">
        <v>0</v>
      </c>
      <c r="V175" s="1">
        <v>0</v>
      </c>
      <c r="W175" s="1">
        <v>0</v>
      </c>
      <c r="X175" s="1">
        <v>0</v>
      </c>
      <c r="Y175" s="1">
        <v>0</v>
      </c>
      <c r="Z175" s="1">
        <v>0</v>
      </c>
      <c r="AA175" s="1">
        <v>0</v>
      </c>
      <c r="AB175" s="1">
        <v>0</v>
      </c>
      <c r="AC175" s="1">
        <v>0</v>
      </c>
      <c r="AD175" s="24">
        <f t="shared" si="7"/>
        <v>0</v>
      </c>
      <c r="AE175" s="23">
        <v>0</v>
      </c>
      <c r="AF175" s="1">
        <v>0</v>
      </c>
      <c r="AG175" s="1">
        <v>0</v>
      </c>
      <c r="AH175" s="1">
        <v>0</v>
      </c>
      <c r="AI175" s="1">
        <v>32784</v>
      </c>
      <c r="AJ175" s="1">
        <v>0</v>
      </c>
      <c r="AK175" s="1">
        <v>0</v>
      </c>
      <c r="AL175" s="1">
        <v>0</v>
      </c>
      <c r="AM175" s="1">
        <v>0</v>
      </c>
      <c r="AN175" s="1">
        <v>0</v>
      </c>
      <c r="AO175" s="1">
        <v>0</v>
      </c>
      <c r="AP175" s="1">
        <v>0</v>
      </c>
      <c r="AQ175" s="24">
        <f t="shared" si="8"/>
        <v>32784</v>
      </c>
    </row>
    <row r="176" spans="1:43" ht="17.25" customHeight="1" x14ac:dyDescent="0.45">
      <c r="A176" s="12" t="s">
        <v>266</v>
      </c>
      <c r="B176" s="12" t="s">
        <v>68</v>
      </c>
      <c r="C176" s="12" t="s">
        <v>32</v>
      </c>
      <c r="D176" s="12" t="s">
        <v>66</v>
      </c>
      <c r="E176" s="25">
        <v>0</v>
      </c>
      <c r="F176" s="10">
        <v>1</v>
      </c>
      <c r="G176" s="10">
        <v>0</v>
      </c>
      <c r="H176" s="10">
        <v>0</v>
      </c>
      <c r="I176" s="10">
        <v>0</v>
      </c>
      <c r="J176" s="10">
        <v>0</v>
      </c>
      <c r="K176" s="10">
        <v>0</v>
      </c>
      <c r="L176" s="10">
        <v>0</v>
      </c>
      <c r="M176" s="10">
        <v>0</v>
      </c>
      <c r="N176" s="10">
        <v>0</v>
      </c>
      <c r="O176" s="10">
        <v>0</v>
      </c>
      <c r="P176" s="10">
        <v>0</v>
      </c>
      <c r="Q176" s="26">
        <f t="shared" si="6"/>
        <v>1</v>
      </c>
      <c r="R176" s="25">
        <v>0</v>
      </c>
      <c r="S176" s="10">
        <v>38</v>
      </c>
      <c r="T176" s="10">
        <v>0</v>
      </c>
      <c r="U176" s="10">
        <v>0</v>
      </c>
      <c r="V176" s="10">
        <v>0</v>
      </c>
      <c r="W176" s="10">
        <v>0</v>
      </c>
      <c r="X176" s="10">
        <v>0</v>
      </c>
      <c r="Y176" s="10">
        <v>0</v>
      </c>
      <c r="Z176" s="10">
        <v>0</v>
      </c>
      <c r="AA176" s="10">
        <v>0</v>
      </c>
      <c r="AB176" s="10">
        <v>0</v>
      </c>
      <c r="AC176" s="10">
        <v>0</v>
      </c>
      <c r="AD176" s="26">
        <f t="shared" si="7"/>
        <v>38</v>
      </c>
      <c r="AE176" s="25">
        <v>0</v>
      </c>
      <c r="AF176" s="10">
        <v>0</v>
      </c>
      <c r="AG176" s="10">
        <v>0</v>
      </c>
      <c r="AH176" s="10">
        <v>0</v>
      </c>
      <c r="AI176" s="10">
        <v>0</v>
      </c>
      <c r="AJ176" s="10">
        <v>0</v>
      </c>
      <c r="AK176" s="10">
        <v>0</v>
      </c>
      <c r="AL176" s="10">
        <v>0</v>
      </c>
      <c r="AM176" s="10">
        <v>0</v>
      </c>
      <c r="AN176" s="10">
        <v>0</v>
      </c>
      <c r="AO176" s="10">
        <v>0</v>
      </c>
      <c r="AP176" s="10">
        <v>0</v>
      </c>
      <c r="AQ176" s="26">
        <f t="shared" si="8"/>
        <v>0</v>
      </c>
    </row>
    <row r="177" spans="1:43" ht="17.25" customHeight="1" x14ac:dyDescent="0.45">
      <c r="A177" s="2" t="s">
        <v>294</v>
      </c>
      <c r="B177" s="2" t="s">
        <v>107</v>
      </c>
      <c r="C177" s="2" t="s">
        <v>13</v>
      </c>
      <c r="D177" s="2" t="s">
        <v>66</v>
      </c>
      <c r="E177" s="23">
        <v>0</v>
      </c>
      <c r="F177" s="1">
        <v>0</v>
      </c>
      <c r="G177" s="1">
        <v>0</v>
      </c>
      <c r="H177" s="1">
        <v>0</v>
      </c>
      <c r="I177" s="1">
        <v>1</v>
      </c>
      <c r="J177" s="1">
        <v>0</v>
      </c>
      <c r="K177" s="1">
        <v>0</v>
      </c>
      <c r="L177" s="1">
        <v>0</v>
      </c>
      <c r="M177" s="1">
        <v>0</v>
      </c>
      <c r="N177" s="1">
        <v>0</v>
      </c>
      <c r="O177" s="1">
        <v>0</v>
      </c>
      <c r="P177" s="1">
        <v>0</v>
      </c>
      <c r="Q177" s="24">
        <f t="shared" si="6"/>
        <v>1</v>
      </c>
      <c r="R177" s="23">
        <v>0</v>
      </c>
      <c r="S177" s="1">
        <v>0</v>
      </c>
      <c r="T177" s="1">
        <v>0</v>
      </c>
      <c r="U177" s="1">
        <v>0</v>
      </c>
      <c r="V177" s="1">
        <v>0</v>
      </c>
      <c r="W177" s="1">
        <v>0</v>
      </c>
      <c r="X177" s="1">
        <v>0</v>
      </c>
      <c r="Y177" s="1">
        <v>0</v>
      </c>
      <c r="Z177" s="1">
        <v>0</v>
      </c>
      <c r="AA177" s="1">
        <v>0</v>
      </c>
      <c r="AB177" s="1">
        <v>0</v>
      </c>
      <c r="AC177" s="1">
        <v>0</v>
      </c>
      <c r="AD177" s="24">
        <f t="shared" si="7"/>
        <v>0</v>
      </c>
      <c r="AE177" s="23">
        <v>0</v>
      </c>
      <c r="AF177" s="1">
        <v>0</v>
      </c>
      <c r="AG177" s="1">
        <v>0</v>
      </c>
      <c r="AH177" s="1">
        <v>0</v>
      </c>
      <c r="AI177" s="1">
        <v>100748</v>
      </c>
      <c r="AJ177" s="1">
        <v>0</v>
      </c>
      <c r="AK177" s="1">
        <v>0</v>
      </c>
      <c r="AL177" s="1">
        <v>0</v>
      </c>
      <c r="AM177" s="1">
        <v>0</v>
      </c>
      <c r="AN177" s="1">
        <v>0</v>
      </c>
      <c r="AO177" s="1">
        <v>0</v>
      </c>
      <c r="AP177" s="1">
        <v>0</v>
      </c>
      <c r="AQ177" s="24">
        <f t="shared" si="8"/>
        <v>100748</v>
      </c>
    </row>
    <row r="178" spans="1:43" ht="17.25" customHeight="1" x14ac:dyDescent="0.45">
      <c r="A178" s="12" t="s">
        <v>110</v>
      </c>
      <c r="B178" s="12" t="s">
        <v>65</v>
      </c>
      <c r="C178" s="12" t="s">
        <v>28</v>
      </c>
      <c r="D178" s="12" t="s">
        <v>66</v>
      </c>
      <c r="E178" s="25">
        <v>0</v>
      </c>
      <c r="F178" s="10">
        <v>0</v>
      </c>
      <c r="G178" s="10">
        <v>0</v>
      </c>
      <c r="H178" s="10">
        <v>1</v>
      </c>
      <c r="I178" s="10">
        <v>0</v>
      </c>
      <c r="J178" s="10">
        <v>0</v>
      </c>
      <c r="K178" s="10">
        <v>0</v>
      </c>
      <c r="L178" s="10">
        <v>0</v>
      </c>
      <c r="M178" s="10">
        <v>0</v>
      </c>
      <c r="N178" s="10">
        <v>0</v>
      </c>
      <c r="O178" s="10">
        <v>0</v>
      </c>
      <c r="P178" s="10">
        <v>0</v>
      </c>
      <c r="Q178" s="26">
        <f t="shared" si="6"/>
        <v>1</v>
      </c>
      <c r="R178" s="25">
        <v>0</v>
      </c>
      <c r="S178" s="10">
        <v>0</v>
      </c>
      <c r="T178" s="10">
        <v>0</v>
      </c>
      <c r="U178" s="10">
        <v>0</v>
      </c>
      <c r="V178" s="10">
        <v>0</v>
      </c>
      <c r="W178" s="10">
        <v>0</v>
      </c>
      <c r="X178" s="10">
        <v>0</v>
      </c>
      <c r="Y178" s="10">
        <v>0</v>
      </c>
      <c r="Z178" s="10">
        <v>0</v>
      </c>
      <c r="AA178" s="10">
        <v>0</v>
      </c>
      <c r="AB178" s="10">
        <v>0</v>
      </c>
      <c r="AC178" s="10">
        <v>0</v>
      </c>
      <c r="AD178" s="26">
        <f t="shared" si="7"/>
        <v>0</v>
      </c>
      <c r="AE178" s="25">
        <v>0</v>
      </c>
      <c r="AF178" s="10">
        <v>0</v>
      </c>
      <c r="AG178" s="10">
        <v>0</v>
      </c>
      <c r="AH178" s="10">
        <v>18064</v>
      </c>
      <c r="AI178" s="10">
        <v>0</v>
      </c>
      <c r="AJ178" s="10">
        <v>0</v>
      </c>
      <c r="AK178" s="10">
        <v>0</v>
      </c>
      <c r="AL178" s="10">
        <v>0</v>
      </c>
      <c r="AM178" s="10">
        <v>0</v>
      </c>
      <c r="AN178" s="10">
        <v>0</v>
      </c>
      <c r="AO178" s="10">
        <v>0</v>
      </c>
      <c r="AP178" s="10">
        <v>0</v>
      </c>
      <c r="AQ178" s="26">
        <f t="shared" si="8"/>
        <v>18064</v>
      </c>
    </row>
    <row r="179" spans="1:43" ht="17.25" customHeight="1" x14ac:dyDescent="0.45">
      <c r="A179" s="2" t="s">
        <v>110</v>
      </c>
      <c r="B179" s="2" t="s">
        <v>65</v>
      </c>
      <c r="C179" s="2" t="s">
        <v>206</v>
      </c>
      <c r="D179" s="2" t="s">
        <v>66</v>
      </c>
      <c r="E179" s="23">
        <v>0</v>
      </c>
      <c r="F179" s="1">
        <v>0</v>
      </c>
      <c r="G179" s="1">
        <v>0</v>
      </c>
      <c r="H179" s="1">
        <v>0</v>
      </c>
      <c r="I179" s="1">
        <v>1</v>
      </c>
      <c r="J179" s="1">
        <v>0</v>
      </c>
      <c r="K179" s="1">
        <v>0</v>
      </c>
      <c r="L179" s="1">
        <v>0</v>
      </c>
      <c r="M179" s="1">
        <v>0</v>
      </c>
      <c r="N179" s="1">
        <v>0</v>
      </c>
      <c r="O179" s="1">
        <v>0</v>
      </c>
      <c r="P179" s="1">
        <v>0</v>
      </c>
      <c r="Q179" s="24">
        <f t="shared" si="6"/>
        <v>1</v>
      </c>
      <c r="R179" s="23">
        <v>0</v>
      </c>
      <c r="S179" s="1">
        <v>0</v>
      </c>
      <c r="T179" s="1">
        <v>0</v>
      </c>
      <c r="U179" s="1">
        <v>0</v>
      </c>
      <c r="V179" s="1">
        <v>0</v>
      </c>
      <c r="W179" s="1">
        <v>0</v>
      </c>
      <c r="X179" s="1">
        <v>0</v>
      </c>
      <c r="Y179" s="1">
        <v>0</v>
      </c>
      <c r="Z179" s="1">
        <v>0</v>
      </c>
      <c r="AA179" s="1">
        <v>0</v>
      </c>
      <c r="AB179" s="1">
        <v>0</v>
      </c>
      <c r="AC179" s="1">
        <v>0</v>
      </c>
      <c r="AD179" s="24">
        <f t="shared" si="7"/>
        <v>0</v>
      </c>
      <c r="AE179" s="23">
        <v>0</v>
      </c>
      <c r="AF179" s="1">
        <v>0</v>
      </c>
      <c r="AG179" s="1">
        <v>0</v>
      </c>
      <c r="AH179" s="1">
        <v>0</v>
      </c>
      <c r="AI179" s="1">
        <v>16943</v>
      </c>
      <c r="AJ179" s="1">
        <v>0</v>
      </c>
      <c r="AK179" s="1">
        <v>0</v>
      </c>
      <c r="AL179" s="1">
        <v>0</v>
      </c>
      <c r="AM179" s="1">
        <v>0</v>
      </c>
      <c r="AN179" s="1">
        <v>0</v>
      </c>
      <c r="AO179" s="1">
        <v>0</v>
      </c>
      <c r="AP179" s="1">
        <v>0</v>
      </c>
      <c r="AQ179" s="24">
        <f t="shared" si="8"/>
        <v>16943</v>
      </c>
    </row>
    <row r="180" spans="1:43" ht="17.25" customHeight="1" x14ac:dyDescent="0.45">
      <c r="A180" s="12" t="s">
        <v>110</v>
      </c>
      <c r="B180" s="12" t="s">
        <v>65</v>
      </c>
      <c r="C180" s="12" t="s">
        <v>14</v>
      </c>
      <c r="D180" s="12" t="s">
        <v>66</v>
      </c>
      <c r="E180" s="25">
        <v>0</v>
      </c>
      <c r="F180" s="10">
        <v>0</v>
      </c>
      <c r="G180" s="10">
        <v>0</v>
      </c>
      <c r="H180" s="10">
        <v>0</v>
      </c>
      <c r="I180" s="10">
        <v>0</v>
      </c>
      <c r="J180" s="10">
        <v>0</v>
      </c>
      <c r="K180" s="10">
        <v>0</v>
      </c>
      <c r="L180" s="10">
        <v>0</v>
      </c>
      <c r="M180" s="10">
        <v>1</v>
      </c>
      <c r="N180" s="10">
        <v>0</v>
      </c>
      <c r="O180" s="10">
        <v>1</v>
      </c>
      <c r="P180" s="10">
        <v>0</v>
      </c>
      <c r="Q180" s="26">
        <f t="shared" si="6"/>
        <v>2</v>
      </c>
      <c r="R180" s="25">
        <v>0</v>
      </c>
      <c r="S180" s="10">
        <v>0</v>
      </c>
      <c r="T180" s="10">
        <v>0</v>
      </c>
      <c r="U180" s="10">
        <v>0</v>
      </c>
      <c r="V180" s="10">
        <v>0</v>
      </c>
      <c r="W180" s="10">
        <v>0</v>
      </c>
      <c r="X180" s="10">
        <v>0</v>
      </c>
      <c r="Y180" s="10">
        <v>0</v>
      </c>
      <c r="Z180" s="10">
        <v>0</v>
      </c>
      <c r="AA180" s="10">
        <v>0</v>
      </c>
      <c r="AB180" s="10">
        <v>0</v>
      </c>
      <c r="AC180" s="10">
        <v>0</v>
      </c>
      <c r="AD180" s="26">
        <f t="shared" si="7"/>
        <v>0</v>
      </c>
      <c r="AE180" s="25">
        <v>0</v>
      </c>
      <c r="AF180" s="10">
        <v>0</v>
      </c>
      <c r="AG180" s="10">
        <v>0</v>
      </c>
      <c r="AH180" s="10">
        <v>0</v>
      </c>
      <c r="AI180" s="10">
        <v>0</v>
      </c>
      <c r="AJ180" s="10">
        <v>0</v>
      </c>
      <c r="AK180" s="10">
        <v>0</v>
      </c>
      <c r="AL180" s="10">
        <v>0</v>
      </c>
      <c r="AM180" s="10">
        <v>95683</v>
      </c>
      <c r="AN180" s="10">
        <v>0</v>
      </c>
      <c r="AO180" s="10">
        <v>90674</v>
      </c>
      <c r="AP180" s="10">
        <v>0</v>
      </c>
      <c r="AQ180" s="26">
        <f t="shared" si="8"/>
        <v>186357</v>
      </c>
    </row>
    <row r="181" spans="1:43" ht="17.25" customHeight="1" x14ac:dyDescent="0.45">
      <c r="A181" s="2" t="s">
        <v>212</v>
      </c>
      <c r="B181" s="2" t="s">
        <v>213</v>
      </c>
      <c r="C181" s="2" t="s">
        <v>10</v>
      </c>
      <c r="D181" s="2" t="s">
        <v>66</v>
      </c>
      <c r="E181" s="23">
        <v>2</v>
      </c>
      <c r="F181" s="1">
        <v>1</v>
      </c>
      <c r="G181" s="1">
        <v>3</v>
      </c>
      <c r="H181" s="1">
        <v>0</v>
      </c>
      <c r="I181" s="1">
        <v>0</v>
      </c>
      <c r="J181" s="1">
        <v>0</v>
      </c>
      <c r="K181" s="1">
        <v>0</v>
      </c>
      <c r="L181" s="1">
        <v>0</v>
      </c>
      <c r="M181" s="1">
        <v>0</v>
      </c>
      <c r="N181" s="1">
        <v>0</v>
      </c>
      <c r="O181" s="1">
        <v>2</v>
      </c>
      <c r="P181" s="1">
        <v>2</v>
      </c>
      <c r="Q181" s="24">
        <f t="shared" si="6"/>
        <v>10</v>
      </c>
      <c r="R181" s="23">
        <v>592</v>
      </c>
      <c r="S181" s="1">
        <v>277</v>
      </c>
      <c r="T181" s="1">
        <v>697</v>
      </c>
      <c r="U181" s="1">
        <v>0</v>
      </c>
      <c r="V181" s="1">
        <v>0</v>
      </c>
      <c r="W181" s="1">
        <v>0</v>
      </c>
      <c r="X181" s="1">
        <v>0</v>
      </c>
      <c r="Y181" s="1">
        <v>0</v>
      </c>
      <c r="Z181" s="1">
        <v>0</v>
      </c>
      <c r="AA181" s="1">
        <v>0</v>
      </c>
      <c r="AB181" s="1">
        <v>633</v>
      </c>
      <c r="AC181" s="1">
        <v>291</v>
      </c>
      <c r="AD181" s="24">
        <f t="shared" si="7"/>
        <v>2490</v>
      </c>
      <c r="AE181" s="23">
        <v>0</v>
      </c>
      <c r="AF181" s="1">
        <v>0</v>
      </c>
      <c r="AG181" s="1">
        <v>0</v>
      </c>
      <c r="AH181" s="1">
        <v>0</v>
      </c>
      <c r="AI181" s="1">
        <v>0</v>
      </c>
      <c r="AJ181" s="1">
        <v>0</v>
      </c>
      <c r="AK181" s="1">
        <v>0</v>
      </c>
      <c r="AL181" s="1">
        <v>0</v>
      </c>
      <c r="AM181" s="1">
        <v>0</v>
      </c>
      <c r="AN181" s="1">
        <v>0</v>
      </c>
      <c r="AO181" s="1">
        <v>0</v>
      </c>
      <c r="AP181" s="1">
        <v>0</v>
      </c>
      <c r="AQ181" s="24">
        <f t="shared" si="8"/>
        <v>0</v>
      </c>
    </row>
    <row r="182" spans="1:43" ht="17.25" customHeight="1" x14ac:dyDescent="0.45">
      <c r="A182" s="12" t="s">
        <v>38</v>
      </c>
      <c r="B182" s="12" t="s">
        <v>66</v>
      </c>
      <c r="C182" s="12" t="s">
        <v>221</v>
      </c>
      <c r="D182" s="12" t="s">
        <v>68</v>
      </c>
      <c r="E182" s="25">
        <v>3</v>
      </c>
      <c r="F182" s="10">
        <v>1</v>
      </c>
      <c r="G182" s="10">
        <v>0</v>
      </c>
      <c r="H182" s="10">
        <v>0</v>
      </c>
      <c r="I182" s="10">
        <v>8</v>
      </c>
      <c r="J182" s="10">
        <v>21</v>
      </c>
      <c r="K182" s="10">
        <v>21</v>
      </c>
      <c r="L182" s="10">
        <v>23</v>
      </c>
      <c r="M182" s="10">
        <v>20</v>
      </c>
      <c r="N182" s="10">
        <v>23</v>
      </c>
      <c r="O182" s="10">
        <v>21</v>
      </c>
      <c r="P182" s="10">
        <v>23</v>
      </c>
      <c r="Q182" s="26">
        <f t="shared" si="6"/>
        <v>164</v>
      </c>
      <c r="R182" s="25">
        <v>0</v>
      </c>
      <c r="S182" s="10">
        <v>0</v>
      </c>
      <c r="T182" s="10">
        <v>0</v>
      </c>
      <c r="U182" s="10">
        <v>0</v>
      </c>
      <c r="V182" s="10">
        <v>0</v>
      </c>
      <c r="W182" s="10">
        <v>0</v>
      </c>
      <c r="X182" s="10">
        <v>0</v>
      </c>
      <c r="Y182" s="10">
        <v>0</v>
      </c>
      <c r="Z182" s="10">
        <v>0</v>
      </c>
      <c r="AA182" s="10">
        <v>0</v>
      </c>
      <c r="AB182" s="10">
        <v>0</v>
      </c>
      <c r="AC182" s="10">
        <v>0</v>
      </c>
      <c r="AD182" s="26">
        <f t="shared" si="7"/>
        <v>0</v>
      </c>
      <c r="AE182" s="25">
        <v>2938</v>
      </c>
      <c r="AF182" s="10">
        <v>1095</v>
      </c>
      <c r="AG182" s="10">
        <v>0</v>
      </c>
      <c r="AH182" s="10">
        <v>0</v>
      </c>
      <c r="AI182" s="10">
        <v>9380</v>
      </c>
      <c r="AJ182" s="10">
        <v>35470</v>
      </c>
      <c r="AK182" s="10">
        <v>53141</v>
      </c>
      <c r="AL182" s="10">
        <v>27253</v>
      </c>
      <c r="AM182" s="10">
        <v>22512</v>
      </c>
      <c r="AN182" s="10">
        <v>33590</v>
      </c>
      <c r="AO182" s="10">
        <v>25774</v>
      </c>
      <c r="AP182" s="10">
        <v>25699</v>
      </c>
      <c r="AQ182" s="26">
        <f t="shared" si="8"/>
        <v>236852</v>
      </c>
    </row>
    <row r="183" spans="1:43" ht="17.25" customHeight="1" x14ac:dyDescent="0.45">
      <c r="A183" s="2" t="s">
        <v>38</v>
      </c>
      <c r="B183" s="2" t="s">
        <v>66</v>
      </c>
      <c r="C183" s="2" t="s">
        <v>194</v>
      </c>
      <c r="D183" s="2" t="s">
        <v>68</v>
      </c>
      <c r="E183" s="23">
        <v>0</v>
      </c>
      <c r="F183" s="1">
        <v>0</v>
      </c>
      <c r="G183" s="1">
        <v>0</v>
      </c>
      <c r="H183" s="1">
        <v>0</v>
      </c>
      <c r="I183" s="1">
        <v>0</v>
      </c>
      <c r="J183" s="1">
        <v>1</v>
      </c>
      <c r="K183" s="1">
        <v>0</v>
      </c>
      <c r="L183" s="1">
        <v>0</v>
      </c>
      <c r="M183" s="1">
        <v>2</v>
      </c>
      <c r="N183" s="1">
        <v>2</v>
      </c>
      <c r="O183" s="1">
        <v>1</v>
      </c>
      <c r="P183" s="1">
        <v>3</v>
      </c>
      <c r="Q183" s="24">
        <f t="shared" si="6"/>
        <v>9</v>
      </c>
      <c r="R183" s="23">
        <v>0</v>
      </c>
      <c r="S183" s="1">
        <v>0</v>
      </c>
      <c r="T183" s="1">
        <v>0</v>
      </c>
      <c r="U183" s="1">
        <v>0</v>
      </c>
      <c r="V183" s="1">
        <v>0</v>
      </c>
      <c r="W183" s="1">
        <v>0</v>
      </c>
      <c r="X183" s="1">
        <v>0</v>
      </c>
      <c r="Y183" s="1">
        <v>0</v>
      </c>
      <c r="Z183" s="1">
        <v>0</v>
      </c>
      <c r="AA183" s="1">
        <v>0</v>
      </c>
      <c r="AB183" s="1">
        <v>0</v>
      </c>
      <c r="AC183" s="1">
        <v>0</v>
      </c>
      <c r="AD183" s="24">
        <f t="shared" si="7"/>
        <v>0</v>
      </c>
      <c r="AE183" s="23">
        <v>0</v>
      </c>
      <c r="AF183" s="1">
        <v>0</v>
      </c>
      <c r="AG183" s="1">
        <v>0</v>
      </c>
      <c r="AH183" s="1">
        <v>0</v>
      </c>
      <c r="AI183" s="1">
        <v>0</v>
      </c>
      <c r="AJ183" s="1">
        <v>1086</v>
      </c>
      <c r="AK183" s="1">
        <v>0</v>
      </c>
      <c r="AL183" s="1">
        <v>0</v>
      </c>
      <c r="AM183" s="1">
        <v>4727</v>
      </c>
      <c r="AN183" s="1">
        <v>4064</v>
      </c>
      <c r="AO183" s="1">
        <v>1886</v>
      </c>
      <c r="AP183" s="1">
        <v>6325</v>
      </c>
      <c r="AQ183" s="24">
        <f t="shared" si="8"/>
        <v>18088</v>
      </c>
    </row>
    <row r="184" spans="1:43" ht="17.25" customHeight="1" x14ac:dyDescent="0.45">
      <c r="A184" s="12" t="s">
        <v>38</v>
      </c>
      <c r="B184" s="12" t="s">
        <v>66</v>
      </c>
      <c r="C184" s="12" t="s">
        <v>73</v>
      </c>
      <c r="D184" s="12" t="s">
        <v>68</v>
      </c>
      <c r="E184" s="25">
        <v>0</v>
      </c>
      <c r="F184" s="10">
        <v>0</v>
      </c>
      <c r="G184" s="10">
        <v>0</v>
      </c>
      <c r="H184" s="10">
        <v>0</v>
      </c>
      <c r="I184" s="10">
        <v>0</v>
      </c>
      <c r="J184" s="10">
        <v>0</v>
      </c>
      <c r="K184" s="10">
        <v>1</v>
      </c>
      <c r="L184" s="10">
        <v>0</v>
      </c>
      <c r="M184" s="10">
        <v>0</v>
      </c>
      <c r="N184" s="10">
        <v>0</v>
      </c>
      <c r="O184" s="10">
        <v>0</v>
      </c>
      <c r="P184" s="10">
        <v>0</v>
      </c>
      <c r="Q184" s="26">
        <f t="shared" si="6"/>
        <v>1</v>
      </c>
      <c r="R184" s="25">
        <v>0</v>
      </c>
      <c r="S184" s="10">
        <v>0</v>
      </c>
      <c r="T184" s="10">
        <v>0</v>
      </c>
      <c r="U184" s="10">
        <v>0</v>
      </c>
      <c r="V184" s="10">
        <v>0</v>
      </c>
      <c r="W184" s="10">
        <v>0</v>
      </c>
      <c r="X184" s="10">
        <v>0</v>
      </c>
      <c r="Y184" s="10">
        <v>0</v>
      </c>
      <c r="Z184" s="10">
        <v>0</v>
      </c>
      <c r="AA184" s="10">
        <v>0</v>
      </c>
      <c r="AB184" s="10">
        <v>0</v>
      </c>
      <c r="AC184" s="10">
        <v>0</v>
      </c>
      <c r="AD184" s="26">
        <f t="shared" si="7"/>
        <v>0</v>
      </c>
      <c r="AE184" s="25">
        <v>0</v>
      </c>
      <c r="AF184" s="10">
        <v>0</v>
      </c>
      <c r="AG184" s="10">
        <v>0</v>
      </c>
      <c r="AH184" s="10">
        <v>0</v>
      </c>
      <c r="AI184" s="10">
        <v>0</v>
      </c>
      <c r="AJ184" s="10">
        <v>0</v>
      </c>
      <c r="AK184" s="10">
        <v>1300</v>
      </c>
      <c r="AL184" s="10">
        <v>0</v>
      </c>
      <c r="AM184" s="10">
        <v>0</v>
      </c>
      <c r="AN184" s="10">
        <v>0</v>
      </c>
      <c r="AO184" s="10">
        <v>0</v>
      </c>
      <c r="AP184" s="10">
        <v>0</v>
      </c>
      <c r="AQ184" s="26">
        <f t="shared" si="8"/>
        <v>1300</v>
      </c>
    </row>
    <row r="185" spans="1:43" ht="17.25" customHeight="1" x14ac:dyDescent="0.45">
      <c r="A185" s="2" t="s">
        <v>38</v>
      </c>
      <c r="B185" s="2" t="s">
        <v>66</v>
      </c>
      <c r="C185" s="2" t="s">
        <v>142</v>
      </c>
      <c r="D185" s="2" t="s">
        <v>68</v>
      </c>
      <c r="E185" s="23">
        <v>22</v>
      </c>
      <c r="F185" s="1">
        <v>19</v>
      </c>
      <c r="G185" s="1">
        <v>9</v>
      </c>
      <c r="H185" s="1">
        <v>20</v>
      </c>
      <c r="I185" s="1">
        <v>32</v>
      </c>
      <c r="J185" s="1">
        <v>20</v>
      </c>
      <c r="K185" s="1">
        <v>22</v>
      </c>
      <c r="L185" s="1">
        <v>21</v>
      </c>
      <c r="M185" s="1">
        <v>19</v>
      </c>
      <c r="N185" s="1">
        <v>22</v>
      </c>
      <c r="O185" s="1">
        <v>17</v>
      </c>
      <c r="P185" s="1">
        <v>20</v>
      </c>
      <c r="Q185" s="24">
        <f t="shared" si="6"/>
        <v>243</v>
      </c>
      <c r="R185" s="23">
        <v>0</v>
      </c>
      <c r="S185" s="1">
        <v>0</v>
      </c>
      <c r="T185" s="1">
        <v>0</v>
      </c>
      <c r="U185" s="1">
        <v>0</v>
      </c>
      <c r="V185" s="1">
        <v>0</v>
      </c>
      <c r="W185" s="1">
        <v>0</v>
      </c>
      <c r="X185" s="1">
        <v>0</v>
      </c>
      <c r="Y185" s="1">
        <v>0</v>
      </c>
      <c r="Z185" s="1">
        <v>0</v>
      </c>
      <c r="AA185" s="1">
        <v>0</v>
      </c>
      <c r="AB185" s="1">
        <v>0</v>
      </c>
      <c r="AC185" s="1">
        <v>0</v>
      </c>
      <c r="AD185" s="24">
        <f t="shared" si="7"/>
        <v>0</v>
      </c>
      <c r="AE185" s="23">
        <v>51900</v>
      </c>
      <c r="AF185" s="1">
        <v>42570</v>
      </c>
      <c r="AG185" s="1">
        <v>13000</v>
      </c>
      <c r="AH185" s="1">
        <v>33850</v>
      </c>
      <c r="AI185" s="1">
        <v>51957</v>
      </c>
      <c r="AJ185" s="1">
        <v>40200</v>
      </c>
      <c r="AK185" s="1">
        <v>39050</v>
      </c>
      <c r="AL185" s="1">
        <v>48805</v>
      </c>
      <c r="AM185" s="1">
        <v>37700</v>
      </c>
      <c r="AN185" s="1">
        <v>53700</v>
      </c>
      <c r="AO185" s="1">
        <v>28100</v>
      </c>
      <c r="AP185" s="1">
        <v>33150</v>
      </c>
      <c r="AQ185" s="24">
        <f t="shared" si="8"/>
        <v>473982</v>
      </c>
    </row>
    <row r="186" spans="1:43" ht="17.25" customHeight="1" x14ac:dyDescent="0.45">
      <c r="A186" s="12" t="s">
        <v>182</v>
      </c>
      <c r="B186" s="12" t="s">
        <v>183</v>
      </c>
      <c r="C186" s="12" t="s">
        <v>11</v>
      </c>
      <c r="D186" s="12" t="s">
        <v>66</v>
      </c>
      <c r="E186" s="25">
        <v>4</v>
      </c>
      <c r="F186" s="10">
        <v>3</v>
      </c>
      <c r="G186" s="10">
        <v>4</v>
      </c>
      <c r="H186" s="10">
        <v>5</v>
      </c>
      <c r="I186" s="10">
        <v>4</v>
      </c>
      <c r="J186" s="10">
        <v>4</v>
      </c>
      <c r="K186" s="10">
        <v>5</v>
      </c>
      <c r="L186" s="10">
        <v>4</v>
      </c>
      <c r="M186" s="10">
        <v>4</v>
      </c>
      <c r="N186" s="10">
        <v>5</v>
      </c>
      <c r="O186" s="10">
        <v>8</v>
      </c>
      <c r="P186" s="10">
        <v>6</v>
      </c>
      <c r="Q186" s="26">
        <f t="shared" si="6"/>
        <v>56</v>
      </c>
      <c r="R186" s="25">
        <v>0</v>
      </c>
      <c r="S186" s="10">
        <v>0</v>
      </c>
      <c r="T186" s="10">
        <v>0</v>
      </c>
      <c r="U186" s="10">
        <v>0</v>
      </c>
      <c r="V186" s="10">
        <v>0</v>
      </c>
      <c r="W186" s="10">
        <v>0</v>
      </c>
      <c r="X186" s="10">
        <v>0</v>
      </c>
      <c r="Y186" s="10">
        <v>0</v>
      </c>
      <c r="Z186" s="10">
        <v>0</v>
      </c>
      <c r="AA186" s="10">
        <v>0</v>
      </c>
      <c r="AB186" s="10">
        <v>0</v>
      </c>
      <c r="AC186" s="10">
        <v>0</v>
      </c>
      <c r="AD186" s="26">
        <f t="shared" si="7"/>
        <v>0</v>
      </c>
      <c r="AE186" s="25">
        <v>364268</v>
      </c>
      <c r="AF186" s="10">
        <v>278566</v>
      </c>
      <c r="AG186" s="10">
        <v>409782</v>
      </c>
      <c r="AH186" s="10">
        <v>478627</v>
      </c>
      <c r="AI186" s="10">
        <v>396147</v>
      </c>
      <c r="AJ186" s="10">
        <v>394761</v>
      </c>
      <c r="AK186" s="10">
        <v>465922</v>
      </c>
      <c r="AL186" s="10">
        <v>426010</v>
      </c>
      <c r="AM186" s="10">
        <v>391660</v>
      </c>
      <c r="AN186" s="10">
        <v>501071</v>
      </c>
      <c r="AO186" s="10">
        <v>817973</v>
      </c>
      <c r="AP186" s="10">
        <v>588875</v>
      </c>
      <c r="AQ186" s="26">
        <f t="shared" si="8"/>
        <v>5513662</v>
      </c>
    </row>
    <row r="187" spans="1:43" ht="17.25" customHeight="1" x14ac:dyDescent="0.45">
      <c r="A187" s="2" t="s">
        <v>182</v>
      </c>
      <c r="B187" s="2" t="s">
        <v>183</v>
      </c>
      <c r="C187" s="2" t="s">
        <v>14</v>
      </c>
      <c r="D187" s="2" t="s">
        <v>66</v>
      </c>
      <c r="E187" s="23">
        <v>7</v>
      </c>
      <c r="F187" s="1">
        <v>12</v>
      </c>
      <c r="G187" s="1">
        <v>9</v>
      </c>
      <c r="H187" s="1">
        <v>31</v>
      </c>
      <c r="I187" s="1">
        <v>27</v>
      </c>
      <c r="J187" s="1">
        <v>23</v>
      </c>
      <c r="K187" s="1">
        <v>22</v>
      </c>
      <c r="L187" s="1">
        <v>21</v>
      </c>
      <c r="M187" s="1">
        <v>18</v>
      </c>
      <c r="N187" s="1">
        <v>22</v>
      </c>
      <c r="O187" s="1">
        <v>19</v>
      </c>
      <c r="P187" s="1">
        <v>18</v>
      </c>
      <c r="Q187" s="24">
        <f t="shared" si="6"/>
        <v>229</v>
      </c>
      <c r="R187" s="23">
        <v>0</v>
      </c>
      <c r="S187" s="1">
        <v>0</v>
      </c>
      <c r="T187" s="1">
        <v>0</v>
      </c>
      <c r="U187" s="1">
        <v>0</v>
      </c>
      <c r="V187" s="1">
        <v>0</v>
      </c>
      <c r="W187" s="1">
        <v>0</v>
      </c>
      <c r="X187" s="1">
        <v>0</v>
      </c>
      <c r="Y187" s="1">
        <v>0</v>
      </c>
      <c r="Z187" s="1">
        <v>0</v>
      </c>
      <c r="AA187" s="1">
        <v>0</v>
      </c>
      <c r="AB187" s="1">
        <v>0</v>
      </c>
      <c r="AC187" s="1">
        <v>0</v>
      </c>
      <c r="AD187" s="24">
        <f t="shared" si="7"/>
        <v>0</v>
      </c>
      <c r="AE187" s="23">
        <v>660787</v>
      </c>
      <c r="AF187" s="1">
        <v>1066091</v>
      </c>
      <c r="AG187" s="1">
        <v>851419</v>
      </c>
      <c r="AH187" s="1">
        <v>3027038</v>
      </c>
      <c r="AI187" s="1">
        <v>2865146</v>
      </c>
      <c r="AJ187" s="1">
        <v>2480160</v>
      </c>
      <c r="AK187" s="1">
        <v>2323231</v>
      </c>
      <c r="AL187" s="1">
        <v>2219473</v>
      </c>
      <c r="AM187" s="1">
        <v>1844972</v>
      </c>
      <c r="AN187" s="1">
        <v>2372442</v>
      </c>
      <c r="AO187" s="1">
        <v>2046549</v>
      </c>
      <c r="AP187" s="1">
        <v>1917674</v>
      </c>
      <c r="AQ187" s="24">
        <f t="shared" si="8"/>
        <v>23674982</v>
      </c>
    </row>
    <row r="188" spans="1:43" ht="17.25" customHeight="1" x14ac:dyDescent="0.45">
      <c r="A188" s="12" t="s">
        <v>303</v>
      </c>
      <c r="B188" s="12" t="s">
        <v>68</v>
      </c>
      <c r="C188" s="12" t="s">
        <v>14</v>
      </c>
      <c r="D188" s="12" t="s">
        <v>66</v>
      </c>
      <c r="E188" s="25">
        <v>0</v>
      </c>
      <c r="F188" s="10">
        <v>0</v>
      </c>
      <c r="G188" s="10">
        <v>0</v>
      </c>
      <c r="H188" s="10">
        <v>0</v>
      </c>
      <c r="I188" s="10">
        <v>0</v>
      </c>
      <c r="J188" s="10">
        <v>1</v>
      </c>
      <c r="K188" s="10">
        <v>0</v>
      </c>
      <c r="L188" s="10">
        <v>0</v>
      </c>
      <c r="M188" s="10">
        <v>0</v>
      </c>
      <c r="N188" s="10">
        <v>0</v>
      </c>
      <c r="O188" s="10">
        <v>0</v>
      </c>
      <c r="P188" s="10">
        <v>0</v>
      </c>
      <c r="Q188" s="26">
        <f t="shared" si="6"/>
        <v>1</v>
      </c>
      <c r="R188" s="25">
        <v>0</v>
      </c>
      <c r="S188" s="10">
        <v>0</v>
      </c>
      <c r="T188" s="10">
        <v>0</v>
      </c>
      <c r="U188" s="10">
        <v>0</v>
      </c>
      <c r="V188" s="10">
        <v>0</v>
      </c>
      <c r="W188" s="10">
        <v>0</v>
      </c>
      <c r="X188" s="10">
        <v>0</v>
      </c>
      <c r="Y188" s="10">
        <v>0</v>
      </c>
      <c r="Z188" s="10">
        <v>0</v>
      </c>
      <c r="AA188" s="10">
        <v>0</v>
      </c>
      <c r="AB188" s="10">
        <v>0</v>
      </c>
      <c r="AC188" s="10">
        <v>0</v>
      </c>
      <c r="AD188" s="26">
        <f t="shared" si="7"/>
        <v>0</v>
      </c>
      <c r="AE188" s="25">
        <v>0</v>
      </c>
      <c r="AF188" s="10">
        <v>0</v>
      </c>
      <c r="AG188" s="10">
        <v>0</v>
      </c>
      <c r="AH188" s="10">
        <v>0</v>
      </c>
      <c r="AI188" s="10">
        <v>0</v>
      </c>
      <c r="AJ188" s="10">
        <v>108962</v>
      </c>
      <c r="AK188" s="10">
        <v>0</v>
      </c>
      <c r="AL188" s="10">
        <v>0</v>
      </c>
      <c r="AM188" s="10">
        <v>0</v>
      </c>
      <c r="AN188" s="10">
        <v>0</v>
      </c>
      <c r="AO188" s="10">
        <v>0</v>
      </c>
      <c r="AP188" s="10">
        <v>0</v>
      </c>
      <c r="AQ188" s="26">
        <f t="shared" si="8"/>
        <v>108962</v>
      </c>
    </row>
    <row r="189" spans="1:43" ht="17.25" customHeight="1" x14ac:dyDescent="0.45">
      <c r="A189" s="2" t="s">
        <v>69</v>
      </c>
      <c r="B189" s="2" t="s">
        <v>68</v>
      </c>
      <c r="C189" s="2" t="s">
        <v>10</v>
      </c>
      <c r="D189" s="2" t="s">
        <v>66</v>
      </c>
      <c r="E189" s="23">
        <v>0</v>
      </c>
      <c r="F189" s="1">
        <v>0</v>
      </c>
      <c r="G189" s="1">
        <v>0</v>
      </c>
      <c r="H189" s="1">
        <v>1</v>
      </c>
      <c r="I189" s="1">
        <v>0</v>
      </c>
      <c r="J189" s="1">
        <v>0</v>
      </c>
      <c r="K189" s="1">
        <v>0</v>
      </c>
      <c r="L189" s="1">
        <v>0</v>
      </c>
      <c r="M189" s="1">
        <v>0</v>
      </c>
      <c r="N189" s="1">
        <v>0</v>
      </c>
      <c r="O189" s="1">
        <v>0</v>
      </c>
      <c r="P189" s="1">
        <v>0</v>
      </c>
      <c r="Q189" s="24">
        <f t="shared" si="6"/>
        <v>1</v>
      </c>
      <c r="R189" s="23">
        <v>0</v>
      </c>
      <c r="S189" s="1">
        <v>0</v>
      </c>
      <c r="T189" s="1">
        <v>0</v>
      </c>
      <c r="U189" s="1">
        <v>0</v>
      </c>
      <c r="V189" s="1">
        <v>0</v>
      </c>
      <c r="W189" s="1">
        <v>0</v>
      </c>
      <c r="X189" s="1">
        <v>0</v>
      </c>
      <c r="Y189" s="1">
        <v>0</v>
      </c>
      <c r="Z189" s="1">
        <v>0</v>
      </c>
      <c r="AA189" s="1">
        <v>0</v>
      </c>
      <c r="AB189" s="1">
        <v>0</v>
      </c>
      <c r="AC189" s="1">
        <v>0</v>
      </c>
      <c r="AD189" s="24">
        <f t="shared" si="7"/>
        <v>0</v>
      </c>
      <c r="AE189" s="23">
        <v>0</v>
      </c>
      <c r="AF189" s="1">
        <v>0</v>
      </c>
      <c r="AG189" s="1">
        <v>0</v>
      </c>
      <c r="AH189" s="1">
        <v>14968</v>
      </c>
      <c r="AI189" s="1">
        <v>0</v>
      </c>
      <c r="AJ189" s="1">
        <v>0</v>
      </c>
      <c r="AK189" s="1">
        <v>0</v>
      </c>
      <c r="AL189" s="1">
        <v>0</v>
      </c>
      <c r="AM189" s="1">
        <v>0</v>
      </c>
      <c r="AN189" s="1">
        <v>0</v>
      </c>
      <c r="AO189" s="1">
        <v>0</v>
      </c>
      <c r="AP189" s="1">
        <v>0</v>
      </c>
      <c r="AQ189" s="24">
        <f t="shared" si="8"/>
        <v>14968</v>
      </c>
    </row>
    <row r="190" spans="1:43" ht="17.25" customHeight="1" x14ac:dyDescent="0.45">
      <c r="A190" s="12" t="s">
        <v>69</v>
      </c>
      <c r="B190" s="12" t="s">
        <v>68</v>
      </c>
      <c r="C190" s="12" t="s">
        <v>46</v>
      </c>
      <c r="D190" s="12" t="s">
        <v>66</v>
      </c>
      <c r="E190" s="25">
        <v>0</v>
      </c>
      <c r="F190" s="10">
        <v>0</v>
      </c>
      <c r="G190" s="10">
        <v>0</v>
      </c>
      <c r="H190" s="10">
        <v>0</v>
      </c>
      <c r="I190" s="10">
        <v>1</v>
      </c>
      <c r="J190" s="10">
        <v>0</v>
      </c>
      <c r="K190" s="10">
        <v>0</v>
      </c>
      <c r="L190" s="10">
        <v>0</v>
      </c>
      <c r="M190" s="10">
        <v>0</v>
      </c>
      <c r="N190" s="10">
        <v>0</v>
      </c>
      <c r="O190" s="10">
        <v>0</v>
      </c>
      <c r="P190" s="10">
        <v>0</v>
      </c>
      <c r="Q190" s="26">
        <f t="shared" si="6"/>
        <v>1</v>
      </c>
      <c r="R190" s="25">
        <v>0</v>
      </c>
      <c r="S190" s="10">
        <v>0</v>
      </c>
      <c r="T190" s="10">
        <v>0</v>
      </c>
      <c r="U190" s="10">
        <v>0</v>
      </c>
      <c r="V190" s="10">
        <v>0</v>
      </c>
      <c r="W190" s="10">
        <v>0</v>
      </c>
      <c r="X190" s="10">
        <v>0</v>
      </c>
      <c r="Y190" s="10">
        <v>0</v>
      </c>
      <c r="Z190" s="10">
        <v>0</v>
      </c>
      <c r="AA190" s="10">
        <v>0</v>
      </c>
      <c r="AB190" s="10">
        <v>0</v>
      </c>
      <c r="AC190" s="10">
        <v>0</v>
      </c>
      <c r="AD190" s="26">
        <f t="shared" si="7"/>
        <v>0</v>
      </c>
      <c r="AE190" s="25">
        <v>0</v>
      </c>
      <c r="AF190" s="10">
        <v>0</v>
      </c>
      <c r="AG190" s="10">
        <v>0</v>
      </c>
      <c r="AH190" s="10">
        <v>0</v>
      </c>
      <c r="AI190" s="10">
        <v>164357</v>
      </c>
      <c r="AJ190" s="10">
        <v>0</v>
      </c>
      <c r="AK190" s="10">
        <v>0</v>
      </c>
      <c r="AL190" s="10">
        <v>0</v>
      </c>
      <c r="AM190" s="10">
        <v>0</v>
      </c>
      <c r="AN190" s="10">
        <v>0</v>
      </c>
      <c r="AO190" s="10">
        <v>0</v>
      </c>
      <c r="AP190" s="10">
        <v>0</v>
      </c>
      <c r="AQ190" s="26">
        <f t="shared" si="8"/>
        <v>164357</v>
      </c>
    </row>
    <row r="191" spans="1:43" ht="17.25" customHeight="1" x14ac:dyDescent="0.45">
      <c r="A191" s="2" t="s">
        <v>69</v>
      </c>
      <c r="B191" s="2" t="s">
        <v>68</v>
      </c>
      <c r="C191" s="2" t="s">
        <v>22</v>
      </c>
      <c r="D191" s="2" t="s">
        <v>66</v>
      </c>
      <c r="E191" s="23">
        <v>1</v>
      </c>
      <c r="F191" s="1">
        <v>0</v>
      </c>
      <c r="G191" s="1">
        <v>0</v>
      </c>
      <c r="H191" s="1">
        <v>0</v>
      </c>
      <c r="I191" s="1">
        <v>0</v>
      </c>
      <c r="J191" s="1">
        <v>0</v>
      </c>
      <c r="K191" s="1">
        <v>0</v>
      </c>
      <c r="L191" s="1">
        <v>0</v>
      </c>
      <c r="M191" s="1">
        <v>0</v>
      </c>
      <c r="N191" s="1">
        <v>0</v>
      </c>
      <c r="O191" s="1">
        <v>0</v>
      </c>
      <c r="P191" s="1">
        <v>0</v>
      </c>
      <c r="Q191" s="24">
        <f t="shared" si="6"/>
        <v>1</v>
      </c>
      <c r="R191" s="23">
        <v>0</v>
      </c>
      <c r="S191" s="1">
        <v>0</v>
      </c>
      <c r="T191" s="1">
        <v>0</v>
      </c>
      <c r="U191" s="1">
        <v>0</v>
      </c>
      <c r="V191" s="1">
        <v>0</v>
      </c>
      <c r="W191" s="1">
        <v>0</v>
      </c>
      <c r="X191" s="1">
        <v>0</v>
      </c>
      <c r="Y191" s="1">
        <v>0</v>
      </c>
      <c r="Z191" s="1">
        <v>0</v>
      </c>
      <c r="AA191" s="1">
        <v>0</v>
      </c>
      <c r="AB191" s="1">
        <v>0</v>
      </c>
      <c r="AC191" s="1">
        <v>0</v>
      </c>
      <c r="AD191" s="24">
        <f t="shared" si="7"/>
        <v>0</v>
      </c>
      <c r="AE191" s="23">
        <v>18694</v>
      </c>
      <c r="AF191" s="1">
        <v>0</v>
      </c>
      <c r="AG191" s="1">
        <v>0</v>
      </c>
      <c r="AH191" s="1">
        <v>0</v>
      </c>
      <c r="AI191" s="1">
        <v>0</v>
      </c>
      <c r="AJ191" s="1">
        <v>0</v>
      </c>
      <c r="AK191" s="1">
        <v>0</v>
      </c>
      <c r="AL191" s="1">
        <v>0</v>
      </c>
      <c r="AM191" s="1">
        <v>0</v>
      </c>
      <c r="AN191" s="1">
        <v>0</v>
      </c>
      <c r="AO191" s="1">
        <v>0</v>
      </c>
      <c r="AP191" s="1">
        <v>0</v>
      </c>
      <c r="AQ191" s="24">
        <f t="shared" si="8"/>
        <v>18694</v>
      </c>
    </row>
    <row r="192" spans="1:43" ht="17.25" customHeight="1" x14ac:dyDescent="0.45">
      <c r="A192" s="12" t="s">
        <v>69</v>
      </c>
      <c r="B192" s="12" t="s">
        <v>68</v>
      </c>
      <c r="C192" s="12" t="s">
        <v>11</v>
      </c>
      <c r="D192" s="12" t="s">
        <v>66</v>
      </c>
      <c r="E192" s="25">
        <v>0</v>
      </c>
      <c r="F192" s="10">
        <v>0</v>
      </c>
      <c r="G192" s="10">
        <v>0</v>
      </c>
      <c r="H192" s="10">
        <v>1</v>
      </c>
      <c r="I192" s="10">
        <v>0</v>
      </c>
      <c r="J192" s="10">
        <v>0</v>
      </c>
      <c r="K192" s="10">
        <v>0</v>
      </c>
      <c r="L192" s="10">
        <v>0</v>
      </c>
      <c r="M192" s="10">
        <v>0</v>
      </c>
      <c r="N192" s="10">
        <v>0</v>
      </c>
      <c r="O192" s="10">
        <v>0</v>
      </c>
      <c r="P192" s="10">
        <v>0</v>
      </c>
      <c r="Q192" s="26">
        <f t="shared" si="6"/>
        <v>1</v>
      </c>
      <c r="R192" s="25">
        <v>0</v>
      </c>
      <c r="S192" s="10">
        <v>0</v>
      </c>
      <c r="T192" s="10">
        <v>0</v>
      </c>
      <c r="U192" s="10">
        <v>0</v>
      </c>
      <c r="V192" s="10">
        <v>0</v>
      </c>
      <c r="W192" s="10">
        <v>0</v>
      </c>
      <c r="X192" s="10">
        <v>0</v>
      </c>
      <c r="Y192" s="10">
        <v>0</v>
      </c>
      <c r="Z192" s="10">
        <v>0</v>
      </c>
      <c r="AA192" s="10">
        <v>0</v>
      </c>
      <c r="AB192" s="10">
        <v>0</v>
      </c>
      <c r="AC192" s="10">
        <v>0</v>
      </c>
      <c r="AD192" s="26">
        <f t="shared" si="7"/>
        <v>0</v>
      </c>
      <c r="AE192" s="25">
        <v>0</v>
      </c>
      <c r="AF192" s="10">
        <v>0</v>
      </c>
      <c r="AG192" s="10">
        <v>0</v>
      </c>
      <c r="AH192" s="10">
        <v>8625</v>
      </c>
      <c r="AI192" s="10">
        <v>0</v>
      </c>
      <c r="AJ192" s="10">
        <v>0</v>
      </c>
      <c r="AK192" s="10">
        <v>0</v>
      </c>
      <c r="AL192" s="10">
        <v>0</v>
      </c>
      <c r="AM192" s="10">
        <v>0</v>
      </c>
      <c r="AN192" s="10">
        <v>0</v>
      </c>
      <c r="AO192" s="10">
        <v>0</v>
      </c>
      <c r="AP192" s="10">
        <v>0</v>
      </c>
      <c r="AQ192" s="26">
        <f t="shared" si="8"/>
        <v>8625</v>
      </c>
    </row>
    <row r="193" spans="1:43" ht="17.25" customHeight="1" x14ac:dyDescent="0.45">
      <c r="A193" s="2" t="s">
        <v>69</v>
      </c>
      <c r="B193" s="2" t="s">
        <v>68</v>
      </c>
      <c r="C193" s="2" t="s">
        <v>55</v>
      </c>
      <c r="D193" s="2" t="s">
        <v>66</v>
      </c>
      <c r="E193" s="23">
        <v>0</v>
      </c>
      <c r="F193" s="1">
        <v>0</v>
      </c>
      <c r="G193" s="1">
        <v>0</v>
      </c>
      <c r="H193" s="1">
        <v>0</v>
      </c>
      <c r="I193" s="1">
        <v>0</v>
      </c>
      <c r="J193" s="1">
        <v>0</v>
      </c>
      <c r="K193" s="1">
        <v>1</v>
      </c>
      <c r="L193" s="1">
        <v>1</v>
      </c>
      <c r="M193" s="1">
        <v>0</v>
      </c>
      <c r="N193" s="1">
        <v>0</v>
      </c>
      <c r="O193" s="1">
        <v>0</v>
      </c>
      <c r="P193" s="1">
        <v>0</v>
      </c>
      <c r="Q193" s="24">
        <f t="shared" si="6"/>
        <v>2</v>
      </c>
      <c r="R193" s="23">
        <v>0</v>
      </c>
      <c r="S193" s="1">
        <v>0</v>
      </c>
      <c r="T193" s="1">
        <v>0</v>
      </c>
      <c r="U193" s="1">
        <v>0</v>
      </c>
      <c r="V193" s="1">
        <v>0</v>
      </c>
      <c r="W193" s="1">
        <v>0</v>
      </c>
      <c r="X193" s="1">
        <v>4</v>
      </c>
      <c r="Y193" s="1">
        <v>2</v>
      </c>
      <c r="Z193" s="1">
        <v>0</v>
      </c>
      <c r="AA193" s="1">
        <v>0</v>
      </c>
      <c r="AB193" s="1">
        <v>0</v>
      </c>
      <c r="AC193" s="1">
        <v>0</v>
      </c>
      <c r="AD193" s="24">
        <f t="shared" si="7"/>
        <v>6</v>
      </c>
      <c r="AE193" s="23">
        <v>0</v>
      </c>
      <c r="AF193" s="1">
        <v>0</v>
      </c>
      <c r="AG193" s="1">
        <v>0</v>
      </c>
      <c r="AH193" s="1">
        <v>0</v>
      </c>
      <c r="AI193" s="1">
        <v>0</v>
      </c>
      <c r="AJ193" s="1">
        <v>0</v>
      </c>
      <c r="AK193" s="1">
        <v>0</v>
      </c>
      <c r="AL193" s="1">
        <v>0</v>
      </c>
      <c r="AM193" s="1">
        <v>0</v>
      </c>
      <c r="AN193" s="1">
        <v>0</v>
      </c>
      <c r="AO193" s="1">
        <v>0</v>
      </c>
      <c r="AP193" s="1">
        <v>0</v>
      </c>
      <c r="AQ193" s="24">
        <f t="shared" si="8"/>
        <v>0</v>
      </c>
    </row>
    <row r="194" spans="1:43" ht="17.25" customHeight="1" x14ac:dyDescent="0.45">
      <c r="A194" s="12" t="s">
        <v>69</v>
      </c>
      <c r="B194" s="12" t="s">
        <v>68</v>
      </c>
      <c r="C194" s="12" t="s">
        <v>40</v>
      </c>
      <c r="D194" s="12" t="s">
        <v>66</v>
      </c>
      <c r="E194" s="25">
        <v>0</v>
      </c>
      <c r="F194" s="10">
        <v>0</v>
      </c>
      <c r="G194" s="10">
        <v>0</v>
      </c>
      <c r="H194" s="10">
        <v>1</v>
      </c>
      <c r="I194" s="10">
        <v>0</v>
      </c>
      <c r="J194" s="10">
        <v>0</v>
      </c>
      <c r="K194" s="10">
        <v>0</v>
      </c>
      <c r="L194" s="10">
        <v>0</v>
      </c>
      <c r="M194" s="10">
        <v>0</v>
      </c>
      <c r="N194" s="10">
        <v>0</v>
      </c>
      <c r="O194" s="10">
        <v>0</v>
      </c>
      <c r="P194" s="10">
        <v>0</v>
      </c>
      <c r="Q194" s="26">
        <f t="shared" si="6"/>
        <v>1</v>
      </c>
      <c r="R194" s="25">
        <v>0</v>
      </c>
      <c r="S194" s="10">
        <v>0</v>
      </c>
      <c r="T194" s="10">
        <v>0</v>
      </c>
      <c r="U194" s="10">
        <v>135</v>
      </c>
      <c r="V194" s="10">
        <v>0</v>
      </c>
      <c r="W194" s="10">
        <v>0</v>
      </c>
      <c r="X194" s="10">
        <v>0</v>
      </c>
      <c r="Y194" s="10">
        <v>0</v>
      </c>
      <c r="Z194" s="10">
        <v>0</v>
      </c>
      <c r="AA194" s="10">
        <v>0</v>
      </c>
      <c r="AB194" s="10">
        <v>0</v>
      </c>
      <c r="AC194" s="10">
        <v>0</v>
      </c>
      <c r="AD194" s="26">
        <f t="shared" si="7"/>
        <v>135</v>
      </c>
      <c r="AE194" s="25">
        <v>0</v>
      </c>
      <c r="AF194" s="10">
        <v>0</v>
      </c>
      <c r="AG194" s="10">
        <v>0</v>
      </c>
      <c r="AH194" s="10">
        <v>0</v>
      </c>
      <c r="AI194" s="10">
        <v>0</v>
      </c>
      <c r="AJ194" s="10">
        <v>0</v>
      </c>
      <c r="AK194" s="10">
        <v>0</v>
      </c>
      <c r="AL194" s="10">
        <v>0</v>
      </c>
      <c r="AM194" s="10">
        <v>0</v>
      </c>
      <c r="AN194" s="10">
        <v>0</v>
      </c>
      <c r="AO194" s="10">
        <v>0</v>
      </c>
      <c r="AP194" s="10">
        <v>0</v>
      </c>
      <c r="AQ194" s="26">
        <f t="shared" si="8"/>
        <v>0</v>
      </c>
    </row>
    <row r="195" spans="1:43" ht="17.25" customHeight="1" x14ac:dyDescent="0.45">
      <c r="A195" s="2" t="s">
        <v>69</v>
      </c>
      <c r="B195" s="2" t="s">
        <v>68</v>
      </c>
      <c r="C195" s="2" t="s">
        <v>13</v>
      </c>
      <c r="D195" s="2" t="s">
        <v>66</v>
      </c>
      <c r="E195" s="23">
        <v>0</v>
      </c>
      <c r="F195" s="1">
        <v>0</v>
      </c>
      <c r="G195" s="1">
        <v>0</v>
      </c>
      <c r="H195" s="1">
        <v>1</v>
      </c>
      <c r="I195" s="1">
        <v>0</v>
      </c>
      <c r="J195" s="1">
        <v>0</v>
      </c>
      <c r="K195" s="1">
        <v>0</v>
      </c>
      <c r="L195" s="1">
        <v>0</v>
      </c>
      <c r="M195" s="1">
        <v>0</v>
      </c>
      <c r="N195" s="1">
        <v>0</v>
      </c>
      <c r="O195" s="1">
        <v>0</v>
      </c>
      <c r="P195" s="1">
        <v>0</v>
      </c>
      <c r="Q195" s="24">
        <f t="shared" si="6"/>
        <v>1</v>
      </c>
      <c r="R195" s="23">
        <v>0</v>
      </c>
      <c r="S195" s="1">
        <v>0</v>
      </c>
      <c r="T195" s="1">
        <v>0</v>
      </c>
      <c r="U195" s="1">
        <v>31</v>
      </c>
      <c r="V195" s="1">
        <v>0</v>
      </c>
      <c r="W195" s="1">
        <v>0</v>
      </c>
      <c r="X195" s="1">
        <v>0</v>
      </c>
      <c r="Y195" s="1">
        <v>0</v>
      </c>
      <c r="Z195" s="1">
        <v>0</v>
      </c>
      <c r="AA195" s="1">
        <v>0</v>
      </c>
      <c r="AB195" s="1">
        <v>0</v>
      </c>
      <c r="AC195" s="1">
        <v>0</v>
      </c>
      <c r="AD195" s="24">
        <f t="shared" si="7"/>
        <v>31</v>
      </c>
      <c r="AE195" s="23">
        <v>0</v>
      </c>
      <c r="AF195" s="1">
        <v>0</v>
      </c>
      <c r="AG195" s="1">
        <v>0</v>
      </c>
      <c r="AH195" s="1">
        <v>0</v>
      </c>
      <c r="AI195" s="1">
        <v>0</v>
      </c>
      <c r="AJ195" s="1">
        <v>0</v>
      </c>
      <c r="AK195" s="1">
        <v>0</v>
      </c>
      <c r="AL195" s="1">
        <v>0</v>
      </c>
      <c r="AM195" s="1">
        <v>0</v>
      </c>
      <c r="AN195" s="1">
        <v>0</v>
      </c>
      <c r="AO195" s="1">
        <v>0</v>
      </c>
      <c r="AP195" s="1">
        <v>0</v>
      </c>
      <c r="AQ195" s="24">
        <f t="shared" si="8"/>
        <v>0</v>
      </c>
    </row>
    <row r="196" spans="1:43" ht="17.25" customHeight="1" x14ac:dyDescent="0.45">
      <c r="A196" s="12" t="s">
        <v>69</v>
      </c>
      <c r="B196" s="12" t="s">
        <v>68</v>
      </c>
      <c r="C196" s="12" t="s">
        <v>27</v>
      </c>
      <c r="D196" s="12" t="s">
        <v>66</v>
      </c>
      <c r="E196" s="25">
        <v>0</v>
      </c>
      <c r="F196" s="10">
        <v>0</v>
      </c>
      <c r="G196" s="10">
        <v>0</v>
      </c>
      <c r="H196" s="10">
        <v>0</v>
      </c>
      <c r="I196" s="10">
        <v>0</v>
      </c>
      <c r="J196" s="10">
        <v>0</v>
      </c>
      <c r="K196" s="10">
        <v>0</v>
      </c>
      <c r="L196" s="10">
        <v>1</v>
      </c>
      <c r="M196" s="10">
        <v>0</v>
      </c>
      <c r="N196" s="10">
        <v>0</v>
      </c>
      <c r="O196" s="10">
        <v>0</v>
      </c>
      <c r="P196" s="10">
        <v>0</v>
      </c>
      <c r="Q196" s="26">
        <f t="shared" si="6"/>
        <v>1</v>
      </c>
      <c r="R196" s="25">
        <v>0</v>
      </c>
      <c r="S196" s="10">
        <v>0</v>
      </c>
      <c r="T196" s="10">
        <v>0</v>
      </c>
      <c r="U196" s="10">
        <v>0</v>
      </c>
      <c r="V196" s="10">
        <v>0</v>
      </c>
      <c r="W196" s="10">
        <v>0</v>
      </c>
      <c r="X196" s="10">
        <v>0</v>
      </c>
      <c r="Y196" s="10">
        <v>44</v>
      </c>
      <c r="Z196" s="10">
        <v>0</v>
      </c>
      <c r="AA196" s="10">
        <v>0</v>
      </c>
      <c r="AB196" s="10">
        <v>0</v>
      </c>
      <c r="AC196" s="10">
        <v>0</v>
      </c>
      <c r="AD196" s="26">
        <f t="shared" si="7"/>
        <v>44</v>
      </c>
      <c r="AE196" s="25">
        <v>0</v>
      </c>
      <c r="AF196" s="10">
        <v>0</v>
      </c>
      <c r="AG196" s="10">
        <v>0</v>
      </c>
      <c r="AH196" s="10">
        <v>0</v>
      </c>
      <c r="AI196" s="10">
        <v>0</v>
      </c>
      <c r="AJ196" s="10">
        <v>0</v>
      </c>
      <c r="AK196" s="10">
        <v>0</v>
      </c>
      <c r="AL196" s="10">
        <v>0</v>
      </c>
      <c r="AM196" s="10">
        <v>0</v>
      </c>
      <c r="AN196" s="10">
        <v>0</v>
      </c>
      <c r="AO196" s="10">
        <v>0</v>
      </c>
      <c r="AP196" s="10">
        <v>0</v>
      </c>
      <c r="AQ196" s="26">
        <f t="shared" si="8"/>
        <v>0</v>
      </c>
    </row>
    <row r="197" spans="1:43" ht="17.25" customHeight="1" x14ac:dyDescent="0.45">
      <c r="A197" s="2" t="s">
        <v>69</v>
      </c>
      <c r="B197" s="2" t="s">
        <v>68</v>
      </c>
      <c r="C197" s="2" t="s">
        <v>206</v>
      </c>
      <c r="D197" s="2" t="s">
        <v>66</v>
      </c>
      <c r="E197" s="23">
        <v>1</v>
      </c>
      <c r="F197" s="1">
        <v>0</v>
      </c>
      <c r="G197" s="1">
        <v>1</v>
      </c>
      <c r="H197" s="1">
        <v>0</v>
      </c>
      <c r="I197" s="1">
        <v>0</v>
      </c>
      <c r="J197" s="1">
        <v>0</v>
      </c>
      <c r="K197" s="1">
        <v>0</v>
      </c>
      <c r="L197" s="1">
        <v>0</v>
      </c>
      <c r="M197" s="1">
        <v>1</v>
      </c>
      <c r="N197" s="1">
        <v>0</v>
      </c>
      <c r="O197" s="1">
        <v>0</v>
      </c>
      <c r="P197" s="1">
        <v>0</v>
      </c>
      <c r="Q197" s="24">
        <f t="shared" si="6"/>
        <v>3</v>
      </c>
      <c r="R197" s="23">
        <v>0</v>
      </c>
      <c r="S197" s="1">
        <v>0</v>
      </c>
      <c r="T197" s="1">
        <v>0</v>
      </c>
      <c r="U197" s="1">
        <v>0</v>
      </c>
      <c r="V197" s="1">
        <v>0</v>
      </c>
      <c r="W197" s="1">
        <v>0</v>
      </c>
      <c r="X197" s="1">
        <v>0</v>
      </c>
      <c r="Y197" s="1">
        <v>0</v>
      </c>
      <c r="Z197" s="1">
        <v>0</v>
      </c>
      <c r="AA197" s="1">
        <v>0</v>
      </c>
      <c r="AB197" s="1">
        <v>0</v>
      </c>
      <c r="AC197" s="1">
        <v>0</v>
      </c>
      <c r="AD197" s="24">
        <f t="shared" si="7"/>
        <v>0</v>
      </c>
      <c r="AE197" s="23">
        <v>2990</v>
      </c>
      <c r="AF197" s="1">
        <v>0</v>
      </c>
      <c r="AG197" s="1">
        <v>1570</v>
      </c>
      <c r="AH197" s="1">
        <v>0</v>
      </c>
      <c r="AI197" s="1">
        <v>0</v>
      </c>
      <c r="AJ197" s="1">
        <v>0</v>
      </c>
      <c r="AK197" s="1">
        <v>0</v>
      </c>
      <c r="AL197" s="1">
        <v>0</v>
      </c>
      <c r="AM197" s="1">
        <v>52687</v>
      </c>
      <c r="AN197" s="1">
        <v>0</v>
      </c>
      <c r="AO197" s="1">
        <v>0</v>
      </c>
      <c r="AP197" s="1">
        <v>0</v>
      </c>
      <c r="AQ197" s="24">
        <f t="shared" si="8"/>
        <v>57247</v>
      </c>
    </row>
    <row r="198" spans="1:43" ht="17.25" customHeight="1" x14ac:dyDescent="0.45">
      <c r="A198" s="12" t="s">
        <v>69</v>
      </c>
      <c r="B198" s="12" t="s">
        <v>68</v>
      </c>
      <c r="C198" s="12" t="s">
        <v>48</v>
      </c>
      <c r="D198" s="12" t="s">
        <v>66</v>
      </c>
      <c r="E198" s="25">
        <v>2</v>
      </c>
      <c r="F198" s="10">
        <v>0</v>
      </c>
      <c r="G198" s="10">
        <v>1</v>
      </c>
      <c r="H198" s="10">
        <v>1</v>
      </c>
      <c r="I198" s="10">
        <v>1</v>
      </c>
      <c r="J198" s="10">
        <v>1</v>
      </c>
      <c r="K198" s="10">
        <v>0</v>
      </c>
      <c r="L198" s="10">
        <v>0</v>
      </c>
      <c r="M198" s="10">
        <v>0</v>
      </c>
      <c r="N198" s="10">
        <v>1</v>
      </c>
      <c r="O198" s="10">
        <v>1</v>
      </c>
      <c r="P198" s="10">
        <v>0</v>
      </c>
      <c r="Q198" s="26">
        <f t="shared" si="6"/>
        <v>8</v>
      </c>
      <c r="R198" s="25">
        <v>10</v>
      </c>
      <c r="S198" s="10">
        <v>0</v>
      </c>
      <c r="T198" s="10">
        <v>14</v>
      </c>
      <c r="U198" s="10">
        <v>5</v>
      </c>
      <c r="V198" s="10">
        <v>4</v>
      </c>
      <c r="W198" s="10">
        <v>2</v>
      </c>
      <c r="X198" s="10">
        <v>0</v>
      </c>
      <c r="Y198" s="10">
        <v>0</v>
      </c>
      <c r="Z198" s="10">
        <v>0</v>
      </c>
      <c r="AA198" s="10">
        <v>11</v>
      </c>
      <c r="AB198" s="10">
        <v>5</v>
      </c>
      <c r="AC198" s="10">
        <v>0</v>
      </c>
      <c r="AD198" s="26">
        <f t="shared" si="7"/>
        <v>51</v>
      </c>
      <c r="AE198" s="25">
        <v>0</v>
      </c>
      <c r="AF198" s="10">
        <v>0</v>
      </c>
      <c r="AG198" s="10">
        <v>0</v>
      </c>
      <c r="AH198" s="10">
        <v>0</v>
      </c>
      <c r="AI198" s="10">
        <v>0</v>
      </c>
      <c r="AJ198" s="10">
        <v>0</v>
      </c>
      <c r="AK198" s="10">
        <v>0</v>
      </c>
      <c r="AL198" s="10">
        <v>0</v>
      </c>
      <c r="AM198" s="10">
        <v>0</v>
      </c>
      <c r="AN198" s="10">
        <v>0</v>
      </c>
      <c r="AO198" s="10">
        <v>0</v>
      </c>
      <c r="AP198" s="10">
        <v>0</v>
      </c>
      <c r="AQ198" s="26">
        <f t="shared" si="8"/>
        <v>0</v>
      </c>
    </row>
    <row r="199" spans="1:43" ht="17.25" customHeight="1" x14ac:dyDescent="0.45">
      <c r="A199" s="2" t="s">
        <v>69</v>
      </c>
      <c r="B199" s="2" t="s">
        <v>68</v>
      </c>
      <c r="C199" s="2" t="s">
        <v>30</v>
      </c>
      <c r="D199" s="2" t="s">
        <v>66</v>
      </c>
      <c r="E199" s="23">
        <v>0</v>
      </c>
      <c r="F199" s="1">
        <v>0</v>
      </c>
      <c r="G199" s="1">
        <v>0</v>
      </c>
      <c r="H199" s="1">
        <v>0</v>
      </c>
      <c r="I199" s="1">
        <v>0</v>
      </c>
      <c r="J199" s="1">
        <v>0</v>
      </c>
      <c r="K199" s="1">
        <v>0</v>
      </c>
      <c r="L199" s="1">
        <v>0</v>
      </c>
      <c r="M199" s="1">
        <v>1</v>
      </c>
      <c r="N199" s="1">
        <v>0</v>
      </c>
      <c r="O199" s="1">
        <v>0</v>
      </c>
      <c r="P199" s="1">
        <v>0</v>
      </c>
      <c r="Q199" s="24">
        <f t="shared" si="6"/>
        <v>1</v>
      </c>
      <c r="R199" s="23">
        <v>0</v>
      </c>
      <c r="S199" s="1">
        <v>0</v>
      </c>
      <c r="T199" s="1">
        <v>0</v>
      </c>
      <c r="U199" s="1">
        <v>0</v>
      </c>
      <c r="V199" s="1">
        <v>0</v>
      </c>
      <c r="W199" s="1">
        <v>0</v>
      </c>
      <c r="X199" s="1">
        <v>0</v>
      </c>
      <c r="Y199" s="1">
        <v>0</v>
      </c>
      <c r="Z199" s="1">
        <v>0</v>
      </c>
      <c r="AA199" s="1">
        <v>0</v>
      </c>
      <c r="AB199" s="1">
        <v>0</v>
      </c>
      <c r="AC199" s="1">
        <v>0</v>
      </c>
      <c r="AD199" s="24">
        <f t="shared" si="7"/>
        <v>0</v>
      </c>
      <c r="AE199" s="23">
        <v>0</v>
      </c>
      <c r="AF199" s="1">
        <v>0</v>
      </c>
      <c r="AG199" s="1">
        <v>0</v>
      </c>
      <c r="AH199" s="1">
        <v>0</v>
      </c>
      <c r="AI199" s="1">
        <v>0</v>
      </c>
      <c r="AJ199" s="1">
        <v>0</v>
      </c>
      <c r="AK199" s="1">
        <v>0</v>
      </c>
      <c r="AL199" s="1">
        <v>0</v>
      </c>
      <c r="AM199" s="1">
        <v>46985</v>
      </c>
      <c r="AN199" s="1">
        <v>0</v>
      </c>
      <c r="AO199" s="1">
        <v>0</v>
      </c>
      <c r="AP199" s="1">
        <v>0</v>
      </c>
      <c r="AQ199" s="24">
        <f t="shared" si="8"/>
        <v>46985</v>
      </c>
    </row>
    <row r="200" spans="1:43" ht="17.25" customHeight="1" x14ac:dyDescent="0.45">
      <c r="A200" s="12" t="s">
        <v>69</v>
      </c>
      <c r="B200" s="12" t="s">
        <v>68</v>
      </c>
      <c r="C200" s="12" t="s">
        <v>32</v>
      </c>
      <c r="D200" s="12" t="s">
        <v>66</v>
      </c>
      <c r="E200" s="25">
        <v>1</v>
      </c>
      <c r="F200" s="10">
        <v>0</v>
      </c>
      <c r="G200" s="10">
        <v>0</v>
      </c>
      <c r="H200" s="10">
        <v>1</v>
      </c>
      <c r="I200" s="10">
        <v>1</v>
      </c>
      <c r="J200" s="10">
        <v>1</v>
      </c>
      <c r="K200" s="10">
        <v>1</v>
      </c>
      <c r="L200" s="10">
        <v>1</v>
      </c>
      <c r="M200" s="10">
        <v>0</v>
      </c>
      <c r="N200" s="10">
        <v>0</v>
      </c>
      <c r="O200" s="10">
        <v>0</v>
      </c>
      <c r="P200" s="10">
        <v>1</v>
      </c>
      <c r="Q200" s="26">
        <f t="shared" ref="Q200:Q263" si="9">SUM(E200:P200)</f>
        <v>7</v>
      </c>
      <c r="R200" s="25">
        <v>4</v>
      </c>
      <c r="S200" s="10">
        <v>0</v>
      </c>
      <c r="T200" s="10">
        <v>0</v>
      </c>
      <c r="U200" s="10">
        <v>0</v>
      </c>
      <c r="V200" s="10">
        <v>5</v>
      </c>
      <c r="W200" s="10">
        <v>3</v>
      </c>
      <c r="X200" s="10">
        <v>6</v>
      </c>
      <c r="Y200" s="10">
        <v>2</v>
      </c>
      <c r="Z200" s="10">
        <v>0</v>
      </c>
      <c r="AA200" s="10">
        <v>0</v>
      </c>
      <c r="AB200" s="10">
        <v>0</v>
      </c>
      <c r="AC200" s="10">
        <v>5</v>
      </c>
      <c r="AD200" s="26">
        <f t="shared" ref="AD200:AD263" si="10">SUM(R200:AC200)</f>
        <v>25</v>
      </c>
      <c r="AE200" s="25">
        <v>0</v>
      </c>
      <c r="AF200" s="10">
        <v>0</v>
      </c>
      <c r="AG200" s="10">
        <v>0</v>
      </c>
      <c r="AH200" s="10">
        <v>40678</v>
      </c>
      <c r="AI200" s="10">
        <v>0</v>
      </c>
      <c r="AJ200" s="10">
        <v>0</v>
      </c>
      <c r="AK200" s="10">
        <v>0</v>
      </c>
      <c r="AL200" s="10">
        <v>0</v>
      </c>
      <c r="AM200" s="10">
        <v>0</v>
      </c>
      <c r="AN200" s="10">
        <v>0</v>
      </c>
      <c r="AO200" s="10">
        <v>0</v>
      </c>
      <c r="AP200" s="10">
        <v>0</v>
      </c>
      <c r="AQ200" s="26">
        <f t="shared" ref="AQ200:AQ263" si="11">SUM(AE200:AP200)</f>
        <v>40678</v>
      </c>
    </row>
    <row r="201" spans="1:43" ht="17.25" customHeight="1" x14ac:dyDescent="0.45">
      <c r="A201" s="2" t="s">
        <v>112</v>
      </c>
      <c r="B201" s="2" t="s">
        <v>68</v>
      </c>
      <c r="C201" s="2" t="s">
        <v>10</v>
      </c>
      <c r="D201" s="2" t="s">
        <v>66</v>
      </c>
      <c r="E201" s="23">
        <v>8</v>
      </c>
      <c r="F201" s="1">
        <v>9</v>
      </c>
      <c r="G201" s="1">
        <v>0</v>
      </c>
      <c r="H201" s="1">
        <v>0</v>
      </c>
      <c r="I201" s="1">
        <v>0</v>
      </c>
      <c r="J201" s="1">
        <v>0</v>
      </c>
      <c r="K201" s="1">
        <v>0</v>
      </c>
      <c r="L201" s="1">
        <v>0</v>
      </c>
      <c r="M201" s="1">
        <v>0</v>
      </c>
      <c r="N201" s="1">
        <v>0</v>
      </c>
      <c r="O201" s="1">
        <v>1</v>
      </c>
      <c r="P201" s="1">
        <v>0</v>
      </c>
      <c r="Q201" s="24">
        <f t="shared" si="9"/>
        <v>18</v>
      </c>
      <c r="R201" s="23">
        <v>1371</v>
      </c>
      <c r="S201" s="1">
        <v>1496</v>
      </c>
      <c r="T201" s="1">
        <v>0</v>
      </c>
      <c r="U201" s="1">
        <v>0</v>
      </c>
      <c r="V201" s="1">
        <v>0</v>
      </c>
      <c r="W201" s="1">
        <v>0</v>
      </c>
      <c r="X201" s="1">
        <v>0</v>
      </c>
      <c r="Y201" s="1">
        <v>0</v>
      </c>
      <c r="Z201" s="1">
        <v>0</v>
      </c>
      <c r="AA201" s="1">
        <v>0</v>
      </c>
      <c r="AB201" s="1">
        <v>152</v>
      </c>
      <c r="AC201" s="1">
        <v>0</v>
      </c>
      <c r="AD201" s="24">
        <f t="shared" si="10"/>
        <v>3019</v>
      </c>
      <c r="AE201" s="23">
        <v>0</v>
      </c>
      <c r="AF201" s="1">
        <v>0</v>
      </c>
      <c r="AG201" s="1">
        <v>0</v>
      </c>
      <c r="AH201" s="1">
        <v>0</v>
      </c>
      <c r="AI201" s="1">
        <v>0</v>
      </c>
      <c r="AJ201" s="1">
        <v>0</v>
      </c>
      <c r="AK201" s="1">
        <v>0</v>
      </c>
      <c r="AL201" s="1">
        <v>0</v>
      </c>
      <c r="AM201" s="1">
        <v>0</v>
      </c>
      <c r="AN201" s="1">
        <v>0</v>
      </c>
      <c r="AO201" s="1">
        <v>0</v>
      </c>
      <c r="AP201" s="1">
        <v>0</v>
      </c>
      <c r="AQ201" s="24">
        <f t="shared" si="11"/>
        <v>0</v>
      </c>
    </row>
    <row r="202" spans="1:43" ht="17.25" customHeight="1" x14ac:dyDescent="0.45">
      <c r="A202" s="12" t="s">
        <v>112</v>
      </c>
      <c r="B202" s="12" t="s">
        <v>68</v>
      </c>
      <c r="C202" s="12" t="s">
        <v>22</v>
      </c>
      <c r="D202" s="12" t="s">
        <v>66</v>
      </c>
      <c r="E202" s="25">
        <v>0</v>
      </c>
      <c r="F202" s="10">
        <v>0</v>
      </c>
      <c r="G202" s="10">
        <v>0</v>
      </c>
      <c r="H202" s="10">
        <v>0</v>
      </c>
      <c r="I202" s="10">
        <v>0</v>
      </c>
      <c r="J202" s="10">
        <v>0</v>
      </c>
      <c r="K202" s="10">
        <v>0</v>
      </c>
      <c r="L202" s="10">
        <v>0</v>
      </c>
      <c r="M202" s="10">
        <v>0</v>
      </c>
      <c r="N202" s="10">
        <v>1</v>
      </c>
      <c r="O202" s="10">
        <v>0</v>
      </c>
      <c r="P202" s="10">
        <v>0</v>
      </c>
      <c r="Q202" s="26">
        <f t="shared" si="9"/>
        <v>1</v>
      </c>
      <c r="R202" s="25">
        <v>0</v>
      </c>
      <c r="S202" s="10">
        <v>0</v>
      </c>
      <c r="T202" s="10">
        <v>0</v>
      </c>
      <c r="U202" s="10">
        <v>0</v>
      </c>
      <c r="V202" s="10">
        <v>0</v>
      </c>
      <c r="W202" s="10">
        <v>0</v>
      </c>
      <c r="X202" s="10">
        <v>0</v>
      </c>
      <c r="Y202" s="10">
        <v>0</v>
      </c>
      <c r="Z202" s="10">
        <v>0</v>
      </c>
      <c r="AA202" s="10">
        <v>0</v>
      </c>
      <c r="AB202" s="10">
        <v>0</v>
      </c>
      <c r="AC202" s="10">
        <v>0</v>
      </c>
      <c r="AD202" s="26">
        <f t="shared" si="10"/>
        <v>0</v>
      </c>
      <c r="AE202" s="25">
        <v>0</v>
      </c>
      <c r="AF202" s="10">
        <v>0</v>
      </c>
      <c r="AG202" s="10">
        <v>0</v>
      </c>
      <c r="AH202" s="10">
        <v>0</v>
      </c>
      <c r="AI202" s="10">
        <v>0</v>
      </c>
      <c r="AJ202" s="10">
        <v>0</v>
      </c>
      <c r="AK202" s="10">
        <v>0</v>
      </c>
      <c r="AL202" s="10">
        <v>0</v>
      </c>
      <c r="AM202" s="10">
        <v>0</v>
      </c>
      <c r="AN202" s="10">
        <v>10800</v>
      </c>
      <c r="AO202" s="10">
        <v>0</v>
      </c>
      <c r="AP202" s="10">
        <v>0</v>
      </c>
      <c r="AQ202" s="26">
        <f t="shared" si="11"/>
        <v>10800</v>
      </c>
    </row>
    <row r="203" spans="1:43" ht="17.25" customHeight="1" x14ac:dyDescent="0.45">
      <c r="A203" s="2" t="s">
        <v>112</v>
      </c>
      <c r="B203" s="2" t="s">
        <v>68</v>
      </c>
      <c r="C203" s="2" t="s">
        <v>48</v>
      </c>
      <c r="D203" s="2" t="s">
        <v>66</v>
      </c>
      <c r="E203" s="23">
        <v>0</v>
      </c>
      <c r="F203" s="1">
        <v>1</v>
      </c>
      <c r="G203" s="1">
        <v>0</v>
      </c>
      <c r="H203" s="1">
        <v>0</v>
      </c>
      <c r="I203" s="1">
        <v>0</v>
      </c>
      <c r="J203" s="1">
        <v>0</v>
      </c>
      <c r="K203" s="1">
        <v>0</v>
      </c>
      <c r="L203" s="1">
        <v>0</v>
      </c>
      <c r="M203" s="1">
        <v>0</v>
      </c>
      <c r="N203" s="1">
        <v>0</v>
      </c>
      <c r="O203" s="1">
        <v>0</v>
      </c>
      <c r="P203" s="1">
        <v>0</v>
      </c>
      <c r="Q203" s="24">
        <f t="shared" si="9"/>
        <v>1</v>
      </c>
      <c r="R203" s="23">
        <v>0</v>
      </c>
      <c r="S203" s="1">
        <v>138</v>
      </c>
      <c r="T203" s="1">
        <v>0</v>
      </c>
      <c r="U203" s="1">
        <v>0</v>
      </c>
      <c r="V203" s="1">
        <v>0</v>
      </c>
      <c r="W203" s="1">
        <v>0</v>
      </c>
      <c r="X203" s="1">
        <v>0</v>
      </c>
      <c r="Y203" s="1">
        <v>0</v>
      </c>
      <c r="Z203" s="1">
        <v>0</v>
      </c>
      <c r="AA203" s="1">
        <v>0</v>
      </c>
      <c r="AB203" s="1">
        <v>0</v>
      </c>
      <c r="AC203" s="1">
        <v>0</v>
      </c>
      <c r="AD203" s="24">
        <f t="shared" si="10"/>
        <v>138</v>
      </c>
      <c r="AE203" s="23">
        <v>0</v>
      </c>
      <c r="AF203" s="1">
        <v>0</v>
      </c>
      <c r="AG203" s="1">
        <v>0</v>
      </c>
      <c r="AH203" s="1">
        <v>0</v>
      </c>
      <c r="AI203" s="1">
        <v>0</v>
      </c>
      <c r="AJ203" s="1">
        <v>0</v>
      </c>
      <c r="AK203" s="1">
        <v>0</v>
      </c>
      <c r="AL203" s="1">
        <v>0</v>
      </c>
      <c r="AM203" s="1">
        <v>0</v>
      </c>
      <c r="AN203" s="1">
        <v>0</v>
      </c>
      <c r="AO203" s="1">
        <v>0</v>
      </c>
      <c r="AP203" s="1">
        <v>0</v>
      </c>
      <c r="AQ203" s="24">
        <f t="shared" si="11"/>
        <v>0</v>
      </c>
    </row>
    <row r="204" spans="1:43" ht="17.25" customHeight="1" x14ac:dyDescent="0.45">
      <c r="A204" s="12" t="s">
        <v>295</v>
      </c>
      <c r="B204" s="12" t="s">
        <v>68</v>
      </c>
      <c r="C204" s="12" t="s">
        <v>55</v>
      </c>
      <c r="D204" s="12" t="s">
        <v>66</v>
      </c>
      <c r="E204" s="25">
        <v>0</v>
      </c>
      <c r="F204" s="10">
        <v>0</v>
      </c>
      <c r="G204" s="10">
        <v>0</v>
      </c>
      <c r="H204" s="10">
        <v>0</v>
      </c>
      <c r="I204" s="10">
        <v>1</v>
      </c>
      <c r="J204" s="10">
        <v>0</v>
      </c>
      <c r="K204" s="10">
        <v>0</v>
      </c>
      <c r="L204" s="10">
        <v>0</v>
      </c>
      <c r="M204" s="10">
        <v>0</v>
      </c>
      <c r="N204" s="10">
        <v>0</v>
      </c>
      <c r="O204" s="10">
        <v>0</v>
      </c>
      <c r="P204" s="10">
        <v>1</v>
      </c>
      <c r="Q204" s="26">
        <f t="shared" si="9"/>
        <v>2</v>
      </c>
      <c r="R204" s="25">
        <v>0</v>
      </c>
      <c r="S204" s="10">
        <v>0</v>
      </c>
      <c r="T204" s="10">
        <v>0</v>
      </c>
      <c r="U204" s="10">
        <v>0</v>
      </c>
      <c r="V204" s="10">
        <v>2</v>
      </c>
      <c r="W204" s="10">
        <v>0</v>
      </c>
      <c r="X204" s="10">
        <v>0</v>
      </c>
      <c r="Y204" s="10">
        <v>0</v>
      </c>
      <c r="Z204" s="10">
        <v>0</v>
      </c>
      <c r="AA204" s="10">
        <v>0</v>
      </c>
      <c r="AB204" s="10">
        <v>0</v>
      </c>
      <c r="AC204" s="10">
        <v>9</v>
      </c>
      <c r="AD204" s="26">
        <f t="shared" si="10"/>
        <v>11</v>
      </c>
      <c r="AE204" s="25">
        <v>0</v>
      </c>
      <c r="AF204" s="10">
        <v>0</v>
      </c>
      <c r="AG204" s="10">
        <v>0</v>
      </c>
      <c r="AH204" s="10">
        <v>0</v>
      </c>
      <c r="AI204" s="10">
        <v>0</v>
      </c>
      <c r="AJ204" s="10">
        <v>0</v>
      </c>
      <c r="AK204" s="10">
        <v>0</v>
      </c>
      <c r="AL204" s="10">
        <v>0</v>
      </c>
      <c r="AM204" s="10">
        <v>0</v>
      </c>
      <c r="AN204" s="10">
        <v>0</v>
      </c>
      <c r="AO204" s="10">
        <v>0</v>
      </c>
      <c r="AP204" s="10">
        <v>0</v>
      </c>
      <c r="AQ204" s="26">
        <f t="shared" si="11"/>
        <v>0</v>
      </c>
    </row>
    <row r="205" spans="1:43" ht="17.25" customHeight="1" x14ac:dyDescent="0.45">
      <c r="A205" s="2" t="s">
        <v>113</v>
      </c>
      <c r="B205" s="2" t="s">
        <v>68</v>
      </c>
      <c r="C205" s="2" t="s">
        <v>10</v>
      </c>
      <c r="D205" s="2" t="s">
        <v>66</v>
      </c>
      <c r="E205" s="23">
        <v>1</v>
      </c>
      <c r="F205" s="1">
        <v>1</v>
      </c>
      <c r="G205" s="1">
        <v>1</v>
      </c>
      <c r="H205" s="1">
        <v>0</v>
      </c>
      <c r="I205" s="1">
        <v>1</v>
      </c>
      <c r="J205" s="1">
        <v>5</v>
      </c>
      <c r="K205" s="1">
        <v>3</v>
      </c>
      <c r="L205" s="1">
        <v>0</v>
      </c>
      <c r="M205" s="1">
        <v>0</v>
      </c>
      <c r="N205" s="1">
        <v>0</v>
      </c>
      <c r="O205" s="1">
        <v>0</v>
      </c>
      <c r="P205" s="1">
        <v>0</v>
      </c>
      <c r="Q205" s="24">
        <f t="shared" si="9"/>
        <v>12</v>
      </c>
      <c r="R205" s="23">
        <v>184</v>
      </c>
      <c r="S205" s="1">
        <v>182</v>
      </c>
      <c r="T205" s="1">
        <v>177</v>
      </c>
      <c r="U205" s="1">
        <v>0</v>
      </c>
      <c r="V205" s="1">
        <v>145</v>
      </c>
      <c r="W205" s="1">
        <v>431</v>
      </c>
      <c r="X205" s="1">
        <v>127</v>
      </c>
      <c r="Y205" s="1">
        <v>0</v>
      </c>
      <c r="Z205" s="1">
        <v>0</v>
      </c>
      <c r="AA205" s="1">
        <v>0</v>
      </c>
      <c r="AB205" s="1">
        <v>0</v>
      </c>
      <c r="AC205" s="1">
        <v>0</v>
      </c>
      <c r="AD205" s="24">
        <f t="shared" si="10"/>
        <v>1246</v>
      </c>
      <c r="AE205" s="23">
        <v>0</v>
      </c>
      <c r="AF205" s="1">
        <v>0</v>
      </c>
      <c r="AG205" s="1">
        <v>0</v>
      </c>
      <c r="AH205" s="1">
        <v>0</v>
      </c>
      <c r="AI205" s="1">
        <v>0</v>
      </c>
      <c r="AJ205" s="1">
        <v>0</v>
      </c>
      <c r="AK205" s="1">
        <v>0</v>
      </c>
      <c r="AL205" s="1">
        <v>0</v>
      </c>
      <c r="AM205" s="1">
        <v>0</v>
      </c>
      <c r="AN205" s="1">
        <v>0</v>
      </c>
      <c r="AO205" s="1">
        <v>0</v>
      </c>
      <c r="AP205" s="1">
        <v>0</v>
      </c>
      <c r="AQ205" s="24">
        <f t="shared" si="11"/>
        <v>0</v>
      </c>
    </row>
    <row r="206" spans="1:43" ht="17.25" customHeight="1" x14ac:dyDescent="0.45">
      <c r="A206" s="12" t="s">
        <v>113</v>
      </c>
      <c r="B206" s="12" t="s">
        <v>68</v>
      </c>
      <c r="C206" s="12" t="s">
        <v>27</v>
      </c>
      <c r="D206" s="12" t="s">
        <v>66</v>
      </c>
      <c r="E206" s="25">
        <v>0</v>
      </c>
      <c r="F206" s="10">
        <v>0</v>
      </c>
      <c r="G206" s="10">
        <v>0</v>
      </c>
      <c r="H206" s="10">
        <v>1</v>
      </c>
      <c r="I206" s="10">
        <v>0</v>
      </c>
      <c r="J206" s="10">
        <v>0</v>
      </c>
      <c r="K206" s="10">
        <v>0</v>
      </c>
      <c r="L206" s="10">
        <v>0</v>
      </c>
      <c r="M206" s="10">
        <v>0</v>
      </c>
      <c r="N206" s="10">
        <v>0</v>
      </c>
      <c r="O206" s="10">
        <v>0</v>
      </c>
      <c r="P206" s="10">
        <v>0</v>
      </c>
      <c r="Q206" s="26">
        <f t="shared" si="9"/>
        <v>1</v>
      </c>
      <c r="R206" s="25">
        <v>0</v>
      </c>
      <c r="S206" s="10">
        <v>0</v>
      </c>
      <c r="T206" s="10">
        <v>0</v>
      </c>
      <c r="U206" s="10">
        <v>0</v>
      </c>
      <c r="V206" s="10">
        <v>0</v>
      </c>
      <c r="W206" s="10">
        <v>0</v>
      </c>
      <c r="X206" s="10">
        <v>0</v>
      </c>
      <c r="Y206" s="10">
        <v>0</v>
      </c>
      <c r="Z206" s="10">
        <v>0</v>
      </c>
      <c r="AA206" s="10">
        <v>0</v>
      </c>
      <c r="AB206" s="10">
        <v>0</v>
      </c>
      <c r="AC206" s="10">
        <v>0</v>
      </c>
      <c r="AD206" s="26">
        <f t="shared" si="10"/>
        <v>0</v>
      </c>
      <c r="AE206" s="25">
        <v>0</v>
      </c>
      <c r="AF206" s="10">
        <v>0</v>
      </c>
      <c r="AG206" s="10">
        <v>0</v>
      </c>
      <c r="AH206" s="10">
        <v>8965</v>
      </c>
      <c r="AI206" s="10">
        <v>0</v>
      </c>
      <c r="AJ206" s="10">
        <v>0</v>
      </c>
      <c r="AK206" s="10">
        <v>0</v>
      </c>
      <c r="AL206" s="10">
        <v>0</v>
      </c>
      <c r="AM206" s="10">
        <v>0</v>
      </c>
      <c r="AN206" s="10">
        <v>0</v>
      </c>
      <c r="AO206" s="10">
        <v>0</v>
      </c>
      <c r="AP206" s="10">
        <v>0</v>
      </c>
      <c r="AQ206" s="26">
        <f t="shared" si="11"/>
        <v>8965</v>
      </c>
    </row>
    <row r="207" spans="1:43" ht="17.25" customHeight="1" x14ac:dyDescent="0.45">
      <c r="A207" s="2" t="s">
        <v>113</v>
      </c>
      <c r="B207" s="2" t="s">
        <v>68</v>
      </c>
      <c r="C207" s="2" t="s">
        <v>206</v>
      </c>
      <c r="D207" s="2" t="s">
        <v>66</v>
      </c>
      <c r="E207" s="23">
        <v>0</v>
      </c>
      <c r="F207" s="1">
        <v>0</v>
      </c>
      <c r="G207" s="1">
        <v>1</v>
      </c>
      <c r="H207" s="1">
        <v>0</v>
      </c>
      <c r="I207" s="1">
        <v>0</v>
      </c>
      <c r="J207" s="1">
        <v>0</v>
      </c>
      <c r="K207" s="1">
        <v>0</v>
      </c>
      <c r="L207" s="1">
        <v>0</v>
      </c>
      <c r="M207" s="1">
        <v>0</v>
      </c>
      <c r="N207" s="1">
        <v>0</v>
      </c>
      <c r="O207" s="1">
        <v>0</v>
      </c>
      <c r="P207" s="1">
        <v>0</v>
      </c>
      <c r="Q207" s="24">
        <f t="shared" si="9"/>
        <v>1</v>
      </c>
      <c r="R207" s="23">
        <v>0</v>
      </c>
      <c r="S207" s="1">
        <v>0</v>
      </c>
      <c r="T207" s="1">
        <v>0</v>
      </c>
      <c r="U207" s="1">
        <v>0</v>
      </c>
      <c r="V207" s="1">
        <v>0</v>
      </c>
      <c r="W207" s="1">
        <v>0</v>
      </c>
      <c r="X207" s="1">
        <v>0</v>
      </c>
      <c r="Y207" s="1">
        <v>0</v>
      </c>
      <c r="Z207" s="1">
        <v>0</v>
      </c>
      <c r="AA207" s="1">
        <v>0</v>
      </c>
      <c r="AB207" s="1">
        <v>0</v>
      </c>
      <c r="AC207" s="1">
        <v>0</v>
      </c>
      <c r="AD207" s="24">
        <f t="shared" si="10"/>
        <v>0</v>
      </c>
      <c r="AE207" s="23">
        <v>0</v>
      </c>
      <c r="AF207" s="1">
        <v>0</v>
      </c>
      <c r="AG207" s="1">
        <v>33486</v>
      </c>
      <c r="AH207" s="1">
        <v>0</v>
      </c>
      <c r="AI207" s="1">
        <v>0</v>
      </c>
      <c r="AJ207" s="1">
        <v>0</v>
      </c>
      <c r="AK207" s="1">
        <v>0</v>
      </c>
      <c r="AL207" s="1">
        <v>0</v>
      </c>
      <c r="AM207" s="1">
        <v>0</v>
      </c>
      <c r="AN207" s="1">
        <v>0</v>
      </c>
      <c r="AO207" s="1">
        <v>0</v>
      </c>
      <c r="AP207" s="1">
        <v>0</v>
      </c>
      <c r="AQ207" s="24">
        <f t="shared" si="11"/>
        <v>33486</v>
      </c>
    </row>
    <row r="208" spans="1:43" ht="17.25" customHeight="1" x14ac:dyDescent="0.45">
      <c r="A208" s="12" t="s">
        <v>214</v>
      </c>
      <c r="B208" s="12" t="s">
        <v>215</v>
      </c>
      <c r="C208" s="12" t="s">
        <v>10</v>
      </c>
      <c r="D208" s="12" t="s">
        <v>66</v>
      </c>
      <c r="E208" s="25">
        <v>4</v>
      </c>
      <c r="F208" s="10">
        <v>4</v>
      </c>
      <c r="G208" s="10">
        <v>3</v>
      </c>
      <c r="H208" s="10">
        <v>0</v>
      </c>
      <c r="I208" s="10">
        <v>0</v>
      </c>
      <c r="J208" s="10">
        <v>0</v>
      </c>
      <c r="K208" s="10">
        <v>0</v>
      </c>
      <c r="L208" s="10">
        <v>0</v>
      </c>
      <c r="M208" s="10">
        <v>0</v>
      </c>
      <c r="N208" s="10">
        <v>0</v>
      </c>
      <c r="O208" s="10">
        <v>3</v>
      </c>
      <c r="P208" s="10">
        <v>4</v>
      </c>
      <c r="Q208" s="26">
        <f t="shared" si="9"/>
        <v>18</v>
      </c>
      <c r="R208" s="25">
        <v>998</v>
      </c>
      <c r="S208" s="10">
        <v>995</v>
      </c>
      <c r="T208" s="10">
        <v>396</v>
      </c>
      <c r="U208" s="10">
        <v>0</v>
      </c>
      <c r="V208" s="10">
        <v>0</v>
      </c>
      <c r="W208" s="10">
        <v>0</v>
      </c>
      <c r="X208" s="10">
        <v>0</v>
      </c>
      <c r="Y208" s="10">
        <v>0</v>
      </c>
      <c r="Z208" s="10">
        <v>0</v>
      </c>
      <c r="AA208" s="10">
        <v>0</v>
      </c>
      <c r="AB208" s="10">
        <v>729</v>
      </c>
      <c r="AC208" s="10">
        <v>947</v>
      </c>
      <c r="AD208" s="26">
        <f t="shared" si="10"/>
        <v>4065</v>
      </c>
      <c r="AE208" s="25">
        <v>0</v>
      </c>
      <c r="AF208" s="10">
        <v>0</v>
      </c>
      <c r="AG208" s="10">
        <v>0</v>
      </c>
      <c r="AH208" s="10">
        <v>0</v>
      </c>
      <c r="AI208" s="10">
        <v>0</v>
      </c>
      <c r="AJ208" s="10">
        <v>0</v>
      </c>
      <c r="AK208" s="10">
        <v>0</v>
      </c>
      <c r="AL208" s="10">
        <v>0</v>
      </c>
      <c r="AM208" s="10">
        <v>0</v>
      </c>
      <c r="AN208" s="10">
        <v>0</v>
      </c>
      <c r="AO208" s="10">
        <v>0</v>
      </c>
      <c r="AP208" s="10">
        <v>0</v>
      </c>
      <c r="AQ208" s="26">
        <f t="shared" si="11"/>
        <v>0</v>
      </c>
    </row>
    <row r="209" spans="1:43" ht="17.25" customHeight="1" x14ac:dyDescent="0.45">
      <c r="A209" s="2" t="s">
        <v>304</v>
      </c>
      <c r="B209" s="2" t="s">
        <v>305</v>
      </c>
      <c r="C209" s="2" t="s">
        <v>23</v>
      </c>
      <c r="D209" s="2" t="s">
        <v>66</v>
      </c>
      <c r="E209" s="23">
        <v>0</v>
      </c>
      <c r="F209" s="1">
        <v>0</v>
      </c>
      <c r="G209" s="1">
        <v>0</v>
      </c>
      <c r="H209" s="1">
        <v>0</v>
      </c>
      <c r="I209" s="1">
        <v>0</v>
      </c>
      <c r="J209" s="1">
        <v>1</v>
      </c>
      <c r="K209" s="1">
        <v>0</v>
      </c>
      <c r="L209" s="1">
        <v>0</v>
      </c>
      <c r="M209" s="1">
        <v>0</v>
      </c>
      <c r="N209" s="1">
        <v>0</v>
      </c>
      <c r="O209" s="1">
        <v>0</v>
      </c>
      <c r="P209" s="1">
        <v>0</v>
      </c>
      <c r="Q209" s="24">
        <f t="shared" si="9"/>
        <v>1</v>
      </c>
      <c r="R209" s="23">
        <v>0</v>
      </c>
      <c r="S209" s="1">
        <v>0</v>
      </c>
      <c r="T209" s="1">
        <v>0</v>
      </c>
      <c r="U209" s="1">
        <v>0</v>
      </c>
      <c r="V209" s="1">
        <v>0</v>
      </c>
      <c r="W209" s="1">
        <v>0</v>
      </c>
      <c r="X209" s="1">
        <v>0</v>
      </c>
      <c r="Y209" s="1">
        <v>0</v>
      </c>
      <c r="Z209" s="1">
        <v>0</v>
      </c>
      <c r="AA209" s="1">
        <v>0</v>
      </c>
      <c r="AB209" s="1">
        <v>0</v>
      </c>
      <c r="AC209" s="1">
        <v>0</v>
      </c>
      <c r="AD209" s="24">
        <f t="shared" si="10"/>
        <v>0</v>
      </c>
      <c r="AE209" s="23">
        <v>0</v>
      </c>
      <c r="AF209" s="1">
        <v>0</v>
      </c>
      <c r="AG209" s="1">
        <v>0</v>
      </c>
      <c r="AH209" s="1">
        <v>0</v>
      </c>
      <c r="AI209" s="1">
        <v>0</v>
      </c>
      <c r="AJ209" s="1">
        <v>5766</v>
      </c>
      <c r="AK209" s="1">
        <v>0</v>
      </c>
      <c r="AL209" s="1">
        <v>0</v>
      </c>
      <c r="AM209" s="1">
        <v>0</v>
      </c>
      <c r="AN209" s="1">
        <v>0</v>
      </c>
      <c r="AO209" s="1">
        <v>0</v>
      </c>
      <c r="AP209" s="1">
        <v>0</v>
      </c>
      <c r="AQ209" s="24">
        <f t="shared" si="11"/>
        <v>5766</v>
      </c>
    </row>
    <row r="210" spans="1:43" ht="17.25" customHeight="1" x14ac:dyDescent="0.45">
      <c r="A210" s="12" t="s">
        <v>309</v>
      </c>
      <c r="B210" s="12" t="s">
        <v>68</v>
      </c>
      <c r="C210" s="12" t="s">
        <v>28</v>
      </c>
      <c r="D210" s="12" t="s">
        <v>66</v>
      </c>
      <c r="E210" s="25">
        <v>0</v>
      </c>
      <c r="F210" s="10">
        <v>0</v>
      </c>
      <c r="G210" s="10">
        <v>0</v>
      </c>
      <c r="H210" s="10">
        <v>0</v>
      </c>
      <c r="I210" s="10">
        <v>0</v>
      </c>
      <c r="J210" s="10">
        <v>0</v>
      </c>
      <c r="K210" s="10">
        <v>1</v>
      </c>
      <c r="L210" s="10">
        <v>0</v>
      </c>
      <c r="M210" s="10">
        <v>0</v>
      </c>
      <c r="N210" s="10">
        <v>0</v>
      </c>
      <c r="O210" s="10">
        <v>0</v>
      </c>
      <c r="P210" s="10">
        <v>0</v>
      </c>
      <c r="Q210" s="26">
        <f t="shared" si="9"/>
        <v>1</v>
      </c>
      <c r="R210" s="25">
        <v>0</v>
      </c>
      <c r="S210" s="10">
        <v>0</v>
      </c>
      <c r="T210" s="10">
        <v>0</v>
      </c>
      <c r="U210" s="10">
        <v>0</v>
      </c>
      <c r="V210" s="10">
        <v>0</v>
      </c>
      <c r="W210" s="10">
        <v>0</v>
      </c>
      <c r="X210" s="10">
        <v>0</v>
      </c>
      <c r="Y210" s="10">
        <v>0</v>
      </c>
      <c r="Z210" s="10">
        <v>0</v>
      </c>
      <c r="AA210" s="10">
        <v>0</v>
      </c>
      <c r="AB210" s="10">
        <v>0</v>
      </c>
      <c r="AC210" s="10">
        <v>0</v>
      </c>
      <c r="AD210" s="26">
        <f t="shared" si="10"/>
        <v>0</v>
      </c>
      <c r="AE210" s="25">
        <v>0</v>
      </c>
      <c r="AF210" s="10">
        <v>0</v>
      </c>
      <c r="AG210" s="10">
        <v>0</v>
      </c>
      <c r="AH210" s="10">
        <v>0</v>
      </c>
      <c r="AI210" s="10">
        <v>0</v>
      </c>
      <c r="AJ210" s="10">
        <v>0</v>
      </c>
      <c r="AK210" s="10">
        <v>2560</v>
      </c>
      <c r="AL210" s="10">
        <v>0</v>
      </c>
      <c r="AM210" s="10">
        <v>0</v>
      </c>
      <c r="AN210" s="10">
        <v>0</v>
      </c>
      <c r="AO210" s="10">
        <v>0</v>
      </c>
      <c r="AP210" s="10">
        <v>0</v>
      </c>
      <c r="AQ210" s="26">
        <f t="shared" si="11"/>
        <v>2560</v>
      </c>
    </row>
    <row r="211" spans="1:43" ht="17.25" customHeight="1" x14ac:dyDescent="0.45">
      <c r="A211" s="2" t="s">
        <v>116</v>
      </c>
      <c r="B211" s="2" t="s">
        <v>96</v>
      </c>
      <c r="C211" s="2" t="s">
        <v>18</v>
      </c>
      <c r="D211" s="2" t="s">
        <v>66</v>
      </c>
      <c r="E211" s="23">
        <v>0</v>
      </c>
      <c r="F211" s="1">
        <v>0</v>
      </c>
      <c r="G211" s="1">
        <v>0</v>
      </c>
      <c r="H211" s="1">
        <v>0</v>
      </c>
      <c r="I211" s="1">
        <v>0</v>
      </c>
      <c r="J211" s="1">
        <v>0</v>
      </c>
      <c r="K211" s="1">
        <v>0</v>
      </c>
      <c r="L211" s="1">
        <v>1</v>
      </c>
      <c r="M211" s="1">
        <v>0</v>
      </c>
      <c r="N211" s="1">
        <v>0</v>
      </c>
      <c r="O211" s="1">
        <v>0</v>
      </c>
      <c r="P211" s="1">
        <v>0</v>
      </c>
      <c r="Q211" s="24">
        <f t="shared" si="9"/>
        <v>1</v>
      </c>
      <c r="R211" s="23">
        <v>0</v>
      </c>
      <c r="S211" s="1">
        <v>0</v>
      </c>
      <c r="T211" s="1">
        <v>0</v>
      </c>
      <c r="U211" s="1">
        <v>0</v>
      </c>
      <c r="V211" s="1">
        <v>0</v>
      </c>
      <c r="W211" s="1">
        <v>0</v>
      </c>
      <c r="X211" s="1">
        <v>0</v>
      </c>
      <c r="Y211" s="1">
        <v>134</v>
      </c>
      <c r="Z211" s="1">
        <v>0</v>
      </c>
      <c r="AA211" s="1">
        <v>0</v>
      </c>
      <c r="AB211" s="1">
        <v>0</v>
      </c>
      <c r="AC211" s="1">
        <v>0</v>
      </c>
      <c r="AD211" s="24">
        <f t="shared" si="10"/>
        <v>134</v>
      </c>
      <c r="AE211" s="23">
        <v>0</v>
      </c>
      <c r="AF211" s="1">
        <v>0</v>
      </c>
      <c r="AG211" s="1">
        <v>0</v>
      </c>
      <c r="AH211" s="1">
        <v>0</v>
      </c>
      <c r="AI211" s="1">
        <v>0</v>
      </c>
      <c r="AJ211" s="1">
        <v>0</v>
      </c>
      <c r="AK211" s="1">
        <v>0</v>
      </c>
      <c r="AL211" s="1">
        <v>0</v>
      </c>
      <c r="AM211" s="1">
        <v>0</v>
      </c>
      <c r="AN211" s="1">
        <v>0</v>
      </c>
      <c r="AO211" s="1">
        <v>0</v>
      </c>
      <c r="AP211" s="1">
        <v>0</v>
      </c>
      <c r="AQ211" s="24">
        <f t="shared" si="11"/>
        <v>0</v>
      </c>
    </row>
    <row r="212" spans="1:43" ht="17.25" customHeight="1" x14ac:dyDescent="0.45">
      <c r="A212" s="12" t="s">
        <v>116</v>
      </c>
      <c r="B212" s="12" t="s">
        <v>96</v>
      </c>
      <c r="C212" s="12" t="s">
        <v>10</v>
      </c>
      <c r="D212" s="12" t="s">
        <v>66</v>
      </c>
      <c r="E212" s="25">
        <v>31</v>
      </c>
      <c r="F212" s="10">
        <v>14</v>
      </c>
      <c r="G212" s="10">
        <v>32</v>
      </c>
      <c r="H212" s="10">
        <v>30</v>
      </c>
      <c r="I212" s="10">
        <v>31</v>
      </c>
      <c r="J212" s="10">
        <v>21</v>
      </c>
      <c r="K212" s="10">
        <v>20</v>
      </c>
      <c r="L212" s="10">
        <v>23</v>
      </c>
      <c r="M212" s="10">
        <v>17</v>
      </c>
      <c r="N212" s="10">
        <v>18</v>
      </c>
      <c r="O212" s="10">
        <v>17</v>
      </c>
      <c r="P212" s="10">
        <v>18</v>
      </c>
      <c r="Q212" s="26">
        <f t="shared" si="9"/>
        <v>272</v>
      </c>
      <c r="R212" s="25">
        <v>3376</v>
      </c>
      <c r="S212" s="10">
        <v>1315</v>
      </c>
      <c r="T212" s="10">
        <v>2726</v>
      </c>
      <c r="U212" s="10">
        <v>2661</v>
      </c>
      <c r="V212" s="10">
        <v>3055</v>
      </c>
      <c r="W212" s="10">
        <v>2353</v>
      </c>
      <c r="X212" s="10">
        <v>2351</v>
      </c>
      <c r="Y212" s="10">
        <v>2619</v>
      </c>
      <c r="Z212" s="10">
        <v>1850</v>
      </c>
      <c r="AA212" s="10">
        <v>1894</v>
      </c>
      <c r="AB212" s="10">
        <v>1844</v>
      </c>
      <c r="AC212" s="10">
        <v>1824</v>
      </c>
      <c r="AD212" s="26">
        <f t="shared" si="10"/>
        <v>27868</v>
      </c>
      <c r="AE212" s="25">
        <v>0</v>
      </c>
      <c r="AF212" s="10">
        <v>0</v>
      </c>
      <c r="AG212" s="10">
        <v>0</v>
      </c>
      <c r="AH212" s="10">
        <v>0</v>
      </c>
      <c r="AI212" s="10">
        <v>0</v>
      </c>
      <c r="AJ212" s="10">
        <v>0</v>
      </c>
      <c r="AK212" s="10">
        <v>0</v>
      </c>
      <c r="AL212" s="10">
        <v>0</v>
      </c>
      <c r="AM212" s="10">
        <v>0</v>
      </c>
      <c r="AN212" s="10">
        <v>0</v>
      </c>
      <c r="AO212" s="10">
        <v>0</v>
      </c>
      <c r="AP212" s="10">
        <v>0</v>
      </c>
      <c r="AQ212" s="26">
        <f t="shared" si="11"/>
        <v>0</v>
      </c>
    </row>
    <row r="213" spans="1:43" ht="17.25" customHeight="1" x14ac:dyDescent="0.45">
      <c r="A213" s="2" t="s">
        <v>116</v>
      </c>
      <c r="B213" s="2" t="s">
        <v>96</v>
      </c>
      <c r="C213" s="2" t="s">
        <v>23</v>
      </c>
      <c r="D213" s="2" t="s">
        <v>66</v>
      </c>
      <c r="E213" s="23">
        <v>9</v>
      </c>
      <c r="F213" s="1">
        <v>1</v>
      </c>
      <c r="G213" s="1">
        <v>9</v>
      </c>
      <c r="H213" s="1">
        <v>9</v>
      </c>
      <c r="I213" s="1">
        <v>9</v>
      </c>
      <c r="J213" s="1">
        <v>8</v>
      </c>
      <c r="K213" s="1">
        <v>8</v>
      </c>
      <c r="L213" s="1">
        <v>8</v>
      </c>
      <c r="M213" s="1">
        <v>9</v>
      </c>
      <c r="N213" s="1">
        <v>8</v>
      </c>
      <c r="O213" s="1">
        <v>9</v>
      </c>
      <c r="P213" s="1">
        <v>9</v>
      </c>
      <c r="Q213" s="24">
        <f t="shared" si="9"/>
        <v>96</v>
      </c>
      <c r="R213" s="23">
        <v>1013</v>
      </c>
      <c r="S213" s="1">
        <v>92</v>
      </c>
      <c r="T213" s="1">
        <v>809</v>
      </c>
      <c r="U213" s="1">
        <v>752</v>
      </c>
      <c r="V213" s="1">
        <v>916</v>
      </c>
      <c r="W213" s="1">
        <v>828</v>
      </c>
      <c r="X213" s="1">
        <v>944</v>
      </c>
      <c r="Y213" s="1">
        <v>1015</v>
      </c>
      <c r="Z213" s="1">
        <v>1044</v>
      </c>
      <c r="AA213" s="1">
        <v>844</v>
      </c>
      <c r="AB213" s="1">
        <v>986</v>
      </c>
      <c r="AC213" s="1">
        <v>950</v>
      </c>
      <c r="AD213" s="24">
        <f t="shared" si="10"/>
        <v>10193</v>
      </c>
      <c r="AE213" s="23">
        <v>0</v>
      </c>
      <c r="AF213" s="1">
        <v>0</v>
      </c>
      <c r="AG213" s="1">
        <v>0</v>
      </c>
      <c r="AH213" s="1">
        <v>0</v>
      </c>
      <c r="AI213" s="1">
        <v>0</v>
      </c>
      <c r="AJ213" s="1">
        <v>0</v>
      </c>
      <c r="AK213" s="1">
        <v>0</v>
      </c>
      <c r="AL213" s="1">
        <v>0</v>
      </c>
      <c r="AM213" s="1">
        <v>0</v>
      </c>
      <c r="AN213" s="1">
        <v>0</v>
      </c>
      <c r="AO213" s="1">
        <v>0</v>
      </c>
      <c r="AP213" s="1">
        <v>0</v>
      </c>
      <c r="AQ213" s="24">
        <f t="shared" si="11"/>
        <v>0</v>
      </c>
    </row>
    <row r="214" spans="1:43" ht="17.25" customHeight="1" x14ac:dyDescent="0.45">
      <c r="A214" s="12" t="s">
        <v>116</v>
      </c>
      <c r="B214" s="12" t="s">
        <v>96</v>
      </c>
      <c r="C214" s="12" t="s">
        <v>12</v>
      </c>
      <c r="D214" s="12" t="s">
        <v>66</v>
      </c>
      <c r="E214" s="25">
        <v>4</v>
      </c>
      <c r="F214" s="10">
        <v>0</v>
      </c>
      <c r="G214" s="10">
        <v>0</v>
      </c>
      <c r="H214" s="10">
        <v>0</v>
      </c>
      <c r="I214" s="10">
        <v>0</v>
      </c>
      <c r="J214" s="10">
        <v>0</v>
      </c>
      <c r="K214" s="10">
        <v>0</v>
      </c>
      <c r="L214" s="10">
        <v>0</v>
      </c>
      <c r="M214" s="10">
        <v>0</v>
      </c>
      <c r="N214" s="10">
        <v>0</v>
      </c>
      <c r="O214" s="10">
        <v>0</v>
      </c>
      <c r="P214" s="10">
        <v>0</v>
      </c>
      <c r="Q214" s="26">
        <f t="shared" si="9"/>
        <v>4</v>
      </c>
      <c r="R214" s="25">
        <v>195</v>
      </c>
      <c r="S214" s="10">
        <v>0</v>
      </c>
      <c r="T214" s="10">
        <v>0</v>
      </c>
      <c r="U214" s="10">
        <v>0</v>
      </c>
      <c r="V214" s="10">
        <v>0</v>
      </c>
      <c r="W214" s="10">
        <v>0</v>
      </c>
      <c r="X214" s="10">
        <v>0</v>
      </c>
      <c r="Y214" s="10">
        <v>0</v>
      </c>
      <c r="Z214" s="10">
        <v>0</v>
      </c>
      <c r="AA214" s="10">
        <v>0</v>
      </c>
      <c r="AB214" s="10">
        <v>0</v>
      </c>
      <c r="AC214" s="10">
        <v>0</v>
      </c>
      <c r="AD214" s="26">
        <f t="shared" si="10"/>
        <v>195</v>
      </c>
      <c r="AE214" s="25">
        <v>0</v>
      </c>
      <c r="AF214" s="10">
        <v>0</v>
      </c>
      <c r="AG214" s="10">
        <v>0</v>
      </c>
      <c r="AH214" s="10">
        <v>0</v>
      </c>
      <c r="AI214" s="10">
        <v>0</v>
      </c>
      <c r="AJ214" s="10">
        <v>0</v>
      </c>
      <c r="AK214" s="10">
        <v>0</v>
      </c>
      <c r="AL214" s="10">
        <v>0</v>
      </c>
      <c r="AM214" s="10">
        <v>0</v>
      </c>
      <c r="AN214" s="10">
        <v>0</v>
      </c>
      <c r="AO214" s="10">
        <v>0</v>
      </c>
      <c r="AP214" s="10">
        <v>0</v>
      </c>
      <c r="AQ214" s="26">
        <f t="shared" si="11"/>
        <v>0</v>
      </c>
    </row>
    <row r="215" spans="1:43" ht="17.25" customHeight="1" x14ac:dyDescent="0.45">
      <c r="A215" s="2" t="s">
        <v>116</v>
      </c>
      <c r="B215" s="2" t="s">
        <v>96</v>
      </c>
      <c r="C215" s="2" t="s">
        <v>14</v>
      </c>
      <c r="D215" s="2" t="s">
        <v>66</v>
      </c>
      <c r="E215" s="23">
        <v>2</v>
      </c>
      <c r="F215" s="1">
        <v>0</v>
      </c>
      <c r="G215" s="1">
        <v>0</v>
      </c>
      <c r="H215" s="1">
        <v>1</v>
      </c>
      <c r="I215" s="1">
        <v>1</v>
      </c>
      <c r="J215" s="1">
        <v>1</v>
      </c>
      <c r="K215" s="1">
        <v>2</v>
      </c>
      <c r="L215" s="1">
        <v>7</v>
      </c>
      <c r="M215" s="1">
        <v>1</v>
      </c>
      <c r="N215" s="1">
        <v>0</v>
      </c>
      <c r="O215" s="1">
        <v>0</v>
      </c>
      <c r="P215" s="1">
        <v>0</v>
      </c>
      <c r="Q215" s="24">
        <f t="shared" si="9"/>
        <v>15</v>
      </c>
      <c r="R215" s="23">
        <v>265</v>
      </c>
      <c r="S215" s="1">
        <v>0</v>
      </c>
      <c r="T215" s="1">
        <v>0</v>
      </c>
      <c r="U215" s="1">
        <v>128</v>
      </c>
      <c r="V215" s="1">
        <v>122</v>
      </c>
      <c r="W215" s="1">
        <v>178</v>
      </c>
      <c r="X215" s="1">
        <v>404</v>
      </c>
      <c r="Y215" s="1">
        <v>1322</v>
      </c>
      <c r="Z215" s="1">
        <v>70</v>
      </c>
      <c r="AA215" s="1">
        <v>0</v>
      </c>
      <c r="AB215" s="1">
        <v>0</v>
      </c>
      <c r="AC215" s="1">
        <v>0</v>
      </c>
      <c r="AD215" s="24">
        <f t="shared" si="10"/>
        <v>2489</v>
      </c>
      <c r="AE215" s="23">
        <v>0</v>
      </c>
      <c r="AF215" s="1">
        <v>0</v>
      </c>
      <c r="AG215" s="1">
        <v>0</v>
      </c>
      <c r="AH215" s="1">
        <v>0</v>
      </c>
      <c r="AI215" s="1">
        <v>0</v>
      </c>
      <c r="AJ215" s="1">
        <v>0</v>
      </c>
      <c r="AK215" s="1">
        <v>0</v>
      </c>
      <c r="AL215" s="1">
        <v>0</v>
      </c>
      <c r="AM215" s="1">
        <v>0</v>
      </c>
      <c r="AN215" s="1">
        <v>0</v>
      </c>
      <c r="AO215" s="1">
        <v>0</v>
      </c>
      <c r="AP215" s="1">
        <v>0</v>
      </c>
      <c r="AQ215" s="24">
        <f t="shared" si="11"/>
        <v>0</v>
      </c>
    </row>
    <row r="216" spans="1:43" ht="17.25" customHeight="1" x14ac:dyDescent="0.45">
      <c r="A216" s="12" t="s">
        <v>327</v>
      </c>
      <c r="B216" s="12" t="s">
        <v>68</v>
      </c>
      <c r="C216" s="12" t="s">
        <v>14</v>
      </c>
      <c r="D216" s="12" t="s">
        <v>66</v>
      </c>
      <c r="E216" s="25">
        <v>0</v>
      </c>
      <c r="F216" s="10">
        <v>0</v>
      </c>
      <c r="G216" s="10">
        <v>0</v>
      </c>
      <c r="H216" s="10">
        <v>0</v>
      </c>
      <c r="I216" s="10">
        <v>0</v>
      </c>
      <c r="J216" s="10">
        <v>0</v>
      </c>
      <c r="K216" s="10">
        <v>0</v>
      </c>
      <c r="L216" s="10">
        <v>0</v>
      </c>
      <c r="M216" s="10">
        <v>0</v>
      </c>
      <c r="N216" s="10">
        <v>1</v>
      </c>
      <c r="O216" s="10">
        <v>0</v>
      </c>
      <c r="P216" s="10">
        <v>0</v>
      </c>
      <c r="Q216" s="26">
        <f t="shared" si="9"/>
        <v>1</v>
      </c>
      <c r="R216" s="25">
        <v>0</v>
      </c>
      <c r="S216" s="10">
        <v>0</v>
      </c>
      <c r="T216" s="10">
        <v>0</v>
      </c>
      <c r="U216" s="10">
        <v>0</v>
      </c>
      <c r="V216" s="10">
        <v>0</v>
      </c>
      <c r="W216" s="10">
        <v>0</v>
      </c>
      <c r="X216" s="10">
        <v>0</v>
      </c>
      <c r="Y216" s="10">
        <v>0</v>
      </c>
      <c r="Z216" s="10">
        <v>0</v>
      </c>
      <c r="AA216" s="10">
        <v>0</v>
      </c>
      <c r="AB216" s="10">
        <v>0</v>
      </c>
      <c r="AC216" s="10">
        <v>0</v>
      </c>
      <c r="AD216" s="26">
        <f t="shared" si="10"/>
        <v>0</v>
      </c>
      <c r="AE216" s="25">
        <v>0</v>
      </c>
      <c r="AF216" s="10">
        <v>0</v>
      </c>
      <c r="AG216" s="10">
        <v>0</v>
      </c>
      <c r="AH216" s="10">
        <v>0</v>
      </c>
      <c r="AI216" s="10">
        <v>0</v>
      </c>
      <c r="AJ216" s="10">
        <v>0</v>
      </c>
      <c r="AK216" s="10">
        <v>0</v>
      </c>
      <c r="AL216" s="10">
        <v>0</v>
      </c>
      <c r="AM216" s="10">
        <v>0</v>
      </c>
      <c r="AN216" s="10">
        <v>104862</v>
      </c>
      <c r="AO216" s="10">
        <v>0</v>
      </c>
      <c r="AP216" s="10">
        <v>0</v>
      </c>
      <c r="AQ216" s="26">
        <f t="shared" si="11"/>
        <v>104862</v>
      </c>
    </row>
    <row r="217" spans="1:43" ht="17.25" customHeight="1" x14ac:dyDescent="0.45">
      <c r="A217" s="2" t="s">
        <v>224</v>
      </c>
      <c r="B217" s="2" t="s">
        <v>68</v>
      </c>
      <c r="C217" s="2" t="s">
        <v>10</v>
      </c>
      <c r="D217" s="2" t="s">
        <v>66</v>
      </c>
      <c r="E217" s="23">
        <v>3</v>
      </c>
      <c r="F217" s="1">
        <v>12</v>
      </c>
      <c r="G217" s="1">
        <v>13</v>
      </c>
      <c r="H217" s="1">
        <v>2</v>
      </c>
      <c r="I217" s="1">
        <v>0</v>
      </c>
      <c r="J217" s="1">
        <v>0</v>
      </c>
      <c r="K217" s="1">
        <v>0</v>
      </c>
      <c r="L217" s="1">
        <v>0</v>
      </c>
      <c r="M217" s="1">
        <v>0</v>
      </c>
      <c r="N217" s="1">
        <v>0</v>
      </c>
      <c r="O217" s="1">
        <v>0</v>
      </c>
      <c r="P217" s="1">
        <v>0</v>
      </c>
      <c r="Q217" s="24">
        <f t="shared" si="9"/>
        <v>30</v>
      </c>
      <c r="R217" s="23">
        <v>509</v>
      </c>
      <c r="S217" s="1">
        <v>1728</v>
      </c>
      <c r="T217" s="1">
        <v>1737</v>
      </c>
      <c r="U217" s="1">
        <v>196</v>
      </c>
      <c r="V217" s="1">
        <v>0</v>
      </c>
      <c r="W217" s="1">
        <v>0</v>
      </c>
      <c r="X217" s="1">
        <v>0</v>
      </c>
      <c r="Y217" s="1">
        <v>0</v>
      </c>
      <c r="Z217" s="1">
        <v>0</v>
      </c>
      <c r="AA217" s="1">
        <v>0</v>
      </c>
      <c r="AB217" s="1">
        <v>0</v>
      </c>
      <c r="AC217" s="1">
        <v>0</v>
      </c>
      <c r="AD217" s="24">
        <f t="shared" si="10"/>
        <v>4170</v>
      </c>
      <c r="AE217" s="23">
        <v>0</v>
      </c>
      <c r="AF217" s="1">
        <v>0</v>
      </c>
      <c r="AG217" s="1">
        <v>0</v>
      </c>
      <c r="AH217" s="1">
        <v>0</v>
      </c>
      <c r="AI217" s="1">
        <v>0</v>
      </c>
      <c r="AJ217" s="1">
        <v>0</v>
      </c>
      <c r="AK217" s="1">
        <v>0</v>
      </c>
      <c r="AL217" s="1">
        <v>0</v>
      </c>
      <c r="AM217" s="1">
        <v>0</v>
      </c>
      <c r="AN217" s="1">
        <v>0</v>
      </c>
      <c r="AO217" s="1">
        <v>0</v>
      </c>
      <c r="AP217" s="1">
        <v>0</v>
      </c>
      <c r="AQ217" s="24">
        <f t="shared" si="11"/>
        <v>0</v>
      </c>
    </row>
    <row r="218" spans="1:43" ht="17.25" customHeight="1" x14ac:dyDescent="0.45">
      <c r="A218" s="12" t="s">
        <v>194</v>
      </c>
      <c r="B218" s="12" t="s">
        <v>68</v>
      </c>
      <c r="C218" s="12" t="s">
        <v>16</v>
      </c>
      <c r="D218" s="12" t="s">
        <v>66</v>
      </c>
      <c r="E218" s="25">
        <v>0</v>
      </c>
      <c r="F218" s="10">
        <v>0</v>
      </c>
      <c r="G218" s="10">
        <v>0</v>
      </c>
      <c r="H218" s="10">
        <v>0</v>
      </c>
      <c r="I218" s="10">
        <v>1</v>
      </c>
      <c r="J218" s="10">
        <v>0</v>
      </c>
      <c r="K218" s="10">
        <v>0</v>
      </c>
      <c r="L218" s="10">
        <v>0</v>
      </c>
      <c r="M218" s="10">
        <v>0</v>
      </c>
      <c r="N218" s="10">
        <v>0</v>
      </c>
      <c r="O218" s="10">
        <v>0</v>
      </c>
      <c r="P218" s="10">
        <v>0</v>
      </c>
      <c r="Q218" s="26">
        <f t="shared" si="9"/>
        <v>1</v>
      </c>
      <c r="R218" s="25">
        <v>0</v>
      </c>
      <c r="S218" s="10">
        <v>0</v>
      </c>
      <c r="T218" s="10">
        <v>0</v>
      </c>
      <c r="U218" s="10">
        <v>0</v>
      </c>
      <c r="V218" s="10">
        <v>0</v>
      </c>
      <c r="W218" s="10">
        <v>0</v>
      </c>
      <c r="X218" s="10">
        <v>0</v>
      </c>
      <c r="Y218" s="10">
        <v>0</v>
      </c>
      <c r="Z218" s="10">
        <v>0</v>
      </c>
      <c r="AA218" s="10">
        <v>0</v>
      </c>
      <c r="AB218" s="10">
        <v>0</v>
      </c>
      <c r="AC218" s="10">
        <v>0</v>
      </c>
      <c r="AD218" s="26">
        <f t="shared" si="10"/>
        <v>0</v>
      </c>
      <c r="AE218" s="25">
        <v>0</v>
      </c>
      <c r="AF218" s="10">
        <v>0</v>
      </c>
      <c r="AG218" s="10">
        <v>0</v>
      </c>
      <c r="AH218" s="10">
        <v>0</v>
      </c>
      <c r="AI218" s="10">
        <v>12791</v>
      </c>
      <c r="AJ218" s="10">
        <v>0</v>
      </c>
      <c r="AK218" s="10">
        <v>0</v>
      </c>
      <c r="AL218" s="10">
        <v>0</v>
      </c>
      <c r="AM218" s="10">
        <v>0</v>
      </c>
      <c r="AN218" s="10">
        <v>0</v>
      </c>
      <c r="AO218" s="10">
        <v>0</v>
      </c>
      <c r="AP218" s="10">
        <v>0</v>
      </c>
      <c r="AQ218" s="26">
        <f t="shared" si="11"/>
        <v>12791</v>
      </c>
    </row>
    <row r="219" spans="1:43" ht="17.25" customHeight="1" x14ac:dyDescent="0.45">
      <c r="A219" s="2" t="s">
        <v>194</v>
      </c>
      <c r="B219" s="2" t="s">
        <v>68</v>
      </c>
      <c r="C219" s="2" t="s">
        <v>10</v>
      </c>
      <c r="D219" s="2" t="s">
        <v>66</v>
      </c>
      <c r="E219" s="23">
        <v>0</v>
      </c>
      <c r="F219" s="1">
        <v>0</v>
      </c>
      <c r="G219" s="1">
        <v>0</v>
      </c>
      <c r="H219" s="1">
        <v>0</v>
      </c>
      <c r="I219" s="1">
        <v>0</v>
      </c>
      <c r="J219" s="1">
        <v>0</v>
      </c>
      <c r="K219" s="1">
        <v>0</v>
      </c>
      <c r="L219" s="1">
        <v>0</v>
      </c>
      <c r="M219" s="1">
        <v>0</v>
      </c>
      <c r="N219" s="1">
        <v>0</v>
      </c>
      <c r="O219" s="1">
        <v>1</v>
      </c>
      <c r="P219" s="1">
        <v>0</v>
      </c>
      <c r="Q219" s="24">
        <f t="shared" si="9"/>
        <v>1</v>
      </c>
      <c r="R219" s="23">
        <v>0</v>
      </c>
      <c r="S219" s="1">
        <v>0</v>
      </c>
      <c r="T219" s="1">
        <v>0</v>
      </c>
      <c r="U219" s="1">
        <v>0</v>
      </c>
      <c r="V219" s="1">
        <v>0</v>
      </c>
      <c r="W219" s="1">
        <v>0</v>
      </c>
      <c r="X219" s="1">
        <v>0</v>
      </c>
      <c r="Y219" s="1">
        <v>0</v>
      </c>
      <c r="Z219" s="1">
        <v>0</v>
      </c>
      <c r="AA219" s="1">
        <v>0</v>
      </c>
      <c r="AB219" s="1">
        <v>32</v>
      </c>
      <c r="AC219" s="1">
        <v>0</v>
      </c>
      <c r="AD219" s="24">
        <f t="shared" si="10"/>
        <v>32</v>
      </c>
      <c r="AE219" s="23">
        <v>0</v>
      </c>
      <c r="AF219" s="1">
        <v>0</v>
      </c>
      <c r="AG219" s="1">
        <v>0</v>
      </c>
      <c r="AH219" s="1">
        <v>0</v>
      </c>
      <c r="AI219" s="1">
        <v>0</v>
      </c>
      <c r="AJ219" s="1">
        <v>0</v>
      </c>
      <c r="AK219" s="1">
        <v>0</v>
      </c>
      <c r="AL219" s="1">
        <v>0</v>
      </c>
      <c r="AM219" s="1">
        <v>0</v>
      </c>
      <c r="AN219" s="1">
        <v>0</v>
      </c>
      <c r="AO219" s="1">
        <v>0</v>
      </c>
      <c r="AP219" s="1">
        <v>0</v>
      </c>
      <c r="AQ219" s="24">
        <f t="shared" si="11"/>
        <v>0</v>
      </c>
    </row>
    <row r="220" spans="1:43" ht="17.25" customHeight="1" x14ac:dyDescent="0.45">
      <c r="A220" s="12" t="s">
        <v>194</v>
      </c>
      <c r="B220" s="12" t="s">
        <v>68</v>
      </c>
      <c r="C220" s="12" t="s">
        <v>19</v>
      </c>
      <c r="D220" s="12" t="s">
        <v>66</v>
      </c>
      <c r="E220" s="25">
        <v>1</v>
      </c>
      <c r="F220" s="10">
        <v>1</v>
      </c>
      <c r="G220" s="10">
        <v>3</v>
      </c>
      <c r="H220" s="10">
        <v>4</v>
      </c>
      <c r="I220" s="10">
        <v>2</v>
      </c>
      <c r="J220" s="10">
        <v>4</v>
      </c>
      <c r="K220" s="10">
        <v>0</v>
      </c>
      <c r="L220" s="10">
        <v>0</v>
      </c>
      <c r="M220" s="10">
        <v>0</v>
      </c>
      <c r="N220" s="10">
        <v>3</v>
      </c>
      <c r="O220" s="10">
        <v>0</v>
      </c>
      <c r="P220" s="10">
        <v>0</v>
      </c>
      <c r="Q220" s="26">
        <f t="shared" si="9"/>
        <v>18</v>
      </c>
      <c r="R220" s="25">
        <v>0</v>
      </c>
      <c r="S220" s="10">
        <v>0</v>
      </c>
      <c r="T220" s="10">
        <v>0</v>
      </c>
      <c r="U220" s="10">
        <v>0</v>
      </c>
      <c r="V220" s="10">
        <v>0</v>
      </c>
      <c r="W220" s="10">
        <v>0</v>
      </c>
      <c r="X220" s="10">
        <v>0</v>
      </c>
      <c r="Y220" s="10">
        <v>0</v>
      </c>
      <c r="Z220" s="10">
        <v>0</v>
      </c>
      <c r="AA220" s="10">
        <v>0</v>
      </c>
      <c r="AB220" s="10">
        <v>0</v>
      </c>
      <c r="AC220" s="10">
        <v>0</v>
      </c>
      <c r="AD220" s="26">
        <f t="shared" si="10"/>
        <v>0</v>
      </c>
      <c r="AE220" s="25">
        <v>13764</v>
      </c>
      <c r="AF220" s="10">
        <v>3311</v>
      </c>
      <c r="AG220" s="10">
        <v>93791</v>
      </c>
      <c r="AH220" s="10">
        <v>133280</v>
      </c>
      <c r="AI220" s="10">
        <v>30086</v>
      </c>
      <c r="AJ220" s="10">
        <v>128849</v>
      </c>
      <c r="AK220" s="10">
        <v>0</v>
      </c>
      <c r="AL220" s="10">
        <v>0</v>
      </c>
      <c r="AM220" s="10">
        <v>0</v>
      </c>
      <c r="AN220" s="10">
        <v>97450</v>
      </c>
      <c r="AO220" s="10">
        <v>0</v>
      </c>
      <c r="AP220" s="10">
        <v>0</v>
      </c>
      <c r="AQ220" s="26">
        <f t="shared" si="11"/>
        <v>500531</v>
      </c>
    </row>
    <row r="221" spans="1:43" ht="17.25" customHeight="1" x14ac:dyDescent="0.45">
      <c r="A221" s="2" t="s">
        <v>194</v>
      </c>
      <c r="B221" s="2" t="s">
        <v>68</v>
      </c>
      <c r="C221" s="2" t="s">
        <v>22</v>
      </c>
      <c r="D221" s="2" t="s">
        <v>66</v>
      </c>
      <c r="E221" s="23">
        <v>4</v>
      </c>
      <c r="F221" s="1">
        <v>7</v>
      </c>
      <c r="G221" s="1">
        <v>7</v>
      </c>
      <c r="H221" s="1">
        <v>10</v>
      </c>
      <c r="I221" s="1">
        <v>0</v>
      </c>
      <c r="J221" s="1">
        <v>1</v>
      </c>
      <c r="K221" s="1">
        <v>2</v>
      </c>
      <c r="L221" s="1">
        <v>2</v>
      </c>
      <c r="M221" s="1">
        <v>0</v>
      </c>
      <c r="N221" s="1">
        <v>8</v>
      </c>
      <c r="O221" s="1">
        <v>8</v>
      </c>
      <c r="P221" s="1">
        <v>6</v>
      </c>
      <c r="Q221" s="24">
        <f t="shared" si="9"/>
        <v>55</v>
      </c>
      <c r="R221" s="23">
        <v>0</v>
      </c>
      <c r="S221" s="1">
        <v>0</v>
      </c>
      <c r="T221" s="1">
        <v>0</v>
      </c>
      <c r="U221" s="1">
        <v>0</v>
      </c>
      <c r="V221" s="1">
        <v>0</v>
      </c>
      <c r="W221" s="1">
        <v>0</v>
      </c>
      <c r="X221" s="1">
        <v>0</v>
      </c>
      <c r="Y221" s="1">
        <v>0</v>
      </c>
      <c r="Z221" s="1">
        <v>0</v>
      </c>
      <c r="AA221" s="1">
        <v>0</v>
      </c>
      <c r="AB221" s="1">
        <v>0</v>
      </c>
      <c r="AC221" s="1">
        <v>0</v>
      </c>
      <c r="AD221" s="24">
        <f t="shared" si="10"/>
        <v>0</v>
      </c>
      <c r="AE221" s="23">
        <v>99426</v>
      </c>
      <c r="AF221" s="1">
        <v>206161</v>
      </c>
      <c r="AG221" s="1">
        <v>271002</v>
      </c>
      <c r="AH221" s="1">
        <v>202789</v>
      </c>
      <c r="AI221" s="1">
        <v>0</v>
      </c>
      <c r="AJ221" s="1">
        <v>160</v>
      </c>
      <c r="AK221" s="1">
        <v>2885</v>
      </c>
      <c r="AL221" s="1">
        <v>1750</v>
      </c>
      <c r="AM221" s="1">
        <v>0</v>
      </c>
      <c r="AN221" s="1">
        <v>335314</v>
      </c>
      <c r="AO221" s="1">
        <v>364159</v>
      </c>
      <c r="AP221" s="1">
        <v>306259</v>
      </c>
      <c r="AQ221" s="24">
        <f t="shared" si="11"/>
        <v>1789905</v>
      </c>
    </row>
    <row r="222" spans="1:43" ht="17.25" customHeight="1" x14ac:dyDescent="0.45">
      <c r="A222" s="12" t="s">
        <v>194</v>
      </c>
      <c r="B222" s="12" t="s">
        <v>68</v>
      </c>
      <c r="C222" s="12" t="s">
        <v>11</v>
      </c>
      <c r="D222" s="12" t="s">
        <v>66</v>
      </c>
      <c r="E222" s="25">
        <v>1</v>
      </c>
      <c r="F222" s="10">
        <v>2</v>
      </c>
      <c r="G222" s="10">
        <v>2</v>
      </c>
      <c r="H222" s="10">
        <v>3</v>
      </c>
      <c r="I222" s="10">
        <v>0</v>
      </c>
      <c r="J222" s="10">
        <v>0</v>
      </c>
      <c r="K222" s="10">
        <v>0</v>
      </c>
      <c r="L222" s="10">
        <v>1</v>
      </c>
      <c r="M222" s="10">
        <v>1</v>
      </c>
      <c r="N222" s="10">
        <v>6</v>
      </c>
      <c r="O222" s="10">
        <v>3</v>
      </c>
      <c r="P222" s="10">
        <v>3</v>
      </c>
      <c r="Q222" s="26">
        <f t="shared" si="9"/>
        <v>22</v>
      </c>
      <c r="R222" s="25">
        <v>0</v>
      </c>
      <c r="S222" s="10">
        <v>0</v>
      </c>
      <c r="T222" s="10">
        <v>0</v>
      </c>
      <c r="U222" s="10">
        <v>0</v>
      </c>
      <c r="V222" s="10">
        <v>0</v>
      </c>
      <c r="W222" s="10">
        <v>0</v>
      </c>
      <c r="X222" s="10">
        <v>0</v>
      </c>
      <c r="Y222" s="10">
        <v>0</v>
      </c>
      <c r="Z222" s="10">
        <v>0</v>
      </c>
      <c r="AA222" s="10">
        <v>0</v>
      </c>
      <c r="AB222" s="10">
        <v>0</v>
      </c>
      <c r="AC222" s="10">
        <v>0</v>
      </c>
      <c r="AD222" s="26">
        <f t="shared" si="10"/>
        <v>0</v>
      </c>
      <c r="AE222" s="25">
        <v>28675</v>
      </c>
      <c r="AF222" s="10">
        <v>7774</v>
      </c>
      <c r="AG222" s="10">
        <v>34633</v>
      </c>
      <c r="AH222" s="10">
        <v>51852</v>
      </c>
      <c r="AI222" s="10">
        <v>0</v>
      </c>
      <c r="AJ222" s="10">
        <v>0</v>
      </c>
      <c r="AK222" s="10">
        <v>0</v>
      </c>
      <c r="AL222" s="10">
        <v>52869</v>
      </c>
      <c r="AM222" s="10">
        <v>40853</v>
      </c>
      <c r="AN222" s="10">
        <v>297119</v>
      </c>
      <c r="AO222" s="10">
        <v>210526</v>
      </c>
      <c r="AP222" s="10">
        <v>160980</v>
      </c>
      <c r="AQ222" s="26">
        <f t="shared" si="11"/>
        <v>885281</v>
      </c>
    </row>
    <row r="223" spans="1:43" ht="17.25" customHeight="1" x14ac:dyDescent="0.45">
      <c r="A223" s="2" t="s">
        <v>194</v>
      </c>
      <c r="B223" s="2" t="s">
        <v>68</v>
      </c>
      <c r="C223" s="2" t="s">
        <v>38</v>
      </c>
      <c r="D223" s="2" t="s">
        <v>66</v>
      </c>
      <c r="E223" s="23">
        <v>1</v>
      </c>
      <c r="F223" s="1">
        <v>1</v>
      </c>
      <c r="G223" s="1">
        <v>0</v>
      </c>
      <c r="H223" s="1">
        <v>0</v>
      </c>
      <c r="I223" s="1">
        <v>0</v>
      </c>
      <c r="J223" s="1">
        <v>1</v>
      </c>
      <c r="K223" s="1">
        <v>0</v>
      </c>
      <c r="L223" s="1">
        <v>0</v>
      </c>
      <c r="M223" s="1">
        <v>1</v>
      </c>
      <c r="N223" s="1">
        <v>1</v>
      </c>
      <c r="O223" s="1">
        <v>6</v>
      </c>
      <c r="P223" s="1">
        <v>10</v>
      </c>
      <c r="Q223" s="24">
        <f t="shared" si="9"/>
        <v>21</v>
      </c>
      <c r="R223" s="23">
        <v>0</v>
      </c>
      <c r="S223" s="1">
        <v>0</v>
      </c>
      <c r="T223" s="1">
        <v>0</v>
      </c>
      <c r="U223" s="1">
        <v>0</v>
      </c>
      <c r="V223" s="1">
        <v>0</v>
      </c>
      <c r="W223" s="1">
        <v>0</v>
      </c>
      <c r="X223" s="1">
        <v>0</v>
      </c>
      <c r="Y223" s="1">
        <v>0</v>
      </c>
      <c r="Z223" s="1">
        <v>0</v>
      </c>
      <c r="AA223" s="1">
        <v>0</v>
      </c>
      <c r="AB223" s="1">
        <v>0</v>
      </c>
      <c r="AC223" s="1">
        <v>0</v>
      </c>
      <c r="AD223" s="24">
        <f t="shared" si="10"/>
        <v>0</v>
      </c>
      <c r="AE223" s="23">
        <v>29715</v>
      </c>
      <c r="AF223" s="1">
        <v>1000</v>
      </c>
      <c r="AG223" s="1">
        <v>0</v>
      </c>
      <c r="AH223" s="1">
        <v>0</v>
      </c>
      <c r="AI223" s="1">
        <v>0</v>
      </c>
      <c r="AJ223" s="1">
        <v>57264</v>
      </c>
      <c r="AK223" s="1">
        <v>0</v>
      </c>
      <c r="AL223" s="1">
        <v>0</v>
      </c>
      <c r="AM223" s="1">
        <v>15292</v>
      </c>
      <c r="AN223" s="1">
        <v>52674</v>
      </c>
      <c r="AO223" s="1">
        <v>4535</v>
      </c>
      <c r="AP223" s="1">
        <v>53973</v>
      </c>
      <c r="AQ223" s="24">
        <f t="shared" si="11"/>
        <v>214453</v>
      </c>
    </row>
    <row r="224" spans="1:43" ht="17.25" customHeight="1" x14ac:dyDescent="0.45">
      <c r="A224" s="12" t="s">
        <v>194</v>
      </c>
      <c r="B224" s="12" t="s">
        <v>68</v>
      </c>
      <c r="C224" s="12" t="s">
        <v>23</v>
      </c>
      <c r="D224" s="12" t="s">
        <v>66</v>
      </c>
      <c r="E224" s="25">
        <v>0</v>
      </c>
      <c r="F224" s="10">
        <v>0</v>
      </c>
      <c r="G224" s="10">
        <v>0</v>
      </c>
      <c r="H224" s="10">
        <v>1</v>
      </c>
      <c r="I224" s="10">
        <v>0</v>
      </c>
      <c r="J224" s="10">
        <v>0</v>
      </c>
      <c r="K224" s="10">
        <v>0</v>
      </c>
      <c r="L224" s="10">
        <v>0</v>
      </c>
      <c r="M224" s="10">
        <v>0</v>
      </c>
      <c r="N224" s="10">
        <v>0</v>
      </c>
      <c r="O224" s="10">
        <v>0</v>
      </c>
      <c r="P224" s="10">
        <v>0</v>
      </c>
      <c r="Q224" s="26">
        <f t="shared" si="9"/>
        <v>1</v>
      </c>
      <c r="R224" s="25">
        <v>0</v>
      </c>
      <c r="S224" s="10">
        <v>0</v>
      </c>
      <c r="T224" s="10">
        <v>0</v>
      </c>
      <c r="U224" s="10">
        <v>0</v>
      </c>
      <c r="V224" s="10">
        <v>0</v>
      </c>
      <c r="W224" s="10">
        <v>0</v>
      </c>
      <c r="X224" s="10">
        <v>0</v>
      </c>
      <c r="Y224" s="10">
        <v>0</v>
      </c>
      <c r="Z224" s="10">
        <v>0</v>
      </c>
      <c r="AA224" s="10">
        <v>0</v>
      </c>
      <c r="AB224" s="10">
        <v>0</v>
      </c>
      <c r="AC224" s="10">
        <v>0</v>
      </c>
      <c r="AD224" s="26">
        <f t="shared" si="10"/>
        <v>0</v>
      </c>
      <c r="AE224" s="25">
        <v>0</v>
      </c>
      <c r="AF224" s="10">
        <v>0</v>
      </c>
      <c r="AG224" s="10">
        <v>0</v>
      </c>
      <c r="AH224" s="10">
        <v>8400</v>
      </c>
      <c r="AI224" s="10">
        <v>0</v>
      </c>
      <c r="AJ224" s="10">
        <v>0</v>
      </c>
      <c r="AK224" s="10">
        <v>0</v>
      </c>
      <c r="AL224" s="10">
        <v>0</v>
      </c>
      <c r="AM224" s="10">
        <v>0</v>
      </c>
      <c r="AN224" s="10">
        <v>0</v>
      </c>
      <c r="AO224" s="10">
        <v>0</v>
      </c>
      <c r="AP224" s="10">
        <v>0</v>
      </c>
      <c r="AQ224" s="26">
        <f t="shared" si="11"/>
        <v>8400</v>
      </c>
    </row>
    <row r="225" spans="1:43" ht="17.25" customHeight="1" x14ac:dyDescent="0.45">
      <c r="A225" s="2" t="s">
        <v>194</v>
      </c>
      <c r="B225" s="2" t="s">
        <v>68</v>
      </c>
      <c r="C225" s="2" t="s">
        <v>13</v>
      </c>
      <c r="D225" s="2" t="s">
        <v>66</v>
      </c>
      <c r="E225" s="23">
        <v>0</v>
      </c>
      <c r="F225" s="1">
        <v>2</v>
      </c>
      <c r="G225" s="1">
        <v>0</v>
      </c>
      <c r="H225" s="1">
        <v>0</v>
      </c>
      <c r="I225" s="1">
        <v>0</v>
      </c>
      <c r="J225" s="1">
        <v>0</v>
      </c>
      <c r="K225" s="1">
        <v>1</v>
      </c>
      <c r="L225" s="1">
        <v>0</v>
      </c>
      <c r="M225" s="1">
        <v>1</v>
      </c>
      <c r="N225" s="1">
        <v>0</v>
      </c>
      <c r="O225" s="1">
        <v>0</v>
      </c>
      <c r="P225" s="1">
        <v>6</v>
      </c>
      <c r="Q225" s="24">
        <f t="shared" si="9"/>
        <v>10</v>
      </c>
      <c r="R225" s="23">
        <v>0</v>
      </c>
      <c r="S225" s="1">
        <v>0</v>
      </c>
      <c r="T225" s="1">
        <v>0</v>
      </c>
      <c r="U225" s="1">
        <v>0</v>
      </c>
      <c r="V225" s="1">
        <v>0</v>
      </c>
      <c r="W225" s="1">
        <v>0</v>
      </c>
      <c r="X225" s="1">
        <v>0</v>
      </c>
      <c r="Y225" s="1">
        <v>0</v>
      </c>
      <c r="Z225" s="1">
        <v>0</v>
      </c>
      <c r="AA225" s="1">
        <v>0</v>
      </c>
      <c r="AB225" s="1">
        <v>0</v>
      </c>
      <c r="AC225" s="1">
        <v>0</v>
      </c>
      <c r="AD225" s="24">
        <f t="shared" si="10"/>
        <v>0</v>
      </c>
      <c r="AE225" s="23">
        <v>0</v>
      </c>
      <c r="AF225" s="1">
        <v>36165</v>
      </c>
      <c r="AG225" s="1">
        <v>0</v>
      </c>
      <c r="AH225" s="1">
        <v>0</v>
      </c>
      <c r="AI225" s="1">
        <v>0</v>
      </c>
      <c r="AJ225" s="1">
        <v>0</v>
      </c>
      <c r="AK225" s="1">
        <v>50624</v>
      </c>
      <c r="AL225" s="1">
        <v>0</v>
      </c>
      <c r="AM225" s="1">
        <v>50730</v>
      </c>
      <c r="AN225" s="1">
        <v>0</v>
      </c>
      <c r="AO225" s="1">
        <v>0</v>
      </c>
      <c r="AP225" s="1">
        <v>268521</v>
      </c>
      <c r="AQ225" s="24">
        <f t="shared" si="11"/>
        <v>406040</v>
      </c>
    </row>
    <row r="226" spans="1:43" ht="17.25" customHeight="1" x14ac:dyDescent="0.45">
      <c r="A226" s="12" t="s">
        <v>194</v>
      </c>
      <c r="B226" s="12" t="s">
        <v>68</v>
      </c>
      <c r="C226" s="12" t="s">
        <v>27</v>
      </c>
      <c r="D226" s="12" t="s">
        <v>66</v>
      </c>
      <c r="E226" s="25">
        <v>0</v>
      </c>
      <c r="F226" s="10">
        <v>0</v>
      </c>
      <c r="G226" s="10">
        <v>0</v>
      </c>
      <c r="H226" s="10">
        <v>3</v>
      </c>
      <c r="I226" s="10">
        <v>4</v>
      </c>
      <c r="J226" s="10">
        <v>0</v>
      </c>
      <c r="K226" s="10">
        <v>0</v>
      </c>
      <c r="L226" s="10">
        <v>0</v>
      </c>
      <c r="M226" s="10">
        <v>0</v>
      </c>
      <c r="N226" s="10">
        <v>0</v>
      </c>
      <c r="O226" s="10">
        <v>1</v>
      </c>
      <c r="P226" s="10">
        <v>1</v>
      </c>
      <c r="Q226" s="26">
        <f t="shared" si="9"/>
        <v>9</v>
      </c>
      <c r="R226" s="25">
        <v>0</v>
      </c>
      <c r="S226" s="10">
        <v>0</v>
      </c>
      <c r="T226" s="10">
        <v>0</v>
      </c>
      <c r="U226" s="10">
        <v>0</v>
      </c>
      <c r="V226" s="10">
        <v>0</v>
      </c>
      <c r="W226" s="10">
        <v>0</v>
      </c>
      <c r="X226" s="10">
        <v>0</v>
      </c>
      <c r="Y226" s="10">
        <v>0</v>
      </c>
      <c r="Z226" s="10">
        <v>0</v>
      </c>
      <c r="AA226" s="10">
        <v>0</v>
      </c>
      <c r="AB226" s="10">
        <v>0</v>
      </c>
      <c r="AC226" s="10">
        <v>0</v>
      </c>
      <c r="AD226" s="26">
        <f t="shared" si="10"/>
        <v>0</v>
      </c>
      <c r="AE226" s="25">
        <v>0</v>
      </c>
      <c r="AF226" s="10">
        <v>0</v>
      </c>
      <c r="AG226" s="10">
        <v>0</v>
      </c>
      <c r="AH226" s="10">
        <v>128406</v>
      </c>
      <c r="AI226" s="10">
        <v>107947</v>
      </c>
      <c r="AJ226" s="10">
        <v>0</v>
      </c>
      <c r="AK226" s="10">
        <v>0</v>
      </c>
      <c r="AL226" s="10">
        <v>0</v>
      </c>
      <c r="AM226" s="10">
        <v>0</v>
      </c>
      <c r="AN226" s="10">
        <v>0</v>
      </c>
      <c r="AO226" s="10">
        <v>49653</v>
      </c>
      <c r="AP226" s="10">
        <v>35971</v>
      </c>
      <c r="AQ226" s="26">
        <f t="shared" si="11"/>
        <v>321977</v>
      </c>
    </row>
    <row r="227" spans="1:43" ht="17.25" customHeight="1" x14ac:dyDescent="0.45">
      <c r="A227" s="2" t="s">
        <v>194</v>
      </c>
      <c r="B227" s="2" t="s">
        <v>68</v>
      </c>
      <c r="C227" s="2" t="s">
        <v>28</v>
      </c>
      <c r="D227" s="2" t="s">
        <v>66</v>
      </c>
      <c r="E227" s="23">
        <v>8</v>
      </c>
      <c r="F227" s="1">
        <v>6</v>
      </c>
      <c r="G227" s="1">
        <v>10</v>
      </c>
      <c r="H227" s="1">
        <v>4</v>
      </c>
      <c r="I227" s="1">
        <v>7</v>
      </c>
      <c r="J227" s="1">
        <v>8</v>
      </c>
      <c r="K227" s="1">
        <v>2</v>
      </c>
      <c r="L227" s="1">
        <v>4</v>
      </c>
      <c r="M227" s="1">
        <v>14</v>
      </c>
      <c r="N227" s="1">
        <v>17</v>
      </c>
      <c r="O227" s="1">
        <v>12</v>
      </c>
      <c r="P227" s="1">
        <v>10</v>
      </c>
      <c r="Q227" s="24">
        <f t="shared" si="9"/>
        <v>102</v>
      </c>
      <c r="R227" s="23">
        <v>0</v>
      </c>
      <c r="S227" s="1">
        <v>0</v>
      </c>
      <c r="T227" s="1">
        <v>0</v>
      </c>
      <c r="U227" s="1">
        <v>0</v>
      </c>
      <c r="V227" s="1">
        <v>0</v>
      </c>
      <c r="W227" s="1">
        <v>0</v>
      </c>
      <c r="X227" s="1">
        <v>0</v>
      </c>
      <c r="Y227" s="1">
        <v>0</v>
      </c>
      <c r="Z227" s="1">
        <v>0</v>
      </c>
      <c r="AA227" s="1">
        <v>0</v>
      </c>
      <c r="AB227" s="1">
        <v>0</v>
      </c>
      <c r="AC227" s="1">
        <v>0</v>
      </c>
      <c r="AD227" s="24">
        <f t="shared" si="10"/>
        <v>0</v>
      </c>
      <c r="AE227" s="23">
        <v>41911</v>
      </c>
      <c r="AF227" s="1">
        <v>141645</v>
      </c>
      <c r="AG227" s="1">
        <v>296053</v>
      </c>
      <c r="AH227" s="1">
        <v>130802</v>
      </c>
      <c r="AI227" s="1">
        <v>208011</v>
      </c>
      <c r="AJ227" s="1">
        <v>309808</v>
      </c>
      <c r="AK227" s="1">
        <v>64359</v>
      </c>
      <c r="AL227" s="1">
        <v>201411</v>
      </c>
      <c r="AM227" s="1">
        <v>738771</v>
      </c>
      <c r="AN227" s="1">
        <v>767624</v>
      </c>
      <c r="AO227" s="1">
        <v>589019</v>
      </c>
      <c r="AP227" s="1">
        <v>507626</v>
      </c>
      <c r="AQ227" s="24">
        <f t="shared" si="11"/>
        <v>3997040</v>
      </c>
    </row>
    <row r="228" spans="1:43" ht="17.25" customHeight="1" x14ac:dyDescent="0.45">
      <c r="A228" s="12" t="s">
        <v>194</v>
      </c>
      <c r="B228" s="12" t="s">
        <v>68</v>
      </c>
      <c r="C228" s="12" t="s">
        <v>206</v>
      </c>
      <c r="D228" s="12" t="s">
        <v>66</v>
      </c>
      <c r="E228" s="25">
        <v>21</v>
      </c>
      <c r="F228" s="10">
        <v>14</v>
      </c>
      <c r="G228" s="10">
        <v>4</v>
      </c>
      <c r="H228" s="10">
        <v>7</v>
      </c>
      <c r="I228" s="10">
        <v>13</v>
      </c>
      <c r="J228" s="10">
        <v>9</v>
      </c>
      <c r="K228" s="10">
        <v>3</v>
      </c>
      <c r="L228" s="10">
        <v>4</v>
      </c>
      <c r="M228" s="10">
        <v>7</v>
      </c>
      <c r="N228" s="10">
        <v>19</v>
      </c>
      <c r="O228" s="10">
        <v>39</v>
      </c>
      <c r="P228" s="10">
        <v>6</v>
      </c>
      <c r="Q228" s="26">
        <f t="shared" si="9"/>
        <v>146</v>
      </c>
      <c r="R228" s="25">
        <v>0</v>
      </c>
      <c r="S228" s="10">
        <v>0</v>
      </c>
      <c r="T228" s="10">
        <v>0</v>
      </c>
      <c r="U228" s="10">
        <v>0</v>
      </c>
      <c r="V228" s="10">
        <v>0</v>
      </c>
      <c r="W228" s="10">
        <v>0</v>
      </c>
      <c r="X228" s="10">
        <v>0</v>
      </c>
      <c r="Y228" s="10">
        <v>0</v>
      </c>
      <c r="Z228" s="10">
        <v>0</v>
      </c>
      <c r="AA228" s="10">
        <v>0</v>
      </c>
      <c r="AB228" s="10">
        <v>0</v>
      </c>
      <c r="AC228" s="10">
        <v>0</v>
      </c>
      <c r="AD228" s="26">
        <f t="shared" si="10"/>
        <v>0</v>
      </c>
      <c r="AE228" s="25">
        <v>303239</v>
      </c>
      <c r="AF228" s="10">
        <v>898446</v>
      </c>
      <c r="AG228" s="10">
        <v>76703</v>
      </c>
      <c r="AH228" s="10">
        <v>125026</v>
      </c>
      <c r="AI228" s="10">
        <v>298094</v>
      </c>
      <c r="AJ228" s="10">
        <v>396725</v>
      </c>
      <c r="AK228" s="10">
        <v>117522</v>
      </c>
      <c r="AL228" s="10">
        <v>65871</v>
      </c>
      <c r="AM228" s="10">
        <v>258338</v>
      </c>
      <c r="AN228" s="10">
        <v>673394</v>
      </c>
      <c r="AO228" s="10">
        <v>1685783</v>
      </c>
      <c r="AP228" s="10">
        <v>28983</v>
      </c>
      <c r="AQ228" s="26">
        <f t="shared" si="11"/>
        <v>4928124</v>
      </c>
    </row>
    <row r="229" spans="1:43" ht="17.25" customHeight="1" x14ac:dyDescent="0.45">
      <c r="A229" s="2" t="s">
        <v>194</v>
      </c>
      <c r="B229" s="2" t="s">
        <v>68</v>
      </c>
      <c r="C229" s="2" t="s">
        <v>30</v>
      </c>
      <c r="D229" s="2" t="s">
        <v>66</v>
      </c>
      <c r="E229" s="23">
        <v>0</v>
      </c>
      <c r="F229" s="1">
        <v>2</v>
      </c>
      <c r="G229" s="1">
        <v>4</v>
      </c>
      <c r="H229" s="1">
        <v>5</v>
      </c>
      <c r="I229" s="1">
        <v>2</v>
      </c>
      <c r="J229" s="1">
        <v>4</v>
      </c>
      <c r="K229" s="1">
        <v>6</v>
      </c>
      <c r="L229" s="1">
        <v>2</v>
      </c>
      <c r="M229" s="1">
        <v>3</v>
      </c>
      <c r="N229" s="1">
        <v>4</v>
      </c>
      <c r="O229" s="1">
        <v>5</v>
      </c>
      <c r="P229" s="1">
        <v>0</v>
      </c>
      <c r="Q229" s="24">
        <f t="shared" si="9"/>
        <v>37</v>
      </c>
      <c r="R229" s="23">
        <v>0</v>
      </c>
      <c r="S229" s="1">
        <v>0</v>
      </c>
      <c r="T229" s="1">
        <v>0</v>
      </c>
      <c r="U229" s="1">
        <v>0</v>
      </c>
      <c r="V229" s="1">
        <v>0</v>
      </c>
      <c r="W229" s="1">
        <v>0</v>
      </c>
      <c r="X229" s="1">
        <v>0</v>
      </c>
      <c r="Y229" s="1">
        <v>0</v>
      </c>
      <c r="Z229" s="1">
        <v>0</v>
      </c>
      <c r="AA229" s="1">
        <v>0</v>
      </c>
      <c r="AB229" s="1">
        <v>0</v>
      </c>
      <c r="AC229" s="1">
        <v>0</v>
      </c>
      <c r="AD229" s="24">
        <f t="shared" si="10"/>
        <v>0</v>
      </c>
      <c r="AE229" s="23">
        <v>0</v>
      </c>
      <c r="AF229" s="1">
        <v>30766</v>
      </c>
      <c r="AG229" s="1">
        <v>82132</v>
      </c>
      <c r="AH229" s="1">
        <v>86580</v>
      </c>
      <c r="AI229" s="1">
        <v>21972</v>
      </c>
      <c r="AJ229" s="1">
        <v>18576</v>
      </c>
      <c r="AK229" s="1">
        <v>288964</v>
      </c>
      <c r="AL229" s="1">
        <v>96037</v>
      </c>
      <c r="AM229" s="1">
        <v>52611</v>
      </c>
      <c r="AN229" s="1">
        <v>85749</v>
      </c>
      <c r="AO229" s="1">
        <v>156028</v>
      </c>
      <c r="AP229" s="1">
        <v>0</v>
      </c>
      <c r="AQ229" s="24">
        <f t="shared" si="11"/>
        <v>919415</v>
      </c>
    </row>
    <row r="230" spans="1:43" ht="17.25" customHeight="1" x14ac:dyDescent="0.45">
      <c r="A230" s="12" t="s">
        <v>194</v>
      </c>
      <c r="B230" s="12" t="s">
        <v>68</v>
      </c>
      <c r="C230" s="12" t="s">
        <v>14</v>
      </c>
      <c r="D230" s="12" t="s">
        <v>66</v>
      </c>
      <c r="E230" s="25">
        <v>0</v>
      </c>
      <c r="F230" s="10">
        <v>0</v>
      </c>
      <c r="G230" s="10">
        <v>0</v>
      </c>
      <c r="H230" s="10">
        <v>0</v>
      </c>
      <c r="I230" s="10">
        <v>2</v>
      </c>
      <c r="J230" s="10">
        <v>1</v>
      </c>
      <c r="K230" s="10">
        <v>0</v>
      </c>
      <c r="L230" s="10">
        <v>0</v>
      </c>
      <c r="M230" s="10">
        <v>0</v>
      </c>
      <c r="N230" s="10">
        <v>0</v>
      </c>
      <c r="O230" s="10">
        <v>0</v>
      </c>
      <c r="P230" s="10">
        <v>0</v>
      </c>
      <c r="Q230" s="26">
        <f t="shared" si="9"/>
        <v>3</v>
      </c>
      <c r="R230" s="25">
        <v>0</v>
      </c>
      <c r="S230" s="10">
        <v>0</v>
      </c>
      <c r="T230" s="10">
        <v>0</v>
      </c>
      <c r="U230" s="10">
        <v>0</v>
      </c>
      <c r="V230" s="10">
        <v>0</v>
      </c>
      <c r="W230" s="10">
        <v>0</v>
      </c>
      <c r="X230" s="10">
        <v>0</v>
      </c>
      <c r="Y230" s="10">
        <v>0</v>
      </c>
      <c r="Z230" s="10">
        <v>0</v>
      </c>
      <c r="AA230" s="10">
        <v>0</v>
      </c>
      <c r="AB230" s="10">
        <v>0</v>
      </c>
      <c r="AC230" s="10">
        <v>0</v>
      </c>
      <c r="AD230" s="26">
        <f t="shared" si="10"/>
        <v>0</v>
      </c>
      <c r="AE230" s="25">
        <v>0</v>
      </c>
      <c r="AF230" s="10">
        <v>0</v>
      </c>
      <c r="AG230" s="10">
        <v>0</v>
      </c>
      <c r="AH230" s="10">
        <v>0</v>
      </c>
      <c r="AI230" s="10">
        <v>51347</v>
      </c>
      <c r="AJ230" s="10">
        <v>42861</v>
      </c>
      <c r="AK230" s="10">
        <v>0</v>
      </c>
      <c r="AL230" s="10">
        <v>0</v>
      </c>
      <c r="AM230" s="10">
        <v>0</v>
      </c>
      <c r="AN230" s="10">
        <v>0</v>
      </c>
      <c r="AO230" s="10">
        <v>0</v>
      </c>
      <c r="AP230" s="10">
        <v>0</v>
      </c>
      <c r="AQ230" s="26">
        <f t="shared" si="11"/>
        <v>94208</v>
      </c>
    </row>
    <row r="231" spans="1:43" ht="17.25" customHeight="1" x14ac:dyDescent="0.45">
      <c r="A231" s="2" t="s">
        <v>194</v>
      </c>
      <c r="B231" s="2" t="s">
        <v>68</v>
      </c>
      <c r="C231" s="2" t="s">
        <v>32</v>
      </c>
      <c r="D231" s="2" t="s">
        <v>66</v>
      </c>
      <c r="E231" s="23">
        <v>1</v>
      </c>
      <c r="F231" s="1">
        <v>0</v>
      </c>
      <c r="G231" s="1">
        <v>0</v>
      </c>
      <c r="H231" s="1">
        <v>2</v>
      </c>
      <c r="I231" s="1">
        <v>5</v>
      </c>
      <c r="J231" s="1">
        <v>7</v>
      </c>
      <c r="K231" s="1">
        <v>0</v>
      </c>
      <c r="L231" s="1">
        <v>0</v>
      </c>
      <c r="M231" s="1">
        <v>3</v>
      </c>
      <c r="N231" s="1">
        <v>0</v>
      </c>
      <c r="O231" s="1">
        <v>1</v>
      </c>
      <c r="P231" s="1">
        <v>0</v>
      </c>
      <c r="Q231" s="24">
        <f t="shared" si="9"/>
        <v>19</v>
      </c>
      <c r="R231" s="23">
        <v>0</v>
      </c>
      <c r="S231" s="1">
        <v>0</v>
      </c>
      <c r="T231" s="1">
        <v>0</v>
      </c>
      <c r="U231" s="1">
        <v>0</v>
      </c>
      <c r="V231" s="1">
        <v>0</v>
      </c>
      <c r="W231" s="1">
        <v>0</v>
      </c>
      <c r="X231" s="1">
        <v>0</v>
      </c>
      <c r="Y231" s="1">
        <v>0</v>
      </c>
      <c r="Z231" s="1">
        <v>0</v>
      </c>
      <c r="AA231" s="1">
        <v>0</v>
      </c>
      <c r="AB231" s="1">
        <v>41</v>
      </c>
      <c r="AC231" s="1">
        <v>0</v>
      </c>
      <c r="AD231" s="24">
        <f t="shared" si="10"/>
        <v>41</v>
      </c>
      <c r="AE231" s="23">
        <v>1614</v>
      </c>
      <c r="AF231" s="1">
        <v>0</v>
      </c>
      <c r="AG231" s="1">
        <v>0</v>
      </c>
      <c r="AH231" s="1">
        <v>31840</v>
      </c>
      <c r="AI231" s="1">
        <v>189637</v>
      </c>
      <c r="AJ231" s="1">
        <v>265804</v>
      </c>
      <c r="AK231" s="1">
        <v>0</v>
      </c>
      <c r="AL231" s="1">
        <v>0</v>
      </c>
      <c r="AM231" s="1">
        <v>144297</v>
      </c>
      <c r="AN231" s="1">
        <v>0</v>
      </c>
      <c r="AO231" s="1">
        <v>0</v>
      </c>
      <c r="AP231" s="1">
        <v>0</v>
      </c>
      <c r="AQ231" s="24">
        <f t="shared" si="11"/>
        <v>633192</v>
      </c>
    </row>
    <row r="232" spans="1:43" ht="17.25" customHeight="1" x14ac:dyDescent="0.45">
      <c r="A232" s="12" t="s">
        <v>194</v>
      </c>
      <c r="B232" s="12" t="s">
        <v>68</v>
      </c>
      <c r="C232" s="12" t="s">
        <v>33</v>
      </c>
      <c r="D232" s="12" t="s">
        <v>66</v>
      </c>
      <c r="E232" s="25">
        <v>1</v>
      </c>
      <c r="F232" s="10">
        <v>2</v>
      </c>
      <c r="G232" s="10">
        <v>0</v>
      </c>
      <c r="H232" s="10">
        <v>0</v>
      </c>
      <c r="I232" s="10">
        <v>0</v>
      </c>
      <c r="J232" s="10">
        <v>0</v>
      </c>
      <c r="K232" s="10">
        <v>0</v>
      </c>
      <c r="L232" s="10">
        <v>0</v>
      </c>
      <c r="M232" s="10">
        <v>0</v>
      </c>
      <c r="N232" s="10">
        <v>0</v>
      </c>
      <c r="O232" s="10">
        <v>0</v>
      </c>
      <c r="P232" s="10">
        <v>0</v>
      </c>
      <c r="Q232" s="26">
        <f t="shared" si="9"/>
        <v>3</v>
      </c>
      <c r="R232" s="25">
        <v>0</v>
      </c>
      <c r="S232" s="10">
        <v>0</v>
      </c>
      <c r="T232" s="10">
        <v>0</v>
      </c>
      <c r="U232" s="10">
        <v>0</v>
      </c>
      <c r="V232" s="10">
        <v>0</v>
      </c>
      <c r="W232" s="10">
        <v>0</v>
      </c>
      <c r="X232" s="10">
        <v>0</v>
      </c>
      <c r="Y232" s="10">
        <v>0</v>
      </c>
      <c r="Z232" s="10">
        <v>0</v>
      </c>
      <c r="AA232" s="10">
        <v>0</v>
      </c>
      <c r="AB232" s="10">
        <v>0</v>
      </c>
      <c r="AC232" s="10">
        <v>0</v>
      </c>
      <c r="AD232" s="26">
        <f t="shared" si="10"/>
        <v>0</v>
      </c>
      <c r="AE232" s="25">
        <v>28647</v>
      </c>
      <c r="AF232" s="10">
        <v>1790</v>
      </c>
      <c r="AG232" s="10">
        <v>0</v>
      </c>
      <c r="AH232" s="10">
        <v>0</v>
      </c>
      <c r="AI232" s="10">
        <v>0</v>
      </c>
      <c r="AJ232" s="10">
        <v>0</v>
      </c>
      <c r="AK232" s="10">
        <v>0</v>
      </c>
      <c r="AL232" s="10">
        <v>0</v>
      </c>
      <c r="AM232" s="10">
        <v>0</v>
      </c>
      <c r="AN232" s="10">
        <v>0</v>
      </c>
      <c r="AO232" s="10">
        <v>0</v>
      </c>
      <c r="AP232" s="10">
        <v>0</v>
      </c>
      <c r="AQ232" s="26">
        <f t="shared" si="11"/>
        <v>30437</v>
      </c>
    </row>
    <row r="233" spans="1:43" ht="17.25" customHeight="1" x14ac:dyDescent="0.45">
      <c r="A233" s="2" t="s">
        <v>184</v>
      </c>
      <c r="B233" s="2" t="s">
        <v>68</v>
      </c>
      <c r="C233" s="2" t="s">
        <v>48</v>
      </c>
      <c r="D233" s="2" t="s">
        <v>66</v>
      </c>
      <c r="E233" s="23">
        <v>0</v>
      </c>
      <c r="F233" s="1">
        <v>1</v>
      </c>
      <c r="G233" s="1">
        <v>0</v>
      </c>
      <c r="H233" s="1">
        <v>0</v>
      </c>
      <c r="I233" s="1">
        <v>0</v>
      </c>
      <c r="J233" s="1">
        <v>0</v>
      </c>
      <c r="K233" s="1">
        <v>0</v>
      </c>
      <c r="L233" s="1">
        <v>0</v>
      </c>
      <c r="M233" s="1">
        <v>0</v>
      </c>
      <c r="N233" s="1">
        <v>0</v>
      </c>
      <c r="O233" s="1">
        <v>0</v>
      </c>
      <c r="P233" s="1">
        <v>0</v>
      </c>
      <c r="Q233" s="24">
        <f t="shared" si="9"/>
        <v>1</v>
      </c>
      <c r="R233" s="23">
        <v>0</v>
      </c>
      <c r="S233" s="1">
        <v>4</v>
      </c>
      <c r="T233" s="1">
        <v>0</v>
      </c>
      <c r="U233" s="1">
        <v>0</v>
      </c>
      <c r="V233" s="1">
        <v>0</v>
      </c>
      <c r="W233" s="1">
        <v>0</v>
      </c>
      <c r="X233" s="1">
        <v>0</v>
      </c>
      <c r="Y233" s="1">
        <v>0</v>
      </c>
      <c r="Z233" s="1">
        <v>0</v>
      </c>
      <c r="AA233" s="1">
        <v>0</v>
      </c>
      <c r="AB233" s="1">
        <v>0</v>
      </c>
      <c r="AC233" s="1">
        <v>0</v>
      </c>
      <c r="AD233" s="24">
        <f t="shared" si="10"/>
        <v>4</v>
      </c>
      <c r="AE233" s="23">
        <v>0</v>
      </c>
      <c r="AF233" s="1">
        <v>0</v>
      </c>
      <c r="AG233" s="1">
        <v>0</v>
      </c>
      <c r="AH233" s="1">
        <v>0</v>
      </c>
      <c r="AI233" s="1">
        <v>0</v>
      </c>
      <c r="AJ233" s="1">
        <v>0</v>
      </c>
      <c r="AK233" s="1">
        <v>0</v>
      </c>
      <c r="AL233" s="1">
        <v>0</v>
      </c>
      <c r="AM233" s="1">
        <v>0</v>
      </c>
      <c r="AN233" s="1">
        <v>0</v>
      </c>
      <c r="AO233" s="1">
        <v>0</v>
      </c>
      <c r="AP233" s="1">
        <v>0</v>
      </c>
      <c r="AQ233" s="24">
        <f t="shared" si="11"/>
        <v>0</v>
      </c>
    </row>
    <row r="234" spans="1:43" ht="17.25" customHeight="1" x14ac:dyDescent="0.45">
      <c r="A234" s="12" t="s">
        <v>117</v>
      </c>
      <c r="B234" s="12" t="s">
        <v>118</v>
      </c>
      <c r="C234" s="12" t="s">
        <v>14</v>
      </c>
      <c r="D234" s="12" t="s">
        <v>66</v>
      </c>
      <c r="E234" s="25">
        <v>0</v>
      </c>
      <c r="F234" s="10">
        <v>0</v>
      </c>
      <c r="G234" s="10">
        <v>0</v>
      </c>
      <c r="H234" s="10">
        <v>0</v>
      </c>
      <c r="I234" s="10">
        <v>0</v>
      </c>
      <c r="J234" s="10">
        <v>0</v>
      </c>
      <c r="K234" s="10">
        <v>0</v>
      </c>
      <c r="L234" s="10">
        <v>0</v>
      </c>
      <c r="M234" s="10">
        <v>0</v>
      </c>
      <c r="N234" s="10">
        <v>0</v>
      </c>
      <c r="O234" s="10">
        <v>0</v>
      </c>
      <c r="P234" s="10">
        <v>1</v>
      </c>
      <c r="Q234" s="26">
        <f t="shared" si="9"/>
        <v>1</v>
      </c>
      <c r="R234" s="25">
        <v>0</v>
      </c>
      <c r="S234" s="10">
        <v>0</v>
      </c>
      <c r="T234" s="10">
        <v>0</v>
      </c>
      <c r="U234" s="10">
        <v>0</v>
      </c>
      <c r="V234" s="10">
        <v>0</v>
      </c>
      <c r="W234" s="10">
        <v>0</v>
      </c>
      <c r="X234" s="10">
        <v>0</v>
      </c>
      <c r="Y234" s="10">
        <v>0</v>
      </c>
      <c r="Z234" s="10">
        <v>0</v>
      </c>
      <c r="AA234" s="10">
        <v>0</v>
      </c>
      <c r="AB234" s="10">
        <v>0</v>
      </c>
      <c r="AC234" s="10">
        <v>0</v>
      </c>
      <c r="AD234" s="26">
        <f t="shared" si="10"/>
        <v>0</v>
      </c>
      <c r="AE234" s="25">
        <v>0</v>
      </c>
      <c r="AF234" s="10">
        <v>0</v>
      </c>
      <c r="AG234" s="10">
        <v>0</v>
      </c>
      <c r="AH234" s="10">
        <v>0</v>
      </c>
      <c r="AI234" s="10">
        <v>0</v>
      </c>
      <c r="AJ234" s="10">
        <v>0</v>
      </c>
      <c r="AK234" s="10">
        <v>0</v>
      </c>
      <c r="AL234" s="10">
        <v>0</v>
      </c>
      <c r="AM234" s="10">
        <v>0</v>
      </c>
      <c r="AN234" s="10">
        <v>0</v>
      </c>
      <c r="AO234" s="10">
        <v>0</v>
      </c>
      <c r="AP234" s="10">
        <v>21535</v>
      </c>
      <c r="AQ234" s="26">
        <f t="shared" si="11"/>
        <v>21535</v>
      </c>
    </row>
    <row r="235" spans="1:43" ht="17.25" customHeight="1" x14ac:dyDescent="0.45">
      <c r="A235" s="2" t="s">
        <v>119</v>
      </c>
      <c r="B235" s="2" t="s">
        <v>120</v>
      </c>
      <c r="C235" s="2" t="s">
        <v>10</v>
      </c>
      <c r="D235" s="2" t="s">
        <v>66</v>
      </c>
      <c r="E235" s="23">
        <v>0</v>
      </c>
      <c r="F235" s="1">
        <v>0</v>
      </c>
      <c r="G235" s="1">
        <v>0</v>
      </c>
      <c r="H235" s="1">
        <v>5</v>
      </c>
      <c r="I235" s="1">
        <v>5</v>
      </c>
      <c r="J235" s="1">
        <v>8</v>
      </c>
      <c r="K235" s="1">
        <v>10</v>
      </c>
      <c r="L235" s="1">
        <v>8</v>
      </c>
      <c r="M235" s="1">
        <v>9</v>
      </c>
      <c r="N235" s="1">
        <v>4</v>
      </c>
      <c r="O235" s="1">
        <v>0</v>
      </c>
      <c r="P235" s="1">
        <v>0</v>
      </c>
      <c r="Q235" s="24">
        <f t="shared" si="9"/>
        <v>49</v>
      </c>
      <c r="R235" s="23">
        <v>0</v>
      </c>
      <c r="S235" s="1">
        <v>0</v>
      </c>
      <c r="T235" s="1">
        <v>0</v>
      </c>
      <c r="U235" s="1">
        <v>1886</v>
      </c>
      <c r="V235" s="1">
        <v>1771</v>
      </c>
      <c r="W235" s="1">
        <v>2696</v>
      </c>
      <c r="X235" s="1">
        <v>2914</v>
      </c>
      <c r="Y235" s="1">
        <v>2941</v>
      </c>
      <c r="Z235" s="1">
        <v>2881</v>
      </c>
      <c r="AA235" s="1">
        <v>1132</v>
      </c>
      <c r="AB235" s="1">
        <v>0</v>
      </c>
      <c r="AC235" s="1">
        <v>0</v>
      </c>
      <c r="AD235" s="24">
        <f t="shared" si="10"/>
        <v>16221</v>
      </c>
      <c r="AE235" s="23">
        <v>0</v>
      </c>
      <c r="AF235" s="1">
        <v>0</v>
      </c>
      <c r="AG235" s="1">
        <v>0</v>
      </c>
      <c r="AH235" s="1">
        <v>0</v>
      </c>
      <c r="AI235" s="1">
        <v>0</v>
      </c>
      <c r="AJ235" s="1">
        <v>5428</v>
      </c>
      <c r="AK235" s="1">
        <v>4814</v>
      </c>
      <c r="AL235" s="1">
        <v>0</v>
      </c>
      <c r="AM235" s="1">
        <v>7200</v>
      </c>
      <c r="AN235" s="1">
        <v>0</v>
      </c>
      <c r="AO235" s="1">
        <v>0</v>
      </c>
      <c r="AP235" s="1">
        <v>0</v>
      </c>
      <c r="AQ235" s="24">
        <f t="shared" si="11"/>
        <v>17442</v>
      </c>
    </row>
    <row r="236" spans="1:43" ht="17.25" customHeight="1" x14ac:dyDescent="0.45">
      <c r="A236" s="12" t="s">
        <v>306</v>
      </c>
      <c r="B236" s="12" t="s">
        <v>68</v>
      </c>
      <c r="C236" s="12" t="s">
        <v>32</v>
      </c>
      <c r="D236" s="12" t="s">
        <v>66</v>
      </c>
      <c r="E236" s="25">
        <v>0</v>
      </c>
      <c r="F236" s="10">
        <v>0</v>
      </c>
      <c r="G236" s="10">
        <v>0</v>
      </c>
      <c r="H236" s="10">
        <v>0</v>
      </c>
      <c r="I236" s="10">
        <v>0</v>
      </c>
      <c r="J236" s="10">
        <v>2</v>
      </c>
      <c r="K236" s="10">
        <v>0</v>
      </c>
      <c r="L236" s="10">
        <v>0</v>
      </c>
      <c r="M236" s="10">
        <v>0</v>
      </c>
      <c r="N236" s="10">
        <v>0</v>
      </c>
      <c r="O236" s="10">
        <v>0</v>
      </c>
      <c r="P236" s="10">
        <v>0</v>
      </c>
      <c r="Q236" s="26">
        <f t="shared" si="9"/>
        <v>2</v>
      </c>
      <c r="R236" s="25">
        <v>0</v>
      </c>
      <c r="S236" s="10">
        <v>0</v>
      </c>
      <c r="T236" s="10">
        <v>0</v>
      </c>
      <c r="U236" s="10">
        <v>0</v>
      </c>
      <c r="V236" s="10">
        <v>0</v>
      </c>
      <c r="W236" s="10">
        <v>0</v>
      </c>
      <c r="X236" s="10">
        <v>0</v>
      </c>
      <c r="Y236" s="10">
        <v>0</v>
      </c>
      <c r="Z236" s="10">
        <v>0</v>
      </c>
      <c r="AA236" s="10">
        <v>0</v>
      </c>
      <c r="AB236" s="10">
        <v>0</v>
      </c>
      <c r="AC236" s="10">
        <v>0</v>
      </c>
      <c r="AD236" s="26">
        <f t="shared" si="10"/>
        <v>0</v>
      </c>
      <c r="AE236" s="25">
        <v>0</v>
      </c>
      <c r="AF236" s="10">
        <v>0</v>
      </c>
      <c r="AG236" s="10">
        <v>0</v>
      </c>
      <c r="AH236" s="10">
        <v>0</v>
      </c>
      <c r="AI236" s="10">
        <v>0</v>
      </c>
      <c r="AJ236" s="10">
        <v>104275</v>
      </c>
      <c r="AK236" s="10">
        <v>0</v>
      </c>
      <c r="AL236" s="10">
        <v>0</v>
      </c>
      <c r="AM236" s="10">
        <v>0</v>
      </c>
      <c r="AN236" s="10">
        <v>0</v>
      </c>
      <c r="AO236" s="10">
        <v>0</v>
      </c>
      <c r="AP236" s="10">
        <v>0</v>
      </c>
      <c r="AQ236" s="26">
        <f t="shared" si="11"/>
        <v>104275</v>
      </c>
    </row>
    <row r="237" spans="1:43" ht="17.25" customHeight="1" x14ac:dyDescent="0.45">
      <c r="A237" s="2" t="s">
        <v>121</v>
      </c>
      <c r="B237" s="2" t="s">
        <v>65</v>
      </c>
      <c r="C237" s="2" t="s">
        <v>22</v>
      </c>
      <c r="D237" s="2" t="s">
        <v>66</v>
      </c>
      <c r="E237" s="23">
        <v>0</v>
      </c>
      <c r="F237" s="1">
        <v>0</v>
      </c>
      <c r="G237" s="1">
        <v>0</v>
      </c>
      <c r="H237" s="1">
        <v>0</v>
      </c>
      <c r="I237" s="1">
        <v>0</v>
      </c>
      <c r="J237" s="1">
        <v>0</v>
      </c>
      <c r="K237" s="1">
        <v>0</v>
      </c>
      <c r="L237" s="1">
        <v>0</v>
      </c>
      <c r="M237" s="1">
        <v>0</v>
      </c>
      <c r="N237" s="1">
        <v>3</v>
      </c>
      <c r="O237" s="1">
        <v>0</v>
      </c>
      <c r="P237" s="1">
        <v>0</v>
      </c>
      <c r="Q237" s="24">
        <f t="shared" si="9"/>
        <v>3</v>
      </c>
      <c r="R237" s="23">
        <v>0</v>
      </c>
      <c r="S237" s="1">
        <v>0</v>
      </c>
      <c r="T237" s="1">
        <v>0</v>
      </c>
      <c r="U237" s="1">
        <v>0</v>
      </c>
      <c r="V237" s="1">
        <v>0</v>
      </c>
      <c r="W237" s="1">
        <v>0</v>
      </c>
      <c r="X237" s="1">
        <v>0</v>
      </c>
      <c r="Y237" s="1">
        <v>0</v>
      </c>
      <c r="Z237" s="1">
        <v>0</v>
      </c>
      <c r="AA237" s="1">
        <v>0</v>
      </c>
      <c r="AB237" s="1">
        <v>0</v>
      </c>
      <c r="AC237" s="1">
        <v>0</v>
      </c>
      <c r="AD237" s="24">
        <f t="shared" si="10"/>
        <v>0</v>
      </c>
      <c r="AE237" s="23">
        <v>0</v>
      </c>
      <c r="AF237" s="1">
        <v>0</v>
      </c>
      <c r="AG237" s="1">
        <v>0</v>
      </c>
      <c r="AH237" s="1">
        <v>0</v>
      </c>
      <c r="AI237" s="1">
        <v>0</v>
      </c>
      <c r="AJ237" s="1">
        <v>0</v>
      </c>
      <c r="AK237" s="1">
        <v>0</v>
      </c>
      <c r="AL237" s="1">
        <v>0</v>
      </c>
      <c r="AM237" s="1">
        <v>0</v>
      </c>
      <c r="AN237" s="1">
        <v>180050</v>
      </c>
      <c r="AO237" s="1">
        <v>0</v>
      </c>
      <c r="AP237" s="1">
        <v>0</v>
      </c>
      <c r="AQ237" s="24">
        <f t="shared" si="11"/>
        <v>180050</v>
      </c>
    </row>
    <row r="238" spans="1:43" ht="17.25" customHeight="1" x14ac:dyDescent="0.45">
      <c r="A238" s="12" t="s">
        <v>121</v>
      </c>
      <c r="B238" s="12" t="s">
        <v>65</v>
      </c>
      <c r="C238" s="12" t="s">
        <v>28</v>
      </c>
      <c r="D238" s="12" t="s">
        <v>66</v>
      </c>
      <c r="E238" s="25">
        <v>0</v>
      </c>
      <c r="F238" s="10">
        <v>0</v>
      </c>
      <c r="G238" s="10">
        <v>0</v>
      </c>
      <c r="H238" s="10">
        <v>0</v>
      </c>
      <c r="I238" s="10">
        <v>0</v>
      </c>
      <c r="J238" s="10">
        <v>0</v>
      </c>
      <c r="K238" s="10">
        <v>0</v>
      </c>
      <c r="L238" s="10">
        <v>0</v>
      </c>
      <c r="M238" s="10">
        <v>0</v>
      </c>
      <c r="N238" s="10">
        <v>3</v>
      </c>
      <c r="O238" s="10">
        <v>0</v>
      </c>
      <c r="P238" s="10">
        <v>0</v>
      </c>
      <c r="Q238" s="26">
        <f t="shared" si="9"/>
        <v>3</v>
      </c>
      <c r="R238" s="25">
        <v>0</v>
      </c>
      <c r="S238" s="10">
        <v>0</v>
      </c>
      <c r="T238" s="10">
        <v>0</v>
      </c>
      <c r="U238" s="10">
        <v>0</v>
      </c>
      <c r="V238" s="10">
        <v>0</v>
      </c>
      <c r="W238" s="10">
        <v>0</v>
      </c>
      <c r="X238" s="10">
        <v>0</v>
      </c>
      <c r="Y238" s="10">
        <v>0</v>
      </c>
      <c r="Z238" s="10">
        <v>0</v>
      </c>
      <c r="AA238" s="10">
        <v>0</v>
      </c>
      <c r="AB238" s="10">
        <v>0</v>
      </c>
      <c r="AC238" s="10">
        <v>0</v>
      </c>
      <c r="AD238" s="26">
        <f t="shared" si="10"/>
        <v>0</v>
      </c>
      <c r="AE238" s="25">
        <v>0</v>
      </c>
      <c r="AF238" s="10">
        <v>0</v>
      </c>
      <c r="AG238" s="10">
        <v>0</v>
      </c>
      <c r="AH238" s="10">
        <v>0</v>
      </c>
      <c r="AI238" s="10">
        <v>0</v>
      </c>
      <c r="AJ238" s="10">
        <v>0</v>
      </c>
      <c r="AK238" s="10">
        <v>0</v>
      </c>
      <c r="AL238" s="10">
        <v>0</v>
      </c>
      <c r="AM238" s="10">
        <v>0</v>
      </c>
      <c r="AN238" s="10">
        <v>153313</v>
      </c>
      <c r="AO238" s="10">
        <v>0</v>
      </c>
      <c r="AP238" s="10">
        <v>0</v>
      </c>
      <c r="AQ238" s="26">
        <f t="shared" si="11"/>
        <v>153313</v>
      </c>
    </row>
    <row r="239" spans="1:43" ht="17.25" customHeight="1" x14ac:dyDescent="0.45">
      <c r="A239" s="2" t="s">
        <v>121</v>
      </c>
      <c r="B239" s="2" t="s">
        <v>65</v>
      </c>
      <c r="C239" s="2" t="s">
        <v>206</v>
      </c>
      <c r="D239" s="2" t="s">
        <v>66</v>
      </c>
      <c r="E239" s="23">
        <v>0</v>
      </c>
      <c r="F239" s="1">
        <v>0</v>
      </c>
      <c r="G239" s="1">
        <v>1</v>
      </c>
      <c r="H239" s="1">
        <v>0</v>
      </c>
      <c r="I239" s="1">
        <v>0</v>
      </c>
      <c r="J239" s="1">
        <v>0</v>
      </c>
      <c r="K239" s="1">
        <v>0</v>
      </c>
      <c r="L239" s="1">
        <v>0</v>
      </c>
      <c r="M239" s="1">
        <v>0</v>
      </c>
      <c r="N239" s="1">
        <v>1</v>
      </c>
      <c r="O239" s="1">
        <v>10</v>
      </c>
      <c r="P239" s="1">
        <v>0</v>
      </c>
      <c r="Q239" s="24">
        <f t="shared" si="9"/>
        <v>12</v>
      </c>
      <c r="R239" s="23">
        <v>0</v>
      </c>
      <c r="S239" s="1">
        <v>0</v>
      </c>
      <c r="T239" s="1">
        <v>0</v>
      </c>
      <c r="U239" s="1">
        <v>0</v>
      </c>
      <c r="V239" s="1">
        <v>0</v>
      </c>
      <c r="W239" s="1">
        <v>0</v>
      </c>
      <c r="X239" s="1">
        <v>0</v>
      </c>
      <c r="Y239" s="1">
        <v>0</v>
      </c>
      <c r="Z239" s="1">
        <v>0</v>
      </c>
      <c r="AA239" s="1">
        <v>0</v>
      </c>
      <c r="AB239" s="1">
        <v>0</v>
      </c>
      <c r="AC239" s="1">
        <v>0</v>
      </c>
      <c r="AD239" s="24">
        <f t="shared" si="10"/>
        <v>0</v>
      </c>
      <c r="AE239" s="23">
        <v>0</v>
      </c>
      <c r="AF239" s="1">
        <v>0</v>
      </c>
      <c r="AG239" s="1">
        <v>32864</v>
      </c>
      <c r="AH239" s="1">
        <v>0</v>
      </c>
      <c r="AI239" s="1">
        <v>0</v>
      </c>
      <c r="AJ239" s="1">
        <v>0</v>
      </c>
      <c r="AK239" s="1">
        <v>0</v>
      </c>
      <c r="AL239" s="1">
        <v>0</v>
      </c>
      <c r="AM239" s="1">
        <v>0</v>
      </c>
      <c r="AN239" s="1">
        <v>52764</v>
      </c>
      <c r="AO239" s="1">
        <v>538087</v>
      </c>
      <c r="AP239" s="1">
        <v>0</v>
      </c>
      <c r="AQ239" s="24">
        <f t="shared" si="11"/>
        <v>623715</v>
      </c>
    </row>
    <row r="240" spans="1:43" ht="17.25" customHeight="1" x14ac:dyDescent="0.45">
      <c r="A240" s="12" t="s">
        <v>121</v>
      </c>
      <c r="B240" s="12" t="s">
        <v>65</v>
      </c>
      <c r="C240" s="12" t="s">
        <v>30</v>
      </c>
      <c r="D240" s="12" t="s">
        <v>66</v>
      </c>
      <c r="E240" s="25">
        <v>0</v>
      </c>
      <c r="F240" s="10">
        <v>0</v>
      </c>
      <c r="G240" s="10">
        <v>0</v>
      </c>
      <c r="H240" s="10">
        <v>0</v>
      </c>
      <c r="I240" s="10">
        <v>0</v>
      </c>
      <c r="J240" s="10">
        <v>0</v>
      </c>
      <c r="K240" s="10">
        <v>0</v>
      </c>
      <c r="L240" s="10">
        <v>0</v>
      </c>
      <c r="M240" s="10">
        <v>0</v>
      </c>
      <c r="N240" s="10">
        <v>2</v>
      </c>
      <c r="O240" s="10">
        <v>0</v>
      </c>
      <c r="P240" s="10">
        <v>0</v>
      </c>
      <c r="Q240" s="26">
        <f t="shared" si="9"/>
        <v>2</v>
      </c>
      <c r="R240" s="25">
        <v>0</v>
      </c>
      <c r="S240" s="10">
        <v>0</v>
      </c>
      <c r="T240" s="10">
        <v>0</v>
      </c>
      <c r="U240" s="10">
        <v>0</v>
      </c>
      <c r="V240" s="10">
        <v>0</v>
      </c>
      <c r="W240" s="10">
        <v>0</v>
      </c>
      <c r="X240" s="10">
        <v>0</v>
      </c>
      <c r="Y240" s="10">
        <v>0</v>
      </c>
      <c r="Z240" s="10">
        <v>0</v>
      </c>
      <c r="AA240" s="10">
        <v>0</v>
      </c>
      <c r="AB240" s="10">
        <v>0</v>
      </c>
      <c r="AC240" s="10">
        <v>0</v>
      </c>
      <c r="AD240" s="26">
        <f t="shared" si="10"/>
        <v>0</v>
      </c>
      <c r="AE240" s="25">
        <v>0</v>
      </c>
      <c r="AF240" s="10">
        <v>0</v>
      </c>
      <c r="AG240" s="10">
        <v>0</v>
      </c>
      <c r="AH240" s="10">
        <v>0</v>
      </c>
      <c r="AI240" s="10">
        <v>0</v>
      </c>
      <c r="AJ240" s="10">
        <v>0</v>
      </c>
      <c r="AK240" s="10">
        <v>0</v>
      </c>
      <c r="AL240" s="10">
        <v>0</v>
      </c>
      <c r="AM240" s="10">
        <v>0</v>
      </c>
      <c r="AN240" s="10">
        <v>106242</v>
      </c>
      <c r="AO240" s="10">
        <v>0</v>
      </c>
      <c r="AP240" s="10">
        <v>0</v>
      </c>
      <c r="AQ240" s="26">
        <f t="shared" si="11"/>
        <v>106242</v>
      </c>
    </row>
    <row r="241" spans="1:43" ht="17.25" customHeight="1" x14ac:dyDescent="0.45">
      <c r="A241" s="2" t="s">
        <v>73</v>
      </c>
      <c r="B241" s="2" t="s">
        <v>68</v>
      </c>
      <c r="C241" s="2" t="s">
        <v>10</v>
      </c>
      <c r="D241" s="2" t="s">
        <v>66</v>
      </c>
      <c r="E241" s="23">
        <v>1</v>
      </c>
      <c r="F241" s="1">
        <v>0</v>
      </c>
      <c r="G241" s="1">
        <v>0</v>
      </c>
      <c r="H241" s="1">
        <v>0</v>
      </c>
      <c r="I241" s="1">
        <v>0</v>
      </c>
      <c r="J241" s="1">
        <v>0</v>
      </c>
      <c r="K241" s="1">
        <v>0</v>
      </c>
      <c r="L241" s="1">
        <v>0</v>
      </c>
      <c r="M241" s="1">
        <v>0</v>
      </c>
      <c r="N241" s="1">
        <v>0</v>
      </c>
      <c r="O241" s="1">
        <v>1</v>
      </c>
      <c r="P241" s="1">
        <v>0</v>
      </c>
      <c r="Q241" s="24">
        <f t="shared" si="9"/>
        <v>2</v>
      </c>
      <c r="R241" s="23">
        <v>2</v>
      </c>
      <c r="S241" s="1">
        <v>0</v>
      </c>
      <c r="T241" s="1">
        <v>0</v>
      </c>
      <c r="U241" s="1">
        <v>0</v>
      </c>
      <c r="V241" s="1">
        <v>0</v>
      </c>
      <c r="W241" s="1">
        <v>0</v>
      </c>
      <c r="X241" s="1">
        <v>0</v>
      </c>
      <c r="Y241" s="1">
        <v>0</v>
      </c>
      <c r="Z241" s="1">
        <v>0</v>
      </c>
      <c r="AA241" s="1">
        <v>0</v>
      </c>
      <c r="AB241" s="1">
        <v>56</v>
      </c>
      <c r="AC241" s="1">
        <v>0</v>
      </c>
      <c r="AD241" s="24">
        <f t="shared" si="10"/>
        <v>58</v>
      </c>
      <c r="AE241" s="23">
        <v>0</v>
      </c>
      <c r="AF241" s="1">
        <v>0</v>
      </c>
      <c r="AG241" s="1">
        <v>0</v>
      </c>
      <c r="AH241" s="1">
        <v>0</v>
      </c>
      <c r="AI241" s="1">
        <v>0</v>
      </c>
      <c r="AJ241" s="1">
        <v>0</v>
      </c>
      <c r="AK241" s="1">
        <v>0</v>
      </c>
      <c r="AL241" s="1">
        <v>0</v>
      </c>
      <c r="AM241" s="1">
        <v>0</v>
      </c>
      <c r="AN241" s="1">
        <v>0</v>
      </c>
      <c r="AO241" s="1">
        <v>0</v>
      </c>
      <c r="AP241" s="1">
        <v>0</v>
      </c>
      <c r="AQ241" s="24">
        <f t="shared" si="11"/>
        <v>0</v>
      </c>
    </row>
    <row r="242" spans="1:43" ht="17.25" customHeight="1" x14ac:dyDescent="0.45">
      <c r="A242" s="12" t="s">
        <v>73</v>
      </c>
      <c r="B242" s="12" t="s">
        <v>68</v>
      </c>
      <c r="C242" s="12" t="s">
        <v>11</v>
      </c>
      <c r="D242" s="12" t="s">
        <v>66</v>
      </c>
      <c r="E242" s="25">
        <v>0</v>
      </c>
      <c r="F242" s="10">
        <v>0</v>
      </c>
      <c r="G242" s="10">
        <v>0</v>
      </c>
      <c r="H242" s="10">
        <v>0</v>
      </c>
      <c r="I242" s="10">
        <v>0</v>
      </c>
      <c r="J242" s="10">
        <v>0</v>
      </c>
      <c r="K242" s="10">
        <v>0</v>
      </c>
      <c r="L242" s="10">
        <v>1</v>
      </c>
      <c r="M242" s="10">
        <v>0</v>
      </c>
      <c r="N242" s="10">
        <v>0</v>
      </c>
      <c r="O242" s="10">
        <v>0</v>
      </c>
      <c r="P242" s="10">
        <v>0</v>
      </c>
      <c r="Q242" s="26">
        <f t="shared" si="9"/>
        <v>1</v>
      </c>
      <c r="R242" s="25">
        <v>0</v>
      </c>
      <c r="S242" s="10">
        <v>0</v>
      </c>
      <c r="T242" s="10">
        <v>0</v>
      </c>
      <c r="U242" s="10">
        <v>0</v>
      </c>
      <c r="V242" s="10">
        <v>0</v>
      </c>
      <c r="W242" s="10">
        <v>0</v>
      </c>
      <c r="X242" s="10">
        <v>0</v>
      </c>
      <c r="Y242" s="10">
        <v>60</v>
      </c>
      <c r="Z242" s="10">
        <v>0</v>
      </c>
      <c r="AA242" s="10">
        <v>0</v>
      </c>
      <c r="AB242" s="10">
        <v>0</v>
      </c>
      <c r="AC242" s="10">
        <v>0</v>
      </c>
      <c r="AD242" s="26">
        <f t="shared" si="10"/>
        <v>60</v>
      </c>
      <c r="AE242" s="25">
        <v>0</v>
      </c>
      <c r="AF242" s="10">
        <v>0</v>
      </c>
      <c r="AG242" s="10">
        <v>0</v>
      </c>
      <c r="AH242" s="10">
        <v>0</v>
      </c>
      <c r="AI242" s="10">
        <v>0</v>
      </c>
      <c r="AJ242" s="10">
        <v>0</v>
      </c>
      <c r="AK242" s="10">
        <v>0</v>
      </c>
      <c r="AL242" s="10">
        <v>0</v>
      </c>
      <c r="AM242" s="10">
        <v>0</v>
      </c>
      <c r="AN242" s="10">
        <v>0</v>
      </c>
      <c r="AO242" s="10">
        <v>0</v>
      </c>
      <c r="AP242" s="10">
        <v>0</v>
      </c>
      <c r="AQ242" s="26">
        <f t="shared" si="11"/>
        <v>0</v>
      </c>
    </row>
    <row r="243" spans="1:43" ht="17.25" customHeight="1" x14ac:dyDescent="0.45">
      <c r="A243" s="2" t="s">
        <v>73</v>
      </c>
      <c r="B243" s="2" t="s">
        <v>68</v>
      </c>
      <c r="C243" s="2" t="s">
        <v>55</v>
      </c>
      <c r="D243" s="2" t="s">
        <v>66</v>
      </c>
      <c r="E243" s="23">
        <v>0</v>
      </c>
      <c r="F243" s="1">
        <v>1</v>
      </c>
      <c r="G243" s="1">
        <v>0</v>
      </c>
      <c r="H243" s="1">
        <v>0</v>
      </c>
      <c r="I243" s="1">
        <v>1</v>
      </c>
      <c r="J243" s="1">
        <v>1</v>
      </c>
      <c r="K243" s="1">
        <v>0</v>
      </c>
      <c r="L243" s="1">
        <v>0</v>
      </c>
      <c r="M243" s="1">
        <v>0</v>
      </c>
      <c r="N243" s="1">
        <v>0</v>
      </c>
      <c r="O243" s="1">
        <v>0</v>
      </c>
      <c r="P243" s="1">
        <v>0</v>
      </c>
      <c r="Q243" s="24">
        <f t="shared" si="9"/>
        <v>3</v>
      </c>
      <c r="R243" s="23">
        <v>0</v>
      </c>
      <c r="S243" s="1">
        <v>10</v>
      </c>
      <c r="T243" s="1">
        <v>0</v>
      </c>
      <c r="U243" s="1">
        <v>0</v>
      </c>
      <c r="V243" s="1">
        <v>8</v>
      </c>
      <c r="W243" s="1">
        <v>10</v>
      </c>
      <c r="X243" s="1">
        <v>0</v>
      </c>
      <c r="Y243" s="1">
        <v>0</v>
      </c>
      <c r="Z243" s="1">
        <v>0</v>
      </c>
      <c r="AA243" s="1">
        <v>0</v>
      </c>
      <c r="AB243" s="1">
        <v>0</v>
      </c>
      <c r="AC243" s="1">
        <v>0</v>
      </c>
      <c r="AD243" s="24">
        <f t="shared" si="10"/>
        <v>28</v>
      </c>
      <c r="AE243" s="23">
        <v>0</v>
      </c>
      <c r="AF243" s="1">
        <v>0</v>
      </c>
      <c r="AG243" s="1">
        <v>0</v>
      </c>
      <c r="AH243" s="1">
        <v>0</v>
      </c>
      <c r="AI243" s="1">
        <v>0</v>
      </c>
      <c r="AJ243" s="1">
        <v>0</v>
      </c>
      <c r="AK243" s="1">
        <v>0</v>
      </c>
      <c r="AL243" s="1">
        <v>0</v>
      </c>
      <c r="AM243" s="1">
        <v>0</v>
      </c>
      <c r="AN243" s="1">
        <v>0</v>
      </c>
      <c r="AO243" s="1">
        <v>0</v>
      </c>
      <c r="AP243" s="1">
        <v>0</v>
      </c>
      <c r="AQ243" s="24">
        <f t="shared" si="11"/>
        <v>0</v>
      </c>
    </row>
    <row r="244" spans="1:43" ht="17.25" customHeight="1" x14ac:dyDescent="0.45">
      <c r="A244" s="12" t="s">
        <v>73</v>
      </c>
      <c r="B244" s="12" t="s">
        <v>68</v>
      </c>
      <c r="C244" s="12" t="s">
        <v>40</v>
      </c>
      <c r="D244" s="12" t="s">
        <v>66</v>
      </c>
      <c r="E244" s="25">
        <v>0</v>
      </c>
      <c r="F244" s="10">
        <v>0</v>
      </c>
      <c r="G244" s="10">
        <v>0</v>
      </c>
      <c r="H244" s="10">
        <v>1</v>
      </c>
      <c r="I244" s="10">
        <v>0</v>
      </c>
      <c r="J244" s="10">
        <v>0</v>
      </c>
      <c r="K244" s="10">
        <v>0</v>
      </c>
      <c r="L244" s="10">
        <v>0</v>
      </c>
      <c r="M244" s="10">
        <v>0</v>
      </c>
      <c r="N244" s="10">
        <v>0</v>
      </c>
      <c r="O244" s="10">
        <v>0</v>
      </c>
      <c r="P244" s="10">
        <v>0</v>
      </c>
      <c r="Q244" s="26">
        <f t="shared" si="9"/>
        <v>1</v>
      </c>
      <c r="R244" s="25">
        <v>0</v>
      </c>
      <c r="S244" s="10">
        <v>0</v>
      </c>
      <c r="T244" s="10">
        <v>0</v>
      </c>
      <c r="U244" s="10">
        <v>166</v>
      </c>
      <c r="V244" s="10">
        <v>0</v>
      </c>
      <c r="W244" s="10">
        <v>0</v>
      </c>
      <c r="X244" s="10">
        <v>0</v>
      </c>
      <c r="Y244" s="10">
        <v>0</v>
      </c>
      <c r="Z244" s="10">
        <v>0</v>
      </c>
      <c r="AA244" s="10">
        <v>0</v>
      </c>
      <c r="AB244" s="10">
        <v>0</v>
      </c>
      <c r="AC244" s="10">
        <v>0</v>
      </c>
      <c r="AD244" s="26">
        <f t="shared" si="10"/>
        <v>166</v>
      </c>
      <c r="AE244" s="25">
        <v>0</v>
      </c>
      <c r="AF244" s="10">
        <v>0</v>
      </c>
      <c r="AG244" s="10">
        <v>0</v>
      </c>
      <c r="AH244" s="10">
        <v>0</v>
      </c>
      <c r="AI244" s="10">
        <v>0</v>
      </c>
      <c r="AJ244" s="10">
        <v>0</v>
      </c>
      <c r="AK244" s="10">
        <v>0</v>
      </c>
      <c r="AL244" s="10">
        <v>0</v>
      </c>
      <c r="AM244" s="10">
        <v>0</v>
      </c>
      <c r="AN244" s="10">
        <v>0</v>
      </c>
      <c r="AO244" s="10">
        <v>0</v>
      </c>
      <c r="AP244" s="10">
        <v>0</v>
      </c>
      <c r="AQ244" s="26">
        <f t="shared" si="11"/>
        <v>0</v>
      </c>
    </row>
    <row r="245" spans="1:43" ht="17.25" customHeight="1" x14ac:dyDescent="0.45">
      <c r="A245" s="2" t="s">
        <v>73</v>
      </c>
      <c r="B245" s="2" t="s">
        <v>68</v>
      </c>
      <c r="C245" s="2" t="s">
        <v>13</v>
      </c>
      <c r="D245" s="2" t="s">
        <v>66</v>
      </c>
      <c r="E245" s="23">
        <v>0</v>
      </c>
      <c r="F245" s="1">
        <v>0</v>
      </c>
      <c r="G245" s="1">
        <v>0</v>
      </c>
      <c r="H245" s="1">
        <v>0</v>
      </c>
      <c r="I245" s="1">
        <v>0</v>
      </c>
      <c r="J245" s="1">
        <v>0</v>
      </c>
      <c r="K245" s="1">
        <v>0</v>
      </c>
      <c r="L245" s="1">
        <v>0</v>
      </c>
      <c r="M245" s="1">
        <v>1</v>
      </c>
      <c r="N245" s="1">
        <v>0</v>
      </c>
      <c r="O245" s="1">
        <v>0</v>
      </c>
      <c r="P245" s="1">
        <v>0</v>
      </c>
      <c r="Q245" s="24">
        <f t="shared" si="9"/>
        <v>1</v>
      </c>
      <c r="R245" s="23">
        <v>0</v>
      </c>
      <c r="S245" s="1">
        <v>0</v>
      </c>
      <c r="T245" s="1">
        <v>0</v>
      </c>
      <c r="U245" s="1">
        <v>0</v>
      </c>
      <c r="V245" s="1">
        <v>0</v>
      </c>
      <c r="W245" s="1">
        <v>0</v>
      </c>
      <c r="X245" s="1">
        <v>0</v>
      </c>
      <c r="Y245" s="1">
        <v>0</v>
      </c>
      <c r="Z245" s="1">
        <v>0</v>
      </c>
      <c r="AA245" s="1">
        <v>0</v>
      </c>
      <c r="AB245" s="1">
        <v>0</v>
      </c>
      <c r="AC245" s="1">
        <v>0</v>
      </c>
      <c r="AD245" s="24">
        <f t="shared" si="10"/>
        <v>0</v>
      </c>
      <c r="AE245" s="23">
        <v>0</v>
      </c>
      <c r="AF245" s="1">
        <v>0</v>
      </c>
      <c r="AG245" s="1">
        <v>0</v>
      </c>
      <c r="AH245" s="1">
        <v>0</v>
      </c>
      <c r="AI245" s="1">
        <v>0</v>
      </c>
      <c r="AJ245" s="1">
        <v>0</v>
      </c>
      <c r="AK245" s="1">
        <v>0</v>
      </c>
      <c r="AL245" s="1">
        <v>0</v>
      </c>
      <c r="AM245" s="1">
        <v>102495</v>
      </c>
      <c r="AN245" s="1">
        <v>0</v>
      </c>
      <c r="AO245" s="1">
        <v>0</v>
      </c>
      <c r="AP245" s="1">
        <v>0</v>
      </c>
      <c r="AQ245" s="24">
        <f t="shared" si="11"/>
        <v>102495</v>
      </c>
    </row>
    <row r="246" spans="1:43" ht="17.25" customHeight="1" x14ac:dyDescent="0.45">
      <c r="A246" s="12" t="s">
        <v>73</v>
      </c>
      <c r="B246" s="12" t="s">
        <v>68</v>
      </c>
      <c r="C246" s="12" t="s">
        <v>17</v>
      </c>
      <c r="D246" s="12" t="s">
        <v>66</v>
      </c>
      <c r="E246" s="25">
        <v>0</v>
      </c>
      <c r="F246" s="10">
        <v>0</v>
      </c>
      <c r="G246" s="10">
        <v>0</v>
      </c>
      <c r="H246" s="10">
        <v>0</v>
      </c>
      <c r="I246" s="10">
        <v>0</v>
      </c>
      <c r="J246" s="10">
        <v>0</v>
      </c>
      <c r="K246" s="10">
        <v>0</v>
      </c>
      <c r="L246" s="10">
        <v>0</v>
      </c>
      <c r="M246" s="10">
        <v>0</v>
      </c>
      <c r="N246" s="10">
        <v>1</v>
      </c>
      <c r="O246" s="10">
        <v>0</v>
      </c>
      <c r="P246" s="10">
        <v>0</v>
      </c>
      <c r="Q246" s="26">
        <f t="shared" si="9"/>
        <v>1</v>
      </c>
      <c r="R246" s="25">
        <v>0</v>
      </c>
      <c r="S246" s="10">
        <v>0</v>
      </c>
      <c r="T246" s="10">
        <v>0</v>
      </c>
      <c r="U246" s="10">
        <v>0</v>
      </c>
      <c r="V246" s="10">
        <v>0</v>
      </c>
      <c r="W246" s="10">
        <v>0</v>
      </c>
      <c r="X246" s="10">
        <v>0</v>
      </c>
      <c r="Y246" s="10">
        <v>0</v>
      </c>
      <c r="Z246" s="10">
        <v>0</v>
      </c>
      <c r="AA246" s="10">
        <v>11</v>
      </c>
      <c r="AB246" s="10">
        <v>0</v>
      </c>
      <c r="AC246" s="10">
        <v>0</v>
      </c>
      <c r="AD246" s="26">
        <f t="shared" si="10"/>
        <v>11</v>
      </c>
      <c r="AE246" s="25">
        <v>0</v>
      </c>
      <c r="AF246" s="10">
        <v>0</v>
      </c>
      <c r="AG246" s="10">
        <v>0</v>
      </c>
      <c r="AH246" s="10">
        <v>0</v>
      </c>
      <c r="AI246" s="10">
        <v>0</v>
      </c>
      <c r="AJ246" s="10">
        <v>0</v>
      </c>
      <c r="AK246" s="10">
        <v>0</v>
      </c>
      <c r="AL246" s="10">
        <v>0</v>
      </c>
      <c r="AM246" s="10">
        <v>0</v>
      </c>
      <c r="AN246" s="10">
        <v>0</v>
      </c>
      <c r="AO246" s="10">
        <v>0</v>
      </c>
      <c r="AP246" s="10">
        <v>0</v>
      </c>
      <c r="AQ246" s="26">
        <f t="shared" si="11"/>
        <v>0</v>
      </c>
    </row>
    <row r="247" spans="1:43" ht="17.25" customHeight="1" x14ac:dyDescent="0.45">
      <c r="A247" s="2" t="s">
        <v>73</v>
      </c>
      <c r="B247" s="2" t="s">
        <v>68</v>
      </c>
      <c r="C247" s="2" t="s">
        <v>48</v>
      </c>
      <c r="D247" s="2" t="s">
        <v>66</v>
      </c>
      <c r="E247" s="23">
        <v>0</v>
      </c>
      <c r="F247" s="1">
        <v>0</v>
      </c>
      <c r="G247" s="1">
        <v>0</v>
      </c>
      <c r="H247" s="1">
        <v>0</v>
      </c>
      <c r="I247" s="1">
        <v>0</v>
      </c>
      <c r="J247" s="1">
        <v>0</v>
      </c>
      <c r="K247" s="1">
        <v>0</v>
      </c>
      <c r="L247" s="1">
        <v>0</v>
      </c>
      <c r="M247" s="1">
        <v>0</v>
      </c>
      <c r="N247" s="1">
        <v>0</v>
      </c>
      <c r="O247" s="1">
        <v>0</v>
      </c>
      <c r="P247" s="1">
        <v>1</v>
      </c>
      <c r="Q247" s="24">
        <f t="shared" si="9"/>
        <v>1</v>
      </c>
      <c r="R247" s="23">
        <v>0</v>
      </c>
      <c r="S247" s="1">
        <v>0</v>
      </c>
      <c r="T247" s="1">
        <v>0</v>
      </c>
      <c r="U247" s="1">
        <v>0</v>
      </c>
      <c r="V247" s="1">
        <v>0</v>
      </c>
      <c r="W247" s="1">
        <v>0</v>
      </c>
      <c r="X247" s="1">
        <v>0</v>
      </c>
      <c r="Y247" s="1">
        <v>0</v>
      </c>
      <c r="Z247" s="1">
        <v>0</v>
      </c>
      <c r="AA247" s="1">
        <v>0</v>
      </c>
      <c r="AB247" s="1">
        <v>0</v>
      </c>
      <c r="AC247" s="1">
        <v>6</v>
      </c>
      <c r="AD247" s="24">
        <f t="shared" si="10"/>
        <v>6</v>
      </c>
      <c r="AE247" s="23">
        <v>0</v>
      </c>
      <c r="AF247" s="1">
        <v>0</v>
      </c>
      <c r="AG247" s="1">
        <v>0</v>
      </c>
      <c r="AH247" s="1">
        <v>0</v>
      </c>
      <c r="AI247" s="1">
        <v>0</v>
      </c>
      <c r="AJ247" s="1">
        <v>0</v>
      </c>
      <c r="AK247" s="1">
        <v>0</v>
      </c>
      <c r="AL247" s="1">
        <v>0</v>
      </c>
      <c r="AM247" s="1">
        <v>0</v>
      </c>
      <c r="AN247" s="1">
        <v>0</v>
      </c>
      <c r="AO247" s="1">
        <v>0</v>
      </c>
      <c r="AP247" s="1">
        <v>0</v>
      </c>
      <c r="AQ247" s="24">
        <f t="shared" si="11"/>
        <v>0</v>
      </c>
    </row>
    <row r="248" spans="1:43" ht="17.25" customHeight="1" x14ac:dyDescent="0.45">
      <c r="A248" s="12" t="s">
        <v>73</v>
      </c>
      <c r="B248" s="12" t="s">
        <v>68</v>
      </c>
      <c r="C248" s="12" t="s">
        <v>14</v>
      </c>
      <c r="D248" s="12" t="s">
        <v>66</v>
      </c>
      <c r="E248" s="25">
        <v>0</v>
      </c>
      <c r="F248" s="10">
        <v>0</v>
      </c>
      <c r="G248" s="10">
        <v>0</v>
      </c>
      <c r="H248" s="10">
        <v>0</v>
      </c>
      <c r="I248" s="10">
        <v>0</v>
      </c>
      <c r="J248" s="10">
        <v>0</v>
      </c>
      <c r="K248" s="10">
        <v>0</v>
      </c>
      <c r="L248" s="10">
        <v>1</v>
      </c>
      <c r="M248" s="10">
        <v>0</v>
      </c>
      <c r="N248" s="10">
        <v>0</v>
      </c>
      <c r="O248" s="10">
        <v>0</v>
      </c>
      <c r="P248" s="10">
        <v>1</v>
      </c>
      <c r="Q248" s="26">
        <f t="shared" si="9"/>
        <v>2</v>
      </c>
      <c r="R248" s="25">
        <v>0</v>
      </c>
      <c r="S248" s="10">
        <v>0</v>
      </c>
      <c r="T248" s="10">
        <v>0</v>
      </c>
      <c r="U248" s="10">
        <v>0</v>
      </c>
      <c r="V248" s="10">
        <v>0</v>
      </c>
      <c r="W248" s="10">
        <v>0</v>
      </c>
      <c r="X248" s="10">
        <v>0</v>
      </c>
      <c r="Y248" s="10">
        <v>51</v>
      </c>
      <c r="Z248" s="10">
        <v>0</v>
      </c>
      <c r="AA248" s="10">
        <v>0</v>
      </c>
      <c r="AB248" s="10">
        <v>0</v>
      </c>
      <c r="AC248" s="10">
        <v>0</v>
      </c>
      <c r="AD248" s="26">
        <f t="shared" si="10"/>
        <v>51</v>
      </c>
      <c r="AE248" s="25">
        <v>0</v>
      </c>
      <c r="AF248" s="10">
        <v>0</v>
      </c>
      <c r="AG248" s="10">
        <v>0</v>
      </c>
      <c r="AH248" s="10">
        <v>0</v>
      </c>
      <c r="AI248" s="10">
        <v>0</v>
      </c>
      <c r="AJ248" s="10">
        <v>0</v>
      </c>
      <c r="AK248" s="10">
        <v>0</v>
      </c>
      <c r="AL248" s="10">
        <v>0</v>
      </c>
      <c r="AM248" s="10">
        <v>0</v>
      </c>
      <c r="AN248" s="10">
        <v>0</v>
      </c>
      <c r="AO248" s="10">
        <v>0</v>
      </c>
      <c r="AP248" s="10">
        <v>4144</v>
      </c>
      <c r="AQ248" s="26">
        <f t="shared" si="11"/>
        <v>4144</v>
      </c>
    </row>
    <row r="249" spans="1:43" ht="17.25" customHeight="1" x14ac:dyDescent="0.45">
      <c r="A249" s="2" t="s">
        <v>73</v>
      </c>
      <c r="B249" s="2" t="s">
        <v>68</v>
      </c>
      <c r="C249" s="2" t="s">
        <v>32</v>
      </c>
      <c r="D249" s="2" t="s">
        <v>66</v>
      </c>
      <c r="E249" s="23">
        <v>0</v>
      </c>
      <c r="F249" s="1">
        <v>0</v>
      </c>
      <c r="G249" s="1">
        <v>0</v>
      </c>
      <c r="H249" s="1">
        <v>0</v>
      </c>
      <c r="I249" s="1">
        <v>0</v>
      </c>
      <c r="J249" s="1">
        <v>0</v>
      </c>
      <c r="K249" s="1">
        <v>0</v>
      </c>
      <c r="L249" s="1">
        <v>0</v>
      </c>
      <c r="M249" s="1">
        <v>0</v>
      </c>
      <c r="N249" s="1">
        <v>0</v>
      </c>
      <c r="O249" s="1">
        <v>0</v>
      </c>
      <c r="P249" s="1">
        <v>1</v>
      </c>
      <c r="Q249" s="24">
        <f t="shared" si="9"/>
        <v>1</v>
      </c>
      <c r="R249" s="23">
        <v>0</v>
      </c>
      <c r="S249" s="1">
        <v>0</v>
      </c>
      <c r="T249" s="1">
        <v>0</v>
      </c>
      <c r="U249" s="1">
        <v>0</v>
      </c>
      <c r="V249" s="1">
        <v>0</v>
      </c>
      <c r="W249" s="1">
        <v>0</v>
      </c>
      <c r="X249" s="1">
        <v>0</v>
      </c>
      <c r="Y249" s="1">
        <v>0</v>
      </c>
      <c r="Z249" s="1">
        <v>0</v>
      </c>
      <c r="AA249" s="1">
        <v>0</v>
      </c>
      <c r="AB249" s="1">
        <v>0</v>
      </c>
      <c r="AC249" s="1">
        <v>22</v>
      </c>
      <c r="AD249" s="24">
        <f t="shared" si="10"/>
        <v>22</v>
      </c>
      <c r="AE249" s="23">
        <v>0</v>
      </c>
      <c r="AF249" s="1">
        <v>0</v>
      </c>
      <c r="AG249" s="1">
        <v>0</v>
      </c>
      <c r="AH249" s="1">
        <v>0</v>
      </c>
      <c r="AI249" s="1">
        <v>0</v>
      </c>
      <c r="AJ249" s="1">
        <v>0</v>
      </c>
      <c r="AK249" s="1">
        <v>0</v>
      </c>
      <c r="AL249" s="1">
        <v>0</v>
      </c>
      <c r="AM249" s="1">
        <v>0</v>
      </c>
      <c r="AN249" s="1">
        <v>0</v>
      </c>
      <c r="AO249" s="1">
        <v>0</v>
      </c>
      <c r="AP249" s="1">
        <v>0</v>
      </c>
      <c r="AQ249" s="24">
        <f t="shared" si="11"/>
        <v>0</v>
      </c>
    </row>
    <row r="250" spans="1:43" ht="17.25" customHeight="1" x14ac:dyDescent="0.45">
      <c r="A250" s="12" t="s">
        <v>55</v>
      </c>
      <c r="B250" s="12" t="s">
        <v>66</v>
      </c>
      <c r="C250" s="12" t="s">
        <v>273</v>
      </c>
      <c r="D250" s="12" t="s">
        <v>68</v>
      </c>
      <c r="E250" s="25">
        <v>0</v>
      </c>
      <c r="F250" s="10">
        <v>0</v>
      </c>
      <c r="G250" s="10">
        <v>1</v>
      </c>
      <c r="H250" s="10">
        <v>0</v>
      </c>
      <c r="I250" s="10">
        <v>0</v>
      </c>
      <c r="J250" s="10">
        <v>0</v>
      </c>
      <c r="K250" s="10">
        <v>0</v>
      </c>
      <c r="L250" s="10">
        <v>0</v>
      </c>
      <c r="M250" s="10">
        <v>0</v>
      </c>
      <c r="N250" s="10">
        <v>0</v>
      </c>
      <c r="O250" s="10">
        <v>0</v>
      </c>
      <c r="P250" s="10">
        <v>0</v>
      </c>
      <c r="Q250" s="26">
        <f t="shared" si="9"/>
        <v>1</v>
      </c>
      <c r="R250" s="25">
        <v>0</v>
      </c>
      <c r="S250" s="10">
        <v>0</v>
      </c>
      <c r="T250" s="10">
        <v>2</v>
      </c>
      <c r="U250" s="10">
        <v>0</v>
      </c>
      <c r="V250" s="10">
        <v>0</v>
      </c>
      <c r="W250" s="10">
        <v>0</v>
      </c>
      <c r="X250" s="10">
        <v>0</v>
      </c>
      <c r="Y250" s="10">
        <v>0</v>
      </c>
      <c r="Z250" s="10">
        <v>0</v>
      </c>
      <c r="AA250" s="10">
        <v>0</v>
      </c>
      <c r="AB250" s="10">
        <v>0</v>
      </c>
      <c r="AC250" s="10">
        <v>0</v>
      </c>
      <c r="AD250" s="26">
        <f t="shared" si="10"/>
        <v>2</v>
      </c>
      <c r="AE250" s="25">
        <v>0</v>
      </c>
      <c r="AF250" s="10">
        <v>0</v>
      </c>
      <c r="AG250" s="10">
        <v>0</v>
      </c>
      <c r="AH250" s="10">
        <v>0</v>
      </c>
      <c r="AI250" s="10">
        <v>0</v>
      </c>
      <c r="AJ250" s="10">
        <v>0</v>
      </c>
      <c r="AK250" s="10">
        <v>0</v>
      </c>
      <c r="AL250" s="10">
        <v>0</v>
      </c>
      <c r="AM250" s="10">
        <v>0</v>
      </c>
      <c r="AN250" s="10">
        <v>0</v>
      </c>
      <c r="AO250" s="10">
        <v>0</v>
      </c>
      <c r="AP250" s="10">
        <v>0</v>
      </c>
      <c r="AQ250" s="26">
        <f t="shared" si="11"/>
        <v>0</v>
      </c>
    </row>
    <row r="251" spans="1:43" ht="17.25" customHeight="1" x14ac:dyDescent="0.45">
      <c r="A251" s="2" t="s">
        <v>55</v>
      </c>
      <c r="B251" s="2" t="s">
        <v>66</v>
      </c>
      <c r="C251" s="2" t="s">
        <v>272</v>
      </c>
      <c r="D251" s="2" t="s">
        <v>68</v>
      </c>
      <c r="E251" s="23">
        <v>2</v>
      </c>
      <c r="F251" s="1">
        <v>0</v>
      </c>
      <c r="G251" s="1">
        <v>1</v>
      </c>
      <c r="H251" s="1">
        <v>0</v>
      </c>
      <c r="I251" s="1">
        <v>0</v>
      </c>
      <c r="J251" s="1">
        <v>0</v>
      </c>
      <c r="K251" s="1">
        <v>0</v>
      </c>
      <c r="L251" s="1">
        <v>0</v>
      </c>
      <c r="M251" s="1">
        <v>0</v>
      </c>
      <c r="N251" s="1">
        <v>0</v>
      </c>
      <c r="O251" s="1">
        <v>2</v>
      </c>
      <c r="P251" s="1">
        <v>0</v>
      </c>
      <c r="Q251" s="24">
        <f t="shared" si="9"/>
        <v>5</v>
      </c>
      <c r="R251" s="23">
        <v>7</v>
      </c>
      <c r="S251" s="1">
        <v>0</v>
      </c>
      <c r="T251" s="1">
        <v>2</v>
      </c>
      <c r="U251" s="1">
        <v>0</v>
      </c>
      <c r="V251" s="1">
        <v>0</v>
      </c>
      <c r="W251" s="1">
        <v>0</v>
      </c>
      <c r="X251" s="1">
        <v>0</v>
      </c>
      <c r="Y251" s="1">
        <v>0</v>
      </c>
      <c r="Z251" s="1">
        <v>0</v>
      </c>
      <c r="AA251" s="1">
        <v>0</v>
      </c>
      <c r="AB251" s="1">
        <v>6</v>
      </c>
      <c r="AC251" s="1">
        <v>0</v>
      </c>
      <c r="AD251" s="24">
        <f t="shared" si="10"/>
        <v>15</v>
      </c>
      <c r="AE251" s="23">
        <v>0</v>
      </c>
      <c r="AF251" s="1">
        <v>0</v>
      </c>
      <c r="AG251" s="1">
        <v>0</v>
      </c>
      <c r="AH251" s="1">
        <v>0</v>
      </c>
      <c r="AI251" s="1">
        <v>0</v>
      </c>
      <c r="AJ251" s="1">
        <v>0</v>
      </c>
      <c r="AK251" s="1">
        <v>0</v>
      </c>
      <c r="AL251" s="1">
        <v>0</v>
      </c>
      <c r="AM251" s="1">
        <v>0</v>
      </c>
      <c r="AN251" s="1">
        <v>0</v>
      </c>
      <c r="AO251" s="1">
        <v>0</v>
      </c>
      <c r="AP251" s="1">
        <v>0</v>
      </c>
      <c r="AQ251" s="24">
        <f t="shared" si="11"/>
        <v>0</v>
      </c>
    </row>
    <row r="252" spans="1:43" ht="17.25" customHeight="1" x14ac:dyDescent="0.45">
      <c r="A252" s="12" t="s">
        <v>55</v>
      </c>
      <c r="B252" s="12" t="s">
        <v>66</v>
      </c>
      <c r="C252" s="12" t="s">
        <v>69</v>
      </c>
      <c r="D252" s="12" t="s">
        <v>68</v>
      </c>
      <c r="E252" s="25">
        <v>0</v>
      </c>
      <c r="F252" s="10">
        <v>1</v>
      </c>
      <c r="G252" s="10">
        <v>0</v>
      </c>
      <c r="H252" s="10">
        <v>0</v>
      </c>
      <c r="I252" s="10">
        <v>0</v>
      </c>
      <c r="J252" s="10">
        <v>0</v>
      </c>
      <c r="K252" s="10">
        <v>0</v>
      </c>
      <c r="L252" s="10">
        <v>0</v>
      </c>
      <c r="M252" s="10">
        <v>1</v>
      </c>
      <c r="N252" s="10">
        <v>0</v>
      </c>
      <c r="O252" s="10">
        <v>0</v>
      </c>
      <c r="P252" s="10">
        <v>0</v>
      </c>
      <c r="Q252" s="26">
        <f t="shared" si="9"/>
        <v>2</v>
      </c>
      <c r="R252" s="25">
        <v>0</v>
      </c>
      <c r="S252" s="10">
        <v>3</v>
      </c>
      <c r="T252" s="10">
        <v>0</v>
      </c>
      <c r="U252" s="10">
        <v>0</v>
      </c>
      <c r="V252" s="10">
        <v>0</v>
      </c>
      <c r="W252" s="10">
        <v>0</v>
      </c>
      <c r="X252" s="10">
        <v>0</v>
      </c>
      <c r="Y252" s="10">
        <v>0</v>
      </c>
      <c r="Z252" s="10">
        <v>3</v>
      </c>
      <c r="AA252" s="10">
        <v>0</v>
      </c>
      <c r="AB252" s="10">
        <v>0</v>
      </c>
      <c r="AC252" s="10">
        <v>0</v>
      </c>
      <c r="AD252" s="26">
        <f t="shared" si="10"/>
        <v>6</v>
      </c>
      <c r="AE252" s="25">
        <v>0</v>
      </c>
      <c r="AF252" s="10">
        <v>0</v>
      </c>
      <c r="AG252" s="10">
        <v>0</v>
      </c>
      <c r="AH252" s="10">
        <v>0</v>
      </c>
      <c r="AI252" s="10">
        <v>0</v>
      </c>
      <c r="AJ252" s="10">
        <v>0</v>
      </c>
      <c r="AK252" s="10">
        <v>0</v>
      </c>
      <c r="AL252" s="10">
        <v>0</v>
      </c>
      <c r="AM252" s="10">
        <v>0</v>
      </c>
      <c r="AN252" s="10">
        <v>0</v>
      </c>
      <c r="AO252" s="10">
        <v>0</v>
      </c>
      <c r="AP252" s="10">
        <v>0</v>
      </c>
      <c r="AQ252" s="26">
        <f t="shared" si="11"/>
        <v>0</v>
      </c>
    </row>
    <row r="253" spans="1:43" ht="17.25" customHeight="1" x14ac:dyDescent="0.45">
      <c r="A253" s="2" t="s">
        <v>55</v>
      </c>
      <c r="B253" s="2" t="s">
        <v>66</v>
      </c>
      <c r="C253" s="2" t="s">
        <v>194</v>
      </c>
      <c r="D253" s="2" t="s">
        <v>68</v>
      </c>
      <c r="E253" s="23">
        <v>0</v>
      </c>
      <c r="F253" s="1">
        <v>0</v>
      </c>
      <c r="G253" s="1">
        <v>0</v>
      </c>
      <c r="H253" s="1">
        <v>0</v>
      </c>
      <c r="I253" s="1">
        <v>1</v>
      </c>
      <c r="J253" s="1">
        <v>0</v>
      </c>
      <c r="K253" s="1">
        <v>0</v>
      </c>
      <c r="L253" s="1">
        <v>0</v>
      </c>
      <c r="M253" s="1">
        <v>0</v>
      </c>
      <c r="N253" s="1">
        <v>0</v>
      </c>
      <c r="O253" s="1">
        <v>0</v>
      </c>
      <c r="P253" s="1">
        <v>0</v>
      </c>
      <c r="Q253" s="24">
        <f t="shared" si="9"/>
        <v>1</v>
      </c>
      <c r="R253" s="23">
        <v>0</v>
      </c>
      <c r="S253" s="1">
        <v>0</v>
      </c>
      <c r="T253" s="1">
        <v>0</v>
      </c>
      <c r="U253" s="1">
        <v>0</v>
      </c>
      <c r="V253" s="1">
        <v>2</v>
      </c>
      <c r="W253" s="1">
        <v>0</v>
      </c>
      <c r="X253" s="1">
        <v>0</v>
      </c>
      <c r="Y253" s="1">
        <v>0</v>
      </c>
      <c r="Z253" s="1">
        <v>0</v>
      </c>
      <c r="AA253" s="1">
        <v>0</v>
      </c>
      <c r="AB253" s="1">
        <v>0</v>
      </c>
      <c r="AC253" s="1">
        <v>0</v>
      </c>
      <c r="AD253" s="24">
        <f t="shared" si="10"/>
        <v>2</v>
      </c>
      <c r="AE253" s="23">
        <v>0</v>
      </c>
      <c r="AF253" s="1">
        <v>0</v>
      </c>
      <c r="AG253" s="1">
        <v>0</v>
      </c>
      <c r="AH253" s="1">
        <v>0</v>
      </c>
      <c r="AI253" s="1">
        <v>0</v>
      </c>
      <c r="AJ253" s="1">
        <v>0</v>
      </c>
      <c r="AK253" s="1">
        <v>0</v>
      </c>
      <c r="AL253" s="1">
        <v>0</v>
      </c>
      <c r="AM253" s="1">
        <v>0</v>
      </c>
      <c r="AN253" s="1">
        <v>0</v>
      </c>
      <c r="AO253" s="1">
        <v>0</v>
      </c>
      <c r="AP253" s="1">
        <v>0</v>
      </c>
      <c r="AQ253" s="24">
        <f t="shared" si="11"/>
        <v>0</v>
      </c>
    </row>
    <row r="254" spans="1:43" ht="17.25" customHeight="1" x14ac:dyDescent="0.45">
      <c r="A254" s="12" t="s">
        <v>55</v>
      </c>
      <c r="B254" s="12" t="s">
        <v>66</v>
      </c>
      <c r="C254" s="12" t="s">
        <v>73</v>
      </c>
      <c r="D254" s="12" t="s">
        <v>68</v>
      </c>
      <c r="E254" s="25">
        <v>0</v>
      </c>
      <c r="F254" s="10">
        <v>0</v>
      </c>
      <c r="G254" s="10">
        <v>0</v>
      </c>
      <c r="H254" s="10">
        <v>0</v>
      </c>
      <c r="I254" s="10">
        <v>1</v>
      </c>
      <c r="J254" s="10">
        <v>0</v>
      </c>
      <c r="K254" s="10">
        <v>1</v>
      </c>
      <c r="L254" s="10">
        <v>0</v>
      </c>
      <c r="M254" s="10">
        <v>0</v>
      </c>
      <c r="N254" s="10">
        <v>0</v>
      </c>
      <c r="O254" s="10">
        <v>0</v>
      </c>
      <c r="P254" s="10">
        <v>0</v>
      </c>
      <c r="Q254" s="26">
        <f t="shared" si="9"/>
        <v>2</v>
      </c>
      <c r="R254" s="25">
        <v>0</v>
      </c>
      <c r="S254" s="10">
        <v>0</v>
      </c>
      <c r="T254" s="10">
        <v>0</v>
      </c>
      <c r="U254" s="10">
        <v>0</v>
      </c>
      <c r="V254" s="10">
        <v>8</v>
      </c>
      <c r="W254" s="10">
        <v>0</v>
      </c>
      <c r="X254" s="10">
        <v>10</v>
      </c>
      <c r="Y254" s="10">
        <v>0</v>
      </c>
      <c r="Z254" s="10">
        <v>0</v>
      </c>
      <c r="AA254" s="10">
        <v>0</v>
      </c>
      <c r="AB254" s="10">
        <v>0</v>
      </c>
      <c r="AC254" s="10">
        <v>0</v>
      </c>
      <c r="AD254" s="26">
        <f t="shared" si="10"/>
        <v>18</v>
      </c>
      <c r="AE254" s="25">
        <v>0</v>
      </c>
      <c r="AF254" s="10">
        <v>0</v>
      </c>
      <c r="AG254" s="10">
        <v>0</v>
      </c>
      <c r="AH254" s="10">
        <v>0</v>
      </c>
      <c r="AI254" s="10">
        <v>0</v>
      </c>
      <c r="AJ254" s="10">
        <v>0</v>
      </c>
      <c r="AK254" s="10">
        <v>0</v>
      </c>
      <c r="AL254" s="10">
        <v>0</v>
      </c>
      <c r="AM254" s="10">
        <v>0</v>
      </c>
      <c r="AN254" s="10">
        <v>0</v>
      </c>
      <c r="AO254" s="10">
        <v>0</v>
      </c>
      <c r="AP254" s="10">
        <v>0</v>
      </c>
      <c r="AQ254" s="26">
        <f t="shared" si="11"/>
        <v>0</v>
      </c>
    </row>
    <row r="255" spans="1:43" ht="17.25" customHeight="1" x14ac:dyDescent="0.45">
      <c r="A255" s="2" t="s">
        <v>55</v>
      </c>
      <c r="B255" s="2" t="s">
        <v>66</v>
      </c>
      <c r="C255" s="2" t="s">
        <v>150</v>
      </c>
      <c r="D255" s="2" t="s">
        <v>68</v>
      </c>
      <c r="E255" s="23">
        <v>1</v>
      </c>
      <c r="F255" s="1">
        <v>0</v>
      </c>
      <c r="G255" s="1">
        <v>0</v>
      </c>
      <c r="H255" s="1">
        <v>0</v>
      </c>
      <c r="I255" s="1">
        <v>0</v>
      </c>
      <c r="J255" s="1">
        <v>0</v>
      </c>
      <c r="K255" s="1">
        <v>0</v>
      </c>
      <c r="L255" s="1">
        <v>0</v>
      </c>
      <c r="M255" s="1">
        <v>0</v>
      </c>
      <c r="N255" s="1">
        <v>0</v>
      </c>
      <c r="O255" s="1">
        <v>0</v>
      </c>
      <c r="P255" s="1">
        <v>0</v>
      </c>
      <c r="Q255" s="24">
        <f t="shared" si="9"/>
        <v>1</v>
      </c>
      <c r="R255" s="23">
        <v>9</v>
      </c>
      <c r="S255" s="1">
        <v>0</v>
      </c>
      <c r="T255" s="1">
        <v>0</v>
      </c>
      <c r="U255" s="1">
        <v>0</v>
      </c>
      <c r="V255" s="1">
        <v>0</v>
      </c>
      <c r="W255" s="1">
        <v>0</v>
      </c>
      <c r="X255" s="1">
        <v>0</v>
      </c>
      <c r="Y255" s="1">
        <v>0</v>
      </c>
      <c r="Z255" s="1">
        <v>0</v>
      </c>
      <c r="AA255" s="1">
        <v>0</v>
      </c>
      <c r="AB255" s="1">
        <v>0</v>
      </c>
      <c r="AC255" s="1">
        <v>0</v>
      </c>
      <c r="AD255" s="24">
        <f t="shared" si="10"/>
        <v>9</v>
      </c>
      <c r="AE255" s="23">
        <v>0</v>
      </c>
      <c r="AF255" s="1">
        <v>0</v>
      </c>
      <c r="AG255" s="1">
        <v>0</v>
      </c>
      <c r="AH255" s="1">
        <v>0</v>
      </c>
      <c r="AI255" s="1">
        <v>0</v>
      </c>
      <c r="AJ255" s="1">
        <v>0</v>
      </c>
      <c r="AK255" s="1">
        <v>0</v>
      </c>
      <c r="AL255" s="1">
        <v>0</v>
      </c>
      <c r="AM255" s="1">
        <v>0</v>
      </c>
      <c r="AN255" s="1">
        <v>0</v>
      </c>
      <c r="AO255" s="1">
        <v>0</v>
      </c>
      <c r="AP255" s="1">
        <v>0</v>
      </c>
      <c r="AQ255" s="24">
        <f t="shared" si="11"/>
        <v>0</v>
      </c>
    </row>
    <row r="256" spans="1:43" ht="17.25" customHeight="1" x14ac:dyDescent="0.45">
      <c r="A256" s="12" t="s">
        <v>55</v>
      </c>
      <c r="B256" s="12" t="s">
        <v>66</v>
      </c>
      <c r="C256" s="12" t="s">
        <v>177</v>
      </c>
      <c r="D256" s="12" t="s">
        <v>68</v>
      </c>
      <c r="E256" s="25">
        <v>0</v>
      </c>
      <c r="F256" s="10">
        <v>0</v>
      </c>
      <c r="G256" s="10">
        <v>0</v>
      </c>
      <c r="H256" s="10">
        <v>0</v>
      </c>
      <c r="I256" s="10">
        <v>1</v>
      </c>
      <c r="J256" s="10">
        <v>0</v>
      </c>
      <c r="K256" s="10">
        <v>0</v>
      </c>
      <c r="L256" s="10">
        <v>0</v>
      </c>
      <c r="M256" s="10">
        <v>0</v>
      </c>
      <c r="N256" s="10">
        <v>0</v>
      </c>
      <c r="O256" s="10">
        <v>0</v>
      </c>
      <c r="P256" s="10">
        <v>0</v>
      </c>
      <c r="Q256" s="26">
        <f t="shared" si="9"/>
        <v>1</v>
      </c>
      <c r="R256" s="25">
        <v>0</v>
      </c>
      <c r="S256" s="10">
        <v>0</v>
      </c>
      <c r="T256" s="10">
        <v>0</v>
      </c>
      <c r="U256" s="10">
        <v>0</v>
      </c>
      <c r="V256" s="10">
        <v>53</v>
      </c>
      <c r="W256" s="10">
        <v>0</v>
      </c>
      <c r="X256" s="10">
        <v>0</v>
      </c>
      <c r="Y256" s="10">
        <v>0</v>
      </c>
      <c r="Z256" s="10">
        <v>0</v>
      </c>
      <c r="AA256" s="10">
        <v>0</v>
      </c>
      <c r="AB256" s="10">
        <v>0</v>
      </c>
      <c r="AC256" s="10">
        <v>0</v>
      </c>
      <c r="AD256" s="26">
        <f t="shared" si="10"/>
        <v>53</v>
      </c>
      <c r="AE256" s="25">
        <v>0</v>
      </c>
      <c r="AF256" s="10">
        <v>0</v>
      </c>
      <c r="AG256" s="10">
        <v>0</v>
      </c>
      <c r="AH256" s="10">
        <v>0</v>
      </c>
      <c r="AI256" s="10">
        <v>0</v>
      </c>
      <c r="AJ256" s="10">
        <v>0</v>
      </c>
      <c r="AK256" s="10">
        <v>0</v>
      </c>
      <c r="AL256" s="10">
        <v>0</v>
      </c>
      <c r="AM256" s="10">
        <v>0</v>
      </c>
      <c r="AN256" s="10">
        <v>0</v>
      </c>
      <c r="AO256" s="10">
        <v>0</v>
      </c>
      <c r="AP256" s="10">
        <v>0</v>
      </c>
      <c r="AQ256" s="26">
        <f t="shared" si="11"/>
        <v>0</v>
      </c>
    </row>
    <row r="257" spans="1:43" ht="17.25" customHeight="1" x14ac:dyDescent="0.45">
      <c r="A257" s="2" t="s">
        <v>55</v>
      </c>
      <c r="B257" s="2" t="s">
        <v>66</v>
      </c>
      <c r="C257" s="2" t="s">
        <v>278</v>
      </c>
      <c r="D257" s="2" t="s">
        <v>68</v>
      </c>
      <c r="E257" s="23">
        <v>1</v>
      </c>
      <c r="F257" s="1">
        <v>0</v>
      </c>
      <c r="G257" s="1">
        <v>0</v>
      </c>
      <c r="H257" s="1">
        <v>0</v>
      </c>
      <c r="I257" s="1">
        <v>0</v>
      </c>
      <c r="J257" s="1">
        <v>0</v>
      </c>
      <c r="K257" s="1">
        <v>0</v>
      </c>
      <c r="L257" s="1">
        <v>0</v>
      </c>
      <c r="M257" s="1">
        <v>0</v>
      </c>
      <c r="N257" s="1">
        <v>0</v>
      </c>
      <c r="O257" s="1">
        <v>0</v>
      </c>
      <c r="P257" s="1">
        <v>0</v>
      </c>
      <c r="Q257" s="24">
        <f t="shared" si="9"/>
        <v>1</v>
      </c>
      <c r="R257" s="23">
        <v>1</v>
      </c>
      <c r="S257" s="1">
        <v>0</v>
      </c>
      <c r="T257" s="1">
        <v>0</v>
      </c>
      <c r="U257" s="1">
        <v>0</v>
      </c>
      <c r="V257" s="1">
        <v>0</v>
      </c>
      <c r="W257" s="1">
        <v>0</v>
      </c>
      <c r="X257" s="1">
        <v>0</v>
      </c>
      <c r="Y257" s="1">
        <v>0</v>
      </c>
      <c r="Z257" s="1">
        <v>0</v>
      </c>
      <c r="AA257" s="1">
        <v>0</v>
      </c>
      <c r="AB257" s="1">
        <v>0</v>
      </c>
      <c r="AC257" s="1">
        <v>0</v>
      </c>
      <c r="AD257" s="24">
        <f t="shared" si="10"/>
        <v>1</v>
      </c>
      <c r="AE257" s="23">
        <v>0</v>
      </c>
      <c r="AF257" s="1">
        <v>0</v>
      </c>
      <c r="AG257" s="1">
        <v>0</v>
      </c>
      <c r="AH257" s="1">
        <v>0</v>
      </c>
      <c r="AI257" s="1">
        <v>0</v>
      </c>
      <c r="AJ257" s="1">
        <v>0</v>
      </c>
      <c r="AK257" s="1">
        <v>0</v>
      </c>
      <c r="AL257" s="1">
        <v>0</v>
      </c>
      <c r="AM257" s="1">
        <v>0</v>
      </c>
      <c r="AN257" s="1">
        <v>0</v>
      </c>
      <c r="AO257" s="1">
        <v>0</v>
      </c>
      <c r="AP257" s="1">
        <v>0</v>
      </c>
      <c r="AQ257" s="24">
        <f t="shared" si="11"/>
        <v>0</v>
      </c>
    </row>
    <row r="258" spans="1:43" ht="17.25" customHeight="1" x14ac:dyDescent="0.45">
      <c r="A258" s="12" t="s">
        <v>185</v>
      </c>
      <c r="B258" s="12" t="s">
        <v>68</v>
      </c>
      <c r="C258" s="12" t="s">
        <v>19</v>
      </c>
      <c r="D258" s="12" t="s">
        <v>66</v>
      </c>
      <c r="E258" s="25">
        <v>0</v>
      </c>
      <c r="F258" s="10">
        <v>1</v>
      </c>
      <c r="G258" s="10">
        <v>4</v>
      </c>
      <c r="H258" s="10">
        <v>0</v>
      </c>
      <c r="I258" s="10">
        <v>0</v>
      </c>
      <c r="J258" s="10">
        <v>0</v>
      </c>
      <c r="K258" s="10">
        <v>0</v>
      </c>
      <c r="L258" s="10">
        <v>0</v>
      </c>
      <c r="M258" s="10">
        <v>0</v>
      </c>
      <c r="N258" s="10">
        <v>1</v>
      </c>
      <c r="O258" s="10">
        <v>0</v>
      </c>
      <c r="P258" s="10">
        <v>0</v>
      </c>
      <c r="Q258" s="26">
        <f t="shared" si="9"/>
        <v>6</v>
      </c>
      <c r="R258" s="25">
        <v>0</v>
      </c>
      <c r="S258" s="10">
        <v>0</v>
      </c>
      <c r="T258" s="10">
        <v>0</v>
      </c>
      <c r="U258" s="10">
        <v>0</v>
      </c>
      <c r="V258" s="10">
        <v>0</v>
      </c>
      <c r="W258" s="10">
        <v>0</v>
      </c>
      <c r="X258" s="10">
        <v>0</v>
      </c>
      <c r="Y258" s="10">
        <v>0</v>
      </c>
      <c r="Z258" s="10">
        <v>0</v>
      </c>
      <c r="AA258" s="10">
        <v>0</v>
      </c>
      <c r="AB258" s="10">
        <v>0</v>
      </c>
      <c r="AC258" s="10">
        <v>0</v>
      </c>
      <c r="AD258" s="26">
        <f t="shared" si="10"/>
        <v>0</v>
      </c>
      <c r="AE258" s="25">
        <v>0</v>
      </c>
      <c r="AF258" s="10">
        <v>26974</v>
      </c>
      <c r="AG258" s="10">
        <v>146464</v>
      </c>
      <c r="AH258" s="10">
        <v>0</v>
      </c>
      <c r="AI258" s="10">
        <v>0</v>
      </c>
      <c r="AJ258" s="10">
        <v>0</v>
      </c>
      <c r="AK258" s="10">
        <v>0</v>
      </c>
      <c r="AL258" s="10">
        <v>0</v>
      </c>
      <c r="AM258" s="10">
        <v>0</v>
      </c>
      <c r="AN258" s="10">
        <v>798</v>
      </c>
      <c r="AO258" s="10">
        <v>0</v>
      </c>
      <c r="AP258" s="10">
        <v>0</v>
      </c>
      <c r="AQ258" s="26">
        <f t="shared" si="11"/>
        <v>174236</v>
      </c>
    </row>
    <row r="259" spans="1:43" ht="17.25" customHeight="1" x14ac:dyDescent="0.45">
      <c r="A259" s="2" t="s">
        <v>185</v>
      </c>
      <c r="B259" s="2" t="s">
        <v>68</v>
      </c>
      <c r="C259" s="2" t="s">
        <v>206</v>
      </c>
      <c r="D259" s="2" t="s">
        <v>66</v>
      </c>
      <c r="E259" s="23">
        <v>0</v>
      </c>
      <c r="F259" s="1">
        <v>0</v>
      </c>
      <c r="G259" s="1">
        <v>0</v>
      </c>
      <c r="H259" s="1">
        <v>0</v>
      </c>
      <c r="I259" s="1">
        <v>1</v>
      </c>
      <c r="J259" s="1">
        <v>0</v>
      </c>
      <c r="K259" s="1">
        <v>0</v>
      </c>
      <c r="L259" s="1">
        <v>1</v>
      </c>
      <c r="M259" s="1">
        <v>0</v>
      </c>
      <c r="N259" s="1">
        <v>0</v>
      </c>
      <c r="O259" s="1">
        <v>0</v>
      </c>
      <c r="P259" s="1">
        <v>0</v>
      </c>
      <c r="Q259" s="24">
        <f t="shared" si="9"/>
        <v>2</v>
      </c>
      <c r="R259" s="23">
        <v>0</v>
      </c>
      <c r="S259" s="1">
        <v>0</v>
      </c>
      <c r="T259" s="1">
        <v>0</v>
      </c>
      <c r="U259" s="1">
        <v>0</v>
      </c>
      <c r="V259" s="1">
        <v>0</v>
      </c>
      <c r="W259" s="1">
        <v>0</v>
      </c>
      <c r="X259" s="1">
        <v>0</v>
      </c>
      <c r="Y259" s="1">
        <v>0</v>
      </c>
      <c r="Z259" s="1">
        <v>0</v>
      </c>
      <c r="AA259" s="1">
        <v>0</v>
      </c>
      <c r="AB259" s="1">
        <v>0</v>
      </c>
      <c r="AC259" s="1">
        <v>0</v>
      </c>
      <c r="AD259" s="24">
        <f t="shared" si="10"/>
        <v>0</v>
      </c>
      <c r="AE259" s="23">
        <v>0</v>
      </c>
      <c r="AF259" s="1">
        <v>0</v>
      </c>
      <c r="AG259" s="1">
        <v>0</v>
      </c>
      <c r="AH259" s="1">
        <v>0</v>
      </c>
      <c r="AI259" s="1">
        <v>36572</v>
      </c>
      <c r="AJ259" s="1">
        <v>0</v>
      </c>
      <c r="AK259" s="1">
        <v>0</v>
      </c>
      <c r="AL259" s="1">
        <v>42672</v>
      </c>
      <c r="AM259" s="1">
        <v>0</v>
      </c>
      <c r="AN259" s="1">
        <v>0</v>
      </c>
      <c r="AO259" s="1">
        <v>0</v>
      </c>
      <c r="AP259" s="1">
        <v>0</v>
      </c>
      <c r="AQ259" s="24">
        <f t="shared" si="11"/>
        <v>79244</v>
      </c>
    </row>
    <row r="260" spans="1:43" ht="17.25" customHeight="1" x14ac:dyDescent="0.45">
      <c r="A260" s="12" t="s">
        <v>123</v>
      </c>
      <c r="B260" s="12" t="s">
        <v>81</v>
      </c>
      <c r="C260" s="12" t="s">
        <v>14</v>
      </c>
      <c r="D260" s="12" t="s">
        <v>66</v>
      </c>
      <c r="E260" s="25">
        <v>0</v>
      </c>
      <c r="F260" s="10">
        <v>0</v>
      </c>
      <c r="G260" s="10">
        <v>1</v>
      </c>
      <c r="H260" s="10">
        <v>0</v>
      </c>
      <c r="I260" s="10">
        <v>0</v>
      </c>
      <c r="J260" s="10">
        <v>0</v>
      </c>
      <c r="K260" s="10">
        <v>0</v>
      </c>
      <c r="L260" s="10">
        <v>0</v>
      </c>
      <c r="M260" s="10">
        <v>0</v>
      </c>
      <c r="N260" s="10">
        <v>0</v>
      </c>
      <c r="O260" s="10">
        <v>0</v>
      </c>
      <c r="P260" s="10">
        <v>0</v>
      </c>
      <c r="Q260" s="26">
        <f t="shared" si="9"/>
        <v>1</v>
      </c>
      <c r="R260" s="25">
        <v>0</v>
      </c>
      <c r="S260" s="10">
        <v>0</v>
      </c>
      <c r="T260" s="10">
        <v>0</v>
      </c>
      <c r="U260" s="10">
        <v>0</v>
      </c>
      <c r="V260" s="10">
        <v>0</v>
      </c>
      <c r="W260" s="10">
        <v>0</v>
      </c>
      <c r="X260" s="10">
        <v>0</v>
      </c>
      <c r="Y260" s="10">
        <v>0</v>
      </c>
      <c r="Z260" s="10">
        <v>0</v>
      </c>
      <c r="AA260" s="10">
        <v>0</v>
      </c>
      <c r="AB260" s="10">
        <v>0</v>
      </c>
      <c r="AC260" s="10">
        <v>0</v>
      </c>
      <c r="AD260" s="26">
        <f t="shared" si="10"/>
        <v>0</v>
      </c>
      <c r="AE260" s="25">
        <v>0</v>
      </c>
      <c r="AF260" s="10">
        <v>0</v>
      </c>
      <c r="AG260" s="10">
        <v>33231</v>
      </c>
      <c r="AH260" s="10">
        <v>0</v>
      </c>
      <c r="AI260" s="10">
        <v>0</v>
      </c>
      <c r="AJ260" s="10">
        <v>0</v>
      </c>
      <c r="AK260" s="10">
        <v>0</v>
      </c>
      <c r="AL260" s="10">
        <v>0</v>
      </c>
      <c r="AM260" s="10">
        <v>0</v>
      </c>
      <c r="AN260" s="10">
        <v>0</v>
      </c>
      <c r="AO260" s="10">
        <v>0</v>
      </c>
      <c r="AP260" s="10">
        <v>0</v>
      </c>
      <c r="AQ260" s="26">
        <f t="shared" si="11"/>
        <v>33231</v>
      </c>
    </row>
    <row r="261" spans="1:43" ht="17.25" customHeight="1" x14ac:dyDescent="0.45">
      <c r="A261" s="2" t="s">
        <v>195</v>
      </c>
      <c r="B261" s="2" t="s">
        <v>196</v>
      </c>
      <c r="C261" s="2" t="s">
        <v>13</v>
      </c>
      <c r="D261" s="2" t="s">
        <v>66</v>
      </c>
      <c r="E261" s="23">
        <v>0</v>
      </c>
      <c r="F261" s="1">
        <v>0</v>
      </c>
      <c r="G261" s="1">
        <v>0</v>
      </c>
      <c r="H261" s="1">
        <v>0</v>
      </c>
      <c r="I261" s="1">
        <v>0</v>
      </c>
      <c r="J261" s="1">
        <v>0</v>
      </c>
      <c r="K261" s="1">
        <v>0</v>
      </c>
      <c r="L261" s="1">
        <v>0</v>
      </c>
      <c r="M261" s="1">
        <v>0</v>
      </c>
      <c r="N261" s="1">
        <v>0</v>
      </c>
      <c r="O261" s="1">
        <v>0</v>
      </c>
      <c r="P261" s="1">
        <v>4</v>
      </c>
      <c r="Q261" s="24">
        <f t="shared" si="9"/>
        <v>4</v>
      </c>
      <c r="R261" s="23">
        <v>0</v>
      </c>
      <c r="S261" s="1">
        <v>0</v>
      </c>
      <c r="T261" s="1">
        <v>0</v>
      </c>
      <c r="U261" s="1">
        <v>0</v>
      </c>
      <c r="V261" s="1">
        <v>0</v>
      </c>
      <c r="W261" s="1">
        <v>0</v>
      </c>
      <c r="X261" s="1">
        <v>0</v>
      </c>
      <c r="Y261" s="1">
        <v>0</v>
      </c>
      <c r="Z261" s="1">
        <v>0</v>
      </c>
      <c r="AA261" s="1">
        <v>0</v>
      </c>
      <c r="AB261" s="1">
        <v>0</v>
      </c>
      <c r="AC261" s="1">
        <v>0</v>
      </c>
      <c r="AD261" s="24">
        <f t="shared" si="10"/>
        <v>0</v>
      </c>
      <c r="AE261" s="23">
        <v>0</v>
      </c>
      <c r="AF261" s="1">
        <v>0</v>
      </c>
      <c r="AG261" s="1">
        <v>0</v>
      </c>
      <c r="AH261" s="1">
        <v>0</v>
      </c>
      <c r="AI261" s="1">
        <v>0</v>
      </c>
      <c r="AJ261" s="1">
        <v>0</v>
      </c>
      <c r="AK261" s="1">
        <v>0</v>
      </c>
      <c r="AL261" s="1">
        <v>0</v>
      </c>
      <c r="AM261" s="1">
        <v>0</v>
      </c>
      <c r="AN261" s="1">
        <v>0</v>
      </c>
      <c r="AO261" s="1">
        <v>0</v>
      </c>
      <c r="AP261" s="1">
        <v>28395</v>
      </c>
      <c r="AQ261" s="24">
        <f t="shared" si="11"/>
        <v>28395</v>
      </c>
    </row>
    <row r="262" spans="1:43" ht="17.25" customHeight="1" x14ac:dyDescent="0.45">
      <c r="A262" s="12" t="s">
        <v>195</v>
      </c>
      <c r="B262" s="12" t="s">
        <v>196</v>
      </c>
      <c r="C262" s="12" t="s">
        <v>28</v>
      </c>
      <c r="D262" s="12" t="s">
        <v>66</v>
      </c>
      <c r="E262" s="25">
        <v>0</v>
      </c>
      <c r="F262" s="10">
        <v>0</v>
      </c>
      <c r="G262" s="10">
        <v>0</v>
      </c>
      <c r="H262" s="10">
        <v>0</v>
      </c>
      <c r="I262" s="10">
        <v>0</v>
      </c>
      <c r="J262" s="10">
        <v>0</v>
      </c>
      <c r="K262" s="10">
        <v>0</v>
      </c>
      <c r="L262" s="10">
        <v>0</v>
      </c>
      <c r="M262" s="10">
        <v>0</v>
      </c>
      <c r="N262" s="10">
        <v>0</v>
      </c>
      <c r="O262" s="10">
        <v>0</v>
      </c>
      <c r="P262" s="10">
        <v>4</v>
      </c>
      <c r="Q262" s="26">
        <f t="shared" si="9"/>
        <v>4</v>
      </c>
      <c r="R262" s="25">
        <v>0</v>
      </c>
      <c r="S262" s="10">
        <v>0</v>
      </c>
      <c r="T262" s="10">
        <v>0</v>
      </c>
      <c r="U262" s="10">
        <v>0</v>
      </c>
      <c r="V262" s="10">
        <v>0</v>
      </c>
      <c r="W262" s="10">
        <v>0</v>
      </c>
      <c r="X262" s="10">
        <v>0</v>
      </c>
      <c r="Y262" s="10">
        <v>0</v>
      </c>
      <c r="Z262" s="10">
        <v>0</v>
      </c>
      <c r="AA262" s="10">
        <v>0</v>
      </c>
      <c r="AB262" s="10">
        <v>0</v>
      </c>
      <c r="AC262" s="10">
        <v>0</v>
      </c>
      <c r="AD262" s="26">
        <f t="shared" si="10"/>
        <v>0</v>
      </c>
      <c r="AE262" s="25">
        <v>0</v>
      </c>
      <c r="AF262" s="10">
        <v>0</v>
      </c>
      <c r="AG262" s="10">
        <v>0</v>
      </c>
      <c r="AH262" s="10">
        <v>0</v>
      </c>
      <c r="AI262" s="10">
        <v>0</v>
      </c>
      <c r="AJ262" s="10">
        <v>0</v>
      </c>
      <c r="AK262" s="10">
        <v>0</v>
      </c>
      <c r="AL262" s="10">
        <v>0</v>
      </c>
      <c r="AM262" s="10">
        <v>0</v>
      </c>
      <c r="AN262" s="10">
        <v>0</v>
      </c>
      <c r="AO262" s="10">
        <v>0</v>
      </c>
      <c r="AP262" s="10">
        <v>32253</v>
      </c>
      <c r="AQ262" s="26">
        <f t="shared" si="11"/>
        <v>32253</v>
      </c>
    </row>
    <row r="263" spans="1:43" ht="17.25" customHeight="1" x14ac:dyDescent="0.45">
      <c r="A263" s="2" t="s">
        <v>195</v>
      </c>
      <c r="B263" s="2" t="s">
        <v>196</v>
      </c>
      <c r="C263" s="2" t="s">
        <v>206</v>
      </c>
      <c r="D263" s="2" t="s">
        <v>66</v>
      </c>
      <c r="E263" s="23">
        <v>1</v>
      </c>
      <c r="F263" s="1">
        <v>1</v>
      </c>
      <c r="G263" s="1">
        <v>2</v>
      </c>
      <c r="H263" s="1">
        <v>2</v>
      </c>
      <c r="I263" s="1">
        <v>3</v>
      </c>
      <c r="J263" s="1">
        <v>6</v>
      </c>
      <c r="K263" s="1">
        <v>3</v>
      </c>
      <c r="L263" s="1">
        <v>2</v>
      </c>
      <c r="M263" s="1">
        <v>4</v>
      </c>
      <c r="N263" s="1">
        <v>1</v>
      </c>
      <c r="O263" s="1">
        <v>1</v>
      </c>
      <c r="P263" s="1">
        <v>3</v>
      </c>
      <c r="Q263" s="24">
        <f t="shared" si="9"/>
        <v>29</v>
      </c>
      <c r="R263" s="23">
        <v>0</v>
      </c>
      <c r="S263" s="1">
        <v>0</v>
      </c>
      <c r="T263" s="1">
        <v>0</v>
      </c>
      <c r="U263" s="1">
        <v>0</v>
      </c>
      <c r="V263" s="1">
        <v>0</v>
      </c>
      <c r="W263" s="1">
        <v>0</v>
      </c>
      <c r="X263" s="1">
        <v>0</v>
      </c>
      <c r="Y263" s="1">
        <v>0</v>
      </c>
      <c r="Z263" s="1">
        <v>0</v>
      </c>
      <c r="AA263" s="1">
        <v>0</v>
      </c>
      <c r="AB263" s="1">
        <v>0</v>
      </c>
      <c r="AC263" s="1">
        <v>0</v>
      </c>
      <c r="AD263" s="24">
        <f t="shared" si="10"/>
        <v>0</v>
      </c>
      <c r="AE263" s="23">
        <v>6904</v>
      </c>
      <c r="AF263" s="1">
        <v>6832</v>
      </c>
      <c r="AG263" s="1">
        <v>17394</v>
      </c>
      <c r="AH263" s="1">
        <v>21470</v>
      </c>
      <c r="AI263" s="1">
        <v>33278</v>
      </c>
      <c r="AJ263" s="1">
        <v>66062</v>
      </c>
      <c r="AK263" s="1">
        <v>36839</v>
      </c>
      <c r="AL263" s="1">
        <v>32183</v>
      </c>
      <c r="AM263" s="1">
        <v>56746</v>
      </c>
      <c r="AN263" s="1">
        <v>38964</v>
      </c>
      <c r="AO263" s="1">
        <v>10500</v>
      </c>
      <c r="AP263" s="1">
        <v>13849</v>
      </c>
      <c r="AQ263" s="24">
        <f t="shared" si="11"/>
        <v>341021</v>
      </c>
    </row>
    <row r="264" spans="1:43" ht="17.25" customHeight="1" x14ac:dyDescent="0.45">
      <c r="A264" s="12" t="s">
        <v>195</v>
      </c>
      <c r="B264" s="12" t="s">
        <v>196</v>
      </c>
      <c r="C264" s="12" t="s">
        <v>50</v>
      </c>
      <c r="D264" s="12" t="s">
        <v>66</v>
      </c>
      <c r="E264" s="25">
        <v>0</v>
      </c>
      <c r="F264" s="10">
        <v>0</v>
      </c>
      <c r="G264" s="10">
        <v>0</v>
      </c>
      <c r="H264" s="10">
        <v>1</v>
      </c>
      <c r="I264" s="10">
        <v>0</v>
      </c>
      <c r="J264" s="10">
        <v>1</v>
      </c>
      <c r="K264" s="10">
        <v>0</v>
      </c>
      <c r="L264" s="10">
        <v>0</v>
      </c>
      <c r="M264" s="10">
        <v>0</v>
      </c>
      <c r="N264" s="10">
        <v>0</v>
      </c>
      <c r="O264" s="10">
        <v>0</v>
      </c>
      <c r="P264" s="10">
        <v>1</v>
      </c>
      <c r="Q264" s="26">
        <f t="shared" ref="Q264:Q327" si="12">SUM(E264:P264)</f>
        <v>3</v>
      </c>
      <c r="R264" s="25">
        <v>0</v>
      </c>
      <c r="S264" s="10">
        <v>0</v>
      </c>
      <c r="T264" s="10">
        <v>0</v>
      </c>
      <c r="U264" s="10">
        <v>0</v>
      </c>
      <c r="V264" s="10">
        <v>0</v>
      </c>
      <c r="W264" s="10">
        <v>0</v>
      </c>
      <c r="X264" s="10">
        <v>0</v>
      </c>
      <c r="Y264" s="10">
        <v>0</v>
      </c>
      <c r="Z264" s="10">
        <v>0</v>
      </c>
      <c r="AA264" s="10">
        <v>0</v>
      </c>
      <c r="AB264" s="10">
        <v>0</v>
      </c>
      <c r="AC264" s="10">
        <v>0</v>
      </c>
      <c r="AD264" s="26">
        <f t="shared" ref="AD264:AD327" si="13">SUM(R264:AC264)</f>
        <v>0</v>
      </c>
      <c r="AE264" s="25">
        <v>0</v>
      </c>
      <c r="AF264" s="10">
        <v>0</v>
      </c>
      <c r="AG264" s="10">
        <v>0</v>
      </c>
      <c r="AH264" s="10">
        <v>9665</v>
      </c>
      <c r="AI264" s="10">
        <v>0</v>
      </c>
      <c r="AJ264" s="10">
        <v>16834</v>
      </c>
      <c r="AK264" s="10">
        <v>0</v>
      </c>
      <c r="AL264" s="10">
        <v>0</v>
      </c>
      <c r="AM264" s="10">
        <v>0</v>
      </c>
      <c r="AN264" s="10">
        <v>0</v>
      </c>
      <c r="AO264" s="10">
        <v>0</v>
      </c>
      <c r="AP264" s="10">
        <v>5154</v>
      </c>
      <c r="AQ264" s="26">
        <f t="shared" ref="AQ264:AQ327" si="14">SUM(AE264:AP264)</f>
        <v>31653</v>
      </c>
    </row>
    <row r="265" spans="1:43" ht="17.25" customHeight="1" x14ac:dyDescent="0.45">
      <c r="A265" s="2" t="s">
        <v>195</v>
      </c>
      <c r="B265" s="2" t="s">
        <v>196</v>
      </c>
      <c r="C265" s="2" t="s">
        <v>32</v>
      </c>
      <c r="D265" s="2" t="s">
        <v>66</v>
      </c>
      <c r="E265" s="23">
        <v>0</v>
      </c>
      <c r="F265" s="1">
        <v>1</v>
      </c>
      <c r="G265" s="1">
        <v>0</v>
      </c>
      <c r="H265" s="1">
        <v>0</v>
      </c>
      <c r="I265" s="1">
        <v>0</v>
      </c>
      <c r="J265" s="1">
        <v>0</v>
      </c>
      <c r="K265" s="1">
        <v>0</v>
      </c>
      <c r="L265" s="1">
        <v>0</v>
      </c>
      <c r="M265" s="1">
        <v>0</v>
      </c>
      <c r="N265" s="1">
        <v>0</v>
      </c>
      <c r="O265" s="1">
        <v>0</v>
      </c>
      <c r="P265" s="1">
        <v>0</v>
      </c>
      <c r="Q265" s="24">
        <f t="shared" si="12"/>
        <v>1</v>
      </c>
      <c r="R265" s="23">
        <v>0</v>
      </c>
      <c r="S265" s="1">
        <v>54</v>
      </c>
      <c r="T265" s="1">
        <v>0</v>
      </c>
      <c r="U265" s="1">
        <v>0</v>
      </c>
      <c r="V265" s="1">
        <v>0</v>
      </c>
      <c r="W265" s="1">
        <v>0</v>
      </c>
      <c r="X265" s="1">
        <v>0</v>
      </c>
      <c r="Y265" s="1">
        <v>0</v>
      </c>
      <c r="Z265" s="1">
        <v>0</v>
      </c>
      <c r="AA265" s="1">
        <v>0</v>
      </c>
      <c r="AB265" s="1">
        <v>0</v>
      </c>
      <c r="AC265" s="1">
        <v>0</v>
      </c>
      <c r="AD265" s="24">
        <f t="shared" si="13"/>
        <v>54</v>
      </c>
      <c r="AE265" s="23">
        <v>0</v>
      </c>
      <c r="AF265" s="1">
        <v>0</v>
      </c>
      <c r="AG265" s="1">
        <v>0</v>
      </c>
      <c r="AH265" s="1">
        <v>0</v>
      </c>
      <c r="AI265" s="1">
        <v>0</v>
      </c>
      <c r="AJ265" s="1">
        <v>0</v>
      </c>
      <c r="AK265" s="1">
        <v>0</v>
      </c>
      <c r="AL265" s="1">
        <v>0</v>
      </c>
      <c r="AM265" s="1">
        <v>0</v>
      </c>
      <c r="AN265" s="1">
        <v>0</v>
      </c>
      <c r="AO265" s="1">
        <v>0</v>
      </c>
      <c r="AP265" s="1">
        <v>0</v>
      </c>
      <c r="AQ265" s="24">
        <f t="shared" si="14"/>
        <v>0</v>
      </c>
    </row>
    <row r="266" spans="1:43" ht="17.25" customHeight="1" x14ac:dyDescent="0.45">
      <c r="A266" s="12" t="s">
        <v>322</v>
      </c>
      <c r="B266" s="12" t="s">
        <v>68</v>
      </c>
      <c r="C266" s="12" t="s">
        <v>13</v>
      </c>
      <c r="D266" s="12" t="s">
        <v>66</v>
      </c>
      <c r="E266" s="25">
        <v>0</v>
      </c>
      <c r="F266" s="10">
        <v>0</v>
      </c>
      <c r="G266" s="10">
        <v>0</v>
      </c>
      <c r="H266" s="10">
        <v>0</v>
      </c>
      <c r="I266" s="10">
        <v>0</v>
      </c>
      <c r="J266" s="10">
        <v>0</v>
      </c>
      <c r="K266" s="10">
        <v>0</v>
      </c>
      <c r="L266" s="10">
        <v>0</v>
      </c>
      <c r="M266" s="10">
        <v>1</v>
      </c>
      <c r="N266" s="10">
        <v>0</v>
      </c>
      <c r="O266" s="10">
        <v>0</v>
      </c>
      <c r="P266" s="10">
        <v>0</v>
      </c>
      <c r="Q266" s="26">
        <f t="shared" si="12"/>
        <v>1</v>
      </c>
      <c r="R266" s="25">
        <v>0</v>
      </c>
      <c r="S266" s="10">
        <v>0</v>
      </c>
      <c r="T266" s="10">
        <v>0</v>
      </c>
      <c r="U266" s="10">
        <v>0</v>
      </c>
      <c r="V266" s="10">
        <v>0</v>
      </c>
      <c r="W266" s="10">
        <v>0</v>
      </c>
      <c r="X266" s="10">
        <v>0</v>
      </c>
      <c r="Y266" s="10">
        <v>0</v>
      </c>
      <c r="Z266" s="10">
        <v>0</v>
      </c>
      <c r="AA266" s="10">
        <v>0</v>
      </c>
      <c r="AB266" s="10">
        <v>0</v>
      </c>
      <c r="AC266" s="10">
        <v>0</v>
      </c>
      <c r="AD266" s="26">
        <f t="shared" si="13"/>
        <v>0</v>
      </c>
      <c r="AE266" s="25">
        <v>0</v>
      </c>
      <c r="AF266" s="10">
        <v>0</v>
      </c>
      <c r="AG266" s="10">
        <v>0</v>
      </c>
      <c r="AH266" s="10">
        <v>0</v>
      </c>
      <c r="AI266" s="10">
        <v>0</v>
      </c>
      <c r="AJ266" s="10">
        <v>0</v>
      </c>
      <c r="AK266" s="10">
        <v>0</v>
      </c>
      <c r="AL266" s="10">
        <v>0</v>
      </c>
      <c r="AM266" s="10">
        <v>2785</v>
      </c>
      <c r="AN266" s="10">
        <v>0</v>
      </c>
      <c r="AO266" s="10">
        <v>0</v>
      </c>
      <c r="AP266" s="10">
        <v>0</v>
      </c>
      <c r="AQ266" s="26">
        <f t="shared" si="14"/>
        <v>2785</v>
      </c>
    </row>
    <row r="267" spans="1:43" ht="17.25" customHeight="1" x14ac:dyDescent="0.45">
      <c r="A267" s="2" t="s">
        <v>40</v>
      </c>
      <c r="B267" s="2" t="s">
        <v>66</v>
      </c>
      <c r="C267" s="2" t="s">
        <v>69</v>
      </c>
      <c r="D267" s="2" t="s">
        <v>68</v>
      </c>
      <c r="E267" s="23">
        <v>0</v>
      </c>
      <c r="F267" s="1">
        <v>0</v>
      </c>
      <c r="G267" s="1">
        <v>0</v>
      </c>
      <c r="H267" s="1">
        <v>1</v>
      </c>
      <c r="I267" s="1">
        <v>0</v>
      </c>
      <c r="J267" s="1">
        <v>0</v>
      </c>
      <c r="K267" s="1">
        <v>0</v>
      </c>
      <c r="L267" s="1">
        <v>0</v>
      </c>
      <c r="M267" s="1">
        <v>0</v>
      </c>
      <c r="N267" s="1">
        <v>0</v>
      </c>
      <c r="O267" s="1">
        <v>0</v>
      </c>
      <c r="P267" s="1">
        <v>0</v>
      </c>
      <c r="Q267" s="24">
        <f t="shared" si="12"/>
        <v>1</v>
      </c>
      <c r="R267" s="23">
        <v>0</v>
      </c>
      <c r="S267" s="1">
        <v>0</v>
      </c>
      <c r="T267" s="1">
        <v>0</v>
      </c>
      <c r="U267" s="1">
        <v>137</v>
      </c>
      <c r="V267" s="1">
        <v>0</v>
      </c>
      <c r="W267" s="1">
        <v>0</v>
      </c>
      <c r="X267" s="1">
        <v>0</v>
      </c>
      <c r="Y267" s="1">
        <v>0</v>
      </c>
      <c r="Z267" s="1">
        <v>0</v>
      </c>
      <c r="AA267" s="1">
        <v>0</v>
      </c>
      <c r="AB267" s="1">
        <v>0</v>
      </c>
      <c r="AC267" s="1">
        <v>0</v>
      </c>
      <c r="AD267" s="24">
        <f t="shared" si="13"/>
        <v>137</v>
      </c>
      <c r="AE267" s="23">
        <v>0</v>
      </c>
      <c r="AF267" s="1">
        <v>0</v>
      </c>
      <c r="AG267" s="1">
        <v>0</v>
      </c>
      <c r="AH267" s="1">
        <v>0</v>
      </c>
      <c r="AI267" s="1">
        <v>0</v>
      </c>
      <c r="AJ267" s="1">
        <v>0</v>
      </c>
      <c r="AK267" s="1">
        <v>0</v>
      </c>
      <c r="AL267" s="1">
        <v>0</v>
      </c>
      <c r="AM267" s="1">
        <v>0</v>
      </c>
      <c r="AN267" s="1">
        <v>0</v>
      </c>
      <c r="AO267" s="1">
        <v>0</v>
      </c>
      <c r="AP267" s="1">
        <v>0</v>
      </c>
      <c r="AQ267" s="24">
        <f t="shared" si="14"/>
        <v>0</v>
      </c>
    </row>
    <row r="268" spans="1:43" ht="17.25" customHeight="1" x14ac:dyDescent="0.45">
      <c r="A268" s="12" t="s">
        <v>40</v>
      </c>
      <c r="B268" s="12" t="s">
        <v>66</v>
      </c>
      <c r="C268" s="12" t="s">
        <v>73</v>
      </c>
      <c r="D268" s="12" t="s">
        <v>68</v>
      </c>
      <c r="E268" s="25">
        <v>0</v>
      </c>
      <c r="F268" s="10">
        <v>0</v>
      </c>
      <c r="G268" s="10">
        <v>0</v>
      </c>
      <c r="H268" s="10">
        <v>1</v>
      </c>
      <c r="I268" s="10">
        <v>0</v>
      </c>
      <c r="J268" s="10">
        <v>0</v>
      </c>
      <c r="K268" s="10">
        <v>0</v>
      </c>
      <c r="L268" s="10">
        <v>0</v>
      </c>
      <c r="M268" s="10">
        <v>0</v>
      </c>
      <c r="N268" s="10">
        <v>0</v>
      </c>
      <c r="O268" s="10">
        <v>0</v>
      </c>
      <c r="P268" s="10">
        <v>0</v>
      </c>
      <c r="Q268" s="26">
        <f t="shared" si="12"/>
        <v>1</v>
      </c>
      <c r="R268" s="25">
        <v>0</v>
      </c>
      <c r="S268" s="10">
        <v>0</v>
      </c>
      <c r="T268" s="10">
        <v>0</v>
      </c>
      <c r="U268" s="10">
        <v>173</v>
      </c>
      <c r="V268" s="10">
        <v>0</v>
      </c>
      <c r="W268" s="10">
        <v>0</v>
      </c>
      <c r="X268" s="10">
        <v>0</v>
      </c>
      <c r="Y268" s="10">
        <v>0</v>
      </c>
      <c r="Z268" s="10">
        <v>0</v>
      </c>
      <c r="AA268" s="10">
        <v>0</v>
      </c>
      <c r="AB268" s="10">
        <v>0</v>
      </c>
      <c r="AC268" s="10">
        <v>0</v>
      </c>
      <c r="AD268" s="26">
        <f t="shared" si="13"/>
        <v>173</v>
      </c>
      <c r="AE268" s="25">
        <v>0</v>
      </c>
      <c r="AF268" s="10">
        <v>0</v>
      </c>
      <c r="AG268" s="10">
        <v>0</v>
      </c>
      <c r="AH268" s="10">
        <v>0</v>
      </c>
      <c r="AI268" s="10">
        <v>0</v>
      </c>
      <c r="AJ268" s="10">
        <v>0</v>
      </c>
      <c r="AK268" s="10">
        <v>0</v>
      </c>
      <c r="AL268" s="10">
        <v>0</v>
      </c>
      <c r="AM268" s="10">
        <v>0</v>
      </c>
      <c r="AN268" s="10">
        <v>0</v>
      </c>
      <c r="AO268" s="10">
        <v>0</v>
      </c>
      <c r="AP268" s="10">
        <v>0</v>
      </c>
      <c r="AQ268" s="26">
        <f t="shared" si="14"/>
        <v>0</v>
      </c>
    </row>
    <row r="269" spans="1:43" ht="17.25" customHeight="1" x14ac:dyDescent="0.45">
      <c r="A269" s="2" t="s">
        <v>256</v>
      </c>
      <c r="B269" s="2" t="s">
        <v>68</v>
      </c>
      <c r="C269" s="2" t="s">
        <v>22</v>
      </c>
      <c r="D269" s="2" t="s">
        <v>66</v>
      </c>
      <c r="E269" s="23">
        <v>0</v>
      </c>
      <c r="F269" s="1">
        <v>0</v>
      </c>
      <c r="G269" s="1">
        <v>0</v>
      </c>
      <c r="H269" s="1">
        <v>0</v>
      </c>
      <c r="I269" s="1">
        <v>1</v>
      </c>
      <c r="J269" s="1">
        <v>2</v>
      </c>
      <c r="K269" s="1">
        <v>0</v>
      </c>
      <c r="L269" s="1">
        <v>0</v>
      </c>
      <c r="M269" s="1">
        <v>0</v>
      </c>
      <c r="N269" s="1">
        <v>0</v>
      </c>
      <c r="O269" s="1">
        <v>0</v>
      </c>
      <c r="P269" s="1">
        <v>0</v>
      </c>
      <c r="Q269" s="24">
        <f t="shared" si="12"/>
        <v>3</v>
      </c>
      <c r="R269" s="23">
        <v>0</v>
      </c>
      <c r="S269" s="1">
        <v>0</v>
      </c>
      <c r="T269" s="1">
        <v>0</v>
      </c>
      <c r="U269" s="1">
        <v>0</v>
      </c>
      <c r="V269" s="1">
        <v>0</v>
      </c>
      <c r="W269" s="1">
        <v>0</v>
      </c>
      <c r="X269" s="1">
        <v>0</v>
      </c>
      <c r="Y269" s="1">
        <v>0</v>
      </c>
      <c r="Z269" s="1">
        <v>0</v>
      </c>
      <c r="AA269" s="1">
        <v>0</v>
      </c>
      <c r="AB269" s="1">
        <v>0</v>
      </c>
      <c r="AC269" s="1">
        <v>0</v>
      </c>
      <c r="AD269" s="24">
        <f t="shared" si="13"/>
        <v>0</v>
      </c>
      <c r="AE269" s="23">
        <v>0</v>
      </c>
      <c r="AF269" s="1">
        <v>0</v>
      </c>
      <c r="AG269" s="1">
        <v>0</v>
      </c>
      <c r="AH269" s="1">
        <v>0</v>
      </c>
      <c r="AI269" s="1">
        <v>110</v>
      </c>
      <c r="AJ269" s="1">
        <v>850</v>
      </c>
      <c r="AK269" s="1">
        <v>0</v>
      </c>
      <c r="AL269" s="1">
        <v>0</v>
      </c>
      <c r="AM269" s="1">
        <v>0</v>
      </c>
      <c r="AN269" s="1">
        <v>0</v>
      </c>
      <c r="AO269" s="1">
        <v>0</v>
      </c>
      <c r="AP269" s="1">
        <v>0</v>
      </c>
      <c r="AQ269" s="24">
        <f t="shared" si="14"/>
        <v>960</v>
      </c>
    </row>
    <row r="270" spans="1:43" ht="17.25" customHeight="1" x14ac:dyDescent="0.45">
      <c r="A270" s="12" t="s">
        <v>256</v>
      </c>
      <c r="B270" s="12" t="s">
        <v>68</v>
      </c>
      <c r="C270" s="12" t="s">
        <v>38</v>
      </c>
      <c r="D270" s="12" t="s">
        <v>66</v>
      </c>
      <c r="E270" s="25">
        <v>0</v>
      </c>
      <c r="F270" s="10">
        <v>0</v>
      </c>
      <c r="G270" s="10">
        <v>0</v>
      </c>
      <c r="H270" s="10">
        <v>0</v>
      </c>
      <c r="I270" s="10">
        <v>1</v>
      </c>
      <c r="J270" s="10">
        <v>0</v>
      </c>
      <c r="K270" s="10">
        <v>0</v>
      </c>
      <c r="L270" s="10">
        <v>1</v>
      </c>
      <c r="M270" s="10">
        <v>0</v>
      </c>
      <c r="N270" s="10">
        <v>0</v>
      </c>
      <c r="O270" s="10">
        <v>5</v>
      </c>
      <c r="P270" s="10">
        <v>0</v>
      </c>
      <c r="Q270" s="26">
        <f t="shared" si="12"/>
        <v>7</v>
      </c>
      <c r="R270" s="25">
        <v>0</v>
      </c>
      <c r="S270" s="10">
        <v>0</v>
      </c>
      <c r="T270" s="10">
        <v>0</v>
      </c>
      <c r="U270" s="10">
        <v>0</v>
      </c>
      <c r="V270" s="10">
        <v>0</v>
      </c>
      <c r="W270" s="10">
        <v>0</v>
      </c>
      <c r="X270" s="10">
        <v>0</v>
      </c>
      <c r="Y270" s="10">
        <v>0</v>
      </c>
      <c r="Z270" s="10">
        <v>0</v>
      </c>
      <c r="AA270" s="10">
        <v>0</v>
      </c>
      <c r="AB270" s="10">
        <v>0</v>
      </c>
      <c r="AC270" s="10">
        <v>0</v>
      </c>
      <c r="AD270" s="26">
        <f t="shared" si="13"/>
        <v>0</v>
      </c>
      <c r="AE270" s="25">
        <v>0</v>
      </c>
      <c r="AF270" s="10">
        <v>0</v>
      </c>
      <c r="AG270" s="10">
        <v>0</v>
      </c>
      <c r="AH270" s="10">
        <v>0</v>
      </c>
      <c r="AI270" s="10">
        <v>35</v>
      </c>
      <c r="AJ270" s="10">
        <v>0</v>
      </c>
      <c r="AK270" s="10">
        <v>0</v>
      </c>
      <c r="AL270" s="10">
        <v>1948</v>
      </c>
      <c r="AM270" s="10">
        <v>0</v>
      </c>
      <c r="AN270" s="10">
        <v>0</v>
      </c>
      <c r="AO270" s="10">
        <v>3380</v>
      </c>
      <c r="AP270" s="10">
        <v>0</v>
      </c>
      <c r="AQ270" s="26">
        <f t="shared" si="14"/>
        <v>5363</v>
      </c>
    </row>
    <row r="271" spans="1:43" ht="17.25" customHeight="1" x14ac:dyDescent="0.45">
      <c r="A271" s="2" t="s">
        <v>256</v>
      </c>
      <c r="B271" s="2" t="s">
        <v>68</v>
      </c>
      <c r="C271" s="2" t="s">
        <v>28</v>
      </c>
      <c r="D271" s="2" t="s">
        <v>66</v>
      </c>
      <c r="E271" s="23">
        <v>0</v>
      </c>
      <c r="F271" s="1">
        <v>0</v>
      </c>
      <c r="G271" s="1">
        <v>0</v>
      </c>
      <c r="H271" s="1">
        <v>0</v>
      </c>
      <c r="I271" s="1">
        <v>1</v>
      </c>
      <c r="J271" s="1">
        <v>0</v>
      </c>
      <c r="K271" s="1">
        <v>0</v>
      </c>
      <c r="L271" s="1">
        <v>0</v>
      </c>
      <c r="M271" s="1">
        <v>1</v>
      </c>
      <c r="N271" s="1">
        <v>0</v>
      </c>
      <c r="O271" s="1">
        <v>0</v>
      </c>
      <c r="P271" s="1">
        <v>0</v>
      </c>
      <c r="Q271" s="24">
        <f t="shared" si="12"/>
        <v>2</v>
      </c>
      <c r="R271" s="23">
        <v>0</v>
      </c>
      <c r="S271" s="1">
        <v>0</v>
      </c>
      <c r="T271" s="1">
        <v>0</v>
      </c>
      <c r="U271" s="1">
        <v>0</v>
      </c>
      <c r="V271" s="1">
        <v>0</v>
      </c>
      <c r="W271" s="1">
        <v>0</v>
      </c>
      <c r="X271" s="1">
        <v>0</v>
      </c>
      <c r="Y271" s="1">
        <v>0</v>
      </c>
      <c r="Z271" s="1">
        <v>0</v>
      </c>
      <c r="AA271" s="1">
        <v>0</v>
      </c>
      <c r="AB271" s="1">
        <v>0</v>
      </c>
      <c r="AC271" s="1">
        <v>0</v>
      </c>
      <c r="AD271" s="24">
        <f t="shared" si="13"/>
        <v>0</v>
      </c>
      <c r="AE271" s="23">
        <v>0</v>
      </c>
      <c r="AF271" s="1">
        <v>0</v>
      </c>
      <c r="AG271" s="1">
        <v>0</v>
      </c>
      <c r="AH271" s="1">
        <v>0</v>
      </c>
      <c r="AI271" s="1">
        <v>250</v>
      </c>
      <c r="AJ271" s="1">
        <v>0</v>
      </c>
      <c r="AK271" s="1">
        <v>0</v>
      </c>
      <c r="AL271" s="1">
        <v>0</v>
      </c>
      <c r="AM271" s="1">
        <v>49687</v>
      </c>
      <c r="AN271" s="1">
        <v>0</v>
      </c>
      <c r="AO271" s="1">
        <v>0</v>
      </c>
      <c r="AP271" s="1">
        <v>0</v>
      </c>
      <c r="AQ271" s="24">
        <f t="shared" si="14"/>
        <v>49937</v>
      </c>
    </row>
    <row r="272" spans="1:43" ht="17.25" customHeight="1" x14ac:dyDescent="0.45">
      <c r="A272" s="12" t="s">
        <v>256</v>
      </c>
      <c r="B272" s="12" t="s">
        <v>68</v>
      </c>
      <c r="C272" s="12" t="s">
        <v>206</v>
      </c>
      <c r="D272" s="12" t="s">
        <v>66</v>
      </c>
      <c r="E272" s="25">
        <v>0</v>
      </c>
      <c r="F272" s="10">
        <v>0</v>
      </c>
      <c r="G272" s="10">
        <v>0</v>
      </c>
      <c r="H272" s="10">
        <v>0</v>
      </c>
      <c r="I272" s="10">
        <v>0</v>
      </c>
      <c r="J272" s="10">
        <v>0</v>
      </c>
      <c r="K272" s="10">
        <v>0</v>
      </c>
      <c r="L272" s="10">
        <v>0</v>
      </c>
      <c r="M272" s="10">
        <v>0</v>
      </c>
      <c r="N272" s="10">
        <v>1</v>
      </c>
      <c r="O272" s="10">
        <v>0</v>
      </c>
      <c r="P272" s="10">
        <v>0</v>
      </c>
      <c r="Q272" s="26">
        <f t="shared" si="12"/>
        <v>1</v>
      </c>
      <c r="R272" s="25">
        <v>0</v>
      </c>
      <c r="S272" s="10">
        <v>0</v>
      </c>
      <c r="T272" s="10">
        <v>0</v>
      </c>
      <c r="U272" s="10">
        <v>0</v>
      </c>
      <c r="V272" s="10">
        <v>0</v>
      </c>
      <c r="W272" s="10">
        <v>0</v>
      </c>
      <c r="X272" s="10">
        <v>0</v>
      </c>
      <c r="Y272" s="10">
        <v>0</v>
      </c>
      <c r="Z272" s="10">
        <v>0</v>
      </c>
      <c r="AA272" s="10">
        <v>0</v>
      </c>
      <c r="AB272" s="10">
        <v>0</v>
      </c>
      <c r="AC272" s="10">
        <v>0</v>
      </c>
      <c r="AD272" s="26">
        <f t="shared" si="13"/>
        <v>0</v>
      </c>
      <c r="AE272" s="25">
        <v>0</v>
      </c>
      <c r="AF272" s="10">
        <v>0</v>
      </c>
      <c r="AG272" s="10">
        <v>0</v>
      </c>
      <c r="AH272" s="10">
        <v>0</v>
      </c>
      <c r="AI272" s="10">
        <v>0</v>
      </c>
      <c r="AJ272" s="10">
        <v>0</v>
      </c>
      <c r="AK272" s="10">
        <v>0</v>
      </c>
      <c r="AL272" s="10">
        <v>0</v>
      </c>
      <c r="AM272" s="10">
        <v>0</v>
      </c>
      <c r="AN272" s="10">
        <v>90</v>
      </c>
      <c r="AO272" s="10">
        <v>0</v>
      </c>
      <c r="AP272" s="10">
        <v>0</v>
      </c>
      <c r="AQ272" s="26">
        <f t="shared" si="14"/>
        <v>90</v>
      </c>
    </row>
    <row r="273" spans="1:43" ht="17.25" customHeight="1" x14ac:dyDescent="0.45">
      <c r="A273" s="2" t="s">
        <v>256</v>
      </c>
      <c r="B273" s="2" t="s">
        <v>68</v>
      </c>
      <c r="C273" s="2" t="s">
        <v>30</v>
      </c>
      <c r="D273" s="2" t="s">
        <v>66</v>
      </c>
      <c r="E273" s="23">
        <v>0</v>
      </c>
      <c r="F273" s="1">
        <v>0</v>
      </c>
      <c r="G273" s="1">
        <v>0</v>
      </c>
      <c r="H273" s="1">
        <v>0</v>
      </c>
      <c r="I273" s="1">
        <v>0</v>
      </c>
      <c r="J273" s="1">
        <v>0</v>
      </c>
      <c r="K273" s="1">
        <v>1</v>
      </c>
      <c r="L273" s="1">
        <v>0</v>
      </c>
      <c r="M273" s="1">
        <v>0</v>
      </c>
      <c r="N273" s="1">
        <v>0</v>
      </c>
      <c r="O273" s="1">
        <v>0</v>
      </c>
      <c r="P273" s="1">
        <v>0</v>
      </c>
      <c r="Q273" s="24">
        <f t="shared" si="12"/>
        <v>1</v>
      </c>
      <c r="R273" s="23">
        <v>0</v>
      </c>
      <c r="S273" s="1">
        <v>0</v>
      </c>
      <c r="T273" s="1">
        <v>0</v>
      </c>
      <c r="U273" s="1">
        <v>0</v>
      </c>
      <c r="V273" s="1">
        <v>0</v>
      </c>
      <c r="W273" s="1">
        <v>0</v>
      </c>
      <c r="X273" s="1">
        <v>0</v>
      </c>
      <c r="Y273" s="1">
        <v>0</v>
      </c>
      <c r="Z273" s="1">
        <v>0</v>
      </c>
      <c r="AA273" s="1">
        <v>0</v>
      </c>
      <c r="AB273" s="1">
        <v>0</v>
      </c>
      <c r="AC273" s="1">
        <v>0</v>
      </c>
      <c r="AD273" s="24">
        <f t="shared" si="13"/>
        <v>0</v>
      </c>
      <c r="AE273" s="23">
        <v>0</v>
      </c>
      <c r="AF273" s="1">
        <v>0</v>
      </c>
      <c r="AG273" s="1">
        <v>0</v>
      </c>
      <c r="AH273" s="1">
        <v>0</v>
      </c>
      <c r="AI273" s="1">
        <v>0</v>
      </c>
      <c r="AJ273" s="1">
        <v>0</v>
      </c>
      <c r="AK273" s="1">
        <v>180</v>
      </c>
      <c r="AL273" s="1">
        <v>0</v>
      </c>
      <c r="AM273" s="1">
        <v>0</v>
      </c>
      <c r="AN273" s="1">
        <v>0</v>
      </c>
      <c r="AO273" s="1">
        <v>0</v>
      </c>
      <c r="AP273" s="1">
        <v>0</v>
      </c>
      <c r="AQ273" s="24">
        <f t="shared" si="14"/>
        <v>180</v>
      </c>
    </row>
    <row r="274" spans="1:43" ht="17.25" customHeight="1" x14ac:dyDescent="0.45">
      <c r="A274" s="12" t="s">
        <v>125</v>
      </c>
      <c r="B274" s="12" t="s">
        <v>87</v>
      </c>
      <c r="C274" s="12" t="s">
        <v>13</v>
      </c>
      <c r="D274" s="12" t="s">
        <v>66</v>
      </c>
      <c r="E274" s="25">
        <v>0</v>
      </c>
      <c r="F274" s="10">
        <v>0</v>
      </c>
      <c r="G274" s="10">
        <v>0</v>
      </c>
      <c r="H274" s="10">
        <v>0</v>
      </c>
      <c r="I274" s="10">
        <v>0</v>
      </c>
      <c r="J274" s="10">
        <v>0</v>
      </c>
      <c r="K274" s="10">
        <v>0</v>
      </c>
      <c r="L274" s="10">
        <v>1</v>
      </c>
      <c r="M274" s="10">
        <v>1</v>
      </c>
      <c r="N274" s="10">
        <v>0</v>
      </c>
      <c r="O274" s="10">
        <v>0</v>
      </c>
      <c r="P274" s="10">
        <v>0</v>
      </c>
      <c r="Q274" s="26">
        <f t="shared" si="12"/>
        <v>2</v>
      </c>
      <c r="R274" s="25">
        <v>0</v>
      </c>
      <c r="S274" s="10">
        <v>0</v>
      </c>
      <c r="T274" s="10">
        <v>0</v>
      </c>
      <c r="U274" s="10">
        <v>0</v>
      </c>
      <c r="V274" s="10">
        <v>0</v>
      </c>
      <c r="W274" s="10">
        <v>0</v>
      </c>
      <c r="X274" s="10">
        <v>0</v>
      </c>
      <c r="Y274" s="10">
        <v>0</v>
      </c>
      <c r="Z274" s="10">
        <v>0</v>
      </c>
      <c r="AA274" s="10">
        <v>0</v>
      </c>
      <c r="AB274" s="10">
        <v>0</v>
      </c>
      <c r="AC274" s="10">
        <v>0</v>
      </c>
      <c r="AD274" s="26">
        <f t="shared" si="13"/>
        <v>0</v>
      </c>
      <c r="AE274" s="25">
        <v>0</v>
      </c>
      <c r="AF274" s="10">
        <v>0</v>
      </c>
      <c r="AG274" s="10">
        <v>0</v>
      </c>
      <c r="AH274" s="10">
        <v>0</v>
      </c>
      <c r="AI274" s="10">
        <v>0</v>
      </c>
      <c r="AJ274" s="10">
        <v>0</v>
      </c>
      <c r="AK274" s="10">
        <v>0</v>
      </c>
      <c r="AL274" s="10">
        <v>59040</v>
      </c>
      <c r="AM274" s="10">
        <v>58033</v>
      </c>
      <c r="AN274" s="10">
        <v>0</v>
      </c>
      <c r="AO274" s="10">
        <v>0</v>
      </c>
      <c r="AP274" s="10">
        <v>0</v>
      </c>
      <c r="AQ274" s="26">
        <f t="shared" si="14"/>
        <v>117073</v>
      </c>
    </row>
    <row r="275" spans="1:43" ht="17.25" customHeight="1" x14ac:dyDescent="0.45">
      <c r="A275" s="2" t="s">
        <v>188</v>
      </c>
      <c r="B275" s="2" t="s">
        <v>68</v>
      </c>
      <c r="C275" s="2" t="s">
        <v>10</v>
      </c>
      <c r="D275" s="2" t="s">
        <v>66</v>
      </c>
      <c r="E275" s="23">
        <v>0</v>
      </c>
      <c r="F275" s="1">
        <v>0</v>
      </c>
      <c r="G275" s="1">
        <v>0</v>
      </c>
      <c r="H275" s="1">
        <v>0</v>
      </c>
      <c r="I275" s="1">
        <v>2</v>
      </c>
      <c r="J275" s="1">
        <v>5</v>
      </c>
      <c r="K275" s="1">
        <v>2</v>
      </c>
      <c r="L275" s="1">
        <v>0</v>
      </c>
      <c r="M275" s="1">
        <v>0</v>
      </c>
      <c r="N275" s="1">
        <v>0</v>
      </c>
      <c r="O275" s="1">
        <v>0</v>
      </c>
      <c r="P275" s="1">
        <v>0</v>
      </c>
      <c r="Q275" s="24">
        <f t="shared" si="12"/>
        <v>9</v>
      </c>
      <c r="R275" s="23">
        <v>0</v>
      </c>
      <c r="S275" s="1">
        <v>0</v>
      </c>
      <c r="T275" s="1">
        <v>0</v>
      </c>
      <c r="U275" s="1">
        <v>0</v>
      </c>
      <c r="V275" s="1">
        <v>251</v>
      </c>
      <c r="W275" s="1">
        <v>507</v>
      </c>
      <c r="X275" s="1">
        <v>229</v>
      </c>
      <c r="Y275" s="1">
        <v>0</v>
      </c>
      <c r="Z275" s="1">
        <v>0</v>
      </c>
      <c r="AA275" s="1">
        <v>0</v>
      </c>
      <c r="AB275" s="1">
        <v>0</v>
      </c>
      <c r="AC275" s="1">
        <v>0</v>
      </c>
      <c r="AD275" s="24">
        <f t="shared" si="13"/>
        <v>987</v>
      </c>
      <c r="AE275" s="23">
        <v>0</v>
      </c>
      <c r="AF275" s="1">
        <v>0</v>
      </c>
      <c r="AG275" s="1">
        <v>0</v>
      </c>
      <c r="AH275" s="1">
        <v>0</v>
      </c>
      <c r="AI275" s="1">
        <v>0</v>
      </c>
      <c r="AJ275" s="1">
        <v>0</v>
      </c>
      <c r="AK275" s="1">
        <v>0</v>
      </c>
      <c r="AL275" s="1">
        <v>0</v>
      </c>
      <c r="AM275" s="1">
        <v>0</v>
      </c>
      <c r="AN275" s="1">
        <v>0</v>
      </c>
      <c r="AO275" s="1">
        <v>0</v>
      </c>
      <c r="AP275" s="1">
        <v>0</v>
      </c>
      <c r="AQ275" s="24">
        <f t="shared" si="14"/>
        <v>0</v>
      </c>
    </row>
    <row r="276" spans="1:43" ht="17.25" customHeight="1" x14ac:dyDescent="0.45">
      <c r="A276" s="12" t="s">
        <v>188</v>
      </c>
      <c r="B276" s="12" t="s">
        <v>68</v>
      </c>
      <c r="C276" s="12" t="s">
        <v>206</v>
      </c>
      <c r="D276" s="12" t="s">
        <v>66</v>
      </c>
      <c r="E276" s="25">
        <v>0</v>
      </c>
      <c r="F276" s="10">
        <v>0</v>
      </c>
      <c r="G276" s="10">
        <v>0</v>
      </c>
      <c r="H276" s="10">
        <v>0</v>
      </c>
      <c r="I276" s="10">
        <v>0</v>
      </c>
      <c r="J276" s="10">
        <v>0</v>
      </c>
      <c r="K276" s="10">
        <v>3</v>
      </c>
      <c r="L276" s="10">
        <v>0</v>
      </c>
      <c r="M276" s="10">
        <v>0</v>
      </c>
      <c r="N276" s="10">
        <v>0</v>
      </c>
      <c r="O276" s="10">
        <v>0</v>
      </c>
      <c r="P276" s="10">
        <v>0</v>
      </c>
      <c r="Q276" s="26">
        <f t="shared" si="12"/>
        <v>3</v>
      </c>
      <c r="R276" s="25">
        <v>0</v>
      </c>
      <c r="S276" s="10">
        <v>0</v>
      </c>
      <c r="T276" s="10">
        <v>0</v>
      </c>
      <c r="U276" s="10">
        <v>0</v>
      </c>
      <c r="V276" s="10">
        <v>0</v>
      </c>
      <c r="W276" s="10">
        <v>0</v>
      </c>
      <c r="X276" s="10">
        <v>0</v>
      </c>
      <c r="Y276" s="10">
        <v>0</v>
      </c>
      <c r="Z276" s="10">
        <v>0</v>
      </c>
      <c r="AA276" s="10">
        <v>0</v>
      </c>
      <c r="AB276" s="10">
        <v>0</v>
      </c>
      <c r="AC276" s="10">
        <v>0</v>
      </c>
      <c r="AD276" s="26">
        <f t="shared" si="13"/>
        <v>0</v>
      </c>
      <c r="AE276" s="25">
        <v>0</v>
      </c>
      <c r="AF276" s="10">
        <v>0</v>
      </c>
      <c r="AG276" s="10">
        <v>0</v>
      </c>
      <c r="AH276" s="10">
        <v>0</v>
      </c>
      <c r="AI276" s="10">
        <v>0</v>
      </c>
      <c r="AJ276" s="10">
        <v>0</v>
      </c>
      <c r="AK276" s="10">
        <v>179110</v>
      </c>
      <c r="AL276" s="10">
        <v>0</v>
      </c>
      <c r="AM276" s="10">
        <v>0</v>
      </c>
      <c r="AN276" s="10">
        <v>0</v>
      </c>
      <c r="AO276" s="10">
        <v>0</v>
      </c>
      <c r="AP276" s="10">
        <v>0</v>
      </c>
      <c r="AQ276" s="26">
        <f t="shared" si="14"/>
        <v>179110</v>
      </c>
    </row>
    <row r="277" spans="1:43" ht="17.25" customHeight="1" x14ac:dyDescent="0.45">
      <c r="A277" s="2" t="s">
        <v>23</v>
      </c>
      <c r="B277" s="2" t="s">
        <v>66</v>
      </c>
      <c r="C277" s="2" t="s">
        <v>67</v>
      </c>
      <c r="D277" s="2" t="s">
        <v>68</v>
      </c>
      <c r="E277" s="23">
        <v>1</v>
      </c>
      <c r="F277" s="1">
        <v>0</v>
      </c>
      <c r="G277" s="1">
        <v>0</v>
      </c>
      <c r="H277" s="1">
        <v>0</v>
      </c>
      <c r="I277" s="1">
        <v>0</v>
      </c>
      <c r="J277" s="1">
        <v>0</v>
      </c>
      <c r="K277" s="1">
        <v>0</v>
      </c>
      <c r="L277" s="1">
        <v>0</v>
      </c>
      <c r="M277" s="1">
        <v>0</v>
      </c>
      <c r="N277" s="1">
        <v>0</v>
      </c>
      <c r="O277" s="1">
        <v>0</v>
      </c>
      <c r="P277" s="1">
        <v>0</v>
      </c>
      <c r="Q277" s="24">
        <f t="shared" si="12"/>
        <v>1</v>
      </c>
      <c r="R277" s="23">
        <v>91</v>
      </c>
      <c r="S277" s="1">
        <v>0</v>
      </c>
      <c r="T277" s="1">
        <v>0</v>
      </c>
      <c r="U277" s="1">
        <v>0</v>
      </c>
      <c r="V277" s="1">
        <v>0</v>
      </c>
      <c r="W277" s="1">
        <v>0</v>
      </c>
      <c r="X277" s="1">
        <v>0</v>
      </c>
      <c r="Y277" s="1">
        <v>0</v>
      </c>
      <c r="Z277" s="1">
        <v>0</v>
      </c>
      <c r="AA277" s="1">
        <v>0</v>
      </c>
      <c r="AB277" s="1">
        <v>0</v>
      </c>
      <c r="AC277" s="1">
        <v>0</v>
      </c>
      <c r="AD277" s="24">
        <f t="shared" si="13"/>
        <v>91</v>
      </c>
      <c r="AE277" s="23">
        <v>0</v>
      </c>
      <c r="AF277" s="1">
        <v>0</v>
      </c>
      <c r="AG277" s="1">
        <v>0</v>
      </c>
      <c r="AH277" s="1">
        <v>0</v>
      </c>
      <c r="AI277" s="1">
        <v>0</v>
      </c>
      <c r="AJ277" s="1">
        <v>0</v>
      </c>
      <c r="AK277" s="1">
        <v>0</v>
      </c>
      <c r="AL277" s="1">
        <v>0</v>
      </c>
      <c r="AM277" s="1">
        <v>0</v>
      </c>
      <c r="AN277" s="1">
        <v>0</v>
      </c>
      <c r="AO277" s="1">
        <v>0</v>
      </c>
      <c r="AP277" s="1">
        <v>0</v>
      </c>
      <c r="AQ277" s="24">
        <f t="shared" si="14"/>
        <v>0</v>
      </c>
    </row>
    <row r="278" spans="1:43" ht="17.25" customHeight="1" x14ac:dyDescent="0.45">
      <c r="A278" s="12" t="s">
        <v>23</v>
      </c>
      <c r="B278" s="12" t="s">
        <v>66</v>
      </c>
      <c r="C278" s="12" t="s">
        <v>110</v>
      </c>
      <c r="D278" s="12" t="s">
        <v>65</v>
      </c>
      <c r="E278" s="25">
        <v>0</v>
      </c>
      <c r="F278" s="10">
        <v>0</v>
      </c>
      <c r="G278" s="10">
        <v>0</v>
      </c>
      <c r="H278" s="10">
        <v>1</v>
      </c>
      <c r="I278" s="10">
        <v>4</v>
      </c>
      <c r="J278" s="10">
        <v>4</v>
      </c>
      <c r="K278" s="10">
        <v>0</v>
      </c>
      <c r="L278" s="10">
        <v>0</v>
      </c>
      <c r="M278" s="10">
        <v>2</v>
      </c>
      <c r="N278" s="10">
        <v>1</v>
      </c>
      <c r="O278" s="10">
        <v>2</v>
      </c>
      <c r="P278" s="10">
        <v>0</v>
      </c>
      <c r="Q278" s="26">
        <f t="shared" si="12"/>
        <v>14</v>
      </c>
      <c r="R278" s="25">
        <v>0</v>
      </c>
      <c r="S278" s="10">
        <v>0</v>
      </c>
      <c r="T278" s="10">
        <v>0</v>
      </c>
      <c r="U278" s="10">
        <v>0</v>
      </c>
      <c r="V278" s="10">
        <v>0</v>
      </c>
      <c r="W278" s="10">
        <v>0</v>
      </c>
      <c r="X278" s="10">
        <v>0</v>
      </c>
      <c r="Y278" s="10">
        <v>0</v>
      </c>
      <c r="Z278" s="10">
        <v>0</v>
      </c>
      <c r="AA278" s="10">
        <v>0</v>
      </c>
      <c r="AB278" s="10">
        <v>0</v>
      </c>
      <c r="AC278" s="10">
        <v>0</v>
      </c>
      <c r="AD278" s="26">
        <f t="shared" si="13"/>
        <v>0</v>
      </c>
      <c r="AE278" s="25">
        <v>0</v>
      </c>
      <c r="AF278" s="10">
        <v>0</v>
      </c>
      <c r="AG278" s="10">
        <v>0</v>
      </c>
      <c r="AH278" s="10">
        <v>937</v>
      </c>
      <c r="AI278" s="10">
        <v>6604</v>
      </c>
      <c r="AJ278" s="10">
        <v>8070</v>
      </c>
      <c r="AK278" s="10">
        <v>0</v>
      </c>
      <c r="AL278" s="10">
        <v>0</v>
      </c>
      <c r="AM278" s="10">
        <v>4022</v>
      </c>
      <c r="AN278" s="10">
        <v>2637</v>
      </c>
      <c r="AO278" s="10">
        <v>5296</v>
      </c>
      <c r="AP278" s="10">
        <v>0</v>
      </c>
      <c r="AQ278" s="26">
        <f t="shared" si="14"/>
        <v>27566</v>
      </c>
    </row>
    <row r="279" spans="1:43" ht="17.25" customHeight="1" x14ac:dyDescent="0.45">
      <c r="A279" s="2" t="s">
        <v>23</v>
      </c>
      <c r="B279" s="2" t="s">
        <v>66</v>
      </c>
      <c r="C279" s="2" t="s">
        <v>116</v>
      </c>
      <c r="D279" s="2" t="s">
        <v>96</v>
      </c>
      <c r="E279" s="23">
        <v>9</v>
      </c>
      <c r="F279" s="1">
        <v>8</v>
      </c>
      <c r="G279" s="1">
        <v>9</v>
      </c>
      <c r="H279" s="1">
        <v>7</v>
      </c>
      <c r="I279" s="1">
        <v>9</v>
      </c>
      <c r="J279" s="1">
        <v>8</v>
      </c>
      <c r="K279" s="1">
        <v>2</v>
      </c>
      <c r="L279" s="1">
        <v>9</v>
      </c>
      <c r="M279" s="1">
        <v>9</v>
      </c>
      <c r="N279" s="1">
        <v>8</v>
      </c>
      <c r="O279" s="1">
        <v>9</v>
      </c>
      <c r="P279" s="1">
        <v>9</v>
      </c>
      <c r="Q279" s="24">
        <f t="shared" si="12"/>
        <v>96</v>
      </c>
      <c r="R279" s="23">
        <v>812</v>
      </c>
      <c r="S279" s="1">
        <v>730</v>
      </c>
      <c r="T279" s="1">
        <v>732</v>
      </c>
      <c r="U279" s="1">
        <v>510</v>
      </c>
      <c r="V279" s="1">
        <v>933</v>
      </c>
      <c r="W279" s="1">
        <v>829</v>
      </c>
      <c r="X279" s="1">
        <v>228</v>
      </c>
      <c r="Y279" s="1">
        <v>1046</v>
      </c>
      <c r="Z279" s="1">
        <v>1030</v>
      </c>
      <c r="AA279" s="1">
        <v>779</v>
      </c>
      <c r="AB279" s="1">
        <v>887</v>
      </c>
      <c r="AC279" s="1">
        <v>972</v>
      </c>
      <c r="AD279" s="24">
        <f t="shared" si="13"/>
        <v>9488</v>
      </c>
      <c r="AE279" s="23">
        <v>0</v>
      </c>
      <c r="AF279" s="1">
        <v>0</v>
      </c>
      <c r="AG279" s="1">
        <v>0</v>
      </c>
      <c r="AH279" s="1">
        <v>0</v>
      </c>
      <c r="AI279" s="1">
        <v>0</v>
      </c>
      <c r="AJ279" s="1">
        <v>0</v>
      </c>
      <c r="AK279" s="1">
        <v>0</v>
      </c>
      <c r="AL279" s="1">
        <v>0</v>
      </c>
      <c r="AM279" s="1">
        <v>0</v>
      </c>
      <c r="AN279" s="1">
        <v>0</v>
      </c>
      <c r="AO279" s="1">
        <v>0</v>
      </c>
      <c r="AP279" s="1">
        <v>0</v>
      </c>
      <c r="AQ279" s="24">
        <f t="shared" si="14"/>
        <v>0</v>
      </c>
    </row>
    <row r="280" spans="1:43" ht="17.25" customHeight="1" x14ac:dyDescent="0.45">
      <c r="A280" s="12" t="s">
        <v>23</v>
      </c>
      <c r="B280" s="12" t="s">
        <v>66</v>
      </c>
      <c r="C280" s="12" t="s">
        <v>194</v>
      </c>
      <c r="D280" s="12" t="s">
        <v>68</v>
      </c>
      <c r="E280" s="25">
        <v>0</v>
      </c>
      <c r="F280" s="10">
        <v>0</v>
      </c>
      <c r="G280" s="10">
        <v>0</v>
      </c>
      <c r="H280" s="10">
        <v>0</v>
      </c>
      <c r="I280" s="10">
        <v>1</v>
      </c>
      <c r="J280" s="10">
        <v>0</v>
      </c>
      <c r="K280" s="10">
        <v>0</v>
      </c>
      <c r="L280" s="10">
        <v>0</v>
      </c>
      <c r="M280" s="10">
        <v>1</v>
      </c>
      <c r="N280" s="10">
        <v>0</v>
      </c>
      <c r="O280" s="10">
        <v>0</v>
      </c>
      <c r="P280" s="10">
        <v>1</v>
      </c>
      <c r="Q280" s="26">
        <f t="shared" si="12"/>
        <v>3</v>
      </c>
      <c r="R280" s="25">
        <v>0</v>
      </c>
      <c r="S280" s="10">
        <v>0</v>
      </c>
      <c r="T280" s="10">
        <v>0</v>
      </c>
      <c r="U280" s="10">
        <v>0</v>
      </c>
      <c r="V280" s="10">
        <v>0</v>
      </c>
      <c r="W280" s="10">
        <v>0</v>
      </c>
      <c r="X280" s="10">
        <v>0</v>
      </c>
      <c r="Y280" s="10">
        <v>0</v>
      </c>
      <c r="Z280" s="10">
        <v>0</v>
      </c>
      <c r="AA280" s="10">
        <v>0</v>
      </c>
      <c r="AB280" s="10">
        <v>0</v>
      </c>
      <c r="AC280" s="10">
        <v>0</v>
      </c>
      <c r="AD280" s="26">
        <f t="shared" si="13"/>
        <v>0</v>
      </c>
      <c r="AE280" s="25">
        <v>0</v>
      </c>
      <c r="AF280" s="10">
        <v>0</v>
      </c>
      <c r="AG280" s="10">
        <v>0</v>
      </c>
      <c r="AH280" s="10">
        <v>0</v>
      </c>
      <c r="AI280" s="10">
        <v>1069</v>
      </c>
      <c r="AJ280" s="10">
        <v>0</v>
      </c>
      <c r="AK280" s="10">
        <v>0</v>
      </c>
      <c r="AL280" s="10">
        <v>0</v>
      </c>
      <c r="AM280" s="10">
        <v>572</v>
      </c>
      <c r="AN280" s="10">
        <v>0</v>
      </c>
      <c r="AO280" s="10">
        <v>0</v>
      </c>
      <c r="AP280" s="10">
        <v>1973</v>
      </c>
      <c r="AQ280" s="26">
        <f t="shared" si="14"/>
        <v>3614</v>
      </c>
    </row>
    <row r="281" spans="1:43" ht="17.25" customHeight="1" x14ac:dyDescent="0.45">
      <c r="A281" s="2" t="s">
        <v>23</v>
      </c>
      <c r="B281" s="2" t="s">
        <v>66</v>
      </c>
      <c r="C281" s="2" t="s">
        <v>195</v>
      </c>
      <c r="D281" s="2" t="s">
        <v>196</v>
      </c>
      <c r="E281" s="23">
        <v>0</v>
      </c>
      <c r="F281" s="1">
        <v>0</v>
      </c>
      <c r="G281" s="1">
        <v>0</v>
      </c>
      <c r="H281" s="1">
        <v>1</v>
      </c>
      <c r="I281" s="1">
        <v>0</v>
      </c>
      <c r="J281" s="1">
        <v>0</v>
      </c>
      <c r="K281" s="1">
        <v>0</v>
      </c>
      <c r="L281" s="1">
        <v>0</v>
      </c>
      <c r="M281" s="1">
        <v>0</v>
      </c>
      <c r="N281" s="1">
        <v>0</v>
      </c>
      <c r="O281" s="1">
        <v>0</v>
      </c>
      <c r="P281" s="1">
        <v>0</v>
      </c>
      <c r="Q281" s="24">
        <f t="shared" si="12"/>
        <v>1</v>
      </c>
      <c r="R281" s="23">
        <v>0</v>
      </c>
      <c r="S281" s="1">
        <v>0</v>
      </c>
      <c r="T281" s="1">
        <v>0</v>
      </c>
      <c r="U281" s="1">
        <v>0</v>
      </c>
      <c r="V281" s="1">
        <v>0</v>
      </c>
      <c r="W281" s="1">
        <v>0</v>
      </c>
      <c r="X281" s="1">
        <v>0</v>
      </c>
      <c r="Y281" s="1">
        <v>0</v>
      </c>
      <c r="Z281" s="1">
        <v>0</v>
      </c>
      <c r="AA281" s="1">
        <v>0</v>
      </c>
      <c r="AB281" s="1">
        <v>0</v>
      </c>
      <c r="AC281" s="1">
        <v>0</v>
      </c>
      <c r="AD281" s="24">
        <f t="shared" si="13"/>
        <v>0</v>
      </c>
      <c r="AE281" s="23">
        <v>0</v>
      </c>
      <c r="AF281" s="1">
        <v>0</v>
      </c>
      <c r="AG281" s="1">
        <v>0</v>
      </c>
      <c r="AH281" s="1">
        <v>2095</v>
      </c>
      <c r="AI281" s="1">
        <v>0</v>
      </c>
      <c r="AJ281" s="1">
        <v>0</v>
      </c>
      <c r="AK281" s="1">
        <v>0</v>
      </c>
      <c r="AL281" s="1">
        <v>0</v>
      </c>
      <c r="AM281" s="1">
        <v>0</v>
      </c>
      <c r="AN281" s="1">
        <v>0</v>
      </c>
      <c r="AO281" s="1">
        <v>0</v>
      </c>
      <c r="AP281" s="1">
        <v>0</v>
      </c>
      <c r="AQ281" s="24">
        <f t="shared" si="14"/>
        <v>2095</v>
      </c>
    </row>
    <row r="282" spans="1:43" ht="17.25" customHeight="1" x14ac:dyDescent="0.45">
      <c r="A282" s="12" t="s">
        <v>23</v>
      </c>
      <c r="B282" s="12" t="s">
        <v>66</v>
      </c>
      <c r="C282" s="12" t="s">
        <v>126</v>
      </c>
      <c r="D282" s="12" t="s">
        <v>68</v>
      </c>
      <c r="E282" s="25">
        <v>4</v>
      </c>
      <c r="F282" s="10">
        <v>19</v>
      </c>
      <c r="G282" s="10">
        <v>7</v>
      </c>
      <c r="H282" s="10">
        <v>37</v>
      </c>
      <c r="I282" s="10">
        <v>20</v>
      </c>
      <c r="J282" s="10">
        <v>9</v>
      </c>
      <c r="K282" s="10">
        <v>19</v>
      </c>
      <c r="L282" s="10">
        <v>23</v>
      </c>
      <c r="M282" s="10">
        <v>24</v>
      </c>
      <c r="N282" s="10">
        <v>25</v>
      </c>
      <c r="O282" s="10">
        <v>28</v>
      </c>
      <c r="P282" s="10">
        <v>27</v>
      </c>
      <c r="Q282" s="26">
        <f t="shared" si="12"/>
        <v>242</v>
      </c>
      <c r="R282" s="25">
        <v>0</v>
      </c>
      <c r="S282" s="10">
        <v>0</v>
      </c>
      <c r="T282" s="10">
        <v>0</v>
      </c>
      <c r="U282" s="10">
        <v>0</v>
      </c>
      <c r="V282" s="10">
        <v>0</v>
      </c>
      <c r="W282" s="10">
        <v>0</v>
      </c>
      <c r="X282" s="10">
        <v>0</v>
      </c>
      <c r="Y282" s="10">
        <v>0</v>
      </c>
      <c r="Z282" s="10">
        <v>0</v>
      </c>
      <c r="AA282" s="10">
        <v>0</v>
      </c>
      <c r="AB282" s="10">
        <v>0</v>
      </c>
      <c r="AC282" s="10">
        <v>0</v>
      </c>
      <c r="AD282" s="26">
        <f t="shared" si="13"/>
        <v>0</v>
      </c>
      <c r="AE282" s="25">
        <v>3698</v>
      </c>
      <c r="AF282" s="10">
        <v>15799</v>
      </c>
      <c r="AG282" s="10">
        <v>6957</v>
      </c>
      <c r="AH282" s="10">
        <v>29029</v>
      </c>
      <c r="AI282" s="10">
        <v>24783</v>
      </c>
      <c r="AJ282" s="10">
        <v>12904</v>
      </c>
      <c r="AK282" s="10">
        <v>45530</v>
      </c>
      <c r="AL282" s="10">
        <v>40065</v>
      </c>
      <c r="AM282" s="10">
        <v>45021</v>
      </c>
      <c r="AN282" s="10">
        <v>43431</v>
      </c>
      <c r="AO282" s="10">
        <v>53778</v>
      </c>
      <c r="AP282" s="10">
        <v>36413</v>
      </c>
      <c r="AQ282" s="26">
        <f t="shared" si="14"/>
        <v>357408</v>
      </c>
    </row>
    <row r="283" spans="1:43" ht="17.25" customHeight="1" x14ac:dyDescent="0.45">
      <c r="A283" s="2" t="s">
        <v>23</v>
      </c>
      <c r="B283" s="2" t="s">
        <v>66</v>
      </c>
      <c r="C283" s="2" t="s">
        <v>70</v>
      </c>
      <c r="D283" s="2" t="s">
        <v>65</v>
      </c>
      <c r="E283" s="23">
        <v>0</v>
      </c>
      <c r="F283" s="1">
        <v>0</v>
      </c>
      <c r="G283" s="1">
        <v>0</v>
      </c>
      <c r="H283" s="1">
        <v>1</v>
      </c>
      <c r="I283" s="1">
        <v>0</v>
      </c>
      <c r="J283" s="1">
        <v>0</v>
      </c>
      <c r="K283" s="1">
        <v>0</v>
      </c>
      <c r="L283" s="1">
        <v>0</v>
      </c>
      <c r="M283" s="1">
        <v>0</v>
      </c>
      <c r="N283" s="1">
        <v>1</v>
      </c>
      <c r="O283" s="1">
        <v>0</v>
      </c>
      <c r="P283" s="1">
        <v>0</v>
      </c>
      <c r="Q283" s="24">
        <f t="shared" si="12"/>
        <v>2</v>
      </c>
      <c r="R283" s="23">
        <v>0</v>
      </c>
      <c r="S283" s="1">
        <v>0</v>
      </c>
      <c r="T283" s="1">
        <v>0</v>
      </c>
      <c r="U283" s="1">
        <v>0</v>
      </c>
      <c r="V283" s="1">
        <v>0</v>
      </c>
      <c r="W283" s="1">
        <v>0</v>
      </c>
      <c r="X283" s="1">
        <v>0</v>
      </c>
      <c r="Y283" s="1">
        <v>0</v>
      </c>
      <c r="Z283" s="1">
        <v>0</v>
      </c>
      <c r="AA283" s="1">
        <v>0</v>
      </c>
      <c r="AB283" s="1">
        <v>0</v>
      </c>
      <c r="AC283" s="1">
        <v>0</v>
      </c>
      <c r="AD283" s="24">
        <f t="shared" si="13"/>
        <v>0</v>
      </c>
      <c r="AE283" s="23">
        <v>0</v>
      </c>
      <c r="AF283" s="1">
        <v>0</v>
      </c>
      <c r="AG283" s="1">
        <v>0</v>
      </c>
      <c r="AH283" s="1">
        <v>15798</v>
      </c>
      <c r="AI283" s="1">
        <v>0</v>
      </c>
      <c r="AJ283" s="1">
        <v>0</v>
      </c>
      <c r="AK283" s="1">
        <v>0</v>
      </c>
      <c r="AL283" s="1">
        <v>0</v>
      </c>
      <c r="AM283" s="1">
        <v>0</v>
      </c>
      <c r="AN283" s="1">
        <v>2013</v>
      </c>
      <c r="AO283" s="1">
        <v>0</v>
      </c>
      <c r="AP283" s="1">
        <v>0</v>
      </c>
      <c r="AQ283" s="24">
        <f t="shared" si="14"/>
        <v>17811</v>
      </c>
    </row>
    <row r="284" spans="1:43" ht="17.25" customHeight="1" x14ac:dyDescent="0.45">
      <c r="A284" s="12" t="s">
        <v>23</v>
      </c>
      <c r="B284" s="12" t="s">
        <v>66</v>
      </c>
      <c r="C284" s="12" t="s">
        <v>271</v>
      </c>
      <c r="D284" s="12" t="s">
        <v>159</v>
      </c>
      <c r="E284" s="25">
        <v>0</v>
      </c>
      <c r="F284" s="10">
        <v>0</v>
      </c>
      <c r="G284" s="10">
        <v>0</v>
      </c>
      <c r="H284" s="10">
        <v>0</v>
      </c>
      <c r="I284" s="10">
        <v>0</v>
      </c>
      <c r="J284" s="10">
        <v>0</v>
      </c>
      <c r="K284" s="10">
        <v>1</v>
      </c>
      <c r="L284" s="10">
        <v>0</v>
      </c>
      <c r="M284" s="10">
        <v>0</v>
      </c>
      <c r="N284" s="10">
        <v>0</v>
      </c>
      <c r="O284" s="10">
        <v>0</v>
      </c>
      <c r="P284" s="10">
        <v>0</v>
      </c>
      <c r="Q284" s="26">
        <f t="shared" si="12"/>
        <v>1</v>
      </c>
      <c r="R284" s="25">
        <v>0</v>
      </c>
      <c r="S284" s="10">
        <v>0</v>
      </c>
      <c r="T284" s="10">
        <v>0</v>
      </c>
      <c r="U284" s="10">
        <v>0</v>
      </c>
      <c r="V284" s="10">
        <v>0</v>
      </c>
      <c r="W284" s="10">
        <v>0</v>
      </c>
      <c r="X284" s="10">
        <v>0</v>
      </c>
      <c r="Y284" s="10">
        <v>0</v>
      </c>
      <c r="Z284" s="10">
        <v>0</v>
      </c>
      <c r="AA284" s="10">
        <v>0</v>
      </c>
      <c r="AB284" s="10">
        <v>0</v>
      </c>
      <c r="AC284" s="10">
        <v>0</v>
      </c>
      <c r="AD284" s="26">
        <f t="shared" si="13"/>
        <v>0</v>
      </c>
      <c r="AE284" s="25">
        <v>0</v>
      </c>
      <c r="AF284" s="10">
        <v>0</v>
      </c>
      <c r="AG284" s="10">
        <v>0</v>
      </c>
      <c r="AH284" s="10">
        <v>0</v>
      </c>
      <c r="AI284" s="10">
        <v>0</v>
      </c>
      <c r="AJ284" s="10">
        <v>0</v>
      </c>
      <c r="AK284" s="10">
        <v>2453</v>
      </c>
      <c r="AL284" s="10">
        <v>0</v>
      </c>
      <c r="AM284" s="10">
        <v>0</v>
      </c>
      <c r="AN284" s="10">
        <v>0</v>
      </c>
      <c r="AO284" s="10">
        <v>0</v>
      </c>
      <c r="AP284" s="10">
        <v>0</v>
      </c>
      <c r="AQ284" s="26">
        <f t="shared" si="14"/>
        <v>2453</v>
      </c>
    </row>
    <row r="285" spans="1:43" ht="17.25" customHeight="1" x14ac:dyDescent="0.45">
      <c r="A285" s="2" t="s">
        <v>23</v>
      </c>
      <c r="B285" s="2" t="s">
        <v>66</v>
      </c>
      <c r="C285" s="2" t="s">
        <v>225</v>
      </c>
      <c r="D285" s="2" t="s">
        <v>68</v>
      </c>
      <c r="E285" s="23">
        <v>0</v>
      </c>
      <c r="F285" s="1">
        <v>0</v>
      </c>
      <c r="G285" s="1">
        <v>0</v>
      </c>
      <c r="H285" s="1">
        <v>0</v>
      </c>
      <c r="I285" s="1">
        <v>0</v>
      </c>
      <c r="J285" s="1">
        <v>0</v>
      </c>
      <c r="K285" s="1">
        <v>0</v>
      </c>
      <c r="L285" s="1">
        <v>0</v>
      </c>
      <c r="M285" s="1">
        <v>0</v>
      </c>
      <c r="N285" s="1">
        <v>1</v>
      </c>
      <c r="O285" s="1">
        <v>0</v>
      </c>
      <c r="P285" s="1">
        <v>0</v>
      </c>
      <c r="Q285" s="24">
        <f t="shared" si="12"/>
        <v>1</v>
      </c>
      <c r="R285" s="23">
        <v>0</v>
      </c>
      <c r="S285" s="1">
        <v>0</v>
      </c>
      <c r="T285" s="1">
        <v>0</v>
      </c>
      <c r="U285" s="1">
        <v>0</v>
      </c>
      <c r="V285" s="1">
        <v>0</v>
      </c>
      <c r="W285" s="1">
        <v>0</v>
      </c>
      <c r="X285" s="1">
        <v>0</v>
      </c>
      <c r="Y285" s="1">
        <v>0</v>
      </c>
      <c r="Z285" s="1">
        <v>0</v>
      </c>
      <c r="AA285" s="1">
        <v>0</v>
      </c>
      <c r="AB285" s="1">
        <v>0</v>
      </c>
      <c r="AC285" s="1">
        <v>0</v>
      </c>
      <c r="AD285" s="24">
        <f t="shared" si="13"/>
        <v>0</v>
      </c>
      <c r="AE285" s="23">
        <v>0</v>
      </c>
      <c r="AF285" s="1">
        <v>0</v>
      </c>
      <c r="AG285" s="1">
        <v>0</v>
      </c>
      <c r="AH285" s="1">
        <v>0</v>
      </c>
      <c r="AI285" s="1">
        <v>0</v>
      </c>
      <c r="AJ285" s="1">
        <v>0</v>
      </c>
      <c r="AK285" s="1">
        <v>0</v>
      </c>
      <c r="AL285" s="1">
        <v>0</v>
      </c>
      <c r="AM285" s="1">
        <v>0</v>
      </c>
      <c r="AN285" s="1">
        <v>2590</v>
      </c>
      <c r="AO285" s="1">
        <v>0</v>
      </c>
      <c r="AP285" s="1">
        <v>0</v>
      </c>
      <c r="AQ285" s="24">
        <f t="shared" si="14"/>
        <v>2590</v>
      </c>
    </row>
    <row r="286" spans="1:43" ht="17.25" customHeight="1" x14ac:dyDescent="0.45">
      <c r="A286" s="12" t="s">
        <v>12</v>
      </c>
      <c r="B286" s="12" t="s">
        <v>66</v>
      </c>
      <c r="C286" s="12" t="s">
        <v>194</v>
      </c>
      <c r="D286" s="12" t="s">
        <v>68</v>
      </c>
      <c r="E286" s="25">
        <v>0</v>
      </c>
      <c r="F286" s="10">
        <v>0</v>
      </c>
      <c r="G286" s="10">
        <v>1</v>
      </c>
      <c r="H286" s="10">
        <v>0</v>
      </c>
      <c r="I286" s="10">
        <v>0</v>
      </c>
      <c r="J286" s="10">
        <v>0</v>
      </c>
      <c r="K286" s="10">
        <v>0</v>
      </c>
      <c r="L286" s="10">
        <v>0</v>
      </c>
      <c r="M286" s="10">
        <v>0</v>
      </c>
      <c r="N286" s="10">
        <v>0</v>
      </c>
      <c r="O286" s="10">
        <v>0</v>
      </c>
      <c r="P286" s="10">
        <v>0</v>
      </c>
      <c r="Q286" s="26">
        <f t="shared" si="12"/>
        <v>1</v>
      </c>
      <c r="R286" s="25">
        <v>0</v>
      </c>
      <c r="S286" s="10">
        <v>0</v>
      </c>
      <c r="T286" s="10">
        <v>0</v>
      </c>
      <c r="U286" s="10">
        <v>0</v>
      </c>
      <c r="V286" s="10">
        <v>0</v>
      </c>
      <c r="W286" s="10">
        <v>0</v>
      </c>
      <c r="X286" s="10">
        <v>0</v>
      </c>
      <c r="Y286" s="10">
        <v>0</v>
      </c>
      <c r="Z286" s="10">
        <v>0</v>
      </c>
      <c r="AA286" s="10">
        <v>0</v>
      </c>
      <c r="AB286" s="10">
        <v>0</v>
      </c>
      <c r="AC286" s="10">
        <v>0</v>
      </c>
      <c r="AD286" s="26">
        <f t="shared" si="13"/>
        <v>0</v>
      </c>
      <c r="AE286" s="25">
        <v>0</v>
      </c>
      <c r="AF286" s="10">
        <v>0</v>
      </c>
      <c r="AG286" s="10">
        <v>2006</v>
      </c>
      <c r="AH286" s="10">
        <v>0</v>
      </c>
      <c r="AI286" s="10">
        <v>0</v>
      </c>
      <c r="AJ286" s="10">
        <v>0</v>
      </c>
      <c r="AK286" s="10">
        <v>0</v>
      </c>
      <c r="AL286" s="10">
        <v>0</v>
      </c>
      <c r="AM286" s="10">
        <v>0</v>
      </c>
      <c r="AN286" s="10">
        <v>0</v>
      </c>
      <c r="AO286" s="10">
        <v>0</v>
      </c>
      <c r="AP286" s="10">
        <v>0</v>
      </c>
      <c r="AQ286" s="26">
        <f t="shared" si="14"/>
        <v>2006</v>
      </c>
    </row>
    <row r="287" spans="1:43" ht="17.25" customHeight="1" x14ac:dyDescent="0.45">
      <c r="A287" s="2" t="s">
        <v>12</v>
      </c>
      <c r="B287" s="2" t="s">
        <v>66</v>
      </c>
      <c r="C287" s="2" t="s">
        <v>144</v>
      </c>
      <c r="D287" s="2" t="s">
        <v>65</v>
      </c>
      <c r="E287" s="23">
        <v>0</v>
      </c>
      <c r="F287" s="1">
        <v>0</v>
      </c>
      <c r="G287" s="1">
        <v>0</v>
      </c>
      <c r="H287" s="1">
        <v>1</v>
      </c>
      <c r="I287" s="1">
        <v>0</v>
      </c>
      <c r="J287" s="1">
        <v>0</v>
      </c>
      <c r="K287" s="1">
        <v>0</v>
      </c>
      <c r="L287" s="1">
        <v>0</v>
      </c>
      <c r="M287" s="1">
        <v>0</v>
      </c>
      <c r="N287" s="1">
        <v>0</v>
      </c>
      <c r="O287" s="1">
        <v>0</v>
      </c>
      <c r="P287" s="1">
        <v>0</v>
      </c>
      <c r="Q287" s="24">
        <f t="shared" si="12"/>
        <v>1</v>
      </c>
      <c r="R287" s="23">
        <v>0</v>
      </c>
      <c r="S287" s="1">
        <v>0</v>
      </c>
      <c r="T287" s="1">
        <v>0</v>
      </c>
      <c r="U287" s="1">
        <v>174</v>
      </c>
      <c r="V287" s="1">
        <v>0</v>
      </c>
      <c r="W287" s="1">
        <v>0</v>
      </c>
      <c r="X287" s="1">
        <v>0</v>
      </c>
      <c r="Y287" s="1">
        <v>0</v>
      </c>
      <c r="Z287" s="1">
        <v>0</v>
      </c>
      <c r="AA287" s="1">
        <v>0</v>
      </c>
      <c r="AB287" s="1">
        <v>0</v>
      </c>
      <c r="AC287" s="1">
        <v>0</v>
      </c>
      <c r="AD287" s="24">
        <f t="shared" si="13"/>
        <v>174</v>
      </c>
      <c r="AE287" s="23">
        <v>0</v>
      </c>
      <c r="AF287" s="1">
        <v>0</v>
      </c>
      <c r="AG287" s="1">
        <v>0</v>
      </c>
      <c r="AH287" s="1">
        <v>0</v>
      </c>
      <c r="AI287" s="1">
        <v>0</v>
      </c>
      <c r="AJ287" s="1">
        <v>0</v>
      </c>
      <c r="AK287" s="1">
        <v>0</v>
      </c>
      <c r="AL287" s="1">
        <v>0</v>
      </c>
      <c r="AM287" s="1">
        <v>0</v>
      </c>
      <c r="AN287" s="1">
        <v>0</v>
      </c>
      <c r="AO287" s="1">
        <v>0</v>
      </c>
      <c r="AP287" s="1">
        <v>0</v>
      </c>
      <c r="AQ287" s="24">
        <f t="shared" si="14"/>
        <v>0</v>
      </c>
    </row>
    <row r="288" spans="1:43" ht="17.25" customHeight="1" x14ac:dyDescent="0.45">
      <c r="A288" s="12" t="s">
        <v>12</v>
      </c>
      <c r="B288" s="12" t="s">
        <v>66</v>
      </c>
      <c r="C288" s="12" t="s">
        <v>201</v>
      </c>
      <c r="D288" s="12" t="s">
        <v>89</v>
      </c>
      <c r="E288" s="25">
        <v>0</v>
      </c>
      <c r="F288" s="10">
        <v>0</v>
      </c>
      <c r="G288" s="10">
        <v>0</v>
      </c>
      <c r="H288" s="10">
        <v>0</v>
      </c>
      <c r="I288" s="10">
        <v>0</v>
      </c>
      <c r="J288" s="10">
        <v>0</v>
      </c>
      <c r="K288" s="10">
        <v>0</v>
      </c>
      <c r="L288" s="10">
        <v>0</v>
      </c>
      <c r="M288" s="10">
        <v>0</v>
      </c>
      <c r="N288" s="10">
        <v>1</v>
      </c>
      <c r="O288" s="10">
        <v>0</v>
      </c>
      <c r="P288" s="10">
        <v>0</v>
      </c>
      <c r="Q288" s="26">
        <f t="shared" si="12"/>
        <v>1</v>
      </c>
      <c r="R288" s="25">
        <v>0</v>
      </c>
      <c r="S288" s="10">
        <v>0</v>
      </c>
      <c r="T288" s="10">
        <v>0</v>
      </c>
      <c r="U288" s="10">
        <v>0</v>
      </c>
      <c r="V288" s="10">
        <v>0</v>
      </c>
      <c r="W288" s="10">
        <v>0</v>
      </c>
      <c r="X288" s="10">
        <v>0</v>
      </c>
      <c r="Y288" s="10">
        <v>0</v>
      </c>
      <c r="Z288" s="10">
        <v>0</v>
      </c>
      <c r="AA288" s="10">
        <v>117</v>
      </c>
      <c r="AB288" s="10">
        <v>0</v>
      </c>
      <c r="AC288" s="10">
        <v>0</v>
      </c>
      <c r="AD288" s="26">
        <f t="shared" si="13"/>
        <v>117</v>
      </c>
      <c r="AE288" s="25">
        <v>0</v>
      </c>
      <c r="AF288" s="10">
        <v>0</v>
      </c>
      <c r="AG288" s="10">
        <v>0</v>
      </c>
      <c r="AH288" s="10">
        <v>0</v>
      </c>
      <c r="AI288" s="10">
        <v>0</v>
      </c>
      <c r="AJ288" s="10">
        <v>0</v>
      </c>
      <c r="AK288" s="10">
        <v>0</v>
      </c>
      <c r="AL288" s="10">
        <v>0</v>
      </c>
      <c r="AM288" s="10">
        <v>0</v>
      </c>
      <c r="AN288" s="10">
        <v>15262</v>
      </c>
      <c r="AO288" s="10">
        <v>0</v>
      </c>
      <c r="AP288" s="10">
        <v>0</v>
      </c>
      <c r="AQ288" s="26">
        <f t="shared" si="14"/>
        <v>15262</v>
      </c>
    </row>
    <row r="289" spans="1:43" ht="17.25" customHeight="1" x14ac:dyDescent="0.45">
      <c r="A289" s="2" t="s">
        <v>12</v>
      </c>
      <c r="B289" s="2" t="s">
        <v>66</v>
      </c>
      <c r="C289" s="2" t="s">
        <v>165</v>
      </c>
      <c r="D289" s="2" t="s">
        <v>65</v>
      </c>
      <c r="E289" s="23">
        <v>0</v>
      </c>
      <c r="F289" s="1">
        <v>1</v>
      </c>
      <c r="G289" s="1">
        <v>0</v>
      </c>
      <c r="H289" s="1">
        <v>0</v>
      </c>
      <c r="I289" s="1">
        <v>0</v>
      </c>
      <c r="J289" s="1">
        <v>0</v>
      </c>
      <c r="K289" s="1">
        <v>0</v>
      </c>
      <c r="L289" s="1">
        <v>0</v>
      </c>
      <c r="M289" s="1">
        <v>0</v>
      </c>
      <c r="N289" s="1">
        <v>0</v>
      </c>
      <c r="O289" s="1">
        <v>0</v>
      </c>
      <c r="P289" s="1">
        <v>0</v>
      </c>
      <c r="Q289" s="24">
        <f t="shared" si="12"/>
        <v>1</v>
      </c>
      <c r="R289" s="23">
        <v>0</v>
      </c>
      <c r="S289" s="1">
        <v>146</v>
      </c>
      <c r="T289" s="1">
        <v>0</v>
      </c>
      <c r="U289" s="1">
        <v>0</v>
      </c>
      <c r="V289" s="1">
        <v>0</v>
      </c>
      <c r="W289" s="1">
        <v>0</v>
      </c>
      <c r="X289" s="1">
        <v>0</v>
      </c>
      <c r="Y289" s="1">
        <v>0</v>
      </c>
      <c r="Z289" s="1">
        <v>0</v>
      </c>
      <c r="AA289" s="1">
        <v>0</v>
      </c>
      <c r="AB289" s="1">
        <v>0</v>
      </c>
      <c r="AC289" s="1">
        <v>0</v>
      </c>
      <c r="AD289" s="24">
        <f t="shared" si="13"/>
        <v>146</v>
      </c>
      <c r="AE289" s="23">
        <v>0</v>
      </c>
      <c r="AF289" s="1">
        <v>0</v>
      </c>
      <c r="AG289" s="1">
        <v>0</v>
      </c>
      <c r="AH289" s="1">
        <v>0</v>
      </c>
      <c r="AI289" s="1">
        <v>0</v>
      </c>
      <c r="AJ289" s="1">
        <v>0</v>
      </c>
      <c r="AK289" s="1">
        <v>0</v>
      </c>
      <c r="AL289" s="1">
        <v>0</v>
      </c>
      <c r="AM289" s="1">
        <v>0</v>
      </c>
      <c r="AN289" s="1">
        <v>0</v>
      </c>
      <c r="AO289" s="1">
        <v>0</v>
      </c>
      <c r="AP289" s="1">
        <v>0</v>
      </c>
      <c r="AQ289" s="24">
        <f t="shared" si="14"/>
        <v>0</v>
      </c>
    </row>
    <row r="290" spans="1:43" ht="17.25" customHeight="1" x14ac:dyDescent="0.45">
      <c r="A290" s="12" t="s">
        <v>126</v>
      </c>
      <c r="B290" s="12" t="s">
        <v>68</v>
      </c>
      <c r="C290" s="12" t="s">
        <v>19</v>
      </c>
      <c r="D290" s="12" t="s">
        <v>66</v>
      </c>
      <c r="E290" s="25">
        <v>0</v>
      </c>
      <c r="F290" s="10">
        <v>0</v>
      </c>
      <c r="G290" s="10">
        <v>0</v>
      </c>
      <c r="H290" s="10">
        <v>0</v>
      </c>
      <c r="I290" s="10">
        <v>4</v>
      </c>
      <c r="J290" s="10">
        <v>0</v>
      </c>
      <c r="K290" s="10">
        <v>0</v>
      </c>
      <c r="L290" s="10">
        <v>1</v>
      </c>
      <c r="M290" s="10">
        <v>0</v>
      </c>
      <c r="N290" s="10">
        <v>0</v>
      </c>
      <c r="O290" s="10">
        <v>0</v>
      </c>
      <c r="P290" s="10">
        <v>0</v>
      </c>
      <c r="Q290" s="26">
        <f t="shared" si="12"/>
        <v>5</v>
      </c>
      <c r="R290" s="25">
        <v>0</v>
      </c>
      <c r="S290" s="10">
        <v>0</v>
      </c>
      <c r="T290" s="10">
        <v>0</v>
      </c>
      <c r="U290" s="10">
        <v>0</v>
      </c>
      <c r="V290" s="10">
        <v>0</v>
      </c>
      <c r="W290" s="10">
        <v>0</v>
      </c>
      <c r="X290" s="10">
        <v>0</v>
      </c>
      <c r="Y290" s="10">
        <v>0</v>
      </c>
      <c r="Z290" s="10">
        <v>0</v>
      </c>
      <c r="AA290" s="10">
        <v>0</v>
      </c>
      <c r="AB290" s="10">
        <v>0</v>
      </c>
      <c r="AC290" s="10">
        <v>0</v>
      </c>
      <c r="AD290" s="26">
        <f t="shared" si="13"/>
        <v>0</v>
      </c>
      <c r="AE290" s="25">
        <v>0</v>
      </c>
      <c r="AF290" s="10">
        <v>0</v>
      </c>
      <c r="AG290" s="10">
        <v>0</v>
      </c>
      <c r="AH290" s="10">
        <v>0</v>
      </c>
      <c r="AI290" s="10">
        <v>49154</v>
      </c>
      <c r="AJ290" s="10">
        <v>0</v>
      </c>
      <c r="AK290" s="10">
        <v>0</v>
      </c>
      <c r="AL290" s="10">
        <v>12745</v>
      </c>
      <c r="AM290" s="10">
        <v>0</v>
      </c>
      <c r="AN290" s="10">
        <v>0</v>
      </c>
      <c r="AO290" s="10">
        <v>0</v>
      </c>
      <c r="AP290" s="10">
        <v>0</v>
      </c>
      <c r="AQ290" s="26">
        <f t="shared" si="14"/>
        <v>61899</v>
      </c>
    </row>
    <row r="291" spans="1:43" ht="17.25" customHeight="1" x14ac:dyDescent="0.45">
      <c r="A291" s="2" t="s">
        <v>126</v>
      </c>
      <c r="B291" s="2" t="s">
        <v>68</v>
      </c>
      <c r="C291" s="2" t="s">
        <v>23</v>
      </c>
      <c r="D291" s="2" t="s">
        <v>66</v>
      </c>
      <c r="E291" s="23">
        <v>4</v>
      </c>
      <c r="F291" s="1">
        <v>19</v>
      </c>
      <c r="G291" s="1">
        <v>7</v>
      </c>
      <c r="H291" s="1">
        <v>36</v>
      </c>
      <c r="I291" s="1">
        <v>18</v>
      </c>
      <c r="J291" s="1">
        <v>6</v>
      </c>
      <c r="K291" s="1">
        <v>19</v>
      </c>
      <c r="L291" s="1">
        <v>23</v>
      </c>
      <c r="M291" s="1">
        <v>23</v>
      </c>
      <c r="N291" s="1">
        <v>25</v>
      </c>
      <c r="O291" s="1">
        <v>28</v>
      </c>
      <c r="P291" s="1">
        <v>27</v>
      </c>
      <c r="Q291" s="24">
        <f t="shared" si="12"/>
        <v>235</v>
      </c>
      <c r="R291" s="23">
        <v>0</v>
      </c>
      <c r="S291" s="1">
        <v>0</v>
      </c>
      <c r="T291" s="1">
        <v>0</v>
      </c>
      <c r="U291" s="1">
        <v>0</v>
      </c>
      <c r="V291" s="1">
        <v>0</v>
      </c>
      <c r="W291" s="1">
        <v>0</v>
      </c>
      <c r="X291" s="1">
        <v>0</v>
      </c>
      <c r="Y291" s="1">
        <v>0</v>
      </c>
      <c r="Z291" s="1">
        <v>0</v>
      </c>
      <c r="AA291" s="1">
        <v>0</v>
      </c>
      <c r="AB291" s="1">
        <v>0</v>
      </c>
      <c r="AC291" s="1">
        <v>0</v>
      </c>
      <c r="AD291" s="24">
        <f t="shared" si="13"/>
        <v>0</v>
      </c>
      <c r="AE291" s="23">
        <v>45327</v>
      </c>
      <c r="AF291" s="1">
        <v>114253</v>
      </c>
      <c r="AG291" s="1">
        <v>76048</v>
      </c>
      <c r="AH291" s="1">
        <v>266192</v>
      </c>
      <c r="AI291" s="1">
        <v>181906</v>
      </c>
      <c r="AJ291" s="1">
        <v>123475</v>
      </c>
      <c r="AK291" s="1">
        <v>335787</v>
      </c>
      <c r="AL291" s="1">
        <v>363852</v>
      </c>
      <c r="AM291" s="1">
        <v>453040</v>
      </c>
      <c r="AN291" s="1">
        <v>445225</v>
      </c>
      <c r="AO291" s="1">
        <v>428147</v>
      </c>
      <c r="AP291" s="1">
        <v>495568</v>
      </c>
      <c r="AQ291" s="24">
        <f t="shared" si="14"/>
        <v>3328820</v>
      </c>
    </row>
    <row r="292" spans="1:43" ht="17.25" customHeight="1" x14ac:dyDescent="0.45">
      <c r="A292" s="12" t="s">
        <v>126</v>
      </c>
      <c r="B292" s="12" t="s">
        <v>68</v>
      </c>
      <c r="C292" s="12" t="s">
        <v>13</v>
      </c>
      <c r="D292" s="12" t="s">
        <v>66</v>
      </c>
      <c r="E292" s="25">
        <v>0</v>
      </c>
      <c r="F292" s="10">
        <v>0</v>
      </c>
      <c r="G292" s="10">
        <v>0</v>
      </c>
      <c r="H292" s="10">
        <v>0</v>
      </c>
      <c r="I292" s="10">
        <v>2</v>
      </c>
      <c r="J292" s="10">
        <v>0</v>
      </c>
      <c r="K292" s="10">
        <v>0</v>
      </c>
      <c r="L292" s="10">
        <v>0</v>
      </c>
      <c r="M292" s="10">
        <v>0</v>
      </c>
      <c r="N292" s="10">
        <v>0</v>
      </c>
      <c r="O292" s="10">
        <v>0</v>
      </c>
      <c r="P292" s="10">
        <v>0</v>
      </c>
      <c r="Q292" s="26">
        <f t="shared" si="12"/>
        <v>2</v>
      </c>
      <c r="R292" s="25">
        <v>0</v>
      </c>
      <c r="S292" s="10">
        <v>0</v>
      </c>
      <c r="T292" s="10">
        <v>0</v>
      </c>
      <c r="U292" s="10">
        <v>0</v>
      </c>
      <c r="V292" s="10">
        <v>0</v>
      </c>
      <c r="W292" s="10">
        <v>0</v>
      </c>
      <c r="X292" s="10">
        <v>0</v>
      </c>
      <c r="Y292" s="10">
        <v>0</v>
      </c>
      <c r="Z292" s="10">
        <v>0</v>
      </c>
      <c r="AA292" s="10">
        <v>0</v>
      </c>
      <c r="AB292" s="10">
        <v>0</v>
      </c>
      <c r="AC292" s="10">
        <v>0</v>
      </c>
      <c r="AD292" s="26">
        <f t="shared" si="13"/>
        <v>0</v>
      </c>
      <c r="AE292" s="25">
        <v>0</v>
      </c>
      <c r="AF292" s="10">
        <v>0</v>
      </c>
      <c r="AG292" s="10">
        <v>0</v>
      </c>
      <c r="AH292" s="10">
        <v>0</v>
      </c>
      <c r="AI292" s="10">
        <v>47610</v>
      </c>
      <c r="AJ292" s="10">
        <v>0</v>
      </c>
      <c r="AK292" s="10">
        <v>0</v>
      </c>
      <c r="AL292" s="10">
        <v>0</v>
      </c>
      <c r="AM292" s="10">
        <v>0</v>
      </c>
      <c r="AN292" s="10">
        <v>0</v>
      </c>
      <c r="AO292" s="10">
        <v>0</v>
      </c>
      <c r="AP292" s="10">
        <v>0</v>
      </c>
      <c r="AQ292" s="26">
        <f t="shared" si="14"/>
        <v>47610</v>
      </c>
    </row>
    <row r="293" spans="1:43" ht="17.25" customHeight="1" x14ac:dyDescent="0.45">
      <c r="A293" s="2" t="s">
        <v>126</v>
      </c>
      <c r="B293" s="2" t="s">
        <v>68</v>
      </c>
      <c r="C293" s="2" t="s">
        <v>14</v>
      </c>
      <c r="D293" s="2" t="s">
        <v>66</v>
      </c>
      <c r="E293" s="23">
        <v>0</v>
      </c>
      <c r="F293" s="1">
        <v>0</v>
      </c>
      <c r="G293" s="1">
        <v>0</v>
      </c>
      <c r="H293" s="1">
        <v>0</v>
      </c>
      <c r="I293" s="1">
        <v>0</v>
      </c>
      <c r="J293" s="1">
        <v>0</v>
      </c>
      <c r="K293" s="1">
        <v>0</v>
      </c>
      <c r="L293" s="1">
        <v>0</v>
      </c>
      <c r="M293" s="1">
        <v>0</v>
      </c>
      <c r="N293" s="1">
        <v>1</v>
      </c>
      <c r="O293" s="1">
        <v>0</v>
      </c>
      <c r="P293" s="1">
        <v>0</v>
      </c>
      <c r="Q293" s="24">
        <f t="shared" si="12"/>
        <v>1</v>
      </c>
      <c r="R293" s="23">
        <v>0</v>
      </c>
      <c r="S293" s="1">
        <v>0</v>
      </c>
      <c r="T293" s="1">
        <v>0</v>
      </c>
      <c r="U293" s="1">
        <v>0</v>
      </c>
      <c r="V293" s="1">
        <v>0</v>
      </c>
      <c r="W293" s="1">
        <v>0</v>
      </c>
      <c r="X293" s="1">
        <v>0</v>
      </c>
      <c r="Y293" s="1">
        <v>0</v>
      </c>
      <c r="Z293" s="1">
        <v>0</v>
      </c>
      <c r="AA293" s="1">
        <v>60</v>
      </c>
      <c r="AB293" s="1">
        <v>0</v>
      </c>
      <c r="AC293" s="1">
        <v>0</v>
      </c>
      <c r="AD293" s="24">
        <f t="shared" si="13"/>
        <v>60</v>
      </c>
      <c r="AE293" s="23">
        <v>0</v>
      </c>
      <c r="AF293" s="1">
        <v>0</v>
      </c>
      <c r="AG293" s="1">
        <v>0</v>
      </c>
      <c r="AH293" s="1">
        <v>0</v>
      </c>
      <c r="AI293" s="1">
        <v>0</v>
      </c>
      <c r="AJ293" s="1">
        <v>0</v>
      </c>
      <c r="AK293" s="1">
        <v>0</v>
      </c>
      <c r="AL293" s="1">
        <v>0</v>
      </c>
      <c r="AM293" s="1">
        <v>0</v>
      </c>
      <c r="AN293" s="1">
        <v>0</v>
      </c>
      <c r="AO293" s="1">
        <v>0</v>
      </c>
      <c r="AP293" s="1">
        <v>0</v>
      </c>
      <c r="AQ293" s="24">
        <f t="shared" si="14"/>
        <v>0</v>
      </c>
    </row>
    <row r="294" spans="1:43" ht="17.25" customHeight="1" x14ac:dyDescent="0.45">
      <c r="A294" s="12" t="s">
        <v>127</v>
      </c>
      <c r="B294" s="12" t="s">
        <v>128</v>
      </c>
      <c r="C294" s="12" t="s">
        <v>14</v>
      </c>
      <c r="D294" s="12" t="s">
        <v>66</v>
      </c>
      <c r="E294" s="25">
        <v>1</v>
      </c>
      <c r="F294" s="10">
        <v>0</v>
      </c>
      <c r="G294" s="10">
        <v>0</v>
      </c>
      <c r="H294" s="10">
        <v>0</v>
      </c>
      <c r="I294" s="10">
        <v>0</v>
      </c>
      <c r="J294" s="10">
        <v>0</v>
      </c>
      <c r="K294" s="10">
        <v>0</v>
      </c>
      <c r="L294" s="10">
        <v>0</v>
      </c>
      <c r="M294" s="10">
        <v>0</v>
      </c>
      <c r="N294" s="10">
        <v>0</v>
      </c>
      <c r="O294" s="10">
        <v>0</v>
      </c>
      <c r="P294" s="10">
        <v>0</v>
      </c>
      <c r="Q294" s="26">
        <f t="shared" si="12"/>
        <v>1</v>
      </c>
      <c r="R294" s="25">
        <v>0</v>
      </c>
      <c r="S294" s="10">
        <v>0</v>
      </c>
      <c r="T294" s="10">
        <v>0</v>
      </c>
      <c r="U294" s="10">
        <v>0</v>
      </c>
      <c r="V294" s="10">
        <v>0</v>
      </c>
      <c r="W294" s="10">
        <v>0</v>
      </c>
      <c r="X294" s="10">
        <v>0</v>
      </c>
      <c r="Y294" s="10">
        <v>0</v>
      </c>
      <c r="Z294" s="10">
        <v>0</v>
      </c>
      <c r="AA294" s="10">
        <v>0</v>
      </c>
      <c r="AB294" s="10">
        <v>0</v>
      </c>
      <c r="AC294" s="10">
        <v>0</v>
      </c>
      <c r="AD294" s="26">
        <f t="shared" si="13"/>
        <v>0</v>
      </c>
      <c r="AE294" s="25">
        <v>98255</v>
      </c>
      <c r="AF294" s="10">
        <v>0</v>
      </c>
      <c r="AG294" s="10">
        <v>0</v>
      </c>
      <c r="AH294" s="10">
        <v>0</v>
      </c>
      <c r="AI294" s="10">
        <v>0</v>
      </c>
      <c r="AJ294" s="10">
        <v>0</v>
      </c>
      <c r="AK294" s="10">
        <v>0</v>
      </c>
      <c r="AL294" s="10">
        <v>0</v>
      </c>
      <c r="AM294" s="10">
        <v>0</v>
      </c>
      <c r="AN294" s="10">
        <v>0</v>
      </c>
      <c r="AO294" s="10">
        <v>0</v>
      </c>
      <c r="AP294" s="10">
        <v>0</v>
      </c>
      <c r="AQ294" s="26">
        <f t="shared" si="14"/>
        <v>98255</v>
      </c>
    </row>
    <row r="295" spans="1:43" ht="17.25" customHeight="1" x14ac:dyDescent="0.45">
      <c r="A295" s="2" t="s">
        <v>130</v>
      </c>
      <c r="B295" s="2" t="s">
        <v>68</v>
      </c>
      <c r="C295" s="2" t="s">
        <v>10</v>
      </c>
      <c r="D295" s="2" t="s">
        <v>66</v>
      </c>
      <c r="E295" s="23">
        <v>1</v>
      </c>
      <c r="F295" s="1">
        <v>1</v>
      </c>
      <c r="G295" s="1">
        <v>0</v>
      </c>
      <c r="H295" s="1">
        <v>0</v>
      </c>
      <c r="I295" s="1">
        <v>0</v>
      </c>
      <c r="J295" s="1">
        <v>0</v>
      </c>
      <c r="K295" s="1">
        <v>0</v>
      </c>
      <c r="L295" s="1">
        <v>0</v>
      </c>
      <c r="M295" s="1">
        <v>0</v>
      </c>
      <c r="N295" s="1">
        <v>0</v>
      </c>
      <c r="O295" s="1">
        <v>0</v>
      </c>
      <c r="P295" s="1">
        <v>0</v>
      </c>
      <c r="Q295" s="24">
        <f t="shared" si="12"/>
        <v>2</v>
      </c>
      <c r="R295" s="23">
        <v>178</v>
      </c>
      <c r="S295" s="1">
        <v>176</v>
      </c>
      <c r="T295" s="1">
        <v>0</v>
      </c>
      <c r="U295" s="1">
        <v>0</v>
      </c>
      <c r="V295" s="1">
        <v>0</v>
      </c>
      <c r="W295" s="1">
        <v>0</v>
      </c>
      <c r="X295" s="1">
        <v>0</v>
      </c>
      <c r="Y295" s="1">
        <v>0</v>
      </c>
      <c r="Z295" s="1">
        <v>0</v>
      </c>
      <c r="AA295" s="1">
        <v>0</v>
      </c>
      <c r="AB295" s="1">
        <v>0</v>
      </c>
      <c r="AC295" s="1">
        <v>0</v>
      </c>
      <c r="AD295" s="24">
        <f t="shared" si="13"/>
        <v>354</v>
      </c>
      <c r="AE295" s="23">
        <v>0</v>
      </c>
      <c r="AF295" s="1">
        <v>0</v>
      </c>
      <c r="AG295" s="1">
        <v>0</v>
      </c>
      <c r="AH295" s="1">
        <v>0</v>
      </c>
      <c r="AI295" s="1">
        <v>0</v>
      </c>
      <c r="AJ295" s="1">
        <v>0</v>
      </c>
      <c r="AK295" s="1">
        <v>0</v>
      </c>
      <c r="AL295" s="1">
        <v>0</v>
      </c>
      <c r="AM295" s="1">
        <v>0</v>
      </c>
      <c r="AN295" s="1">
        <v>0</v>
      </c>
      <c r="AO295" s="1">
        <v>0</v>
      </c>
      <c r="AP295" s="1">
        <v>0</v>
      </c>
      <c r="AQ295" s="24">
        <f t="shared" si="14"/>
        <v>0</v>
      </c>
    </row>
    <row r="296" spans="1:43" ht="17.25" customHeight="1" x14ac:dyDescent="0.45">
      <c r="A296" s="12" t="s">
        <v>13</v>
      </c>
      <c r="B296" s="12" t="s">
        <v>66</v>
      </c>
      <c r="C296" s="12" t="s">
        <v>78</v>
      </c>
      <c r="D296" s="12" t="s">
        <v>68</v>
      </c>
      <c r="E296" s="25">
        <v>0</v>
      </c>
      <c r="F296" s="10">
        <v>0</v>
      </c>
      <c r="G296" s="10">
        <v>0</v>
      </c>
      <c r="H296" s="10">
        <v>0</v>
      </c>
      <c r="I296" s="10">
        <v>1</v>
      </c>
      <c r="J296" s="10">
        <v>0</v>
      </c>
      <c r="K296" s="10">
        <v>0</v>
      </c>
      <c r="L296" s="10">
        <v>0</v>
      </c>
      <c r="M296" s="10">
        <v>0</v>
      </c>
      <c r="N296" s="10">
        <v>0</v>
      </c>
      <c r="O296" s="10">
        <v>0</v>
      </c>
      <c r="P296" s="10">
        <v>0</v>
      </c>
      <c r="Q296" s="26">
        <f t="shared" si="12"/>
        <v>1</v>
      </c>
      <c r="R296" s="25">
        <v>0</v>
      </c>
      <c r="S296" s="10">
        <v>0</v>
      </c>
      <c r="T296" s="10">
        <v>0</v>
      </c>
      <c r="U296" s="10">
        <v>0</v>
      </c>
      <c r="V296" s="10">
        <v>0</v>
      </c>
      <c r="W296" s="10">
        <v>0</v>
      </c>
      <c r="X296" s="10">
        <v>0</v>
      </c>
      <c r="Y296" s="10">
        <v>0</v>
      </c>
      <c r="Z296" s="10">
        <v>0</v>
      </c>
      <c r="AA296" s="10">
        <v>0</v>
      </c>
      <c r="AB296" s="10">
        <v>0</v>
      </c>
      <c r="AC296" s="10">
        <v>0</v>
      </c>
      <c r="AD296" s="26">
        <f t="shared" si="13"/>
        <v>0</v>
      </c>
      <c r="AE296" s="25">
        <v>0</v>
      </c>
      <c r="AF296" s="10">
        <v>0</v>
      </c>
      <c r="AG296" s="10">
        <v>0</v>
      </c>
      <c r="AH296" s="10">
        <v>0</v>
      </c>
      <c r="AI296" s="10">
        <v>2860</v>
      </c>
      <c r="AJ296" s="10">
        <v>0</v>
      </c>
      <c r="AK296" s="10">
        <v>0</v>
      </c>
      <c r="AL296" s="10">
        <v>0</v>
      </c>
      <c r="AM296" s="10">
        <v>0</v>
      </c>
      <c r="AN296" s="10">
        <v>0</v>
      </c>
      <c r="AO296" s="10">
        <v>0</v>
      </c>
      <c r="AP296" s="10">
        <v>0</v>
      </c>
      <c r="AQ296" s="26">
        <f t="shared" si="14"/>
        <v>2860</v>
      </c>
    </row>
    <row r="297" spans="1:43" ht="17.25" customHeight="1" x14ac:dyDescent="0.45">
      <c r="A297" s="2" t="s">
        <v>13</v>
      </c>
      <c r="B297" s="2" t="s">
        <v>66</v>
      </c>
      <c r="C297" s="2" t="s">
        <v>86</v>
      </c>
      <c r="D297" s="2" t="s">
        <v>87</v>
      </c>
      <c r="E297" s="23">
        <v>0</v>
      </c>
      <c r="F297" s="1">
        <v>0</v>
      </c>
      <c r="G297" s="1">
        <v>0</v>
      </c>
      <c r="H297" s="1">
        <v>0</v>
      </c>
      <c r="I297" s="1">
        <v>0</v>
      </c>
      <c r="J297" s="1">
        <v>0</v>
      </c>
      <c r="K297" s="1">
        <v>0</v>
      </c>
      <c r="L297" s="1">
        <v>1</v>
      </c>
      <c r="M297" s="1">
        <v>0</v>
      </c>
      <c r="N297" s="1">
        <v>0</v>
      </c>
      <c r="O297" s="1">
        <v>0</v>
      </c>
      <c r="P297" s="1">
        <v>0</v>
      </c>
      <c r="Q297" s="24">
        <f t="shared" si="12"/>
        <v>1</v>
      </c>
      <c r="R297" s="23">
        <v>0</v>
      </c>
      <c r="S297" s="1">
        <v>0</v>
      </c>
      <c r="T297" s="1">
        <v>0</v>
      </c>
      <c r="U297" s="1">
        <v>0</v>
      </c>
      <c r="V297" s="1">
        <v>0</v>
      </c>
      <c r="W297" s="1">
        <v>0</v>
      </c>
      <c r="X297" s="1">
        <v>0</v>
      </c>
      <c r="Y297" s="1">
        <v>0</v>
      </c>
      <c r="Z297" s="1">
        <v>0</v>
      </c>
      <c r="AA297" s="1">
        <v>0</v>
      </c>
      <c r="AB297" s="1">
        <v>0</v>
      </c>
      <c r="AC297" s="1">
        <v>0</v>
      </c>
      <c r="AD297" s="24">
        <f t="shared" si="13"/>
        <v>0</v>
      </c>
      <c r="AE297" s="23">
        <v>0</v>
      </c>
      <c r="AF297" s="1">
        <v>0</v>
      </c>
      <c r="AG297" s="1">
        <v>0</v>
      </c>
      <c r="AH297" s="1">
        <v>0</v>
      </c>
      <c r="AI297" s="1">
        <v>0</v>
      </c>
      <c r="AJ297" s="1">
        <v>0</v>
      </c>
      <c r="AK297" s="1">
        <v>0</v>
      </c>
      <c r="AL297" s="1">
        <v>1298</v>
      </c>
      <c r="AM297" s="1">
        <v>0</v>
      </c>
      <c r="AN297" s="1">
        <v>0</v>
      </c>
      <c r="AO297" s="1">
        <v>0</v>
      </c>
      <c r="AP297" s="1">
        <v>0</v>
      </c>
      <c r="AQ297" s="24">
        <f t="shared" si="14"/>
        <v>1298</v>
      </c>
    </row>
    <row r="298" spans="1:43" ht="17.25" customHeight="1" x14ac:dyDescent="0.45">
      <c r="A298" s="12" t="s">
        <v>13</v>
      </c>
      <c r="B298" s="12" t="s">
        <v>66</v>
      </c>
      <c r="C298" s="12" t="s">
        <v>197</v>
      </c>
      <c r="D298" s="12" t="s">
        <v>89</v>
      </c>
      <c r="E298" s="25">
        <v>0</v>
      </c>
      <c r="F298" s="10">
        <v>0</v>
      </c>
      <c r="G298" s="10">
        <v>0</v>
      </c>
      <c r="H298" s="10">
        <v>0</v>
      </c>
      <c r="I298" s="10">
        <v>0</v>
      </c>
      <c r="J298" s="10">
        <v>0</v>
      </c>
      <c r="K298" s="10">
        <v>0</v>
      </c>
      <c r="L298" s="10">
        <v>0</v>
      </c>
      <c r="M298" s="10">
        <v>2</v>
      </c>
      <c r="N298" s="10">
        <v>5</v>
      </c>
      <c r="O298" s="10">
        <v>1</v>
      </c>
      <c r="P298" s="10">
        <v>0</v>
      </c>
      <c r="Q298" s="26">
        <f t="shared" si="12"/>
        <v>8</v>
      </c>
      <c r="R298" s="25">
        <v>0</v>
      </c>
      <c r="S298" s="10">
        <v>0</v>
      </c>
      <c r="T298" s="10">
        <v>0</v>
      </c>
      <c r="U298" s="10">
        <v>0</v>
      </c>
      <c r="V298" s="10">
        <v>0</v>
      </c>
      <c r="W298" s="10">
        <v>0</v>
      </c>
      <c r="X298" s="10">
        <v>0</v>
      </c>
      <c r="Y298" s="10">
        <v>0</v>
      </c>
      <c r="Z298" s="10">
        <v>0</v>
      </c>
      <c r="AA298" s="10">
        <v>0</v>
      </c>
      <c r="AB298" s="10">
        <v>0</v>
      </c>
      <c r="AC298" s="10">
        <v>0</v>
      </c>
      <c r="AD298" s="26">
        <f t="shared" si="13"/>
        <v>0</v>
      </c>
      <c r="AE298" s="25">
        <v>0</v>
      </c>
      <c r="AF298" s="10">
        <v>0</v>
      </c>
      <c r="AG298" s="10">
        <v>0</v>
      </c>
      <c r="AH298" s="10">
        <v>0</v>
      </c>
      <c r="AI298" s="10">
        <v>0</v>
      </c>
      <c r="AJ298" s="10">
        <v>0</v>
      </c>
      <c r="AK298" s="10">
        <v>0</v>
      </c>
      <c r="AL298" s="10">
        <v>0</v>
      </c>
      <c r="AM298" s="10">
        <v>35849</v>
      </c>
      <c r="AN298" s="10">
        <v>75458</v>
      </c>
      <c r="AO298" s="10">
        <v>33154</v>
      </c>
      <c r="AP298" s="10">
        <v>0</v>
      </c>
      <c r="AQ298" s="26">
        <f t="shared" si="14"/>
        <v>144461</v>
      </c>
    </row>
    <row r="299" spans="1:43" ht="17.25" customHeight="1" x14ac:dyDescent="0.45">
      <c r="A299" s="2" t="s">
        <v>13</v>
      </c>
      <c r="B299" s="2" t="s">
        <v>66</v>
      </c>
      <c r="C299" s="2" t="s">
        <v>259</v>
      </c>
      <c r="D299" s="2" t="s">
        <v>68</v>
      </c>
      <c r="E299" s="23">
        <v>0</v>
      </c>
      <c r="F299" s="1">
        <v>0</v>
      </c>
      <c r="G299" s="1">
        <v>0</v>
      </c>
      <c r="H299" s="1">
        <v>0</v>
      </c>
      <c r="I299" s="1">
        <v>1</v>
      </c>
      <c r="J299" s="1">
        <v>0</v>
      </c>
      <c r="K299" s="1">
        <v>0</v>
      </c>
      <c r="L299" s="1">
        <v>0</v>
      </c>
      <c r="M299" s="1">
        <v>0</v>
      </c>
      <c r="N299" s="1">
        <v>0</v>
      </c>
      <c r="O299" s="1">
        <v>0</v>
      </c>
      <c r="P299" s="1">
        <v>0</v>
      </c>
      <c r="Q299" s="24">
        <f t="shared" si="12"/>
        <v>1</v>
      </c>
      <c r="R299" s="23">
        <v>0</v>
      </c>
      <c r="S299" s="1">
        <v>0</v>
      </c>
      <c r="T299" s="1">
        <v>0</v>
      </c>
      <c r="U299" s="1">
        <v>0</v>
      </c>
      <c r="V299" s="1">
        <v>35</v>
      </c>
      <c r="W299" s="1">
        <v>0</v>
      </c>
      <c r="X299" s="1">
        <v>0</v>
      </c>
      <c r="Y299" s="1">
        <v>0</v>
      </c>
      <c r="Z299" s="1">
        <v>0</v>
      </c>
      <c r="AA299" s="1">
        <v>0</v>
      </c>
      <c r="AB299" s="1">
        <v>0</v>
      </c>
      <c r="AC299" s="1">
        <v>0</v>
      </c>
      <c r="AD299" s="24">
        <f t="shared" si="13"/>
        <v>35</v>
      </c>
      <c r="AE299" s="23">
        <v>0</v>
      </c>
      <c r="AF299" s="1">
        <v>0</v>
      </c>
      <c r="AG299" s="1">
        <v>0</v>
      </c>
      <c r="AH299" s="1">
        <v>0</v>
      </c>
      <c r="AI299" s="1">
        <v>0</v>
      </c>
      <c r="AJ299" s="1">
        <v>0</v>
      </c>
      <c r="AK299" s="1">
        <v>0</v>
      </c>
      <c r="AL299" s="1">
        <v>0</v>
      </c>
      <c r="AM299" s="1">
        <v>0</v>
      </c>
      <c r="AN299" s="1">
        <v>0</v>
      </c>
      <c r="AO299" s="1">
        <v>0</v>
      </c>
      <c r="AP299" s="1">
        <v>0</v>
      </c>
      <c r="AQ299" s="24">
        <f t="shared" si="14"/>
        <v>0</v>
      </c>
    </row>
    <row r="300" spans="1:43" ht="17.25" customHeight="1" x14ac:dyDescent="0.45">
      <c r="A300" s="12" t="s">
        <v>13</v>
      </c>
      <c r="B300" s="12" t="s">
        <v>66</v>
      </c>
      <c r="C300" s="12" t="s">
        <v>101</v>
      </c>
      <c r="D300" s="12" t="s">
        <v>68</v>
      </c>
      <c r="E300" s="25">
        <v>0</v>
      </c>
      <c r="F300" s="10">
        <v>0</v>
      </c>
      <c r="G300" s="10">
        <v>0</v>
      </c>
      <c r="H300" s="10">
        <v>0</v>
      </c>
      <c r="I300" s="10">
        <v>0</v>
      </c>
      <c r="J300" s="10">
        <v>0</v>
      </c>
      <c r="K300" s="10">
        <v>0</v>
      </c>
      <c r="L300" s="10">
        <v>0</v>
      </c>
      <c r="M300" s="10">
        <v>0</v>
      </c>
      <c r="N300" s="10">
        <v>0</v>
      </c>
      <c r="O300" s="10">
        <v>0</v>
      </c>
      <c r="P300" s="10">
        <v>2</v>
      </c>
      <c r="Q300" s="26">
        <f t="shared" si="12"/>
        <v>2</v>
      </c>
      <c r="R300" s="25">
        <v>0</v>
      </c>
      <c r="S300" s="10">
        <v>0</v>
      </c>
      <c r="T300" s="10">
        <v>0</v>
      </c>
      <c r="U300" s="10">
        <v>0</v>
      </c>
      <c r="V300" s="10">
        <v>0</v>
      </c>
      <c r="W300" s="10">
        <v>0</v>
      </c>
      <c r="X300" s="10">
        <v>0</v>
      </c>
      <c r="Y300" s="10">
        <v>0</v>
      </c>
      <c r="Z300" s="10">
        <v>0</v>
      </c>
      <c r="AA300" s="10">
        <v>0</v>
      </c>
      <c r="AB300" s="10">
        <v>0</v>
      </c>
      <c r="AC300" s="10">
        <v>0</v>
      </c>
      <c r="AD300" s="26">
        <f t="shared" si="13"/>
        <v>0</v>
      </c>
      <c r="AE300" s="25">
        <v>0</v>
      </c>
      <c r="AF300" s="10">
        <v>0</v>
      </c>
      <c r="AG300" s="10">
        <v>0</v>
      </c>
      <c r="AH300" s="10">
        <v>0</v>
      </c>
      <c r="AI300" s="10">
        <v>0</v>
      </c>
      <c r="AJ300" s="10">
        <v>0</v>
      </c>
      <c r="AK300" s="10">
        <v>0</v>
      </c>
      <c r="AL300" s="10">
        <v>0</v>
      </c>
      <c r="AM300" s="10">
        <v>0</v>
      </c>
      <c r="AN300" s="10">
        <v>0</v>
      </c>
      <c r="AO300" s="10">
        <v>0</v>
      </c>
      <c r="AP300" s="10">
        <v>2957</v>
      </c>
      <c r="AQ300" s="26">
        <f t="shared" si="14"/>
        <v>2957</v>
      </c>
    </row>
    <row r="301" spans="1:43" ht="17.25" customHeight="1" x14ac:dyDescent="0.45">
      <c r="A301" s="2" t="s">
        <v>13</v>
      </c>
      <c r="B301" s="2" t="s">
        <v>66</v>
      </c>
      <c r="C301" s="2" t="s">
        <v>105</v>
      </c>
      <c r="D301" s="2" t="s">
        <v>68</v>
      </c>
      <c r="E301" s="23">
        <v>0</v>
      </c>
      <c r="F301" s="1">
        <v>0</v>
      </c>
      <c r="G301" s="1">
        <v>0</v>
      </c>
      <c r="H301" s="1">
        <v>1</v>
      </c>
      <c r="I301" s="1">
        <v>0</v>
      </c>
      <c r="J301" s="1">
        <v>0</v>
      </c>
      <c r="K301" s="1">
        <v>0</v>
      </c>
      <c r="L301" s="1">
        <v>0</v>
      </c>
      <c r="M301" s="1">
        <v>0</v>
      </c>
      <c r="N301" s="1">
        <v>0</v>
      </c>
      <c r="O301" s="1">
        <v>0</v>
      </c>
      <c r="P301" s="1">
        <v>0</v>
      </c>
      <c r="Q301" s="24">
        <f t="shared" si="12"/>
        <v>1</v>
      </c>
      <c r="R301" s="23">
        <v>0</v>
      </c>
      <c r="S301" s="1">
        <v>0</v>
      </c>
      <c r="T301" s="1">
        <v>0</v>
      </c>
      <c r="U301" s="1">
        <v>73</v>
      </c>
      <c r="V301" s="1">
        <v>0</v>
      </c>
      <c r="W301" s="1">
        <v>0</v>
      </c>
      <c r="X301" s="1">
        <v>0</v>
      </c>
      <c r="Y301" s="1">
        <v>0</v>
      </c>
      <c r="Z301" s="1">
        <v>0</v>
      </c>
      <c r="AA301" s="1">
        <v>0</v>
      </c>
      <c r="AB301" s="1">
        <v>0</v>
      </c>
      <c r="AC301" s="1">
        <v>0</v>
      </c>
      <c r="AD301" s="24">
        <f t="shared" si="13"/>
        <v>73</v>
      </c>
      <c r="AE301" s="23">
        <v>0</v>
      </c>
      <c r="AF301" s="1">
        <v>0</v>
      </c>
      <c r="AG301" s="1">
        <v>0</v>
      </c>
      <c r="AH301" s="1">
        <v>0</v>
      </c>
      <c r="AI301" s="1">
        <v>0</v>
      </c>
      <c r="AJ301" s="1">
        <v>0</v>
      </c>
      <c r="AK301" s="1">
        <v>0</v>
      </c>
      <c r="AL301" s="1">
        <v>0</v>
      </c>
      <c r="AM301" s="1">
        <v>0</v>
      </c>
      <c r="AN301" s="1">
        <v>0</v>
      </c>
      <c r="AO301" s="1">
        <v>0</v>
      </c>
      <c r="AP301" s="1">
        <v>0</v>
      </c>
      <c r="AQ301" s="24">
        <f t="shared" si="14"/>
        <v>0</v>
      </c>
    </row>
    <row r="302" spans="1:43" ht="17.25" customHeight="1" x14ac:dyDescent="0.45">
      <c r="A302" s="12" t="s">
        <v>13</v>
      </c>
      <c r="B302" s="12" t="s">
        <v>66</v>
      </c>
      <c r="C302" s="12" t="s">
        <v>267</v>
      </c>
      <c r="D302" s="12" t="s">
        <v>68</v>
      </c>
      <c r="E302" s="25">
        <v>0</v>
      </c>
      <c r="F302" s="10">
        <v>1</v>
      </c>
      <c r="G302" s="10">
        <v>0</v>
      </c>
      <c r="H302" s="10">
        <v>0</v>
      </c>
      <c r="I302" s="10">
        <v>0</v>
      </c>
      <c r="J302" s="10">
        <v>0</v>
      </c>
      <c r="K302" s="10">
        <v>0</v>
      </c>
      <c r="L302" s="10">
        <v>0</v>
      </c>
      <c r="M302" s="10">
        <v>0</v>
      </c>
      <c r="N302" s="10">
        <v>0</v>
      </c>
      <c r="O302" s="10">
        <v>0</v>
      </c>
      <c r="P302" s="10">
        <v>0</v>
      </c>
      <c r="Q302" s="26">
        <f t="shared" si="12"/>
        <v>1</v>
      </c>
      <c r="R302" s="25">
        <v>0</v>
      </c>
      <c r="S302" s="10">
        <v>42</v>
      </c>
      <c r="T302" s="10">
        <v>0</v>
      </c>
      <c r="U302" s="10">
        <v>0</v>
      </c>
      <c r="V302" s="10">
        <v>0</v>
      </c>
      <c r="W302" s="10">
        <v>0</v>
      </c>
      <c r="X302" s="10">
        <v>0</v>
      </c>
      <c r="Y302" s="10">
        <v>0</v>
      </c>
      <c r="Z302" s="10">
        <v>0</v>
      </c>
      <c r="AA302" s="10">
        <v>0</v>
      </c>
      <c r="AB302" s="10">
        <v>0</v>
      </c>
      <c r="AC302" s="10">
        <v>0</v>
      </c>
      <c r="AD302" s="26">
        <f t="shared" si="13"/>
        <v>42</v>
      </c>
      <c r="AE302" s="25">
        <v>0</v>
      </c>
      <c r="AF302" s="10">
        <v>0</v>
      </c>
      <c r="AG302" s="10">
        <v>0</v>
      </c>
      <c r="AH302" s="10">
        <v>0</v>
      </c>
      <c r="AI302" s="10">
        <v>0</v>
      </c>
      <c r="AJ302" s="10">
        <v>0</v>
      </c>
      <c r="AK302" s="10">
        <v>0</v>
      </c>
      <c r="AL302" s="10">
        <v>0</v>
      </c>
      <c r="AM302" s="10">
        <v>0</v>
      </c>
      <c r="AN302" s="10">
        <v>0</v>
      </c>
      <c r="AO302" s="10">
        <v>0</v>
      </c>
      <c r="AP302" s="10">
        <v>0</v>
      </c>
      <c r="AQ302" s="26">
        <f t="shared" si="14"/>
        <v>0</v>
      </c>
    </row>
    <row r="303" spans="1:43" ht="17.25" customHeight="1" x14ac:dyDescent="0.45">
      <c r="A303" s="2" t="s">
        <v>13</v>
      </c>
      <c r="B303" s="2" t="s">
        <v>66</v>
      </c>
      <c r="C303" s="2" t="s">
        <v>113</v>
      </c>
      <c r="D303" s="2" t="s">
        <v>68</v>
      </c>
      <c r="E303" s="23">
        <v>0</v>
      </c>
      <c r="F303" s="1">
        <v>0</v>
      </c>
      <c r="G303" s="1">
        <v>0</v>
      </c>
      <c r="H303" s="1">
        <v>1</v>
      </c>
      <c r="I303" s="1">
        <v>0</v>
      </c>
      <c r="J303" s="1">
        <v>0</v>
      </c>
      <c r="K303" s="1">
        <v>0</v>
      </c>
      <c r="L303" s="1">
        <v>0</v>
      </c>
      <c r="M303" s="1">
        <v>0</v>
      </c>
      <c r="N303" s="1">
        <v>0</v>
      </c>
      <c r="O303" s="1">
        <v>0</v>
      </c>
      <c r="P303" s="1">
        <v>0</v>
      </c>
      <c r="Q303" s="24">
        <f t="shared" si="12"/>
        <v>1</v>
      </c>
      <c r="R303" s="23">
        <v>0</v>
      </c>
      <c r="S303" s="1">
        <v>0</v>
      </c>
      <c r="T303" s="1">
        <v>0</v>
      </c>
      <c r="U303" s="1">
        <v>54</v>
      </c>
      <c r="V303" s="1">
        <v>0</v>
      </c>
      <c r="W303" s="1">
        <v>0</v>
      </c>
      <c r="X303" s="1">
        <v>0</v>
      </c>
      <c r="Y303" s="1">
        <v>0</v>
      </c>
      <c r="Z303" s="1">
        <v>0</v>
      </c>
      <c r="AA303" s="1">
        <v>0</v>
      </c>
      <c r="AB303" s="1">
        <v>0</v>
      </c>
      <c r="AC303" s="1">
        <v>0</v>
      </c>
      <c r="AD303" s="24">
        <f t="shared" si="13"/>
        <v>54</v>
      </c>
      <c r="AE303" s="23">
        <v>0</v>
      </c>
      <c r="AF303" s="1">
        <v>0</v>
      </c>
      <c r="AG303" s="1">
        <v>0</v>
      </c>
      <c r="AH303" s="1">
        <v>0</v>
      </c>
      <c r="AI303" s="1">
        <v>0</v>
      </c>
      <c r="AJ303" s="1">
        <v>0</v>
      </c>
      <c r="AK303" s="1">
        <v>0</v>
      </c>
      <c r="AL303" s="1">
        <v>0</v>
      </c>
      <c r="AM303" s="1">
        <v>0</v>
      </c>
      <c r="AN303" s="1">
        <v>0</v>
      </c>
      <c r="AO303" s="1">
        <v>0</v>
      </c>
      <c r="AP303" s="1">
        <v>0</v>
      </c>
      <c r="AQ303" s="24">
        <f t="shared" si="14"/>
        <v>0</v>
      </c>
    </row>
    <row r="304" spans="1:43" ht="17.25" customHeight="1" x14ac:dyDescent="0.45">
      <c r="A304" s="12" t="s">
        <v>13</v>
      </c>
      <c r="B304" s="12" t="s">
        <v>66</v>
      </c>
      <c r="C304" s="12" t="s">
        <v>194</v>
      </c>
      <c r="D304" s="12" t="s">
        <v>68</v>
      </c>
      <c r="E304" s="25">
        <v>4</v>
      </c>
      <c r="F304" s="10">
        <v>1</v>
      </c>
      <c r="G304" s="10">
        <v>1</v>
      </c>
      <c r="H304" s="10">
        <v>3</v>
      </c>
      <c r="I304" s="10">
        <v>7</v>
      </c>
      <c r="J304" s="10">
        <v>0</v>
      </c>
      <c r="K304" s="10">
        <v>1</v>
      </c>
      <c r="L304" s="10">
        <v>2</v>
      </c>
      <c r="M304" s="10">
        <v>1</v>
      </c>
      <c r="N304" s="10">
        <v>3</v>
      </c>
      <c r="O304" s="10">
        <v>1</v>
      </c>
      <c r="P304" s="10">
        <v>8</v>
      </c>
      <c r="Q304" s="26">
        <f t="shared" si="12"/>
        <v>32</v>
      </c>
      <c r="R304" s="25">
        <v>0</v>
      </c>
      <c r="S304" s="10">
        <v>0</v>
      </c>
      <c r="T304" s="10">
        <v>0</v>
      </c>
      <c r="U304" s="10">
        <v>0</v>
      </c>
      <c r="V304" s="10">
        <v>0</v>
      </c>
      <c r="W304" s="10">
        <v>0</v>
      </c>
      <c r="X304" s="10">
        <v>0</v>
      </c>
      <c r="Y304" s="10">
        <v>0</v>
      </c>
      <c r="Z304" s="10">
        <v>0</v>
      </c>
      <c r="AA304" s="10">
        <v>39</v>
      </c>
      <c r="AB304" s="10">
        <v>0</v>
      </c>
      <c r="AC304" s="10">
        <v>0</v>
      </c>
      <c r="AD304" s="26">
        <f t="shared" si="13"/>
        <v>39</v>
      </c>
      <c r="AE304" s="25">
        <v>18312</v>
      </c>
      <c r="AF304" s="10">
        <v>2048</v>
      </c>
      <c r="AG304" s="10">
        <v>2560</v>
      </c>
      <c r="AH304" s="10">
        <v>3574</v>
      </c>
      <c r="AI304" s="10">
        <v>5010</v>
      </c>
      <c r="AJ304" s="10">
        <v>0</v>
      </c>
      <c r="AK304" s="10">
        <v>1853</v>
      </c>
      <c r="AL304" s="10">
        <v>1312</v>
      </c>
      <c r="AM304" s="10">
        <v>2864</v>
      </c>
      <c r="AN304" s="10">
        <v>11616</v>
      </c>
      <c r="AO304" s="10">
        <v>800</v>
      </c>
      <c r="AP304" s="10">
        <v>31523</v>
      </c>
      <c r="AQ304" s="26">
        <f t="shared" si="14"/>
        <v>81472</v>
      </c>
    </row>
    <row r="305" spans="1:43" ht="17.25" customHeight="1" x14ac:dyDescent="0.45">
      <c r="A305" s="2" t="s">
        <v>13</v>
      </c>
      <c r="B305" s="2" t="s">
        <v>66</v>
      </c>
      <c r="C305" s="2" t="s">
        <v>73</v>
      </c>
      <c r="D305" s="2" t="s">
        <v>68</v>
      </c>
      <c r="E305" s="23">
        <v>0</v>
      </c>
      <c r="F305" s="1">
        <v>0</v>
      </c>
      <c r="G305" s="1">
        <v>0</v>
      </c>
      <c r="H305" s="1">
        <v>0</v>
      </c>
      <c r="I305" s="1">
        <v>0</v>
      </c>
      <c r="J305" s="1">
        <v>0</v>
      </c>
      <c r="K305" s="1">
        <v>0</v>
      </c>
      <c r="L305" s="1">
        <v>0</v>
      </c>
      <c r="M305" s="1">
        <v>0</v>
      </c>
      <c r="N305" s="1">
        <v>0</v>
      </c>
      <c r="O305" s="1">
        <v>0</v>
      </c>
      <c r="P305" s="1">
        <v>1</v>
      </c>
      <c r="Q305" s="24">
        <f t="shared" si="12"/>
        <v>1</v>
      </c>
      <c r="R305" s="23">
        <v>0</v>
      </c>
      <c r="S305" s="1">
        <v>0</v>
      </c>
      <c r="T305" s="1">
        <v>0</v>
      </c>
      <c r="U305" s="1">
        <v>0</v>
      </c>
      <c r="V305" s="1">
        <v>0</v>
      </c>
      <c r="W305" s="1">
        <v>0</v>
      </c>
      <c r="X305" s="1">
        <v>0</v>
      </c>
      <c r="Y305" s="1">
        <v>0</v>
      </c>
      <c r="Z305" s="1">
        <v>0</v>
      </c>
      <c r="AA305" s="1">
        <v>0</v>
      </c>
      <c r="AB305" s="1">
        <v>0</v>
      </c>
      <c r="AC305" s="1">
        <v>3</v>
      </c>
      <c r="AD305" s="24">
        <f t="shared" si="13"/>
        <v>3</v>
      </c>
      <c r="AE305" s="23">
        <v>0</v>
      </c>
      <c r="AF305" s="1">
        <v>0</v>
      </c>
      <c r="AG305" s="1">
        <v>0</v>
      </c>
      <c r="AH305" s="1">
        <v>0</v>
      </c>
      <c r="AI305" s="1">
        <v>0</v>
      </c>
      <c r="AJ305" s="1">
        <v>0</v>
      </c>
      <c r="AK305" s="1">
        <v>0</v>
      </c>
      <c r="AL305" s="1">
        <v>0</v>
      </c>
      <c r="AM305" s="1">
        <v>0</v>
      </c>
      <c r="AN305" s="1">
        <v>0</v>
      </c>
      <c r="AO305" s="1">
        <v>0</v>
      </c>
      <c r="AP305" s="1">
        <v>0</v>
      </c>
      <c r="AQ305" s="24">
        <f t="shared" si="14"/>
        <v>0</v>
      </c>
    </row>
    <row r="306" spans="1:43" ht="17.25" customHeight="1" x14ac:dyDescent="0.45">
      <c r="A306" s="12" t="s">
        <v>13</v>
      </c>
      <c r="B306" s="12" t="s">
        <v>66</v>
      </c>
      <c r="C306" s="12" t="s">
        <v>195</v>
      </c>
      <c r="D306" s="12" t="s">
        <v>196</v>
      </c>
      <c r="E306" s="25">
        <v>0</v>
      </c>
      <c r="F306" s="10">
        <v>0</v>
      </c>
      <c r="G306" s="10">
        <v>0</v>
      </c>
      <c r="H306" s="10">
        <v>0</v>
      </c>
      <c r="I306" s="10">
        <v>0</v>
      </c>
      <c r="J306" s="10">
        <v>0</v>
      </c>
      <c r="K306" s="10">
        <v>1</v>
      </c>
      <c r="L306" s="10">
        <v>0</v>
      </c>
      <c r="M306" s="10">
        <v>0</v>
      </c>
      <c r="N306" s="10">
        <v>0</v>
      </c>
      <c r="O306" s="10">
        <v>0</v>
      </c>
      <c r="P306" s="10">
        <v>0</v>
      </c>
      <c r="Q306" s="26">
        <f t="shared" si="12"/>
        <v>1</v>
      </c>
      <c r="R306" s="25">
        <v>0</v>
      </c>
      <c r="S306" s="10">
        <v>0</v>
      </c>
      <c r="T306" s="10">
        <v>0</v>
      </c>
      <c r="U306" s="10">
        <v>0</v>
      </c>
      <c r="V306" s="10">
        <v>0</v>
      </c>
      <c r="W306" s="10">
        <v>0</v>
      </c>
      <c r="X306" s="10">
        <v>0</v>
      </c>
      <c r="Y306" s="10">
        <v>0</v>
      </c>
      <c r="Z306" s="10">
        <v>0</v>
      </c>
      <c r="AA306" s="10">
        <v>0</v>
      </c>
      <c r="AB306" s="10">
        <v>0</v>
      </c>
      <c r="AC306" s="10">
        <v>0</v>
      </c>
      <c r="AD306" s="26">
        <f t="shared" si="13"/>
        <v>0</v>
      </c>
      <c r="AE306" s="25">
        <v>0</v>
      </c>
      <c r="AF306" s="10">
        <v>0</v>
      </c>
      <c r="AG306" s="10">
        <v>0</v>
      </c>
      <c r="AH306" s="10">
        <v>0</v>
      </c>
      <c r="AI306" s="10">
        <v>0</v>
      </c>
      <c r="AJ306" s="10">
        <v>0</v>
      </c>
      <c r="AK306" s="10">
        <v>5559</v>
      </c>
      <c r="AL306" s="10">
        <v>0</v>
      </c>
      <c r="AM306" s="10">
        <v>0</v>
      </c>
      <c r="AN306" s="10">
        <v>0</v>
      </c>
      <c r="AO306" s="10">
        <v>0</v>
      </c>
      <c r="AP306" s="10">
        <v>0</v>
      </c>
      <c r="AQ306" s="26">
        <f t="shared" si="14"/>
        <v>5559</v>
      </c>
    </row>
    <row r="307" spans="1:43" ht="17.25" customHeight="1" x14ac:dyDescent="0.45">
      <c r="A307" s="2" t="s">
        <v>13</v>
      </c>
      <c r="B307" s="2" t="s">
        <v>66</v>
      </c>
      <c r="C307" s="2" t="s">
        <v>126</v>
      </c>
      <c r="D307" s="2" t="s">
        <v>68</v>
      </c>
      <c r="E307" s="23">
        <v>0</v>
      </c>
      <c r="F307" s="1">
        <v>0</v>
      </c>
      <c r="G307" s="1">
        <v>0</v>
      </c>
      <c r="H307" s="1">
        <v>0</v>
      </c>
      <c r="I307" s="1">
        <v>2</v>
      </c>
      <c r="J307" s="1">
        <v>0</v>
      </c>
      <c r="K307" s="1">
        <v>0</v>
      </c>
      <c r="L307" s="1">
        <v>0</v>
      </c>
      <c r="M307" s="1">
        <v>0</v>
      </c>
      <c r="N307" s="1">
        <v>0</v>
      </c>
      <c r="O307" s="1">
        <v>0</v>
      </c>
      <c r="P307" s="1">
        <v>0</v>
      </c>
      <c r="Q307" s="24">
        <f t="shared" si="12"/>
        <v>2</v>
      </c>
      <c r="R307" s="23">
        <v>0</v>
      </c>
      <c r="S307" s="1">
        <v>0</v>
      </c>
      <c r="T307" s="1">
        <v>0</v>
      </c>
      <c r="U307" s="1">
        <v>0</v>
      </c>
      <c r="V307" s="1">
        <v>0</v>
      </c>
      <c r="W307" s="1">
        <v>0</v>
      </c>
      <c r="X307" s="1">
        <v>0</v>
      </c>
      <c r="Y307" s="1">
        <v>0</v>
      </c>
      <c r="Z307" s="1">
        <v>0</v>
      </c>
      <c r="AA307" s="1">
        <v>0</v>
      </c>
      <c r="AB307" s="1">
        <v>0</v>
      </c>
      <c r="AC307" s="1">
        <v>0</v>
      </c>
      <c r="AD307" s="24">
        <f t="shared" si="13"/>
        <v>0</v>
      </c>
      <c r="AE307" s="23">
        <v>0</v>
      </c>
      <c r="AF307" s="1">
        <v>0</v>
      </c>
      <c r="AG307" s="1">
        <v>0</v>
      </c>
      <c r="AH307" s="1">
        <v>0</v>
      </c>
      <c r="AI307" s="1">
        <v>3986</v>
      </c>
      <c r="AJ307" s="1">
        <v>0</v>
      </c>
      <c r="AK307" s="1">
        <v>0</v>
      </c>
      <c r="AL307" s="1">
        <v>0</v>
      </c>
      <c r="AM307" s="1">
        <v>0</v>
      </c>
      <c r="AN307" s="1">
        <v>0</v>
      </c>
      <c r="AO307" s="1">
        <v>0</v>
      </c>
      <c r="AP307" s="1">
        <v>0</v>
      </c>
      <c r="AQ307" s="24">
        <f t="shared" si="14"/>
        <v>3986</v>
      </c>
    </row>
    <row r="308" spans="1:43" ht="17.25" customHeight="1" x14ac:dyDescent="0.45">
      <c r="A308" s="12" t="s">
        <v>13</v>
      </c>
      <c r="B308" s="12" t="s">
        <v>66</v>
      </c>
      <c r="C308" s="12" t="s">
        <v>148</v>
      </c>
      <c r="D308" s="12" t="s">
        <v>68</v>
      </c>
      <c r="E308" s="25">
        <v>0</v>
      </c>
      <c r="F308" s="10">
        <v>0</v>
      </c>
      <c r="G308" s="10">
        <v>0</v>
      </c>
      <c r="H308" s="10">
        <v>1</v>
      </c>
      <c r="I308" s="10">
        <v>0</v>
      </c>
      <c r="J308" s="10">
        <v>0</v>
      </c>
      <c r="K308" s="10">
        <v>0</v>
      </c>
      <c r="L308" s="10">
        <v>0</v>
      </c>
      <c r="M308" s="10">
        <v>0</v>
      </c>
      <c r="N308" s="10">
        <v>0</v>
      </c>
      <c r="O308" s="10">
        <v>0</v>
      </c>
      <c r="P308" s="10">
        <v>0</v>
      </c>
      <c r="Q308" s="26">
        <f t="shared" si="12"/>
        <v>1</v>
      </c>
      <c r="R308" s="25">
        <v>0</v>
      </c>
      <c r="S308" s="10">
        <v>0</v>
      </c>
      <c r="T308" s="10">
        <v>0</v>
      </c>
      <c r="U308" s="10">
        <v>43</v>
      </c>
      <c r="V308" s="10">
        <v>0</v>
      </c>
      <c r="W308" s="10">
        <v>0</v>
      </c>
      <c r="X308" s="10">
        <v>0</v>
      </c>
      <c r="Y308" s="10">
        <v>0</v>
      </c>
      <c r="Z308" s="10">
        <v>0</v>
      </c>
      <c r="AA308" s="10">
        <v>0</v>
      </c>
      <c r="AB308" s="10">
        <v>0</v>
      </c>
      <c r="AC308" s="10">
        <v>0</v>
      </c>
      <c r="AD308" s="26">
        <f t="shared" si="13"/>
        <v>43</v>
      </c>
      <c r="AE308" s="25">
        <v>0</v>
      </c>
      <c r="AF308" s="10">
        <v>0</v>
      </c>
      <c r="AG308" s="10">
        <v>0</v>
      </c>
      <c r="AH308" s="10">
        <v>0</v>
      </c>
      <c r="AI308" s="10">
        <v>0</v>
      </c>
      <c r="AJ308" s="10">
        <v>0</v>
      </c>
      <c r="AK308" s="10">
        <v>0</v>
      </c>
      <c r="AL308" s="10">
        <v>0</v>
      </c>
      <c r="AM308" s="10">
        <v>0</v>
      </c>
      <c r="AN308" s="10">
        <v>0</v>
      </c>
      <c r="AO308" s="10">
        <v>0</v>
      </c>
      <c r="AP308" s="10">
        <v>0</v>
      </c>
      <c r="AQ308" s="26">
        <f t="shared" si="14"/>
        <v>0</v>
      </c>
    </row>
    <row r="309" spans="1:43" ht="17.25" customHeight="1" x14ac:dyDescent="0.45">
      <c r="A309" s="2" t="s">
        <v>13</v>
      </c>
      <c r="B309" s="2" t="s">
        <v>66</v>
      </c>
      <c r="C309" s="2" t="s">
        <v>149</v>
      </c>
      <c r="D309" s="2" t="s">
        <v>68</v>
      </c>
      <c r="E309" s="23">
        <v>0</v>
      </c>
      <c r="F309" s="1">
        <v>0</v>
      </c>
      <c r="G309" s="1">
        <v>0</v>
      </c>
      <c r="H309" s="1">
        <v>0</v>
      </c>
      <c r="I309" s="1">
        <v>0</v>
      </c>
      <c r="J309" s="1">
        <v>0</v>
      </c>
      <c r="K309" s="1">
        <v>0</v>
      </c>
      <c r="L309" s="1">
        <v>0</v>
      </c>
      <c r="M309" s="1">
        <v>0</v>
      </c>
      <c r="N309" s="1">
        <v>1</v>
      </c>
      <c r="O309" s="1">
        <v>0</v>
      </c>
      <c r="P309" s="1">
        <v>0</v>
      </c>
      <c r="Q309" s="24">
        <f t="shared" si="12"/>
        <v>1</v>
      </c>
      <c r="R309" s="23">
        <v>0</v>
      </c>
      <c r="S309" s="1">
        <v>0</v>
      </c>
      <c r="T309" s="1">
        <v>0</v>
      </c>
      <c r="U309" s="1">
        <v>0</v>
      </c>
      <c r="V309" s="1">
        <v>0</v>
      </c>
      <c r="W309" s="1">
        <v>0</v>
      </c>
      <c r="X309" s="1">
        <v>0</v>
      </c>
      <c r="Y309" s="1">
        <v>0</v>
      </c>
      <c r="Z309" s="1">
        <v>0</v>
      </c>
      <c r="AA309" s="1">
        <v>62</v>
      </c>
      <c r="AB309" s="1">
        <v>0</v>
      </c>
      <c r="AC309" s="1">
        <v>0</v>
      </c>
      <c r="AD309" s="24">
        <f t="shared" si="13"/>
        <v>62</v>
      </c>
      <c r="AE309" s="23">
        <v>0</v>
      </c>
      <c r="AF309" s="1">
        <v>0</v>
      </c>
      <c r="AG309" s="1">
        <v>0</v>
      </c>
      <c r="AH309" s="1">
        <v>0</v>
      </c>
      <c r="AI309" s="1">
        <v>0</v>
      </c>
      <c r="AJ309" s="1">
        <v>0</v>
      </c>
      <c r="AK309" s="1">
        <v>0</v>
      </c>
      <c r="AL309" s="1">
        <v>0</v>
      </c>
      <c r="AM309" s="1">
        <v>0</v>
      </c>
      <c r="AN309" s="1">
        <v>0</v>
      </c>
      <c r="AO309" s="1">
        <v>0</v>
      </c>
      <c r="AP309" s="1">
        <v>0</v>
      </c>
      <c r="AQ309" s="24">
        <f t="shared" si="14"/>
        <v>0</v>
      </c>
    </row>
    <row r="310" spans="1:43" ht="17.25" customHeight="1" x14ac:dyDescent="0.45">
      <c r="A310" s="12" t="s">
        <v>13</v>
      </c>
      <c r="B310" s="12" t="s">
        <v>66</v>
      </c>
      <c r="C310" s="12" t="s">
        <v>274</v>
      </c>
      <c r="D310" s="12" t="s">
        <v>68</v>
      </c>
      <c r="E310" s="25">
        <v>0</v>
      </c>
      <c r="F310" s="10">
        <v>0</v>
      </c>
      <c r="G310" s="10">
        <v>0</v>
      </c>
      <c r="H310" s="10">
        <v>0</v>
      </c>
      <c r="I310" s="10">
        <v>0</v>
      </c>
      <c r="J310" s="10">
        <v>0</v>
      </c>
      <c r="K310" s="10">
        <v>1</v>
      </c>
      <c r="L310" s="10">
        <v>0</v>
      </c>
      <c r="M310" s="10">
        <v>0</v>
      </c>
      <c r="N310" s="10">
        <v>0</v>
      </c>
      <c r="O310" s="10">
        <v>0</v>
      </c>
      <c r="P310" s="10">
        <v>0</v>
      </c>
      <c r="Q310" s="26">
        <f t="shared" si="12"/>
        <v>1</v>
      </c>
      <c r="R310" s="25">
        <v>0</v>
      </c>
      <c r="S310" s="10">
        <v>0</v>
      </c>
      <c r="T310" s="10">
        <v>0</v>
      </c>
      <c r="U310" s="10">
        <v>0</v>
      </c>
      <c r="V310" s="10">
        <v>0</v>
      </c>
      <c r="W310" s="10">
        <v>0</v>
      </c>
      <c r="X310" s="10">
        <v>2</v>
      </c>
      <c r="Y310" s="10">
        <v>0</v>
      </c>
      <c r="Z310" s="10">
        <v>0</v>
      </c>
      <c r="AA310" s="10">
        <v>0</v>
      </c>
      <c r="AB310" s="10">
        <v>0</v>
      </c>
      <c r="AC310" s="10">
        <v>0</v>
      </c>
      <c r="AD310" s="26">
        <f t="shared" si="13"/>
        <v>2</v>
      </c>
      <c r="AE310" s="25">
        <v>0</v>
      </c>
      <c r="AF310" s="10">
        <v>0</v>
      </c>
      <c r="AG310" s="10">
        <v>0</v>
      </c>
      <c r="AH310" s="10">
        <v>0</v>
      </c>
      <c r="AI310" s="10">
        <v>0</v>
      </c>
      <c r="AJ310" s="10">
        <v>0</v>
      </c>
      <c r="AK310" s="10">
        <v>0</v>
      </c>
      <c r="AL310" s="10">
        <v>0</v>
      </c>
      <c r="AM310" s="10">
        <v>0</v>
      </c>
      <c r="AN310" s="10">
        <v>0</v>
      </c>
      <c r="AO310" s="10">
        <v>0</v>
      </c>
      <c r="AP310" s="10">
        <v>0</v>
      </c>
      <c r="AQ310" s="26">
        <f t="shared" si="14"/>
        <v>0</v>
      </c>
    </row>
    <row r="311" spans="1:43" ht="17.25" customHeight="1" x14ac:dyDescent="0.45">
      <c r="A311" s="2" t="s">
        <v>13</v>
      </c>
      <c r="B311" s="2" t="s">
        <v>66</v>
      </c>
      <c r="C311" s="2" t="s">
        <v>166</v>
      </c>
      <c r="D311" s="2" t="s">
        <v>65</v>
      </c>
      <c r="E311" s="23">
        <v>0</v>
      </c>
      <c r="F311" s="1">
        <v>1</v>
      </c>
      <c r="G311" s="1">
        <v>0</v>
      </c>
      <c r="H311" s="1">
        <v>0</v>
      </c>
      <c r="I311" s="1">
        <v>0</v>
      </c>
      <c r="J311" s="1">
        <v>0</v>
      </c>
      <c r="K311" s="1">
        <v>0</v>
      </c>
      <c r="L311" s="1">
        <v>0</v>
      </c>
      <c r="M311" s="1">
        <v>0</v>
      </c>
      <c r="N311" s="1">
        <v>0</v>
      </c>
      <c r="O311" s="1">
        <v>0</v>
      </c>
      <c r="P311" s="1">
        <v>0</v>
      </c>
      <c r="Q311" s="24">
        <f t="shared" si="12"/>
        <v>1</v>
      </c>
      <c r="R311" s="23">
        <v>0</v>
      </c>
      <c r="S311" s="1">
        <v>47</v>
      </c>
      <c r="T311" s="1">
        <v>0</v>
      </c>
      <c r="U311" s="1">
        <v>0</v>
      </c>
      <c r="V311" s="1">
        <v>0</v>
      </c>
      <c r="W311" s="1">
        <v>0</v>
      </c>
      <c r="X311" s="1">
        <v>0</v>
      </c>
      <c r="Y311" s="1">
        <v>0</v>
      </c>
      <c r="Z311" s="1">
        <v>0</v>
      </c>
      <c r="AA311" s="1">
        <v>0</v>
      </c>
      <c r="AB311" s="1">
        <v>0</v>
      </c>
      <c r="AC311" s="1">
        <v>0</v>
      </c>
      <c r="AD311" s="24">
        <f t="shared" si="13"/>
        <v>47</v>
      </c>
      <c r="AE311" s="23">
        <v>0</v>
      </c>
      <c r="AF311" s="1">
        <v>0</v>
      </c>
      <c r="AG311" s="1">
        <v>0</v>
      </c>
      <c r="AH311" s="1">
        <v>0</v>
      </c>
      <c r="AI311" s="1">
        <v>0</v>
      </c>
      <c r="AJ311" s="1">
        <v>0</v>
      </c>
      <c r="AK311" s="1">
        <v>0</v>
      </c>
      <c r="AL311" s="1">
        <v>0</v>
      </c>
      <c r="AM311" s="1">
        <v>0</v>
      </c>
      <c r="AN311" s="1">
        <v>0</v>
      </c>
      <c r="AO311" s="1">
        <v>0</v>
      </c>
      <c r="AP311" s="1">
        <v>0</v>
      </c>
      <c r="AQ311" s="24">
        <f t="shared" si="14"/>
        <v>0</v>
      </c>
    </row>
    <row r="312" spans="1:43" ht="17.25" customHeight="1" x14ac:dyDescent="0.45">
      <c r="A312" s="12" t="s">
        <v>328</v>
      </c>
      <c r="B312" s="12" t="s">
        <v>68</v>
      </c>
      <c r="C312" s="12" t="s">
        <v>30</v>
      </c>
      <c r="D312" s="12" t="s">
        <v>66</v>
      </c>
      <c r="E312" s="25">
        <v>0</v>
      </c>
      <c r="F312" s="10">
        <v>0</v>
      </c>
      <c r="G312" s="10">
        <v>0</v>
      </c>
      <c r="H312" s="10">
        <v>0</v>
      </c>
      <c r="I312" s="10">
        <v>0</v>
      </c>
      <c r="J312" s="10">
        <v>0</v>
      </c>
      <c r="K312" s="10">
        <v>0</v>
      </c>
      <c r="L312" s="10">
        <v>0</v>
      </c>
      <c r="M312" s="10">
        <v>0</v>
      </c>
      <c r="N312" s="10">
        <v>1</v>
      </c>
      <c r="O312" s="10">
        <v>0</v>
      </c>
      <c r="P312" s="10">
        <v>0</v>
      </c>
      <c r="Q312" s="26">
        <f t="shared" si="12"/>
        <v>1</v>
      </c>
      <c r="R312" s="25">
        <v>0</v>
      </c>
      <c r="S312" s="10">
        <v>0</v>
      </c>
      <c r="T312" s="10">
        <v>0</v>
      </c>
      <c r="U312" s="10">
        <v>0</v>
      </c>
      <c r="V312" s="10">
        <v>0</v>
      </c>
      <c r="W312" s="10">
        <v>0</v>
      </c>
      <c r="X312" s="10">
        <v>0</v>
      </c>
      <c r="Y312" s="10">
        <v>0</v>
      </c>
      <c r="Z312" s="10">
        <v>0</v>
      </c>
      <c r="AA312" s="10">
        <v>0</v>
      </c>
      <c r="AB312" s="10">
        <v>0</v>
      </c>
      <c r="AC312" s="10">
        <v>0</v>
      </c>
      <c r="AD312" s="26">
        <f t="shared" si="13"/>
        <v>0</v>
      </c>
      <c r="AE312" s="25">
        <v>0</v>
      </c>
      <c r="AF312" s="10">
        <v>0</v>
      </c>
      <c r="AG312" s="10">
        <v>0</v>
      </c>
      <c r="AH312" s="10">
        <v>0</v>
      </c>
      <c r="AI312" s="10">
        <v>0</v>
      </c>
      <c r="AJ312" s="10">
        <v>0</v>
      </c>
      <c r="AK312" s="10">
        <v>0</v>
      </c>
      <c r="AL312" s="10">
        <v>0</v>
      </c>
      <c r="AM312" s="10">
        <v>0</v>
      </c>
      <c r="AN312" s="10">
        <v>48463</v>
      </c>
      <c r="AO312" s="10">
        <v>0</v>
      </c>
      <c r="AP312" s="10">
        <v>0</v>
      </c>
      <c r="AQ312" s="26">
        <f t="shared" si="14"/>
        <v>48463</v>
      </c>
    </row>
    <row r="313" spans="1:43" ht="17.25" customHeight="1" x14ac:dyDescent="0.45">
      <c r="A313" s="2" t="s">
        <v>70</v>
      </c>
      <c r="B313" s="2" t="s">
        <v>65</v>
      </c>
      <c r="C313" s="2" t="s">
        <v>12</v>
      </c>
      <c r="D313" s="2" t="s">
        <v>66</v>
      </c>
      <c r="E313" s="23">
        <v>0</v>
      </c>
      <c r="F313" s="1">
        <v>0</v>
      </c>
      <c r="G313" s="1">
        <v>0</v>
      </c>
      <c r="H313" s="1">
        <v>0</v>
      </c>
      <c r="I313" s="1">
        <v>0</v>
      </c>
      <c r="J313" s="1">
        <v>0</v>
      </c>
      <c r="K313" s="1">
        <v>0</v>
      </c>
      <c r="L313" s="1">
        <v>0</v>
      </c>
      <c r="M313" s="1">
        <v>0</v>
      </c>
      <c r="N313" s="1">
        <v>1</v>
      </c>
      <c r="O313" s="1">
        <v>1</v>
      </c>
      <c r="P313" s="1">
        <v>0</v>
      </c>
      <c r="Q313" s="24">
        <f t="shared" si="12"/>
        <v>2</v>
      </c>
      <c r="R313" s="23">
        <v>0</v>
      </c>
      <c r="S313" s="1">
        <v>0</v>
      </c>
      <c r="T313" s="1">
        <v>0</v>
      </c>
      <c r="U313" s="1">
        <v>0</v>
      </c>
      <c r="V313" s="1">
        <v>0</v>
      </c>
      <c r="W313" s="1">
        <v>0</v>
      </c>
      <c r="X313" s="1">
        <v>0</v>
      </c>
      <c r="Y313" s="1">
        <v>0</v>
      </c>
      <c r="Z313" s="1">
        <v>0</v>
      </c>
      <c r="AA313" s="1">
        <v>160</v>
      </c>
      <c r="AB313" s="1">
        <v>162</v>
      </c>
      <c r="AC313" s="1">
        <v>0</v>
      </c>
      <c r="AD313" s="24">
        <f t="shared" si="13"/>
        <v>322</v>
      </c>
      <c r="AE313" s="23">
        <v>0</v>
      </c>
      <c r="AF313" s="1">
        <v>0</v>
      </c>
      <c r="AG313" s="1">
        <v>0</v>
      </c>
      <c r="AH313" s="1">
        <v>0</v>
      </c>
      <c r="AI313" s="1">
        <v>0</v>
      </c>
      <c r="AJ313" s="1">
        <v>0</v>
      </c>
      <c r="AK313" s="1">
        <v>0</v>
      </c>
      <c r="AL313" s="1">
        <v>0</v>
      </c>
      <c r="AM313" s="1">
        <v>0</v>
      </c>
      <c r="AN313" s="1">
        <v>0</v>
      </c>
      <c r="AO313" s="1">
        <v>0</v>
      </c>
      <c r="AP313" s="1">
        <v>0</v>
      </c>
      <c r="AQ313" s="24">
        <f t="shared" si="14"/>
        <v>0</v>
      </c>
    </row>
    <row r="314" spans="1:43" ht="17.25" customHeight="1" x14ac:dyDescent="0.45">
      <c r="A314" s="12" t="s">
        <v>70</v>
      </c>
      <c r="B314" s="12" t="s">
        <v>65</v>
      </c>
      <c r="C314" s="12" t="s">
        <v>14</v>
      </c>
      <c r="D314" s="12" t="s">
        <v>66</v>
      </c>
      <c r="E314" s="25">
        <v>0</v>
      </c>
      <c r="F314" s="10">
        <v>0</v>
      </c>
      <c r="G314" s="10">
        <v>0</v>
      </c>
      <c r="H314" s="10">
        <v>0</v>
      </c>
      <c r="I314" s="10">
        <v>0</v>
      </c>
      <c r="J314" s="10">
        <v>0</v>
      </c>
      <c r="K314" s="10">
        <v>0</v>
      </c>
      <c r="L314" s="10">
        <v>1</v>
      </c>
      <c r="M314" s="10">
        <v>0</v>
      </c>
      <c r="N314" s="10">
        <v>0</v>
      </c>
      <c r="O314" s="10">
        <v>0</v>
      </c>
      <c r="P314" s="10">
        <v>0</v>
      </c>
      <c r="Q314" s="26">
        <f t="shared" si="12"/>
        <v>1</v>
      </c>
      <c r="R314" s="25">
        <v>0</v>
      </c>
      <c r="S314" s="10">
        <v>0</v>
      </c>
      <c r="T314" s="10">
        <v>0</v>
      </c>
      <c r="U314" s="10">
        <v>0</v>
      </c>
      <c r="V314" s="10">
        <v>0</v>
      </c>
      <c r="W314" s="10">
        <v>0</v>
      </c>
      <c r="X314" s="10">
        <v>0</v>
      </c>
      <c r="Y314" s="10">
        <v>0</v>
      </c>
      <c r="Z314" s="10">
        <v>0</v>
      </c>
      <c r="AA314" s="10">
        <v>0</v>
      </c>
      <c r="AB314" s="10">
        <v>0</v>
      </c>
      <c r="AC314" s="10">
        <v>0</v>
      </c>
      <c r="AD314" s="26">
        <f t="shared" si="13"/>
        <v>0</v>
      </c>
      <c r="AE314" s="25">
        <v>0</v>
      </c>
      <c r="AF314" s="10">
        <v>0</v>
      </c>
      <c r="AG314" s="10">
        <v>0</v>
      </c>
      <c r="AH314" s="10">
        <v>0</v>
      </c>
      <c r="AI314" s="10">
        <v>0</v>
      </c>
      <c r="AJ314" s="10">
        <v>0</v>
      </c>
      <c r="AK314" s="10">
        <v>0</v>
      </c>
      <c r="AL314" s="10">
        <v>34689</v>
      </c>
      <c r="AM314" s="10">
        <v>0</v>
      </c>
      <c r="AN314" s="10">
        <v>0</v>
      </c>
      <c r="AO314" s="10">
        <v>0</v>
      </c>
      <c r="AP314" s="10">
        <v>0</v>
      </c>
      <c r="AQ314" s="26">
        <f t="shared" si="14"/>
        <v>34689</v>
      </c>
    </row>
    <row r="315" spans="1:43" ht="17.25" customHeight="1" x14ac:dyDescent="0.45">
      <c r="A315" s="2" t="s">
        <v>384</v>
      </c>
      <c r="B315" s="2" t="s">
        <v>385</v>
      </c>
      <c r="C315" s="2" t="s">
        <v>11</v>
      </c>
      <c r="D315" s="2" t="s">
        <v>66</v>
      </c>
      <c r="E315" s="23">
        <v>0</v>
      </c>
      <c r="F315" s="1">
        <v>0</v>
      </c>
      <c r="G315" s="1">
        <v>0</v>
      </c>
      <c r="H315" s="1">
        <v>0</v>
      </c>
      <c r="I315" s="1">
        <v>0</v>
      </c>
      <c r="J315" s="1">
        <v>0</v>
      </c>
      <c r="K315" s="1">
        <v>0</v>
      </c>
      <c r="L315" s="1">
        <v>0</v>
      </c>
      <c r="M315" s="1">
        <v>0</v>
      </c>
      <c r="N315" s="1">
        <v>0</v>
      </c>
      <c r="O315" s="1">
        <v>0</v>
      </c>
      <c r="P315" s="1">
        <v>1</v>
      </c>
      <c r="Q315" s="24">
        <f t="shared" si="12"/>
        <v>1</v>
      </c>
      <c r="R315" s="23">
        <v>0</v>
      </c>
      <c r="S315" s="1">
        <v>0</v>
      </c>
      <c r="T315" s="1">
        <v>0</v>
      </c>
      <c r="U315" s="1">
        <v>0</v>
      </c>
      <c r="V315" s="1">
        <v>0</v>
      </c>
      <c r="W315" s="1">
        <v>0</v>
      </c>
      <c r="X315" s="1">
        <v>0</v>
      </c>
      <c r="Y315" s="1">
        <v>0</v>
      </c>
      <c r="Z315" s="1">
        <v>0</v>
      </c>
      <c r="AA315" s="1">
        <v>0</v>
      </c>
      <c r="AB315" s="1">
        <v>0</v>
      </c>
      <c r="AC315" s="1">
        <v>0</v>
      </c>
      <c r="AD315" s="24">
        <f t="shared" si="13"/>
        <v>0</v>
      </c>
      <c r="AE315" s="23">
        <v>0</v>
      </c>
      <c r="AF315" s="1">
        <v>0</v>
      </c>
      <c r="AG315" s="1">
        <v>0</v>
      </c>
      <c r="AH315" s="1">
        <v>0</v>
      </c>
      <c r="AI315" s="1">
        <v>0</v>
      </c>
      <c r="AJ315" s="1">
        <v>0</v>
      </c>
      <c r="AK315" s="1">
        <v>0</v>
      </c>
      <c r="AL315" s="1">
        <v>0</v>
      </c>
      <c r="AM315" s="1">
        <v>0</v>
      </c>
      <c r="AN315" s="1">
        <v>0</v>
      </c>
      <c r="AO315" s="1">
        <v>0</v>
      </c>
      <c r="AP315" s="1">
        <v>7771</v>
      </c>
      <c r="AQ315" s="24">
        <f t="shared" si="14"/>
        <v>7771</v>
      </c>
    </row>
    <row r="316" spans="1:43" ht="17.25" customHeight="1" x14ac:dyDescent="0.45">
      <c r="A316" s="12" t="s">
        <v>132</v>
      </c>
      <c r="B316" s="12" t="s">
        <v>68</v>
      </c>
      <c r="C316" s="12" t="s">
        <v>13</v>
      </c>
      <c r="D316" s="12" t="s">
        <v>66</v>
      </c>
      <c r="E316" s="25">
        <v>0</v>
      </c>
      <c r="F316" s="10">
        <v>0</v>
      </c>
      <c r="G316" s="10">
        <v>0</v>
      </c>
      <c r="H316" s="10">
        <v>0</v>
      </c>
      <c r="I316" s="10">
        <v>0</v>
      </c>
      <c r="J316" s="10">
        <v>0</v>
      </c>
      <c r="K316" s="10">
        <v>0</v>
      </c>
      <c r="L316" s="10">
        <v>1</v>
      </c>
      <c r="M316" s="10">
        <v>0</v>
      </c>
      <c r="N316" s="10">
        <v>0</v>
      </c>
      <c r="O316" s="10">
        <v>0</v>
      </c>
      <c r="P316" s="10">
        <v>0</v>
      </c>
      <c r="Q316" s="26">
        <f t="shared" si="12"/>
        <v>1</v>
      </c>
      <c r="R316" s="25">
        <v>0</v>
      </c>
      <c r="S316" s="10">
        <v>0</v>
      </c>
      <c r="T316" s="10">
        <v>0</v>
      </c>
      <c r="U316" s="10">
        <v>0</v>
      </c>
      <c r="V316" s="10">
        <v>0</v>
      </c>
      <c r="W316" s="10">
        <v>0</v>
      </c>
      <c r="X316" s="10">
        <v>0</v>
      </c>
      <c r="Y316" s="10">
        <v>55</v>
      </c>
      <c r="Z316" s="10">
        <v>0</v>
      </c>
      <c r="AA316" s="10">
        <v>0</v>
      </c>
      <c r="AB316" s="10">
        <v>0</v>
      </c>
      <c r="AC316" s="10">
        <v>0</v>
      </c>
      <c r="AD316" s="26">
        <f t="shared" si="13"/>
        <v>55</v>
      </c>
      <c r="AE316" s="25">
        <v>0</v>
      </c>
      <c r="AF316" s="10">
        <v>0</v>
      </c>
      <c r="AG316" s="10">
        <v>0</v>
      </c>
      <c r="AH316" s="10">
        <v>0</v>
      </c>
      <c r="AI316" s="10">
        <v>0</v>
      </c>
      <c r="AJ316" s="10">
        <v>0</v>
      </c>
      <c r="AK316" s="10">
        <v>0</v>
      </c>
      <c r="AL316" s="10">
        <v>0</v>
      </c>
      <c r="AM316" s="10">
        <v>0</v>
      </c>
      <c r="AN316" s="10">
        <v>0</v>
      </c>
      <c r="AO316" s="10">
        <v>0</v>
      </c>
      <c r="AP316" s="10">
        <v>0</v>
      </c>
      <c r="AQ316" s="26">
        <f t="shared" si="14"/>
        <v>0</v>
      </c>
    </row>
    <row r="317" spans="1:43" ht="17.25" customHeight="1" x14ac:dyDescent="0.45">
      <c r="A317" s="2" t="s">
        <v>285</v>
      </c>
      <c r="B317" s="2" t="s">
        <v>68</v>
      </c>
      <c r="C317" s="2" t="s">
        <v>206</v>
      </c>
      <c r="D317" s="2" t="s">
        <v>66</v>
      </c>
      <c r="E317" s="23">
        <v>0</v>
      </c>
      <c r="F317" s="1">
        <v>0</v>
      </c>
      <c r="G317" s="1">
        <v>0</v>
      </c>
      <c r="H317" s="1">
        <v>2</v>
      </c>
      <c r="I317" s="1">
        <v>0</v>
      </c>
      <c r="J317" s="1">
        <v>0</v>
      </c>
      <c r="K317" s="1">
        <v>0</v>
      </c>
      <c r="L317" s="1">
        <v>0</v>
      </c>
      <c r="M317" s="1">
        <v>0</v>
      </c>
      <c r="N317" s="1">
        <v>0</v>
      </c>
      <c r="O317" s="1">
        <v>0</v>
      </c>
      <c r="P317" s="1">
        <v>0</v>
      </c>
      <c r="Q317" s="24">
        <f t="shared" si="12"/>
        <v>2</v>
      </c>
      <c r="R317" s="23">
        <v>0</v>
      </c>
      <c r="S317" s="1">
        <v>0</v>
      </c>
      <c r="T317" s="1">
        <v>0</v>
      </c>
      <c r="U317" s="1">
        <v>0</v>
      </c>
      <c r="V317" s="1">
        <v>0</v>
      </c>
      <c r="W317" s="1">
        <v>0</v>
      </c>
      <c r="X317" s="1">
        <v>0</v>
      </c>
      <c r="Y317" s="1">
        <v>0</v>
      </c>
      <c r="Z317" s="1">
        <v>0</v>
      </c>
      <c r="AA317" s="1">
        <v>0</v>
      </c>
      <c r="AB317" s="1">
        <v>0</v>
      </c>
      <c r="AC317" s="1">
        <v>0</v>
      </c>
      <c r="AD317" s="24">
        <f t="shared" si="13"/>
        <v>0</v>
      </c>
      <c r="AE317" s="23">
        <v>0</v>
      </c>
      <c r="AF317" s="1">
        <v>0</v>
      </c>
      <c r="AG317" s="1">
        <v>0</v>
      </c>
      <c r="AH317" s="1">
        <v>31609</v>
      </c>
      <c r="AI317" s="1">
        <v>0</v>
      </c>
      <c r="AJ317" s="1">
        <v>0</v>
      </c>
      <c r="AK317" s="1">
        <v>0</v>
      </c>
      <c r="AL317" s="1">
        <v>0</v>
      </c>
      <c r="AM317" s="1">
        <v>0</v>
      </c>
      <c r="AN317" s="1">
        <v>0</v>
      </c>
      <c r="AO317" s="1">
        <v>0</v>
      </c>
      <c r="AP317" s="1">
        <v>0</v>
      </c>
      <c r="AQ317" s="24">
        <f t="shared" si="14"/>
        <v>31609</v>
      </c>
    </row>
    <row r="318" spans="1:43" ht="17.25" customHeight="1" x14ac:dyDescent="0.45">
      <c r="A318" s="12" t="s">
        <v>285</v>
      </c>
      <c r="B318" s="12" t="s">
        <v>68</v>
      </c>
      <c r="C318" s="12" t="s">
        <v>30</v>
      </c>
      <c r="D318" s="12" t="s">
        <v>66</v>
      </c>
      <c r="E318" s="25">
        <v>0</v>
      </c>
      <c r="F318" s="10">
        <v>0</v>
      </c>
      <c r="G318" s="10">
        <v>0</v>
      </c>
      <c r="H318" s="10">
        <v>0</v>
      </c>
      <c r="I318" s="10">
        <v>0</v>
      </c>
      <c r="J318" s="10">
        <v>1</v>
      </c>
      <c r="K318" s="10">
        <v>0</v>
      </c>
      <c r="L318" s="10">
        <v>0</v>
      </c>
      <c r="M318" s="10">
        <v>0</v>
      </c>
      <c r="N318" s="10">
        <v>0</v>
      </c>
      <c r="O318" s="10">
        <v>0</v>
      </c>
      <c r="P318" s="10">
        <v>0</v>
      </c>
      <c r="Q318" s="26">
        <f t="shared" si="12"/>
        <v>1</v>
      </c>
      <c r="R318" s="25">
        <v>0</v>
      </c>
      <c r="S318" s="10">
        <v>0</v>
      </c>
      <c r="T318" s="10">
        <v>0</v>
      </c>
      <c r="U318" s="10">
        <v>0</v>
      </c>
      <c r="V318" s="10">
        <v>0</v>
      </c>
      <c r="W318" s="10">
        <v>0</v>
      </c>
      <c r="X318" s="10">
        <v>0</v>
      </c>
      <c r="Y318" s="10">
        <v>0</v>
      </c>
      <c r="Z318" s="10">
        <v>0</v>
      </c>
      <c r="AA318" s="10">
        <v>0</v>
      </c>
      <c r="AB318" s="10">
        <v>0</v>
      </c>
      <c r="AC318" s="10">
        <v>0</v>
      </c>
      <c r="AD318" s="26">
        <f t="shared" si="13"/>
        <v>0</v>
      </c>
      <c r="AE318" s="25">
        <v>0</v>
      </c>
      <c r="AF318" s="10">
        <v>0</v>
      </c>
      <c r="AG318" s="10">
        <v>0</v>
      </c>
      <c r="AH318" s="10">
        <v>0</v>
      </c>
      <c r="AI318" s="10">
        <v>0</v>
      </c>
      <c r="AJ318" s="10">
        <v>42683</v>
      </c>
      <c r="AK318" s="10">
        <v>0</v>
      </c>
      <c r="AL318" s="10">
        <v>0</v>
      </c>
      <c r="AM318" s="10">
        <v>0</v>
      </c>
      <c r="AN318" s="10">
        <v>0</v>
      </c>
      <c r="AO318" s="10">
        <v>0</v>
      </c>
      <c r="AP318" s="10">
        <v>0</v>
      </c>
      <c r="AQ318" s="26">
        <f t="shared" si="14"/>
        <v>42683</v>
      </c>
    </row>
    <row r="319" spans="1:43" ht="17.25" customHeight="1" x14ac:dyDescent="0.45">
      <c r="A319" s="2" t="s">
        <v>296</v>
      </c>
      <c r="B319" s="2" t="s">
        <v>68</v>
      </c>
      <c r="C319" s="2" t="s">
        <v>22</v>
      </c>
      <c r="D319" s="2" t="s">
        <v>66</v>
      </c>
      <c r="E319" s="23">
        <v>0</v>
      </c>
      <c r="F319" s="1">
        <v>0</v>
      </c>
      <c r="G319" s="1">
        <v>0</v>
      </c>
      <c r="H319" s="1">
        <v>0</v>
      </c>
      <c r="I319" s="1">
        <v>1</v>
      </c>
      <c r="J319" s="1">
        <v>0</v>
      </c>
      <c r="K319" s="1">
        <v>0</v>
      </c>
      <c r="L319" s="1">
        <v>0</v>
      </c>
      <c r="M319" s="1">
        <v>0</v>
      </c>
      <c r="N319" s="1">
        <v>0</v>
      </c>
      <c r="O319" s="1">
        <v>0</v>
      </c>
      <c r="P319" s="1">
        <v>0</v>
      </c>
      <c r="Q319" s="24">
        <f t="shared" si="12"/>
        <v>1</v>
      </c>
      <c r="R319" s="23">
        <v>0</v>
      </c>
      <c r="S319" s="1">
        <v>0</v>
      </c>
      <c r="T319" s="1">
        <v>0</v>
      </c>
      <c r="U319" s="1">
        <v>0</v>
      </c>
      <c r="V319" s="1">
        <v>0</v>
      </c>
      <c r="W319" s="1">
        <v>0</v>
      </c>
      <c r="X319" s="1">
        <v>0</v>
      </c>
      <c r="Y319" s="1">
        <v>0</v>
      </c>
      <c r="Z319" s="1">
        <v>0</v>
      </c>
      <c r="AA319" s="1">
        <v>0</v>
      </c>
      <c r="AB319" s="1">
        <v>0</v>
      </c>
      <c r="AC319" s="1">
        <v>0</v>
      </c>
      <c r="AD319" s="24">
        <f t="shared" si="13"/>
        <v>0</v>
      </c>
      <c r="AE319" s="23">
        <v>0</v>
      </c>
      <c r="AF319" s="1">
        <v>0</v>
      </c>
      <c r="AG319" s="1">
        <v>0</v>
      </c>
      <c r="AH319" s="1">
        <v>0</v>
      </c>
      <c r="AI319" s="1">
        <v>400</v>
      </c>
      <c r="AJ319" s="1">
        <v>0</v>
      </c>
      <c r="AK319" s="1">
        <v>0</v>
      </c>
      <c r="AL319" s="1">
        <v>0</v>
      </c>
      <c r="AM319" s="1">
        <v>0</v>
      </c>
      <c r="AN319" s="1">
        <v>0</v>
      </c>
      <c r="AO319" s="1">
        <v>0</v>
      </c>
      <c r="AP319" s="1">
        <v>0</v>
      </c>
      <c r="AQ319" s="24">
        <f t="shared" si="14"/>
        <v>400</v>
      </c>
    </row>
    <row r="320" spans="1:43" ht="17.25" customHeight="1" x14ac:dyDescent="0.45">
      <c r="A320" s="12" t="s">
        <v>296</v>
      </c>
      <c r="B320" s="12" t="s">
        <v>68</v>
      </c>
      <c r="C320" s="12" t="s">
        <v>206</v>
      </c>
      <c r="D320" s="12" t="s">
        <v>66</v>
      </c>
      <c r="E320" s="25">
        <v>0</v>
      </c>
      <c r="F320" s="10">
        <v>0</v>
      </c>
      <c r="G320" s="10">
        <v>0</v>
      </c>
      <c r="H320" s="10">
        <v>0</v>
      </c>
      <c r="I320" s="10">
        <v>0</v>
      </c>
      <c r="J320" s="10">
        <v>0</v>
      </c>
      <c r="K320" s="10">
        <v>0</v>
      </c>
      <c r="L320" s="10">
        <v>0</v>
      </c>
      <c r="M320" s="10">
        <v>0</v>
      </c>
      <c r="N320" s="10">
        <v>0</v>
      </c>
      <c r="O320" s="10">
        <v>1</v>
      </c>
      <c r="P320" s="10">
        <v>0</v>
      </c>
      <c r="Q320" s="26">
        <f t="shared" si="12"/>
        <v>1</v>
      </c>
      <c r="R320" s="25">
        <v>0</v>
      </c>
      <c r="S320" s="10">
        <v>0</v>
      </c>
      <c r="T320" s="10">
        <v>0</v>
      </c>
      <c r="U320" s="10">
        <v>0</v>
      </c>
      <c r="V320" s="10">
        <v>0</v>
      </c>
      <c r="W320" s="10">
        <v>0</v>
      </c>
      <c r="X320" s="10">
        <v>0</v>
      </c>
      <c r="Y320" s="10">
        <v>0</v>
      </c>
      <c r="Z320" s="10">
        <v>0</v>
      </c>
      <c r="AA320" s="10">
        <v>0</v>
      </c>
      <c r="AB320" s="10">
        <v>0</v>
      </c>
      <c r="AC320" s="10">
        <v>0</v>
      </c>
      <c r="AD320" s="26">
        <f t="shared" si="13"/>
        <v>0</v>
      </c>
      <c r="AE320" s="25">
        <v>0</v>
      </c>
      <c r="AF320" s="10">
        <v>0</v>
      </c>
      <c r="AG320" s="10">
        <v>0</v>
      </c>
      <c r="AH320" s="10">
        <v>0</v>
      </c>
      <c r="AI320" s="10">
        <v>0</v>
      </c>
      <c r="AJ320" s="10">
        <v>0</v>
      </c>
      <c r="AK320" s="10">
        <v>0</v>
      </c>
      <c r="AL320" s="10">
        <v>0</v>
      </c>
      <c r="AM320" s="10">
        <v>0</v>
      </c>
      <c r="AN320" s="10">
        <v>0</v>
      </c>
      <c r="AO320" s="10">
        <v>200</v>
      </c>
      <c r="AP320" s="10">
        <v>0</v>
      </c>
      <c r="AQ320" s="26">
        <f t="shared" si="14"/>
        <v>200</v>
      </c>
    </row>
    <row r="321" spans="1:43" ht="17.25" customHeight="1" x14ac:dyDescent="0.45">
      <c r="A321" s="2" t="s">
        <v>329</v>
      </c>
      <c r="B321" s="2" t="s">
        <v>68</v>
      </c>
      <c r="C321" s="2" t="s">
        <v>13</v>
      </c>
      <c r="D321" s="2" t="s">
        <v>66</v>
      </c>
      <c r="E321" s="23">
        <v>0</v>
      </c>
      <c r="F321" s="1">
        <v>0</v>
      </c>
      <c r="G321" s="1">
        <v>0</v>
      </c>
      <c r="H321" s="1">
        <v>0</v>
      </c>
      <c r="I321" s="1">
        <v>0</v>
      </c>
      <c r="J321" s="1">
        <v>0</v>
      </c>
      <c r="K321" s="1">
        <v>0</v>
      </c>
      <c r="L321" s="1">
        <v>0</v>
      </c>
      <c r="M321" s="1">
        <v>0</v>
      </c>
      <c r="N321" s="1">
        <v>1</v>
      </c>
      <c r="O321" s="1">
        <v>0</v>
      </c>
      <c r="P321" s="1">
        <v>0</v>
      </c>
      <c r="Q321" s="24">
        <f t="shared" si="12"/>
        <v>1</v>
      </c>
      <c r="R321" s="23">
        <v>0</v>
      </c>
      <c r="S321" s="1">
        <v>0</v>
      </c>
      <c r="T321" s="1">
        <v>0</v>
      </c>
      <c r="U321" s="1">
        <v>0</v>
      </c>
      <c r="V321" s="1">
        <v>0</v>
      </c>
      <c r="W321" s="1">
        <v>0</v>
      </c>
      <c r="X321" s="1">
        <v>0</v>
      </c>
      <c r="Y321" s="1">
        <v>0</v>
      </c>
      <c r="Z321" s="1">
        <v>0</v>
      </c>
      <c r="AA321" s="1">
        <v>0</v>
      </c>
      <c r="AB321" s="1">
        <v>0</v>
      </c>
      <c r="AC321" s="1">
        <v>0</v>
      </c>
      <c r="AD321" s="24">
        <f t="shared" si="13"/>
        <v>0</v>
      </c>
      <c r="AE321" s="23">
        <v>0</v>
      </c>
      <c r="AF321" s="1">
        <v>0</v>
      </c>
      <c r="AG321" s="1">
        <v>0</v>
      </c>
      <c r="AH321" s="1">
        <v>0</v>
      </c>
      <c r="AI321" s="1">
        <v>0</v>
      </c>
      <c r="AJ321" s="1">
        <v>0</v>
      </c>
      <c r="AK321" s="1">
        <v>0</v>
      </c>
      <c r="AL321" s="1">
        <v>0</v>
      </c>
      <c r="AM321" s="1">
        <v>0</v>
      </c>
      <c r="AN321" s="1">
        <v>130468</v>
      </c>
      <c r="AO321" s="1">
        <v>0</v>
      </c>
      <c r="AP321" s="1">
        <v>0</v>
      </c>
      <c r="AQ321" s="24">
        <f t="shared" si="14"/>
        <v>130468</v>
      </c>
    </row>
    <row r="322" spans="1:43" ht="17.25" customHeight="1" x14ac:dyDescent="0.45">
      <c r="A322" s="12" t="s">
        <v>133</v>
      </c>
      <c r="B322" s="12" t="s">
        <v>68</v>
      </c>
      <c r="C322" s="12" t="s">
        <v>10</v>
      </c>
      <c r="D322" s="12" t="s">
        <v>66</v>
      </c>
      <c r="E322" s="25">
        <v>0</v>
      </c>
      <c r="F322" s="10">
        <v>0</v>
      </c>
      <c r="G322" s="10">
        <v>0</v>
      </c>
      <c r="H322" s="10">
        <v>0</v>
      </c>
      <c r="I322" s="10">
        <v>1</v>
      </c>
      <c r="J322" s="10">
        <v>3</v>
      </c>
      <c r="K322" s="10">
        <v>0</v>
      </c>
      <c r="L322" s="10">
        <v>0</v>
      </c>
      <c r="M322" s="10">
        <v>0</v>
      </c>
      <c r="N322" s="10">
        <v>0</v>
      </c>
      <c r="O322" s="10">
        <v>0</v>
      </c>
      <c r="P322" s="10">
        <v>0</v>
      </c>
      <c r="Q322" s="26">
        <f t="shared" si="12"/>
        <v>4</v>
      </c>
      <c r="R322" s="25">
        <v>0</v>
      </c>
      <c r="S322" s="10">
        <v>0</v>
      </c>
      <c r="T322" s="10">
        <v>0</v>
      </c>
      <c r="U322" s="10">
        <v>0</v>
      </c>
      <c r="V322" s="10">
        <v>179</v>
      </c>
      <c r="W322" s="10">
        <v>171</v>
      </c>
      <c r="X322" s="10">
        <v>0</v>
      </c>
      <c r="Y322" s="10">
        <v>0</v>
      </c>
      <c r="Z322" s="10">
        <v>0</v>
      </c>
      <c r="AA322" s="10">
        <v>0</v>
      </c>
      <c r="AB322" s="10">
        <v>0</v>
      </c>
      <c r="AC322" s="10">
        <v>0</v>
      </c>
      <c r="AD322" s="26">
        <f t="shared" si="13"/>
        <v>350</v>
      </c>
      <c r="AE322" s="25">
        <v>0</v>
      </c>
      <c r="AF322" s="10">
        <v>0</v>
      </c>
      <c r="AG322" s="10">
        <v>0</v>
      </c>
      <c r="AH322" s="10">
        <v>0</v>
      </c>
      <c r="AI322" s="10">
        <v>0</v>
      </c>
      <c r="AJ322" s="10">
        <v>0</v>
      </c>
      <c r="AK322" s="10">
        <v>0</v>
      </c>
      <c r="AL322" s="10">
        <v>0</v>
      </c>
      <c r="AM322" s="10">
        <v>0</v>
      </c>
      <c r="AN322" s="10">
        <v>0</v>
      </c>
      <c r="AO322" s="10">
        <v>0</v>
      </c>
      <c r="AP322" s="10">
        <v>0</v>
      </c>
      <c r="AQ322" s="26">
        <f t="shared" si="14"/>
        <v>0</v>
      </c>
    </row>
    <row r="323" spans="1:43" ht="17.25" customHeight="1" x14ac:dyDescent="0.45">
      <c r="A323" s="2" t="s">
        <v>134</v>
      </c>
      <c r="B323" s="2" t="s">
        <v>68</v>
      </c>
      <c r="C323" s="2" t="s">
        <v>11</v>
      </c>
      <c r="D323" s="2" t="s">
        <v>66</v>
      </c>
      <c r="E323" s="23">
        <v>0</v>
      </c>
      <c r="F323" s="1">
        <v>0</v>
      </c>
      <c r="G323" s="1">
        <v>1</v>
      </c>
      <c r="H323" s="1">
        <v>0</v>
      </c>
      <c r="I323" s="1">
        <v>0</v>
      </c>
      <c r="J323" s="1">
        <v>0</v>
      </c>
      <c r="K323" s="1">
        <v>0</v>
      </c>
      <c r="L323" s="1">
        <v>0</v>
      </c>
      <c r="M323" s="1">
        <v>0</v>
      </c>
      <c r="N323" s="1">
        <v>0</v>
      </c>
      <c r="O323" s="1">
        <v>0</v>
      </c>
      <c r="P323" s="1">
        <v>0</v>
      </c>
      <c r="Q323" s="24">
        <f t="shared" si="12"/>
        <v>1</v>
      </c>
      <c r="R323" s="23">
        <v>0</v>
      </c>
      <c r="S323" s="1">
        <v>0</v>
      </c>
      <c r="T323" s="1">
        <v>0</v>
      </c>
      <c r="U323" s="1">
        <v>0</v>
      </c>
      <c r="V323" s="1">
        <v>0</v>
      </c>
      <c r="W323" s="1">
        <v>0</v>
      </c>
      <c r="X323" s="1">
        <v>0</v>
      </c>
      <c r="Y323" s="1">
        <v>0</v>
      </c>
      <c r="Z323" s="1">
        <v>0</v>
      </c>
      <c r="AA323" s="1">
        <v>0</v>
      </c>
      <c r="AB323" s="1">
        <v>0</v>
      </c>
      <c r="AC323" s="1">
        <v>0</v>
      </c>
      <c r="AD323" s="24">
        <f t="shared" si="13"/>
        <v>0</v>
      </c>
      <c r="AE323" s="23">
        <v>0</v>
      </c>
      <c r="AF323" s="1">
        <v>0</v>
      </c>
      <c r="AG323" s="1">
        <v>102200</v>
      </c>
      <c r="AH323" s="1">
        <v>0</v>
      </c>
      <c r="AI323" s="1">
        <v>0</v>
      </c>
      <c r="AJ323" s="1">
        <v>0</v>
      </c>
      <c r="AK323" s="1">
        <v>0</v>
      </c>
      <c r="AL323" s="1">
        <v>0</v>
      </c>
      <c r="AM323" s="1">
        <v>0</v>
      </c>
      <c r="AN323" s="1">
        <v>0</v>
      </c>
      <c r="AO323" s="1">
        <v>0</v>
      </c>
      <c r="AP323" s="1">
        <v>0</v>
      </c>
      <c r="AQ323" s="24">
        <f t="shared" si="14"/>
        <v>102200</v>
      </c>
    </row>
    <row r="324" spans="1:43" ht="17.25" customHeight="1" x14ac:dyDescent="0.45">
      <c r="A324" s="12" t="s">
        <v>134</v>
      </c>
      <c r="B324" s="12" t="s">
        <v>68</v>
      </c>
      <c r="C324" s="12" t="s">
        <v>13</v>
      </c>
      <c r="D324" s="12" t="s">
        <v>66</v>
      </c>
      <c r="E324" s="25">
        <v>0</v>
      </c>
      <c r="F324" s="10">
        <v>0</v>
      </c>
      <c r="G324" s="10">
        <v>0</v>
      </c>
      <c r="H324" s="10">
        <v>0</v>
      </c>
      <c r="I324" s="10">
        <v>0</v>
      </c>
      <c r="J324" s="10">
        <v>0</v>
      </c>
      <c r="K324" s="10">
        <v>0</v>
      </c>
      <c r="L324" s="10">
        <v>0</v>
      </c>
      <c r="M324" s="10">
        <v>0</v>
      </c>
      <c r="N324" s="10">
        <v>1</v>
      </c>
      <c r="O324" s="10">
        <v>0</v>
      </c>
      <c r="P324" s="10">
        <v>0</v>
      </c>
      <c r="Q324" s="26">
        <f t="shared" si="12"/>
        <v>1</v>
      </c>
      <c r="R324" s="25">
        <v>0</v>
      </c>
      <c r="S324" s="10">
        <v>0</v>
      </c>
      <c r="T324" s="10">
        <v>0</v>
      </c>
      <c r="U324" s="10">
        <v>0</v>
      </c>
      <c r="V324" s="10">
        <v>0</v>
      </c>
      <c r="W324" s="10">
        <v>0</v>
      </c>
      <c r="X324" s="10">
        <v>0</v>
      </c>
      <c r="Y324" s="10">
        <v>0</v>
      </c>
      <c r="Z324" s="10">
        <v>0</v>
      </c>
      <c r="AA324" s="10">
        <v>0</v>
      </c>
      <c r="AB324" s="10">
        <v>0</v>
      </c>
      <c r="AC324" s="10">
        <v>0</v>
      </c>
      <c r="AD324" s="26">
        <f t="shared" si="13"/>
        <v>0</v>
      </c>
      <c r="AE324" s="25">
        <v>0</v>
      </c>
      <c r="AF324" s="10">
        <v>0</v>
      </c>
      <c r="AG324" s="10">
        <v>0</v>
      </c>
      <c r="AH324" s="10">
        <v>0</v>
      </c>
      <c r="AI324" s="10">
        <v>0</v>
      </c>
      <c r="AJ324" s="10">
        <v>0</v>
      </c>
      <c r="AK324" s="10">
        <v>0</v>
      </c>
      <c r="AL324" s="10">
        <v>0</v>
      </c>
      <c r="AM324" s="10">
        <v>0</v>
      </c>
      <c r="AN324" s="10">
        <v>114559</v>
      </c>
      <c r="AO324" s="10">
        <v>0</v>
      </c>
      <c r="AP324" s="10">
        <v>0</v>
      </c>
      <c r="AQ324" s="26">
        <f t="shared" si="14"/>
        <v>114559</v>
      </c>
    </row>
    <row r="325" spans="1:43" ht="17.25" customHeight="1" x14ac:dyDescent="0.45">
      <c r="A325" s="2" t="s">
        <v>134</v>
      </c>
      <c r="B325" s="2" t="s">
        <v>68</v>
      </c>
      <c r="C325" s="2" t="s">
        <v>48</v>
      </c>
      <c r="D325" s="2" t="s">
        <v>66</v>
      </c>
      <c r="E325" s="23">
        <v>0</v>
      </c>
      <c r="F325" s="1">
        <v>0</v>
      </c>
      <c r="G325" s="1">
        <v>0</v>
      </c>
      <c r="H325" s="1">
        <v>2</v>
      </c>
      <c r="I325" s="1">
        <v>0</v>
      </c>
      <c r="J325" s="1">
        <v>0</v>
      </c>
      <c r="K325" s="1">
        <v>0</v>
      </c>
      <c r="L325" s="1">
        <v>0</v>
      </c>
      <c r="M325" s="1">
        <v>0</v>
      </c>
      <c r="N325" s="1">
        <v>0</v>
      </c>
      <c r="O325" s="1">
        <v>0</v>
      </c>
      <c r="P325" s="1">
        <v>0</v>
      </c>
      <c r="Q325" s="24">
        <f t="shared" si="12"/>
        <v>2</v>
      </c>
      <c r="R325" s="23">
        <v>0</v>
      </c>
      <c r="S325" s="1">
        <v>0</v>
      </c>
      <c r="T325" s="1">
        <v>0</v>
      </c>
      <c r="U325" s="1">
        <v>343</v>
      </c>
      <c r="V325" s="1">
        <v>0</v>
      </c>
      <c r="W325" s="1">
        <v>0</v>
      </c>
      <c r="X325" s="1">
        <v>0</v>
      </c>
      <c r="Y325" s="1">
        <v>0</v>
      </c>
      <c r="Z325" s="1">
        <v>0</v>
      </c>
      <c r="AA325" s="1">
        <v>0</v>
      </c>
      <c r="AB325" s="1">
        <v>0</v>
      </c>
      <c r="AC325" s="1">
        <v>0</v>
      </c>
      <c r="AD325" s="24">
        <f t="shared" si="13"/>
        <v>343</v>
      </c>
      <c r="AE325" s="23">
        <v>0</v>
      </c>
      <c r="AF325" s="1">
        <v>0</v>
      </c>
      <c r="AG325" s="1">
        <v>0</v>
      </c>
      <c r="AH325" s="1">
        <v>0</v>
      </c>
      <c r="AI325" s="1">
        <v>0</v>
      </c>
      <c r="AJ325" s="1">
        <v>0</v>
      </c>
      <c r="AK325" s="1">
        <v>0</v>
      </c>
      <c r="AL325" s="1">
        <v>0</v>
      </c>
      <c r="AM325" s="1">
        <v>0</v>
      </c>
      <c r="AN325" s="1">
        <v>0</v>
      </c>
      <c r="AO325" s="1">
        <v>0</v>
      </c>
      <c r="AP325" s="1">
        <v>0</v>
      </c>
      <c r="AQ325" s="24">
        <f t="shared" si="14"/>
        <v>0</v>
      </c>
    </row>
    <row r="326" spans="1:43" ht="17.25" customHeight="1" x14ac:dyDescent="0.45">
      <c r="A326" s="12" t="s">
        <v>134</v>
      </c>
      <c r="B326" s="12" t="s">
        <v>68</v>
      </c>
      <c r="C326" s="12" t="s">
        <v>14</v>
      </c>
      <c r="D326" s="12" t="s">
        <v>66</v>
      </c>
      <c r="E326" s="25">
        <v>1</v>
      </c>
      <c r="F326" s="10">
        <v>0</v>
      </c>
      <c r="G326" s="10">
        <v>0</v>
      </c>
      <c r="H326" s="10">
        <v>0</v>
      </c>
      <c r="I326" s="10">
        <v>0</v>
      </c>
      <c r="J326" s="10">
        <v>0</v>
      </c>
      <c r="K326" s="10">
        <v>0</v>
      </c>
      <c r="L326" s="10">
        <v>0</v>
      </c>
      <c r="M326" s="10">
        <v>0</v>
      </c>
      <c r="N326" s="10">
        <v>1</v>
      </c>
      <c r="O326" s="10">
        <v>1</v>
      </c>
      <c r="P326" s="10">
        <v>1</v>
      </c>
      <c r="Q326" s="26">
        <f t="shared" si="12"/>
        <v>4</v>
      </c>
      <c r="R326" s="25">
        <v>0</v>
      </c>
      <c r="S326" s="10">
        <v>0</v>
      </c>
      <c r="T326" s="10">
        <v>0</v>
      </c>
      <c r="U326" s="10">
        <v>0</v>
      </c>
      <c r="V326" s="10">
        <v>0</v>
      </c>
      <c r="W326" s="10">
        <v>0</v>
      </c>
      <c r="X326" s="10">
        <v>0</v>
      </c>
      <c r="Y326" s="10">
        <v>0</v>
      </c>
      <c r="Z326" s="10">
        <v>0</v>
      </c>
      <c r="AA326" s="10">
        <v>0</v>
      </c>
      <c r="AB326" s="10">
        <v>0</v>
      </c>
      <c r="AC326" s="10">
        <v>0</v>
      </c>
      <c r="AD326" s="26">
        <f t="shared" si="13"/>
        <v>0</v>
      </c>
      <c r="AE326" s="25">
        <v>89764</v>
      </c>
      <c r="AF326" s="10">
        <v>0</v>
      </c>
      <c r="AG326" s="10">
        <v>0</v>
      </c>
      <c r="AH326" s="10">
        <v>0</v>
      </c>
      <c r="AI326" s="10">
        <v>0</v>
      </c>
      <c r="AJ326" s="10">
        <v>0</v>
      </c>
      <c r="AK326" s="10">
        <v>0</v>
      </c>
      <c r="AL326" s="10">
        <v>0</v>
      </c>
      <c r="AM326" s="10">
        <v>0</v>
      </c>
      <c r="AN326" s="10">
        <v>102468</v>
      </c>
      <c r="AO326" s="10">
        <v>103589</v>
      </c>
      <c r="AP326" s="10">
        <v>28000</v>
      </c>
      <c r="AQ326" s="26">
        <f t="shared" si="14"/>
        <v>323821</v>
      </c>
    </row>
    <row r="327" spans="1:43" ht="17.25" customHeight="1" x14ac:dyDescent="0.45">
      <c r="A327" s="2" t="s">
        <v>175</v>
      </c>
      <c r="B327" s="2" t="s">
        <v>68</v>
      </c>
      <c r="C327" s="2" t="s">
        <v>12</v>
      </c>
      <c r="D327" s="2" t="s">
        <v>66</v>
      </c>
      <c r="E327" s="23">
        <v>0</v>
      </c>
      <c r="F327" s="1">
        <v>0</v>
      </c>
      <c r="G327" s="1">
        <v>1</v>
      </c>
      <c r="H327" s="1">
        <v>0</v>
      </c>
      <c r="I327" s="1">
        <v>0</v>
      </c>
      <c r="J327" s="1">
        <v>0</v>
      </c>
      <c r="K327" s="1">
        <v>0</v>
      </c>
      <c r="L327" s="1">
        <v>0</v>
      </c>
      <c r="M327" s="1">
        <v>0</v>
      </c>
      <c r="N327" s="1">
        <v>0</v>
      </c>
      <c r="O327" s="1">
        <v>0</v>
      </c>
      <c r="P327" s="1">
        <v>0</v>
      </c>
      <c r="Q327" s="24">
        <f t="shared" si="12"/>
        <v>1</v>
      </c>
      <c r="R327" s="23">
        <v>0</v>
      </c>
      <c r="S327" s="1">
        <v>0</v>
      </c>
      <c r="T327" s="1">
        <v>0</v>
      </c>
      <c r="U327" s="1">
        <v>0</v>
      </c>
      <c r="V327" s="1">
        <v>0</v>
      </c>
      <c r="W327" s="1">
        <v>0</v>
      </c>
      <c r="X327" s="1">
        <v>0</v>
      </c>
      <c r="Y327" s="1">
        <v>0</v>
      </c>
      <c r="Z327" s="1">
        <v>0</v>
      </c>
      <c r="AA327" s="1">
        <v>0</v>
      </c>
      <c r="AB327" s="1">
        <v>0</v>
      </c>
      <c r="AC327" s="1">
        <v>0</v>
      </c>
      <c r="AD327" s="24">
        <f t="shared" si="13"/>
        <v>0</v>
      </c>
      <c r="AE327" s="23">
        <v>0</v>
      </c>
      <c r="AF327" s="1">
        <v>0</v>
      </c>
      <c r="AG327" s="1">
        <v>68224</v>
      </c>
      <c r="AH327" s="1">
        <v>0</v>
      </c>
      <c r="AI327" s="1">
        <v>0</v>
      </c>
      <c r="AJ327" s="1">
        <v>0</v>
      </c>
      <c r="AK327" s="1">
        <v>0</v>
      </c>
      <c r="AL327" s="1">
        <v>0</v>
      </c>
      <c r="AM327" s="1">
        <v>0</v>
      </c>
      <c r="AN327" s="1">
        <v>0</v>
      </c>
      <c r="AO327" s="1">
        <v>0</v>
      </c>
      <c r="AP327" s="1">
        <v>0</v>
      </c>
      <c r="AQ327" s="24">
        <f t="shared" si="14"/>
        <v>68224</v>
      </c>
    </row>
    <row r="328" spans="1:43" ht="17.25" customHeight="1" x14ac:dyDescent="0.45">
      <c r="A328" s="12" t="s">
        <v>175</v>
      </c>
      <c r="B328" s="12" t="s">
        <v>68</v>
      </c>
      <c r="C328" s="12" t="s">
        <v>17</v>
      </c>
      <c r="D328" s="12" t="s">
        <v>66</v>
      </c>
      <c r="E328" s="25">
        <v>0</v>
      </c>
      <c r="F328" s="10">
        <v>2</v>
      </c>
      <c r="G328" s="10">
        <v>1</v>
      </c>
      <c r="H328" s="10">
        <v>0</v>
      </c>
      <c r="I328" s="10">
        <v>0</v>
      </c>
      <c r="J328" s="10">
        <v>0</v>
      </c>
      <c r="K328" s="10">
        <v>0</v>
      </c>
      <c r="L328" s="10">
        <v>0</v>
      </c>
      <c r="M328" s="10">
        <v>0</v>
      </c>
      <c r="N328" s="10">
        <v>0</v>
      </c>
      <c r="O328" s="10">
        <v>0</v>
      </c>
      <c r="P328" s="10">
        <v>0</v>
      </c>
      <c r="Q328" s="26">
        <f t="shared" ref="Q328:Q391" si="15">SUM(E328:P328)</f>
        <v>3</v>
      </c>
      <c r="R328" s="25">
        <v>0</v>
      </c>
      <c r="S328" s="10">
        <v>313</v>
      </c>
      <c r="T328" s="10">
        <v>150</v>
      </c>
      <c r="U328" s="10">
        <v>0</v>
      </c>
      <c r="V328" s="10">
        <v>0</v>
      </c>
      <c r="W328" s="10">
        <v>0</v>
      </c>
      <c r="X328" s="10">
        <v>0</v>
      </c>
      <c r="Y328" s="10">
        <v>0</v>
      </c>
      <c r="Z328" s="10">
        <v>0</v>
      </c>
      <c r="AA328" s="10">
        <v>0</v>
      </c>
      <c r="AB328" s="10">
        <v>0</v>
      </c>
      <c r="AC328" s="10">
        <v>0</v>
      </c>
      <c r="AD328" s="26">
        <f t="shared" ref="AD328:AD391" si="16">SUM(R328:AC328)</f>
        <v>463</v>
      </c>
      <c r="AE328" s="25">
        <v>0</v>
      </c>
      <c r="AF328" s="10">
        <v>0</v>
      </c>
      <c r="AG328" s="10">
        <v>0</v>
      </c>
      <c r="AH328" s="10">
        <v>0</v>
      </c>
      <c r="AI328" s="10">
        <v>0</v>
      </c>
      <c r="AJ328" s="10">
        <v>0</v>
      </c>
      <c r="AK328" s="10">
        <v>0</v>
      </c>
      <c r="AL328" s="10">
        <v>0</v>
      </c>
      <c r="AM328" s="10">
        <v>0</v>
      </c>
      <c r="AN328" s="10">
        <v>0</v>
      </c>
      <c r="AO328" s="10">
        <v>0</v>
      </c>
      <c r="AP328" s="10">
        <v>0</v>
      </c>
      <c r="AQ328" s="26">
        <f t="shared" ref="AQ328:AQ391" si="17">SUM(AE328:AP328)</f>
        <v>0</v>
      </c>
    </row>
    <row r="329" spans="1:43" ht="17.25" customHeight="1" x14ac:dyDescent="0.45">
      <c r="A329" s="2" t="s">
        <v>175</v>
      </c>
      <c r="B329" s="2" t="s">
        <v>68</v>
      </c>
      <c r="C329" s="2" t="s">
        <v>48</v>
      </c>
      <c r="D329" s="2" t="s">
        <v>66</v>
      </c>
      <c r="E329" s="23">
        <v>0</v>
      </c>
      <c r="F329" s="1">
        <v>3</v>
      </c>
      <c r="G329" s="1">
        <v>0</v>
      </c>
      <c r="H329" s="1">
        <v>0</v>
      </c>
      <c r="I329" s="1">
        <v>0</v>
      </c>
      <c r="J329" s="1">
        <v>0</v>
      </c>
      <c r="K329" s="1">
        <v>0</v>
      </c>
      <c r="L329" s="1">
        <v>0</v>
      </c>
      <c r="M329" s="1">
        <v>0</v>
      </c>
      <c r="N329" s="1">
        <v>0</v>
      </c>
      <c r="O329" s="1">
        <v>0</v>
      </c>
      <c r="P329" s="1">
        <v>0</v>
      </c>
      <c r="Q329" s="24">
        <f t="shared" si="15"/>
        <v>3</v>
      </c>
      <c r="R329" s="23">
        <v>0</v>
      </c>
      <c r="S329" s="1">
        <v>508</v>
      </c>
      <c r="T329" s="1">
        <v>0</v>
      </c>
      <c r="U329" s="1">
        <v>0</v>
      </c>
      <c r="V329" s="1">
        <v>0</v>
      </c>
      <c r="W329" s="1">
        <v>0</v>
      </c>
      <c r="X329" s="1">
        <v>0</v>
      </c>
      <c r="Y329" s="1">
        <v>0</v>
      </c>
      <c r="Z329" s="1">
        <v>0</v>
      </c>
      <c r="AA329" s="1">
        <v>0</v>
      </c>
      <c r="AB329" s="1">
        <v>0</v>
      </c>
      <c r="AC329" s="1">
        <v>0</v>
      </c>
      <c r="AD329" s="24">
        <f t="shared" si="16"/>
        <v>508</v>
      </c>
      <c r="AE329" s="23">
        <v>0</v>
      </c>
      <c r="AF329" s="1">
        <v>0</v>
      </c>
      <c r="AG329" s="1">
        <v>0</v>
      </c>
      <c r="AH329" s="1">
        <v>0</v>
      </c>
      <c r="AI329" s="1">
        <v>0</v>
      </c>
      <c r="AJ329" s="1">
        <v>0</v>
      </c>
      <c r="AK329" s="1">
        <v>0</v>
      </c>
      <c r="AL329" s="1">
        <v>0</v>
      </c>
      <c r="AM329" s="1">
        <v>0</v>
      </c>
      <c r="AN329" s="1">
        <v>0</v>
      </c>
      <c r="AO329" s="1">
        <v>0</v>
      </c>
      <c r="AP329" s="1">
        <v>0</v>
      </c>
      <c r="AQ329" s="24">
        <f t="shared" si="17"/>
        <v>0</v>
      </c>
    </row>
    <row r="330" spans="1:43" ht="17.25" customHeight="1" x14ac:dyDescent="0.45">
      <c r="A330" s="12" t="s">
        <v>189</v>
      </c>
      <c r="B330" s="12" t="s">
        <v>68</v>
      </c>
      <c r="C330" s="12" t="s">
        <v>15</v>
      </c>
      <c r="D330" s="12" t="s">
        <v>66</v>
      </c>
      <c r="E330" s="25">
        <v>0</v>
      </c>
      <c r="F330" s="10">
        <v>0</v>
      </c>
      <c r="G330" s="10">
        <v>0</v>
      </c>
      <c r="H330" s="10">
        <v>0</v>
      </c>
      <c r="I330" s="10">
        <v>0</v>
      </c>
      <c r="J330" s="10">
        <v>0</v>
      </c>
      <c r="K330" s="10">
        <v>0</v>
      </c>
      <c r="L330" s="10">
        <v>9</v>
      </c>
      <c r="M330" s="10">
        <v>1</v>
      </c>
      <c r="N330" s="10">
        <v>1</v>
      </c>
      <c r="O330" s="10">
        <v>0</v>
      </c>
      <c r="P330" s="10">
        <v>0</v>
      </c>
      <c r="Q330" s="26">
        <f t="shared" si="15"/>
        <v>11</v>
      </c>
      <c r="R330" s="25">
        <v>0</v>
      </c>
      <c r="S330" s="10">
        <v>0</v>
      </c>
      <c r="T330" s="10">
        <v>0</v>
      </c>
      <c r="U330" s="10">
        <v>0</v>
      </c>
      <c r="V330" s="10">
        <v>0</v>
      </c>
      <c r="W330" s="10">
        <v>0</v>
      </c>
      <c r="X330" s="10">
        <v>0</v>
      </c>
      <c r="Y330" s="10">
        <v>0</v>
      </c>
      <c r="Z330" s="10">
        <v>0</v>
      </c>
      <c r="AA330" s="10">
        <v>0</v>
      </c>
      <c r="AB330" s="10">
        <v>0</v>
      </c>
      <c r="AC330" s="10">
        <v>0</v>
      </c>
      <c r="AD330" s="26">
        <f t="shared" si="16"/>
        <v>0</v>
      </c>
      <c r="AE330" s="25">
        <v>0</v>
      </c>
      <c r="AF330" s="10">
        <v>0</v>
      </c>
      <c r="AG330" s="10">
        <v>0</v>
      </c>
      <c r="AH330" s="10">
        <v>0</v>
      </c>
      <c r="AI330" s="10">
        <v>0</v>
      </c>
      <c r="AJ330" s="10">
        <v>0</v>
      </c>
      <c r="AK330" s="10">
        <v>0</v>
      </c>
      <c r="AL330" s="10">
        <v>5500</v>
      </c>
      <c r="AM330" s="10">
        <v>1100</v>
      </c>
      <c r="AN330" s="10">
        <v>1500</v>
      </c>
      <c r="AO330" s="10">
        <v>0</v>
      </c>
      <c r="AP330" s="10">
        <v>0</v>
      </c>
      <c r="AQ330" s="26">
        <f t="shared" si="17"/>
        <v>8100</v>
      </c>
    </row>
    <row r="331" spans="1:43" ht="17.25" customHeight="1" x14ac:dyDescent="0.45">
      <c r="A331" s="2" t="s">
        <v>135</v>
      </c>
      <c r="B331" s="2" t="s">
        <v>68</v>
      </c>
      <c r="C331" s="2" t="s">
        <v>30</v>
      </c>
      <c r="D331" s="2" t="s">
        <v>66</v>
      </c>
      <c r="E331" s="23">
        <v>0</v>
      </c>
      <c r="F331" s="1">
        <v>0</v>
      </c>
      <c r="G331" s="1">
        <v>0</v>
      </c>
      <c r="H331" s="1">
        <v>0</v>
      </c>
      <c r="I331" s="1">
        <v>0</v>
      </c>
      <c r="J331" s="1">
        <v>0</v>
      </c>
      <c r="K331" s="1">
        <v>0</v>
      </c>
      <c r="L331" s="1">
        <v>1</v>
      </c>
      <c r="M331" s="1">
        <v>0</v>
      </c>
      <c r="N331" s="1">
        <v>0</v>
      </c>
      <c r="O331" s="1">
        <v>0</v>
      </c>
      <c r="P331" s="1">
        <v>0</v>
      </c>
      <c r="Q331" s="24">
        <f t="shared" si="15"/>
        <v>1</v>
      </c>
      <c r="R331" s="23">
        <v>0</v>
      </c>
      <c r="S331" s="1">
        <v>0</v>
      </c>
      <c r="T331" s="1">
        <v>0</v>
      </c>
      <c r="U331" s="1">
        <v>0</v>
      </c>
      <c r="V331" s="1">
        <v>0</v>
      </c>
      <c r="W331" s="1">
        <v>0</v>
      </c>
      <c r="X331" s="1">
        <v>0</v>
      </c>
      <c r="Y331" s="1">
        <v>52</v>
      </c>
      <c r="Z331" s="1">
        <v>0</v>
      </c>
      <c r="AA331" s="1">
        <v>0</v>
      </c>
      <c r="AB331" s="1">
        <v>0</v>
      </c>
      <c r="AC331" s="1">
        <v>0</v>
      </c>
      <c r="AD331" s="24">
        <f t="shared" si="16"/>
        <v>52</v>
      </c>
      <c r="AE331" s="23">
        <v>0</v>
      </c>
      <c r="AF331" s="1">
        <v>0</v>
      </c>
      <c r="AG331" s="1">
        <v>0</v>
      </c>
      <c r="AH331" s="1">
        <v>0</v>
      </c>
      <c r="AI331" s="1">
        <v>0</v>
      </c>
      <c r="AJ331" s="1">
        <v>0</v>
      </c>
      <c r="AK331" s="1">
        <v>0</v>
      </c>
      <c r="AL331" s="1">
        <v>0</v>
      </c>
      <c r="AM331" s="1">
        <v>0</v>
      </c>
      <c r="AN331" s="1">
        <v>0</v>
      </c>
      <c r="AO331" s="1">
        <v>0</v>
      </c>
      <c r="AP331" s="1">
        <v>0</v>
      </c>
      <c r="AQ331" s="24">
        <f t="shared" si="17"/>
        <v>0</v>
      </c>
    </row>
    <row r="332" spans="1:43" ht="17.25" customHeight="1" x14ac:dyDescent="0.45">
      <c r="A332" s="12" t="s">
        <v>261</v>
      </c>
      <c r="B332" s="12" t="s">
        <v>262</v>
      </c>
      <c r="C332" s="12" t="s">
        <v>10</v>
      </c>
      <c r="D332" s="12" t="s">
        <v>66</v>
      </c>
      <c r="E332" s="25">
        <v>0</v>
      </c>
      <c r="F332" s="10">
        <v>1</v>
      </c>
      <c r="G332" s="10">
        <v>1</v>
      </c>
      <c r="H332" s="10">
        <v>0</v>
      </c>
      <c r="I332" s="10">
        <v>0</v>
      </c>
      <c r="J332" s="10">
        <v>0</v>
      </c>
      <c r="K332" s="10">
        <v>0</v>
      </c>
      <c r="L332" s="10">
        <v>0</v>
      </c>
      <c r="M332" s="10">
        <v>0</v>
      </c>
      <c r="N332" s="10">
        <v>0</v>
      </c>
      <c r="O332" s="10">
        <v>0</v>
      </c>
      <c r="P332" s="10">
        <v>0</v>
      </c>
      <c r="Q332" s="26">
        <f t="shared" si="15"/>
        <v>2</v>
      </c>
      <c r="R332" s="25">
        <v>0</v>
      </c>
      <c r="S332" s="10">
        <v>296</v>
      </c>
      <c r="T332" s="10">
        <v>273</v>
      </c>
      <c r="U332" s="10">
        <v>0</v>
      </c>
      <c r="V332" s="10">
        <v>0</v>
      </c>
      <c r="W332" s="10">
        <v>0</v>
      </c>
      <c r="X332" s="10">
        <v>0</v>
      </c>
      <c r="Y332" s="10">
        <v>0</v>
      </c>
      <c r="Z332" s="10">
        <v>0</v>
      </c>
      <c r="AA332" s="10">
        <v>0</v>
      </c>
      <c r="AB332" s="10">
        <v>0</v>
      </c>
      <c r="AC332" s="10">
        <v>0</v>
      </c>
      <c r="AD332" s="26">
        <f t="shared" si="16"/>
        <v>569</v>
      </c>
      <c r="AE332" s="25">
        <v>0</v>
      </c>
      <c r="AF332" s="10">
        <v>0</v>
      </c>
      <c r="AG332" s="10">
        <v>0</v>
      </c>
      <c r="AH332" s="10">
        <v>0</v>
      </c>
      <c r="AI332" s="10">
        <v>0</v>
      </c>
      <c r="AJ332" s="10">
        <v>0</v>
      </c>
      <c r="AK332" s="10">
        <v>0</v>
      </c>
      <c r="AL332" s="10">
        <v>0</v>
      </c>
      <c r="AM332" s="10">
        <v>0</v>
      </c>
      <c r="AN332" s="10">
        <v>0</v>
      </c>
      <c r="AO332" s="10">
        <v>0</v>
      </c>
      <c r="AP332" s="10">
        <v>0</v>
      </c>
      <c r="AQ332" s="26">
        <f t="shared" si="17"/>
        <v>0</v>
      </c>
    </row>
    <row r="333" spans="1:43" ht="17.25" customHeight="1" x14ac:dyDescent="0.45">
      <c r="A333" s="2" t="s">
        <v>338</v>
      </c>
      <c r="B333" s="2" t="s">
        <v>68</v>
      </c>
      <c r="C333" s="2" t="s">
        <v>48</v>
      </c>
      <c r="D333" s="2" t="s">
        <v>66</v>
      </c>
      <c r="E333" s="23">
        <v>0</v>
      </c>
      <c r="F333" s="1">
        <v>0</v>
      </c>
      <c r="G333" s="1">
        <v>0</v>
      </c>
      <c r="H333" s="1">
        <v>0</v>
      </c>
      <c r="I333" s="1">
        <v>0</v>
      </c>
      <c r="J333" s="1">
        <v>0</v>
      </c>
      <c r="K333" s="1">
        <v>0</v>
      </c>
      <c r="L333" s="1">
        <v>0</v>
      </c>
      <c r="M333" s="1">
        <v>0</v>
      </c>
      <c r="N333" s="1">
        <v>0</v>
      </c>
      <c r="O333" s="1">
        <v>1</v>
      </c>
      <c r="P333" s="1">
        <v>0</v>
      </c>
      <c r="Q333" s="24">
        <f t="shared" si="15"/>
        <v>1</v>
      </c>
      <c r="R333" s="23">
        <v>0</v>
      </c>
      <c r="S333" s="1">
        <v>0</v>
      </c>
      <c r="T333" s="1">
        <v>0</v>
      </c>
      <c r="U333" s="1">
        <v>0</v>
      </c>
      <c r="V333" s="1">
        <v>0</v>
      </c>
      <c r="W333" s="1">
        <v>0</v>
      </c>
      <c r="X333" s="1">
        <v>0</v>
      </c>
      <c r="Y333" s="1">
        <v>0</v>
      </c>
      <c r="Z333" s="1">
        <v>0</v>
      </c>
      <c r="AA333" s="1">
        <v>0</v>
      </c>
      <c r="AB333" s="1">
        <v>11</v>
      </c>
      <c r="AC333" s="1">
        <v>0</v>
      </c>
      <c r="AD333" s="24">
        <f t="shared" si="16"/>
        <v>11</v>
      </c>
      <c r="AE333" s="23">
        <v>0</v>
      </c>
      <c r="AF333" s="1">
        <v>0</v>
      </c>
      <c r="AG333" s="1">
        <v>0</v>
      </c>
      <c r="AH333" s="1">
        <v>0</v>
      </c>
      <c r="AI333" s="1">
        <v>0</v>
      </c>
      <c r="AJ333" s="1">
        <v>0</v>
      </c>
      <c r="AK333" s="1">
        <v>0</v>
      </c>
      <c r="AL333" s="1">
        <v>0</v>
      </c>
      <c r="AM333" s="1">
        <v>0</v>
      </c>
      <c r="AN333" s="1">
        <v>0</v>
      </c>
      <c r="AO333" s="1">
        <v>0</v>
      </c>
      <c r="AP333" s="1">
        <v>0</v>
      </c>
      <c r="AQ333" s="24">
        <f t="shared" si="17"/>
        <v>0</v>
      </c>
    </row>
    <row r="334" spans="1:43" ht="17.25" customHeight="1" x14ac:dyDescent="0.45">
      <c r="A334" s="12" t="s">
        <v>137</v>
      </c>
      <c r="B334" s="12" t="s">
        <v>138</v>
      </c>
      <c r="C334" s="12" t="s">
        <v>32</v>
      </c>
      <c r="D334" s="12" t="s">
        <v>66</v>
      </c>
      <c r="E334" s="25">
        <v>0</v>
      </c>
      <c r="F334" s="10">
        <v>0</v>
      </c>
      <c r="G334" s="10">
        <v>0</v>
      </c>
      <c r="H334" s="10">
        <v>1</v>
      </c>
      <c r="I334" s="10">
        <v>0</v>
      </c>
      <c r="J334" s="10">
        <v>0</v>
      </c>
      <c r="K334" s="10">
        <v>0</v>
      </c>
      <c r="L334" s="10">
        <v>0</v>
      </c>
      <c r="M334" s="10">
        <v>0</v>
      </c>
      <c r="N334" s="10">
        <v>0</v>
      </c>
      <c r="O334" s="10">
        <v>0</v>
      </c>
      <c r="P334" s="10">
        <v>0</v>
      </c>
      <c r="Q334" s="26">
        <f t="shared" si="15"/>
        <v>1</v>
      </c>
      <c r="R334" s="25">
        <v>0</v>
      </c>
      <c r="S334" s="10">
        <v>0</v>
      </c>
      <c r="T334" s="10">
        <v>0</v>
      </c>
      <c r="U334" s="10">
        <v>30</v>
      </c>
      <c r="V334" s="10">
        <v>0</v>
      </c>
      <c r="W334" s="10">
        <v>0</v>
      </c>
      <c r="X334" s="10">
        <v>0</v>
      </c>
      <c r="Y334" s="10">
        <v>0</v>
      </c>
      <c r="Z334" s="10">
        <v>0</v>
      </c>
      <c r="AA334" s="10">
        <v>0</v>
      </c>
      <c r="AB334" s="10">
        <v>0</v>
      </c>
      <c r="AC334" s="10">
        <v>0</v>
      </c>
      <c r="AD334" s="26">
        <f t="shared" si="16"/>
        <v>30</v>
      </c>
      <c r="AE334" s="25">
        <v>0</v>
      </c>
      <c r="AF334" s="10">
        <v>0</v>
      </c>
      <c r="AG334" s="10">
        <v>0</v>
      </c>
      <c r="AH334" s="10">
        <v>0</v>
      </c>
      <c r="AI334" s="10">
        <v>0</v>
      </c>
      <c r="AJ334" s="10">
        <v>0</v>
      </c>
      <c r="AK334" s="10">
        <v>0</v>
      </c>
      <c r="AL334" s="10">
        <v>0</v>
      </c>
      <c r="AM334" s="10">
        <v>0</v>
      </c>
      <c r="AN334" s="10">
        <v>0</v>
      </c>
      <c r="AO334" s="10">
        <v>0</v>
      </c>
      <c r="AP334" s="10">
        <v>0</v>
      </c>
      <c r="AQ334" s="26">
        <f t="shared" si="17"/>
        <v>0</v>
      </c>
    </row>
    <row r="335" spans="1:43" ht="17.25" customHeight="1" x14ac:dyDescent="0.45">
      <c r="A335" s="2" t="s">
        <v>141</v>
      </c>
      <c r="B335" s="2" t="s">
        <v>68</v>
      </c>
      <c r="C335" s="2" t="s">
        <v>40</v>
      </c>
      <c r="D335" s="2" t="s">
        <v>66</v>
      </c>
      <c r="E335" s="23">
        <v>0</v>
      </c>
      <c r="F335" s="1">
        <v>0</v>
      </c>
      <c r="G335" s="1">
        <v>0</v>
      </c>
      <c r="H335" s="1">
        <v>0</v>
      </c>
      <c r="I335" s="1">
        <v>0</v>
      </c>
      <c r="J335" s="1">
        <v>0</v>
      </c>
      <c r="K335" s="1">
        <v>0</v>
      </c>
      <c r="L335" s="1">
        <v>1</v>
      </c>
      <c r="M335" s="1">
        <v>0</v>
      </c>
      <c r="N335" s="1">
        <v>0</v>
      </c>
      <c r="O335" s="1">
        <v>0</v>
      </c>
      <c r="P335" s="1">
        <v>0</v>
      </c>
      <c r="Q335" s="24">
        <f t="shared" si="15"/>
        <v>1</v>
      </c>
      <c r="R335" s="23">
        <v>0</v>
      </c>
      <c r="S335" s="1">
        <v>0</v>
      </c>
      <c r="T335" s="1">
        <v>0</v>
      </c>
      <c r="U335" s="1">
        <v>0</v>
      </c>
      <c r="V335" s="1">
        <v>0</v>
      </c>
      <c r="W335" s="1">
        <v>0</v>
      </c>
      <c r="X335" s="1">
        <v>0</v>
      </c>
      <c r="Y335" s="1">
        <v>51</v>
      </c>
      <c r="Z335" s="1">
        <v>0</v>
      </c>
      <c r="AA335" s="1">
        <v>0</v>
      </c>
      <c r="AB335" s="1">
        <v>0</v>
      </c>
      <c r="AC335" s="1">
        <v>0</v>
      </c>
      <c r="AD335" s="24">
        <f t="shared" si="16"/>
        <v>51</v>
      </c>
      <c r="AE335" s="23">
        <v>0</v>
      </c>
      <c r="AF335" s="1">
        <v>0</v>
      </c>
      <c r="AG335" s="1">
        <v>0</v>
      </c>
      <c r="AH335" s="1">
        <v>0</v>
      </c>
      <c r="AI335" s="1">
        <v>0</v>
      </c>
      <c r="AJ335" s="1">
        <v>0</v>
      </c>
      <c r="AK335" s="1">
        <v>0</v>
      </c>
      <c r="AL335" s="1">
        <v>0</v>
      </c>
      <c r="AM335" s="1">
        <v>0</v>
      </c>
      <c r="AN335" s="1">
        <v>0</v>
      </c>
      <c r="AO335" s="1">
        <v>0</v>
      </c>
      <c r="AP335" s="1">
        <v>0</v>
      </c>
      <c r="AQ335" s="24">
        <f t="shared" si="17"/>
        <v>0</v>
      </c>
    </row>
    <row r="336" spans="1:43" ht="17.25" customHeight="1" x14ac:dyDescent="0.45">
      <c r="A336" s="12" t="s">
        <v>142</v>
      </c>
      <c r="B336" s="12" t="s">
        <v>68</v>
      </c>
      <c r="C336" s="12" t="s">
        <v>38</v>
      </c>
      <c r="D336" s="12" t="s">
        <v>66</v>
      </c>
      <c r="E336" s="25">
        <v>0</v>
      </c>
      <c r="F336" s="10">
        <v>0</v>
      </c>
      <c r="G336" s="10">
        <v>0</v>
      </c>
      <c r="H336" s="10">
        <v>0</v>
      </c>
      <c r="I336" s="10">
        <v>10</v>
      </c>
      <c r="J336" s="10">
        <v>0</v>
      </c>
      <c r="K336" s="10">
        <v>0</v>
      </c>
      <c r="L336" s="10">
        <v>0</v>
      </c>
      <c r="M336" s="10">
        <v>0</v>
      </c>
      <c r="N336" s="10">
        <v>0</v>
      </c>
      <c r="O336" s="10">
        <v>0</v>
      </c>
      <c r="P336" s="10">
        <v>0</v>
      </c>
      <c r="Q336" s="26">
        <f t="shared" si="15"/>
        <v>10</v>
      </c>
      <c r="R336" s="25">
        <v>0</v>
      </c>
      <c r="S336" s="10">
        <v>0</v>
      </c>
      <c r="T336" s="10">
        <v>0</v>
      </c>
      <c r="U336" s="10">
        <v>0</v>
      </c>
      <c r="V336" s="10">
        <v>0</v>
      </c>
      <c r="W336" s="10">
        <v>0</v>
      </c>
      <c r="X336" s="10">
        <v>0</v>
      </c>
      <c r="Y336" s="10">
        <v>0</v>
      </c>
      <c r="Z336" s="10">
        <v>0</v>
      </c>
      <c r="AA336" s="10">
        <v>0</v>
      </c>
      <c r="AB336" s="10">
        <v>0</v>
      </c>
      <c r="AC336" s="10">
        <v>0</v>
      </c>
      <c r="AD336" s="26">
        <f t="shared" si="16"/>
        <v>0</v>
      </c>
      <c r="AE336" s="25">
        <v>0</v>
      </c>
      <c r="AF336" s="10">
        <v>0</v>
      </c>
      <c r="AG336" s="10">
        <v>0</v>
      </c>
      <c r="AH336" s="10">
        <v>0</v>
      </c>
      <c r="AI336" s="10">
        <v>14325</v>
      </c>
      <c r="AJ336" s="10">
        <v>0</v>
      </c>
      <c r="AK336" s="10">
        <v>0</v>
      </c>
      <c r="AL336" s="10">
        <v>0</v>
      </c>
      <c r="AM336" s="10">
        <v>0</v>
      </c>
      <c r="AN336" s="10">
        <v>0</v>
      </c>
      <c r="AO336" s="10">
        <v>0</v>
      </c>
      <c r="AP336" s="10">
        <v>0</v>
      </c>
      <c r="AQ336" s="26">
        <f t="shared" si="17"/>
        <v>14325</v>
      </c>
    </row>
    <row r="337" spans="1:43" ht="17.25" customHeight="1" x14ac:dyDescent="0.45">
      <c r="A337" s="2" t="s">
        <v>142</v>
      </c>
      <c r="B337" s="2" t="s">
        <v>68</v>
      </c>
      <c r="C337" s="2" t="s">
        <v>17</v>
      </c>
      <c r="D337" s="2" t="s">
        <v>66</v>
      </c>
      <c r="E337" s="23">
        <v>0</v>
      </c>
      <c r="F337" s="1">
        <v>0</v>
      </c>
      <c r="G337" s="1">
        <v>0</v>
      </c>
      <c r="H337" s="1">
        <v>0</v>
      </c>
      <c r="I337" s="1">
        <v>0</v>
      </c>
      <c r="J337" s="1">
        <v>1</v>
      </c>
      <c r="K337" s="1">
        <v>0</v>
      </c>
      <c r="L337" s="1">
        <v>0</v>
      </c>
      <c r="M337" s="1">
        <v>0</v>
      </c>
      <c r="N337" s="1">
        <v>0</v>
      </c>
      <c r="O337" s="1">
        <v>0</v>
      </c>
      <c r="P337" s="1">
        <v>0</v>
      </c>
      <c r="Q337" s="24">
        <f t="shared" si="15"/>
        <v>1</v>
      </c>
      <c r="R337" s="23">
        <v>0</v>
      </c>
      <c r="S337" s="1">
        <v>0</v>
      </c>
      <c r="T337" s="1">
        <v>0</v>
      </c>
      <c r="U337" s="1">
        <v>0</v>
      </c>
      <c r="V337" s="1">
        <v>0</v>
      </c>
      <c r="W337" s="1">
        <v>12</v>
      </c>
      <c r="X337" s="1">
        <v>0</v>
      </c>
      <c r="Y337" s="1">
        <v>0</v>
      </c>
      <c r="Z337" s="1">
        <v>0</v>
      </c>
      <c r="AA337" s="1">
        <v>0</v>
      </c>
      <c r="AB337" s="1">
        <v>0</v>
      </c>
      <c r="AC337" s="1">
        <v>0</v>
      </c>
      <c r="AD337" s="24">
        <f t="shared" si="16"/>
        <v>12</v>
      </c>
      <c r="AE337" s="23">
        <v>0</v>
      </c>
      <c r="AF337" s="1">
        <v>0</v>
      </c>
      <c r="AG337" s="1">
        <v>0</v>
      </c>
      <c r="AH337" s="1">
        <v>0</v>
      </c>
      <c r="AI337" s="1">
        <v>0</v>
      </c>
      <c r="AJ337" s="1">
        <v>0</v>
      </c>
      <c r="AK337" s="1">
        <v>0</v>
      </c>
      <c r="AL337" s="1">
        <v>0</v>
      </c>
      <c r="AM337" s="1">
        <v>0</v>
      </c>
      <c r="AN337" s="1">
        <v>0</v>
      </c>
      <c r="AO337" s="1">
        <v>0</v>
      </c>
      <c r="AP337" s="1">
        <v>0</v>
      </c>
      <c r="AQ337" s="24">
        <f t="shared" si="17"/>
        <v>0</v>
      </c>
    </row>
    <row r="338" spans="1:43" ht="17.25" customHeight="1" x14ac:dyDescent="0.45">
      <c r="A338" s="12" t="s">
        <v>142</v>
      </c>
      <c r="B338" s="12" t="s">
        <v>68</v>
      </c>
      <c r="C338" s="12" t="s">
        <v>48</v>
      </c>
      <c r="D338" s="12" t="s">
        <v>66</v>
      </c>
      <c r="E338" s="25">
        <v>0</v>
      </c>
      <c r="F338" s="10">
        <v>0</v>
      </c>
      <c r="G338" s="10">
        <v>2</v>
      </c>
      <c r="H338" s="10">
        <v>0</v>
      </c>
      <c r="I338" s="10">
        <v>0</v>
      </c>
      <c r="J338" s="10">
        <v>0</v>
      </c>
      <c r="K338" s="10">
        <v>0</v>
      </c>
      <c r="L338" s="10">
        <v>0</v>
      </c>
      <c r="M338" s="10">
        <v>0</v>
      </c>
      <c r="N338" s="10">
        <v>0</v>
      </c>
      <c r="O338" s="10">
        <v>0</v>
      </c>
      <c r="P338" s="10">
        <v>0</v>
      </c>
      <c r="Q338" s="26">
        <f t="shared" si="15"/>
        <v>2</v>
      </c>
      <c r="R338" s="25">
        <v>0</v>
      </c>
      <c r="S338" s="10">
        <v>0</v>
      </c>
      <c r="T338" s="10">
        <v>6</v>
      </c>
      <c r="U338" s="10">
        <v>0</v>
      </c>
      <c r="V338" s="10">
        <v>0</v>
      </c>
      <c r="W338" s="10">
        <v>0</v>
      </c>
      <c r="X338" s="10">
        <v>0</v>
      </c>
      <c r="Y338" s="10">
        <v>0</v>
      </c>
      <c r="Z338" s="10">
        <v>0</v>
      </c>
      <c r="AA338" s="10">
        <v>0</v>
      </c>
      <c r="AB338" s="10">
        <v>0</v>
      </c>
      <c r="AC338" s="10">
        <v>0</v>
      </c>
      <c r="AD338" s="26">
        <f t="shared" si="16"/>
        <v>6</v>
      </c>
      <c r="AE338" s="25">
        <v>0</v>
      </c>
      <c r="AF338" s="10">
        <v>0</v>
      </c>
      <c r="AG338" s="10">
        <v>14865</v>
      </c>
      <c r="AH338" s="10">
        <v>0</v>
      </c>
      <c r="AI338" s="10">
        <v>0</v>
      </c>
      <c r="AJ338" s="10">
        <v>0</v>
      </c>
      <c r="AK338" s="10">
        <v>0</v>
      </c>
      <c r="AL338" s="10">
        <v>0</v>
      </c>
      <c r="AM338" s="10">
        <v>0</v>
      </c>
      <c r="AN338" s="10">
        <v>0</v>
      </c>
      <c r="AO338" s="10">
        <v>0</v>
      </c>
      <c r="AP338" s="10">
        <v>0</v>
      </c>
      <c r="AQ338" s="26">
        <f t="shared" si="17"/>
        <v>14865</v>
      </c>
    </row>
    <row r="339" spans="1:43" ht="17.25" customHeight="1" x14ac:dyDescent="0.45">
      <c r="A339" s="2" t="s">
        <v>142</v>
      </c>
      <c r="B339" s="2" t="s">
        <v>68</v>
      </c>
      <c r="C339" s="2" t="s">
        <v>32</v>
      </c>
      <c r="D339" s="2" t="s">
        <v>66</v>
      </c>
      <c r="E339" s="23">
        <v>0</v>
      </c>
      <c r="F339" s="1">
        <v>0</v>
      </c>
      <c r="G339" s="1">
        <v>0</v>
      </c>
      <c r="H339" s="1">
        <v>0</v>
      </c>
      <c r="I339" s="1">
        <v>0</v>
      </c>
      <c r="J339" s="1">
        <v>0</v>
      </c>
      <c r="K339" s="1">
        <v>3</v>
      </c>
      <c r="L339" s="1">
        <v>0</v>
      </c>
      <c r="M339" s="1">
        <v>0</v>
      </c>
      <c r="N339" s="1">
        <v>0</v>
      </c>
      <c r="O339" s="1">
        <v>0</v>
      </c>
      <c r="P339" s="1">
        <v>0</v>
      </c>
      <c r="Q339" s="24">
        <f t="shared" si="15"/>
        <v>3</v>
      </c>
      <c r="R339" s="23">
        <v>0</v>
      </c>
      <c r="S339" s="1">
        <v>0</v>
      </c>
      <c r="T339" s="1">
        <v>0</v>
      </c>
      <c r="U339" s="1">
        <v>0</v>
      </c>
      <c r="V339" s="1">
        <v>0</v>
      </c>
      <c r="W339" s="1">
        <v>0</v>
      </c>
      <c r="X339" s="1">
        <v>64</v>
      </c>
      <c r="Y339" s="1">
        <v>0</v>
      </c>
      <c r="Z339" s="1">
        <v>0</v>
      </c>
      <c r="AA339" s="1">
        <v>0</v>
      </c>
      <c r="AB339" s="1">
        <v>0</v>
      </c>
      <c r="AC339" s="1">
        <v>0</v>
      </c>
      <c r="AD339" s="24">
        <f t="shared" si="16"/>
        <v>64</v>
      </c>
      <c r="AE339" s="23">
        <v>0</v>
      </c>
      <c r="AF339" s="1">
        <v>0</v>
      </c>
      <c r="AG339" s="1">
        <v>0</v>
      </c>
      <c r="AH339" s="1">
        <v>0</v>
      </c>
      <c r="AI339" s="1">
        <v>0</v>
      </c>
      <c r="AJ339" s="1">
        <v>0</v>
      </c>
      <c r="AK339" s="1">
        <v>0</v>
      </c>
      <c r="AL339" s="1">
        <v>0</v>
      </c>
      <c r="AM339" s="1">
        <v>0</v>
      </c>
      <c r="AN339" s="1">
        <v>0</v>
      </c>
      <c r="AO339" s="1">
        <v>0</v>
      </c>
      <c r="AP339" s="1">
        <v>0</v>
      </c>
      <c r="AQ339" s="24">
        <f t="shared" si="17"/>
        <v>0</v>
      </c>
    </row>
    <row r="340" spans="1:43" ht="17.25" customHeight="1" x14ac:dyDescent="0.45">
      <c r="A340" s="12" t="s">
        <v>216</v>
      </c>
      <c r="B340" s="12" t="s">
        <v>68</v>
      </c>
      <c r="C340" s="12" t="s">
        <v>10</v>
      </c>
      <c r="D340" s="12" t="s">
        <v>66</v>
      </c>
      <c r="E340" s="25">
        <v>4</v>
      </c>
      <c r="F340" s="10">
        <v>7</v>
      </c>
      <c r="G340" s="10">
        <v>5</v>
      </c>
      <c r="H340" s="10">
        <v>4</v>
      </c>
      <c r="I340" s="10">
        <v>4</v>
      </c>
      <c r="J340" s="10">
        <v>9</v>
      </c>
      <c r="K340" s="10">
        <v>8</v>
      </c>
      <c r="L340" s="10">
        <v>1</v>
      </c>
      <c r="M340" s="10">
        <v>0</v>
      </c>
      <c r="N340" s="10">
        <v>0</v>
      </c>
      <c r="O340" s="10">
        <v>0</v>
      </c>
      <c r="P340" s="10">
        <v>0</v>
      </c>
      <c r="Q340" s="26">
        <f t="shared" si="15"/>
        <v>42</v>
      </c>
      <c r="R340" s="25">
        <v>558</v>
      </c>
      <c r="S340" s="10">
        <v>1014</v>
      </c>
      <c r="T340" s="10">
        <v>836</v>
      </c>
      <c r="U340" s="10">
        <v>540</v>
      </c>
      <c r="V340" s="10">
        <v>604</v>
      </c>
      <c r="W340" s="10">
        <v>1335</v>
      </c>
      <c r="X340" s="10">
        <v>944</v>
      </c>
      <c r="Y340" s="10">
        <v>180</v>
      </c>
      <c r="Z340" s="10">
        <v>0</v>
      </c>
      <c r="AA340" s="10">
        <v>0</v>
      </c>
      <c r="AB340" s="10">
        <v>0</v>
      </c>
      <c r="AC340" s="10">
        <v>0</v>
      </c>
      <c r="AD340" s="26">
        <f t="shared" si="16"/>
        <v>6011</v>
      </c>
      <c r="AE340" s="25">
        <v>0</v>
      </c>
      <c r="AF340" s="10">
        <v>0</v>
      </c>
      <c r="AG340" s="10">
        <v>0</v>
      </c>
      <c r="AH340" s="10">
        <v>0</v>
      </c>
      <c r="AI340" s="10">
        <v>0</v>
      </c>
      <c r="AJ340" s="10">
        <v>0</v>
      </c>
      <c r="AK340" s="10">
        <v>0</v>
      </c>
      <c r="AL340" s="10">
        <v>0</v>
      </c>
      <c r="AM340" s="10">
        <v>0</v>
      </c>
      <c r="AN340" s="10">
        <v>0</v>
      </c>
      <c r="AO340" s="10">
        <v>0</v>
      </c>
      <c r="AP340" s="10">
        <v>0</v>
      </c>
      <c r="AQ340" s="26">
        <f t="shared" si="17"/>
        <v>0</v>
      </c>
    </row>
    <row r="341" spans="1:43" ht="17.25" customHeight="1" x14ac:dyDescent="0.45">
      <c r="A341" s="2" t="s">
        <v>286</v>
      </c>
      <c r="B341" s="2" t="s">
        <v>68</v>
      </c>
      <c r="C341" s="2" t="s">
        <v>22</v>
      </c>
      <c r="D341" s="2" t="s">
        <v>66</v>
      </c>
      <c r="E341" s="23">
        <v>0</v>
      </c>
      <c r="F341" s="1">
        <v>0</v>
      </c>
      <c r="G341" s="1">
        <v>0</v>
      </c>
      <c r="H341" s="1">
        <v>0</v>
      </c>
      <c r="I341" s="1">
        <v>0</v>
      </c>
      <c r="J341" s="1">
        <v>0</v>
      </c>
      <c r="K341" s="1">
        <v>0</v>
      </c>
      <c r="L341" s="1">
        <v>1</v>
      </c>
      <c r="M341" s="1">
        <v>0</v>
      </c>
      <c r="N341" s="1">
        <v>0</v>
      </c>
      <c r="O341" s="1">
        <v>1</v>
      </c>
      <c r="P341" s="1">
        <v>1</v>
      </c>
      <c r="Q341" s="24">
        <f t="shared" si="15"/>
        <v>3</v>
      </c>
      <c r="R341" s="23">
        <v>0</v>
      </c>
      <c r="S341" s="1">
        <v>0</v>
      </c>
      <c r="T341" s="1">
        <v>0</v>
      </c>
      <c r="U341" s="1">
        <v>0</v>
      </c>
      <c r="V341" s="1">
        <v>0</v>
      </c>
      <c r="W341" s="1">
        <v>0</v>
      </c>
      <c r="X341" s="1">
        <v>0</v>
      </c>
      <c r="Y341" s="1">
        <v>0</v>
      </c>
      <c r="Z341" s="1">
        <v>0</v>
      </c>
      <c r="AA341" s="1">
        <v>0</v>
      </c>
      <c r="AB341" s="1">
        <v>0</v>
      </c>
      <c r="AC341" s="1">
        <v>0</v>
      </c>
      <c r="AD341" s="24">
        <f t="shared" si="16"/>
        <v>0</v>
      </c>
      <c r="AE341" s="23">
        <v>0</v>
      </c>
      <c r="AF341" s="1">
        <v>0</v>
      </c>
      <c r="AG341" s="1">
        <v>0</v>
      </c>
      <c r="AH341" s="1">
        <v>0</v>
      </c>
      <c r="AI341" s="1">
        <v>0</v>
      </c>
      <c r="AJ341" s="1">
        <v>0</v>
      </c>
      <c r="AK341" s="1">
        <v>0</v>
      </c>
      <c r="AL341" s="1">
        <v>100</v>
      </c>
      <c r="AM341" s="1">
        <v>0</v>
      </c>
      <c r="AN341" s="1">
        <v>0</v>
      </c>
      <c r="AO341" s="1">
        <v>250</v>
      </c>
      <c r="AP341" s="1">
        <v>50</v>
      </c>
      <c r="AQ341" s="24">
        <f t="shared" si="17"/>
        <v>400</v>
      </c>
    </row>
    <row r="342" spans="1:43" ht="17.25" customHeight="1" x14ac:dyDescent="0.45">
      <c r="A342" s="12" t="s">
        <v>286</v>
      </c>
      <c r="B342" s="12" t="s">
        <v>68</v>
      </c>
      <c r="C342" s="12" t="s">
        <v>13</v>
      </c>
      <c r="D342" s="12" t="s">
        <v>66</v>
      </c>
      <c r="E342" s="25">
        <v>0</v>
      </c>
      <c r="F342" s="10">
        <v>0</v>
      </c>
      <c r="G342" s="10">
        <v>0</v>
      </c>
      <c r="H342" s="10">
        <v>0</v>
      </c>
      <c r="I342" s="10">
        <v>1</v>
      </c>
      <c r="J342" s="10">
        <v>0</v>
      </c>
      <c r="K342" s="10">
        <v>0</v>
      </c>
      <c r="L342" s="10">
        <v>0</v>
      </c>
      <c r="M342" s="10">
        <v>0</v>
      </c>
      <c r="N342" s="10">
        <v>0</v>
      </c>
      <c r="O342" s="10">
        <v>0</v>
      </c>
      <c r="P342" s="10">
        <v>0</v>
      </c>
      <c r="Q342" s="26">
        <f t="shared" si="15"/>
        <v>1</v>
      </c>
      <c r="R342" s="25">
        <v>0</v>
      </c>
      <c r="S342" s="10">
        <v>0</v>
      </c>
      <c r="T342" s="10">
        <v>0</v>
      </c>
      <c r="U342" s="10">
        <v>0</v>
      </c>
      <c r="V342" s="10">
        <v>0</v>
      </c>
      <c r="W342" s="10">
        <v>0</v>
      </c>
      <c r="X342" s="10">
        <v>0</v>
      </c>
      <c r="Y342" s="10">
        <v>0</v>
      </c>
      <c r="Z342" s="10">
        <v>0</v>
      </c>
      <c r="AA342" s="10">
        <v>0</v>
      </c>
      <c r="AB342" s="10">
        <v>0</v>
      </c>
      <c r="AC342" s="10">
        <v>0</v>
      </c>
      <c r="AD342" s="26">
        <f t="shared" si="16"/>
        <v>0</v>
      </c>
      <c r="AE342" s="25">
        <v>0</v>
      </c>
      <c r="AF342" s="10">
        <v>0</v>
      </c>
      <c r="AG342" s="10">
        <v>0</v>
      </c>
      <c r="AH342" s="10">
        <v>0</v>
      </c>
      <c r="AI342" s="10">
        <v>10248</v>
      </c>
      <c r="AJ342" s="10">
        <v>0</v>
      </c>
      <c r="AK342" s="10">
        <v>0</v>
      </c>
      <c r="AL342" s="10">
        <v>0</v>
      </c>
      <c r="AM342" s="10">
        <v>0</v>
      </c>
      <c r="AN342" s="10">
        <v>0</v>
      </c>
      <c r="AO342" s="10">
        <v>0</v>
      </c>
      <c r="AP342" s="10">
        <v>0</v>
      </c>
      <c r="AQ342" s="26">
        <f t="shared" si="17"/>
        <v>10248</v>
      </c>
    </row>
    <row r="343" spans="1:43" ht="17.25" customHeight="1" x14ac:dyDescent="0.45">
      <c r="A343" s="2" t="s">
        <v>286</v>
      </c>
      <c r="B343" s="2" t="s">
        <v>68</v>
      </c>
      <c r="C343" s="2" t="s">
        <v>27</v>
      </c>
      <c r="D343" s="2" t="s">
        <v>66</v>
      </c>
      <c r="E343" s="23">
        <v>0</v>
      </c>
      <c r="F343" s="1">
        <v>0</v>
      </c>
      <c r="G343" s="1">
        <v>0</v>
      </c>
      <c r="H343" s="1">
        <v>2</v>
      </c>
      <c r="I343" s="1">
        <v>2</v>
      </c>
      <c r="J343" s="1">
        <v>0</v>
      </c>
      <c r="K343" s="1">
        <v>0</v>
      </c>
      <c r="L343" s="1">
        <v>0</v>
      </c>
      <c r="M343" s="1">
        <v>0</v>
      </c>
      <c r="N343" s="1">
        <v>0</v>
      </c>
      <c r="O343" s="1">
        <v>2</v>
      </c>
      <c r="P343" s="1">
        <v>0</v>
      </c>
      <c r="Q343" s="24">
        <f t="shared" si="15"/>
        <v>6</v>
      </c>
      <c r="R343" s="23">
        <v>0</v>
      </c>
      <c r="S343" s="1">
        <v>0</v>
      </c>
      <c r="T343" s="1">
        <v>0</v>
      </c>
      <c r="U343" s="1">
        <v>0</v>
      </c>
      <c r="V343" s="1">
        <v>0</v>
      </c>
      <c r="W343" s="1">
        <v>0</v>
      </c>
      <c r="X343" s="1">
        <v>0</v>
      </c>
      <c r="Y343" s="1">
        <v>0</v>
      </c>
      <c r="Z343" s="1">
        <v>0</v>
      </c>
      <c r="AA343" s="1">
        <v>0</v>
      </c>
      <c r="AB343" s="1">
        <v>0</v>
      </c>
      <c r="AC343" s="1">
        <v>0</v>
      </c>
      <c r="AD343" s="24">
        <f t="shared" si="16"/>
        <v>0</v>
      </c>
      <c r="AE343" s="23">
        <v>0</v>
      </c>
      <c r="AF343" s="1">
        <v>0</v>
      </c>
      <c r="AG343" s="1">
        <v>0</v>
      </c>
      <c r="AH343" s="1">
        <v>17947</v>
      </c>
      <c r="AI343" s="1">
        <v>21974</v>
      </c>
      <c r="AJ343" s="1">
        <v>0</v>
      </c>
      <c r="AK343" s="1">
        <v>0</v>
      </c>
      <c r="AL343" s="1">
        <v>0</v>
      </c>
      <c r="AM343" s="1">
        <v>0</v>
      </c>
      <c r="AN343" s="1">
        <v>0</v>
      </c>
      <c r="AO343" s="1">
        <v>125694</v>
      </c>
      <c r="AP343" s="1">
        <v>0</v>
      </c>
      <c r="AQ343" s="24">
        <f t="shared" si="17"/>
        <v>165615</v>
      </c>
    </row>
    <row r="344" spans="1:43" ht="17.25" customHeight="1" x14ac:dyDescent="0.45">
      <c r="A344" s="12" t="s">
        <v>286</v>
      </c>
      <c r="B344" s="12" t="s">
        <v>68</v>
      </c>
      <c r="C344" s="12" t="s">
        <v>28</v>
      </c>
      <c r="D344" s="12" t="s">
        <v>66</v>
      </c>
      <c r="E344" s="25">
        <v>0</v>
      </c>
      <c r="F344" s="10">
        <v>0</v>
      </c>
      <c r="G344" s="10">
        <v>0</v>
      </c>
      <c r="H344" s="10">
        <v>2</v>
      </c>
      <c r="I344" s="10">
        <v>0</v>
      </c>
      <c r="J344" s="10">
        <v>0</v>
      </c>
      <c r="K344" s="10">
        <v>0</v>
      </c>
      <c r="L344" s="10">
        <v>0</v>
      </c>
      <c r="M344" s="10">
        <v>0</v>
      </c>
      <c r="N344" s="10">
        <v>1</v>
      </c>
      <c r="O344" s="10">
        <v>0</v>
      </c>
      <c r="P344" s="10">
        <v>1</v>
      </c>
      <c r="Q344" s="26">
        <f t="shared" si="15"/>
        <v>4</v>
      </c>
      <c r="R344" s="25">
        <v>0</v>
      </c>
      <c r="S344" s="10">
        <v>0</v>
      </c>
      <c r="T344" s="10">
        <v>0</v>
      </c>
      <c r="U344" s="10">
        <v>0</v>
      </c>
      <c r="V344" s="10">
        <v>0</v>
      </c>
      <c r="W344" s="10">
        <v>0</v>
      </c>
      <c r="X344" s="10">
        <v>0</v>
      </c>
      <c r="Y344" s="10">
        <v>0</v>
      </c>
      <c r="Z344" s="10">
        <v>0</v>
      </c>
      <c r="AA344" s="10">
        <v>0</v>
      </c>
      <c r="AB344" s="10">
        <v>0</v>
      </c>
      <c r="AC344" s="10">
        <v>0</v>
      </c>
      <c r="AD344" s="26">
        <f t="shared" si="16"/>
        <v>0</v>
      </c>
      <c r="AE344" s="25">
        <v>0</v>
      </c>
      <c r="AF344" s="10">
        <v>0</v>
      </c>
      <c r="AG344" s="10">
        <v>0</v>
      </c>
      <c r="AH344" s="10">
        <v>21698</v>
      </c>
      <c r="AI344" s="10">
        <v>0</v>
      </c>
      <c r="AJ344" s="10">
        <v>0</v>
      </c>
      <c r="AK344" s="10">
        <v>0</v>
      </c>
      <c r="AL344" s="10">
        <v>0</v>
      </c>
      <c r="AM344" s="10">
        <v>0</v>
      </c>
      <c r="AN344" s="10">
        <v>39568</v>
      </c>
      <c r="AO344" s="10">
        <v>0</v>
      </c>
      <c r="AP344" s="10">
        <v>64893</v>
      </c>
      <c r="AQ344" s="26">
        <f t="shared" si="17"/>
        <v>126159</v>
      </c>
    </row>
    <row r="345" spans="1:43" ht="17.25" customHeight="1" x14ac:dyDescent="0.45">
      <c r="A345" s="2" t="s">
        <v>286</v>
      </c>
      <c r="B345" s="2" t="s">
        <v>68</v>
      </c>
      <c r="C345" s="2" t="s">
        <v>206</v>
      </c>
      <c r="D345" s="2" t="s">
        <v>66</v>
      </c>
      <c r="E345" s="23">
        <v>0</v>
      </c>
      <c r="F345" s="1">
        <v>0</v>
      </c>
      <c r="G345" s="1">
        <v>0</v>
      </c>
      <c r="H345" s="1">
        <v>0</v>
      </c>
      <c r="I345" s="1">
        <v>0</v>
      </c>
      <c r="J345" s="1">
        <v>1</v>
      </c>
      <c r="K345" s="1">
        <v>0</v>
      </c>
      <c r="L345" s="1">
        <v>0</v>
      </c>
      <c r="M345" s="1">
        <v>0</v>
      </c>
      <c r="N345" s="1">
        <v>2</v>
      </c>
      <c r="O345" s="1">
        <v>7</v>
      </c>
      <c r="P345" s="1">
        <v>1</v>
      </c>
      <c r="Q345" s="24">
        <f t="shared" si="15"/>
        <v>11</v>
      </c>
      <c r="R345" s="23">
        <v>0</v>
      </c>
      <c r="S345" s="1">
        <v>0</v>
      </c>
      <c r="T345" s="1">
        <v>0</v>
      </c>
      <c r="U345" s="1">
        <v>0</v>
      </c>
      <c r="V345" s="1">
        <v>0</v>
      </c>
      <c r="W345" s="1">
        <v>0</v>
      </c>
      <c r="X345" s="1">
        <v>0</v>
      </c>
      <c r="Y345" s="1">
        <v>0</v>
      </c>
      <c r="Z345" s="1">
        <v>0</v>
      </c>
      <c r="AA345" s="1">
        <v>0</v>
      </c>
      <c r="AB345" s="1">
        <v>0</v>
      </c>
      <c r="AC345" s="1">
        <v>0</v>
      </c>
      <c r="AD345" s="24">
        <f t="shared" si="16"/>
        <v>0</v>
      </c>
      <c r="AE345" s="23">
        <v>0</v>
      </c>
      <c r="AF345" s="1">
        <v>0</v>
      </c>
      <c r="AG345" s="1">
        <v>0</v>
      </c>
      <c r="AH345" s="1">
        <v>0</v>
      </c>
      <c r="AI345" s="1">
        <v>0</v>
      </c>
      <c r="AJ345" s="1">
        <v>63892</v>
      </c>
      <c r="AK345" s="1">
        <v>0</v>
      </c>
      <c r="AL345" s="1">
        <v>0</v>
      </c>
      <c r="AM345" s="1">
        <v>0</v>
      </c>
      <c r="AN345" s="1">
        <v>50457</v>
      </c>
      <c r="AO345" s="1">
        <v>373239</v>
      </c>
      <c r="AP345" s="1">
        <v>62735</v>
      </c>
      <c r="AQ345" s="24">
        <f t="shared" si="17"/>
        <v>550323</v>
      </c>
    </row>
    <row r="346" spans="1:43" ht="17.25" customHeight="1" x14ac:dyDescent="0.45">
      <c r="A346" s="12" t="s">
        <v>286</v>
      </c>
      <c r="B346" s="12" t="s">
        <v>68</v>
      </c>
      <c r="C346" s="12" t="s">
        <v>30</v>
      </c>
      <c r="D346" s="12" t="s">
        <v>66</v>
      </c>
      <c r="E346" s="25">
        <v>0</v>
      </c>
      <c r="F346" s="10">
        <v>0</v>
      </c>
      <c r="G346" s="10">
        <v>0</v>
      </c>
      <c r="H346" s="10">
        <v>0</v>
      </c>
      <c r="I346" s="10">
        <v>0</v>
      </c>
      <c r="J346" s="10">
        <v>0</v>
      </c>
      <c r="K346" s="10">
        <v>0</v>
      </c>
      <c r="L346" s="10">
        <v>0</v>
      </c>
      <c r="M346" s="10">
        <v>1</v>
      </c>
      <c r="N346" s="10">
        <v>1</v>
      </c>
      <c r="O346" s="10">
        <v>0</v>
      </c>
      <c r="P346" s="10">
        <v>0</v>
      </c>
      <c r="Q346" s="26">
        <f t="shared" si="15"/>
        <v>2</v>
      </c>
      <c r="R346" s="25">
        <v>0</v>
      </c>
      <c r="S346" s="10">
        <v>0</v>
      </c>
      <c r="T346" s="10">
        <v>0</v>
      </c>
      <c r="U346" s="10">
        <v>0</v>
      </c>
      <c r="V346" s="10">
        <v>0</v>
      </c>
      <c r="W346" s="10">
        <v>0</v>
      </c>
      <c r="X346" s="10">
        <v>0</v>
      </c>
      <c r="Y346" s="10">
        <v>0</v>
      </c>
      <c r="Z346" s="10">
        <v>0</v>
      </c>
      <c r="AA346" s="10">
        <v>0</v>
      </c>
      <c r="AB346" s="10">
        <v>0</v>
      </c>
      <c r="AC346" s="10">
        <v>0</v>
      </c>
      <c r="AD346" s="26">
        <f t="shared" si="16"/>
        <v>0</v>
      </c>
      <c r="AE346" s="25">
        <v>0</v>
      </c>
      <c r="AF346" s="10">
        <v>0</v>
      </c>
      <c r="AG346" s="10">
        <v>0</v>
      </c>
      <c r="AH346" s="10">
        <v>0</v>
      </c>
      <c r="AI346" s="10">
        <v>0</v>
      </c>
      <c r="AJ346" s="10">
        <v>0</v>
      </c>
      <c r="AK346" s="10">
        <v>0</v>
      </c>
      <c r="AL346" s="10">
        <v>0</v>
      </c>
      <c r="AM346" s="10">
        <v>3170</v>
      </c>
      <c r="AN346" s="10">
        <v>42682</v>
      </c>
      <c r="AO346" s="10">
        <v>0</v>
      </c>
      <c r="AP346" s="10">
        <v>0</v>
      </c>
      <c r="AQ346" s="26">
        <f t="shared" si="17"/>
        <v>45852</v>
      </c>
    </row>
    <row r="347" spans="1:43" ht="17.25" customHeight="1" x14ac:dyDescent="0.45">
      <c r="A347" s="2" t="s">
        <v>310</v>
      </c>
      <c r="B347" s="2" t="s">
        <v>120</v>
      </c>
      <c r="C347" s="2" t="s">
        <v>11</v>
      </c>
      <c r="D347" s="2" t="s">
        <v>66</v>
      </c>
      <c r="E347" s="23">
        <v>0</v>
      </c>
      <c r="F347" s="1">
        <v>0</v>
      </c>
      <c r="G347" s="1">
        <v>0</v>
      </c>
      <c r="H347" s="1">
        <v>0</v>
      </c>
      <c r="I347" s="1">
        <v>0</v>
      </c>
      <c r="J347" s="1">
        <v>0</v>
      </c>
      <c r="K347" s="1">
        <v>1</v>
      </c>
      <c r="L347" s="1">
        <v>0</v>
      </c>
      <c r="M347" s="1">
        <v>0</v>
      </c>
      <c r="N347" s="1">
        <v>0</v>
      </c>
      <c r="O347" s="1">
        <v>0</v>
      </c>
      <c r="P347" s="1">
        <v>0</v>
      </c>
      <c r="Q347" s="24">
        <f t="shared" si="15"/>
        <v>1</v>
      </c>
      <c r="R347" s="23">
        <v>0</v>
      </c>
      <c r="S347" s="1">
        <v>0</v>
      </c>
      <c r="T347" s="1">
        <v>0</v>
      </c>
      <c r="U347" s="1">
        <v>0</v>
      </c>
      <c r="V347" s="1">
        <v>0</v>
      </c>
      <c r="W347" s="1">
        <v>0</v>
      </c>
      <c r="X347" s="1">
        <v>0</v>
      </c>
      <c r="Y347" s="1">
        <v>0</v>
      </c>
      <c r="Z347" s="1">
        <v>0</v>
      </c>
      <c r="AA347" s="1">
        <v>0</v>
      </c>
      <c r="AB347" s="1">
        <v>0</v>
      </c>
      <c r="AC347" s="1">
        <v>0</v>
      </c>
      <c r="AD347" s="24">
        <f t="shared" si="16"/>
        <v>0</v>
      </c>
      <c r="AE347" s="23">
        <v>0</v>
      </c>
      <c r="AF347" s="1">
        <v>0</v>
      </c>
      <c r="AG347" s="1">
        <v>0</v>
      </c>
      <c r="AH347" s="1">
        <v>0</v>
      </c>
      <c r="AI347" s="1">
        <v>0</v>
      </c>
      <c r="AJ347" s="1">
        <v>0</v>
      </c>
      <c r="AK347" s="1">
        <v>102975</v>
      </c>
      <c r="AL347" s="1">
        <v>0</v>
      </c>
      <c r="AM347" s="1">
        <v>0</v>
      </c>
      <c r="AN347" s="1">
        <v>0</v>
      </c>
      <c r="AO347" s="1">
        <v>0</v>
      </c>
      <c r="AP347" s="1">
        <v>0</v>
      </c>
      <c r="AQ347" s="24">
        <f t="shared" si="17"/>
        <v>102975</v>
      </c>
    </row>
    <row r="348" spans="1:43" ht="17.25" customHeight="1" x14ac:dyDescent="0.45">
      <c r="A348" s="12" t="s">
        <v>330</v>
      </c>
      <c r="B348" s="12" t="s">
        <v>331</v>
      </c>
      <c r="C348" s="12" t="s">
        <v>17</v>
      </c>
      <c r="D348" s="12" t="s">
        <v>66</v>
      </c>
      <c r="E348" s="25">
        <v>0</v>
      </c>
      <c r="F348" s="10">
        <v>0</v>
      </c>
      <c r="G348" s="10">
        <v>0</v>
      </c>
      <c r="H348" s="10">
        <v>0</v>
      </c>
      <c r="I348" s="10">
        <v>0</v>
      </c>
      <c r="J348" s="10">
        <v>0</v>
      </c>
      <c r="K348" s="10">
        <v>0</v>
      </c>
      <c r="L348" s="10">
        <v>0</v>
      </c>
      <c r="M348" s="10">
        <v>0</v>
      </c>
      <c r="N348" s="10">
        <v>2</v>
      </c>
      <c r="O348" s="10">
        <v>4</v>
      </c>
      <c r="P348" s="10">
        <v>4</v>
      </c>
      <c r="Q348" s="26">
        <f t="shared" si="15"/>
        <v>10</v>
      </c>
      <c r="R348" s="25">
        <v>0</v>
      </c>
      <c r="S348" s="10">
        <v>0</v>
      </c>
      <c r="T348" s="10">
        <v>0</v>
      </c>
      <c r="U348" s="10">
        <v>0</v>
      </c>
      <c r="V348" s="10">
        <v>0</v>
      </c>
      <c r="W348" s="10">
        <v>0</v>
      </c>
      <c r="X348" s="10">
        <v>0</v>
      </c>
      <c r="Y348" s="10">
        <v>0</v>
      </c>
      <c r="Z348" s="10">
        <v>0</v>
      </c>
      <c r="AA348" s="10">
        <v>815</v>
      </c>
      <c r="AB348" s="10">
        <v>1567</v>
      </c>
      <c r="AC348" s="10">
        <v>1350</v>
      </c>
      <c r="AD348" s="26">
        <f t="shared" si="16"/>
        <v>3732</v>
      </c>
      <c r="AE348" s="25">
        <v>0</v>
      </c>
      <c r="AF348" s="10">
        <v>0</v>
      </c>
      <c r="AG348" s="10">
        <v>0</v>
      </c>
      <c r="AH348" s="10">
        <v>0</v>
      </c>
      <c r="AI348" s="10">
        <v>0</v>
      </c>
      <c r="AJ348" s="10">
        <v>0</v>
      </c>
      <c r="AK348" s="10">
        <v>0</v>
      </c>
      <c r="AL348" s="10">
        <v>0</v>
      </c>
      <c r="AM348" s="10">
        <v>0</v>
      </c>
      <c r="AN348" s="10">
        <v>0</v>
      </c>
      <c r="AO348" s="10">
        <v>0</v>
      </c>
      <c r="AP348" s="10">
        <v>0</v>
      </c>
      <c r="AQ348" s="26">
        <f t="shared" si="17"/>
        <v>0</v>
      </c>
    </row>
    <row r="349" spans="1:43" ht="17.25" customHeight="1" x14ac:dyDescent="0.45">
      <c r="A349" s="2" t="s">
        <v>27</v>
      </c>
      <c r="B349" s="2" t="s">
        <v>66</v>
      </c>
      <c r="C349" s="2" t="s">
        <v>207</v>
      </c>
      <c r="D349" s="2" t="s">
        <v>68</v>
      </c>
      <c r="E349" s="23">
        <v>0</v>
      </c>
      <c r="F349" s="1">
        <v>0</v>
      </c>
      <c r="G349" s="1">
        <v>0</v>
      </c>
      <c r="H349" s="1">
        <v>0</v>
      </c>
      <c r="I349" s="1">
        <v>0</v>
      </c>
      <c r="J349" s="1">
        <v>0</v>
      </c>
      <c r="K349" s="1">
        <v>0</v>
      </c>
      <c r="L349" s="1">
        <v>0</v>
      </c>
      <c r="M349" s="1">
        <v>1</v>
      </c>
      <c r="N349" s="1">
        <v>0</v>
      </c>
      <c r="O349" s="1">
        <v>0</v>
      </c>
      <c r="P349" s="1">
        <v>0</v>
      </c>
      <c r="Q349" s="24">
        <f t="shared" si="15"/>
        <v>1</v>
      </c>
      <c r="R349" s="23">
        <v>0</v>
      </c>
      <c r="S349" s="1">
        <v>0</v>
      </c>
      <c r="T349" s="1">
        <v>0</v>
      </c>
      <c r="U349" s="1">
        <v>0</v>
      </c>
      <c r="V349" s="1">
        <v>0</v>
      </c>
      <c r="W349" s="1">
        <v>0</v>
      </c>
      <c r="X349" s="1">
        <v>0</v>
      </c>
      <c r="Y349" s="1">
        <v>0</v>
      </c>
      <c r="Z349" s="1">
        <v>0</v>
      </c>
      <c r="AA349" s="1">
        <v>0</v>
      </c>
      <c r="AB349" s="1">
        <v>0</v>
      </c>
      <c r="AC349" s="1">
        <v>0</v>
      </c>
      <c r="AD349" s="24">
        <f t="shared" si="16"/>
        <v>0</v>
      </c>
      <c r="AE349" s="23">
        <v>0</v>
      </c>
      <c r="AF349" s="1">
        <v>0</v>
      </c>
      <c r="AG349" s="1">
        <v>0</v>
      </c>
      <c r="AH349" s="1">
        <v>0</v>
      </c>
      <c r="AI349" s="1">
        <v>0</v>
      </c>
      <c r="AJ349" s="1">
        <v>0</v>
      </c>
      <c r="AK349" s="1">
        <v>0</v>
      </c>
      <c r="AL349" s="1">
        <v>0</v>
      </c>
      <c r="AM349" s="1">
        <v>2955</v>
      </c>
      <c r="AN349" s="1">
        <v>0</v>
      </c>
      <c r="AO349" s="1">
        <v>0</v>
      </c>
      <c r="AP349" s="1">
        <v>0</v>
      </c>
      <c r="AQ349" s="24">
        <f t="shared" si="17"/>
        <v>2955</v>
      </c>
    </row>
    <row r="350" spans="1:43" ht="17.25" customHeight="1" x14ac:dyDescent="0.45">
      <c r="A350" s="12" t="s">
        <v>27</v>
      </c>
      <c r="B350" s="12" t="s">
        <v>66</v>
      </c>
      <c r="C350" s="12" t="s">
        <v>101</v>
      </c>
      <c r="D350" s="12" t="s">
        <v>68</v>
      </c>
      <c r="E350" s="25">
        <v>0</v>
      </c>
      <c r="F350" s="10">
        <v>0</v>
      </c>
      <c r="G350" s="10">
        <v>0</v>
      </c>
      <c r="H350" s="10">
        <v>0</v>
      </c>
      <c r="I350" s="10">
        <v>0</v>
      </c>
      <c r="J350" s="10">
        <v>0</v>
      </c>
      <c r="K350" s="10">
        <v>0</v>
      </c>
      <c r="L350" s="10">
        <v>0</v>
      </c>
      <c r="M350" s="10">
        <v>1</v>
      </c>
      <c r="N350" s="10">
        <v>0</v>
      </c>
      <c r="O350" s="10">
        <v>0</v>
      </c>
      <c r="P350" s="10">
        <v>0</v>
      </c>
      <c r="Q350" s="26">
        <f t="shared" si="15"/>
        <v>1</v>
      </c>
      <c r="R350" s="25">
        <v>0</v>
      </c>
      <c r="S350" s="10">
        <v>0</v>
      </c>
      <c r="T350" s="10">
        <v>0</v>
      </c>
      <c r="U350" s="10">
        <v>0</v>
      </c>
      <c r="V350" s="10">
        <v>0</v>
      </c>
      <c r="W350" s="10">
        <v>0</v>
      </c>
      <c r="X350" s="10">
        <v>0</v>
      </c>
      <c r="Y350" s="10">
        <v>0</v>
      </c>
      <c r="Z350" s="10">
        <v>0</v>
      </c>
      <c r="AA350" s="10">
        <v>0</v>
      </c>
      <c r="AB350" s="10">
        <v>0</v>
      </c>
      <c r="AC350" s="10">
        <v>0</v>
      </c>
      <c r="AD350" s="26">
        <f t="shared" si="16"/>
        <v>0</v>
      </c>
      <c r="AE350" s="25">
        <v>0</v>
      </c>
      <c r="AF350" s="10">
        <v>0</v>
      </c>
      <c r="AG350" s="10">
        <v>0</v>
      </c>
      <c r="AH350" s="10">
        <v>0</v>
      </c>
      <c r="AI350" s="10">
        <v>0</v>
      </c>
      <c r="AJ350" s="10">
        <v>0</v>
      </c>
      <c r="AK350" s="10">
        <v>0</v>
      </c>
      <c r="AL350" s="10">
        <v>0</v>
      </c>
      <c r="AM350" s="10">
        <v>2497</v>
      </c>
      <c r="AN350" s="10">
        <v>0</v>
      </c>
      <c r="AO350" s="10">
        <v>0</v>
      </c>
      <c r="AP350" s="10">
        <v>0</v>
      </c>
      <c r="AQ350" s="26">
        <f t="shared" si="17"/>
        <v>2497</v>
      </c>
    </row>
    <row r="351" spans="1:43" ht="17.25" customHeight="1" x14ac:dyDescent="0.45">
      <c r="A351" s="2" t="s">
        <v>27</v>
      </c>
      <c r="B351" s="2" t="s">
        <v>66</v>
      </c>
      <c r="C351" s="2" t="s">
        <v>194</v>
      </c>
      <c r="D351" s="2" t="s">
        <v>68</v>
      </c>
      <c r="E351" s="23">
        <v>5</v>
      </c>
      <c r="F351" s="1">
        <v>1</v>
      </c>
      <c r="G351" s="1">
        <v>3</v>
      </c>
      <c r="H351" s="1">
        <v>15</v>
      </c>
      <c r="I351" s="1">
        <v>14</v>
      </c>
      <c r="J351" s="1">
        <v>0</v>
      </c>
      <c r="K351" s="1">
        <v>1</v>
      </c>
      <c r="L351" s="1">
        <v>2</v>
      </c>
      <c r="M351" s="1">
        <v>2</v>
      </c>
      <c r="N351" s="1">
        <v>0</v>
      </c>
      <c r="O351" s="1">
        <v>6</v>
      </c>
      <c r="P351" s="1">
        <v>4</v>
      </c>
      <c r="Q351" s="24">
        <f t="shared" si="15"/>
        <v>53</v>
      </c>
      <c r="R351" s="23">
        <v>0</v>
      </c>
      <c r="S351" s="1">
        <v>0</v>
      </c>
      <c r="T351" s="1">
        <v>0</v>
      </c>
      <c r="U351" s="1">
        <v>0</v>
      </c>
      <c r="V351" s="1">
        <v>0</v>
      </c>
      <c r="W351" s="1">
        <v>0</v>
      </c>
      <c r="X351" s="1">
        <v>0</v>
      </c>
      <c r="Y351" s="1">
        <v>0</v>
      </c>
      <c r="Z351" s="1">
        <v>0</v>
      </c>
      <c r="AA351" s="1">
        <v>0</v>
      </c>
      <c r="AB351" s="1">
        <v>0</v>
      </c>
      <c r="AC351" s="1">
        <v>0</v>
      </c>
      <c r="AD351" s="24">
        <f t="shared" si="16"/>
        <v>0</v>
      </c>
      <c r="AE351" s="23">
        <v>4056</v>
      </c>
      <c r="AF351" s="1">
        <v>480</v>
      </c>
      <c r="AG351" s="1">
        <v>9221</v>
      </c>
      <c r="AH351" s="1">
        <v>35597</v>
      </c>
      <c r="AI351" s="1">
        <v>51987</v>
      </c>
      <c r="AJ351" s="1">
        <v>0</v>
      </c>
      <c r="AK351" s="1">
        <v>2209</v>
      </c>
      <c r="AL351" s="1">
        <v>6030</v>
      </c>
      <c r="AM351" s="1">
        <v>17072</v>
      </c>
      <c r="AN351" s="1">
        <v>0</v>
      </c>
      <c r="AO351" s="1">
        <v>14110</v>
      </c>
      <c r="AP351" s="1">
        <v>9501</v>
      </c>
      <c r="AQ351" s="24">
        <f t="shared" si="17"/>
        <v>150263</v>
      </c>
    </row>
    <row r="352" spans="1:43" ht="17.25" customHeight="1" x14ac:dyDescent="0.45">
      <c r="A352" s="12" t="s">
        <v>17</v>
      </c>
      <c r="B352" s="12" t="s">
        <v>66</v>
      </c>
      <c r="C352" s="12" t="s">
        <v>235</v>
      </c>
      <c r="D352" s="12" t="s">
        <v>68</v>
      </c>
      <c r="E352" s="25">
        <v>0</v>
      </c>
      <c r="F352" s="10">
        <v>0</v>
      </c>
      <c r="G352" s="10">
        <v>0</v>
      </c>
      <c r="H352" s="10">
        <v>0</v>
      </c>
      <c r="I352" s="10">
        <v>0</v>
      </c>
      <c r="J352" s="10">
        <v>0</v>
      </c>
      <c r="K352" s="10">
        <v>0</v>
      </c>
      <c r="L352" s="10">
        <v>0</v>
      </c>
      <c r="M352" s="10">
        <v>0</v>
      </c>
      <c r="N352" s="10">
        <v>0</v>
      </c>
      <c r="O352" s="10">
        <v>0</v>
      </c>
      <c r="P352" s="10">
        <v>1</v>
      </c>
      <c r="Q352" s="26">
        <f t="shared" si="15"/>
        <v>1</v>
      </c>
      <c r="R352" s="25">
        <v>0</v>
      </c>
      <c r="S352" s="10">
        <v>0</v>
      </c>
      <c r="T352" s="10">
        <v>0</v>
      </c>
      <c r="U352" s="10">
        <v>0</v>
      </c>
      <c r="V352" s="10">
        <v>0</v>
      </c>
      <c r="W352" s="10">
        <v>0</v>
      </c>
      <c r="X352" s="10">
        <v>0</v>
      </c>
      <c r="Y352" s="10">
        <v>0</v>
      </c>
      <c r="Z352" s="10">
        <v>0</v>
      </c>
      <c r="AA352" s="10">
        <v>0</v>
      </c>
      <c r="AB352" s="10">
        <v>0</v>
      </c>
      <c r="AC352" s="10">
        <v>9</v>
      </c>
      <c r="AD352" s="26">
        <f t="shared" si="16"/>
        <v>9</v>
      </c>
      <c r="AE352" s="25">
        <v>0</v>
      </c>
      <c r="AF352" s="10">
        <v>0</v>
      </c>
      <c r="AG352" s="10">
        <v>0</v>
      </c>
      <c r="AH352" s="10">
        <v>0</v>
      </c>
      <c r="AI352" s="10">
        <v>0</v>
      </c>
      <c r="AJ352" s="10">
        <v>0</v>
      </c>
      <c r="AK352" s="10">
        <v>0</v>
      </c>
      <c r="AL352" s="10">
        <v>0</v>
      </c>
      <c r="AM352" s="10">
        <v>0</v>
      </c>
      <c r="AN352" s="10">
        <v>0</v>
      </c>
      <c r="AO352" s="10">
        <v>0</v>
      </c>
      <c r="AP352" s="10">
        <v>0</v>
      </c>
      <c r="AQ352" s="26">
        <f t="shared" si="17"/>
        <v>0</v>
      </c>
    </row>
    <row r="353" spans="1:43" ht="17.25" customHeight="1" x14ac:dyDescent="0.45">
      <c r="A353" s="2" t="s">
        <v>17</v>
      </c>
      <c r="B353" s="2" t="s">
        <v>66</v>
      </c>
      <c r="C353" s="2" t="s">
        <v>221</v>
      </c>
      <c r="D353" s="2" t="s">
        <v>68</v>
      </c>
      <c r="E353" s="23">
        <v>1</v>
      </c>
      <c r="F353" s="1">
        <v>0</v>
      </c>
      <c r="G353" s="1">
        <v>0</v>
      </c>
      <c r="H353" s="1">
        <v>0</v>
      </c>
      <c r="I353" s="1">
        <v>0</v>
      </c>
      <c r="J353" s="1">
        <v>0</v>
      </c>
      <c r="K353" s="1">
        <v>0</v>
      </c>
      <c r="L353" s="1">
        <v>0</v>
      </c>
      <c r="M353" s="1">
        <v>0</v>
      </c>
      <c r="N353" s="1">
        <v>0</v>
      </c>
      <c r="O353" s="1">
        <v>0</v>
      </c>
      <c r="P353" s="1">
        <v>0</v>
      </c>
      <c r="Q353" s="24">
        <f t="shared" si="15"/>
        <v>1</v>
      </c>
      <c r="R353" s="23">
        <v>8</v>
      </c>
      <c r="S353" s="1">
        <v>0</v>
      </c>
      <c r="T353" s="1">
        <v>0</v>
      </c>
      <c r="U353" s="1">
        <v>0</v>
      </c>
      <c r="V353" s="1">
        <v>0</v>
      </c>
      <c r="W353" s="1">
        <v>0</v>
      </c>
      <c r="X353" s="1">
        <v>0</v>
      </c>
      <c r="Y353" s="1">
        <v>0</v>
      </c>
      <c r="Z353" s="1">
        <v>0</v>
      </c>
      <c r="AA353" s="1">
        <v>0</v>
      </c>
      <c r="AB353" s="1">
        <v>0</v>
      </c>
      <c r="AC353" s="1">
        <v>0</v>
      </c>
      <c r="AD353" s="24">
        <f t="shared" si="16"/>
        <v>8</v>
      </c>
      <c r="AE353" s="23">
        <v>0</v>
      </c>
      <c r="AF353" s="1">
        <v>0</v>
      </c>
      <c r="AG353" s="1">
        <v>0</v>
      </c>
      <c r="AH353" s="1">
        <v>0</v>
      </c>
      <c r="AI353" s="1">
        <v>0</v>
      </c>
      <c r="AJ353" s="1">
        <v>0</v>
      </c>
      <c r="AK353" s="1">
        <v>0</v>
      </c>
      <c r="AL353" s="1">
        <v>0</v>
      </c>
      <c r="AM353" s="1">
        <v>0</v>
      </c>
      <c r="AN353" s="1">
        <v>0</v>
      </c>
      <c r="AO353" s="1">
        <v>0</v>
      </c>
      <c r="AP353" s="1">
        <v>0</v>
      </c>
      <c r="AQ353" s="24">
        <f t="shared" si="17"/>
        <v>0</v>
      </c>
    </row>
    <row r="354" spans="1:43" ht="17.25" customHeight="1" x14ac:dyDescent="0.45">
      <c r="A354" s="12" t="s">
        <v>17</v>
      </c>
      <c r="B354" s="12" t="s">
        <v>66</v>
      </c>
      <c r="C354" s="12" t="s">
        <v>456</v>
      </c>
      <c r="D354" s="12" t="s">
        <v>68</v>
      </c>
      <c r="E354" s="25">
        <v>0</v>
      </c>
      <c r="F354" s="10">
        <v>1</v>
      </c>
      <c r="G354" s="10">
        <v>0</v>
      </c>
      <c r="H354" s="10">
        <v>0</v>
      </c>
      <c r="I354" s="10">
        <v>0</v>
      </c>
      <c r="J354" s="10">
        <v>0</v>
      </c>
      <c r="K354" s="10">
        <v>0</v>
      </c>
      <c r="L354" s="10">
        <v>0</v>
      </c>
      <c r="M354" s="10">
        <v>0</v>
      </c>
      <c r="N354" s="10">
        <v>0</v>
      </c>
      <c r="O354" s="10">
        <v>0</v>
      </c>
      <c r="P354" s="10">
        <v>0</v>
      </c>
      <c r="Q354" s="26">
        <f t="shared" si="15"/>
        <v>1</v>
      </c>
      <c r="R354" s="25">
        <v>0</v>
      </c>
      <c r="S354" s="10">
        <v>2</v>
      </c>
      <c r="T354" s="10">
        <v>0</v>
      </c>
      <c r="U354" s="10">
        <v>0</v>
      </c>
      <c r="V354" s="10">
        <v>0</v>
      </c>
      <c r="W354" s="10">
        <v>0</v>
      </c>
      <c r="X354" s="10">
        <v>0</v>
      </c>
      <c r="Y354" s="10">
        <v>0</v>
      </c>
      <c r="Z354" s="10">
        <v>0</v>
      </c>
      <c r="AA354" s="10">
        <v>0</v>
      </c>
      <c r="AB354" s="10">
        <v>0</v>
      </c>
      <c r="AC354" s="10">
        <v>0</v>
      </c>
      <c r="AD354" s="26">
        <f t="shared" si="16"/>
        <v>2</v>
      </c>
      <c r="AE354" s="25">
        <v>0</v>
      </c>
      <c r="AF354" s="10">
        <v>0</v>
      </c>
      <c r="AG354" s="10">
        <v>0</v>
      </c>
      <c r="AH354" s="10">
        <v>0</v>
      </c>
      <c r="AI354" s="10">
        <v>0</v>
      </c>
      <c r="AJ354" s="10">
        <v>0</v>
      </c>
      <c r="AK354" s="10">
        <v>0</v>
      </c>
      <c r="AL354" s="10">
        <v>0</v>
      </c>
      <c r="AM354" s="10">
        <v>0</v>
      </c>
      <c r="AN354" s="10">
        <v>0</v>
      </c>
      <c r="AO354" s="10">
        <v>0</v>
      </c>
      <c r="AP354" s="10">
        <v>0</v>
      </c>
      <c r="AQ354" s="26">
        <f t="shared" si="17"/>
        <v>0</v>
      </c>
    </row>
    <row r="355" spans="1:43" ht="17.25" customHeight="1" x14ac:dyDescent="0.45">
      <c r="A355" s="2" t="s">
        <v>17</v>
      </c>
      <c r="B355" s="2" t="s">
        <v>66</v>
      </c>
      <c r="C355" s="2" t="s">
        <v>457</v>
      </c>
      <c r="D355" s="2" t="s">
        <v>68</v>
      </c>
      <c r="E355" s="23">
        <v>1</v>
      </c>
      <c r="F355" s="1">
        <v>0</v>
      </c>
      <c r="G355" s="1">
        <v>0</v>
      </c>
      <c r="H355" s="1">
        <v>0</v>
      </c>
      <c r="I355" s="1">
        <v>0</v>
      </c>
      <c r="J355" s="1">
        <v>0</v>
      </c>
      <c r="K355" s="1">
        <v>0</v>
      </c>
      <c r="L355" s="1">
        <v>0</v>
      </c>
      <c r="M355" s="1">
        <v>0</v>
      </c>
      <c r="N355" s="1">
        <v>0</v>
      </c>
      <c r="O355" s="1">
        <v>0</v>
      </c>
      <c r="P355" s="1">
        <v>0</v>
      </c>
      <c r="Q355" s="24">
        <f t="shared" si="15"/>
        <v>1</v>
      </c>
      <c r="R355" s="23">
        <v>7</v>
      </c>
      <c r="S355" s="1">
        <v>0</v>
      </c>
      <c r="T355" s="1">
        <v>0</v>
      </c>
      <c r="U355" s="1">
        <v>0</v>
      </c>
      <c r="V355" s="1">
        <v>0</v>
      </c>
      <c r="W355" s="1">
        <v>0</v>
      </c>
      <c r="X355" s="1">
        <v>0</v>
      </c>
      <c r="Y355" s="1">
        <v>0</v>
      </c>
      <c r="Z355" s="1">
        <v>0</v>
      </c>
      <c r="AA355" s="1">
        <v>0</v>
      </c>
      <c r="AB355" s="1">
        <v>0</v>
      </c>
      <c r="AC355" s="1">
        <v>0</v>
      </c>
      <c r="AD355" s="24">
        <f t="shared" si="16"/>
        <v>7</v>
      </c>
      <c r="AE355" s="23">
        <v>0</v>
      </c>
      <c r="AF355" s="1">
        <v>0</v>
      </c>
      <c r="AG355" s="1">
        <v>0</v>
      </c>
      <c r="AH355" s="1">
        <v>0</v>
      </c>
      <c r="AI355" s="1">
        <v>0</v>
      </c>
      <c r="AJ355" s="1">
        <v>0</v>
      </c>
      <c r="AK355" s="1">
        <v>0</v>
      </c>
      <c r="AL355" s="1">
        <v>0</v>
      </c>
      <c r="AM355" s="1">
        <v>0</v>
      </c>
      <c r="AN355" s="1">
        <v>0</v>
      </c>
      <c r="AO355" s="1">
        <v>0</v>
      </c>
      <c r="AP355" s="1">
        <v>0</v>
      </c>
      <c r="AQ355" s="24">
        <f t="shared" si="17"/>
        <v>0</v>
      </c>
    </row>
    <row r="356" spans="1:43" ht="17.25" customHeight="1" x14ac:dyDescent="0.45">
      <c r="A356" s="12" t="s">
        <v>17</v>
      </c>
      <c r="B356" s="12" t="s">
        <v>66</v>
      </c>
      <c r="C356" s="12" t="s">
        <v>73</v>
      </c>
      <c r="D356" s="12" t="s">
        <v>68</v>
      </c>
      <c r="E356" s="25">
        <v>0</v>
      </c>
      <c r="F356" s="10">
        <v>0</v>
      </c>
      <c r="G356" s="10">
        <v>0</v>
      </c>
      <c r="H356" s="10">
        <v>0</v>
      </c>
      <c r="I356" s="10">
        <v>0</v>
      </c>
      <c r="J356" s="10">
        <v>0</v>
      </c>
      <c r="K356" s="10">
        <v>0</v>
      </c>
      <c r="L356" s="10">
        <v>0</v>
      </c>
      <c r="M356" s="10">
        <v>0</v>
      </c>
      <c r="N356" s="10">
        <v>1</v>
      </c>
      <c r="O356" s="10">
        <v>0</v>
      </c>
      <c r="P356" s="10">
        <v>0</v>
      </c>
      <c r="Q356" s="26">
        <f t="shared" si="15"/>
        <v>1</v>
      </c>
      <c r="R356" s="25">
        <v>0</v>
      </c>
      <c r="S356" s="10">
        <v>0</v>
      </c>
      <c r="T356" s="10">
        <v>0</v>
      </c>
      <c r="U356" s="10">
        <v>0</v>
      </c>
      <c r="V356" s="10">
        <v>0</v>
      </c>
      <c r="W356" s="10">
        <v>0</v>
      </c>
      <c r="X356" s="10">
        <v>0</v>
      </c>
      <c r="Y356" s="10">
        <v>0</v>
      </c>
      <c r="Z356" s="10">
        <v>0</v>
      </c>
      <c r="AA356" s="10">
        <v>11</v>
      </c>
      <c r="AB356" s="10">
        <v>0</v>
      </c>
      <c r="AC356" s="10">
        <v>0</v>
      </c>
      <c r="AD356" s="26">
        <f t="shared" si="16"/>
        <v>11</v>
      </c>
      <c r="AE356" s="25">
        <v>0</v>
      </c>
      <c r="AF356" s="10">
        <v>0</v>
      </c>
      <c r="AG356" s="10">
        <v>0</v>
      </c>
      <c r="AH356" s="10">
        <v>0</v>
      </c>
      <c r="AI356" s="10">
        <v>0</v>
      </c>
      <c r="AJ356" s="10">
        <v>0</v>
      </c>
      <c r="AK356" s="10">
        <v>0</v>
      </c>
      <c r="AL356" s="10">
        <v>0</v>
      </c>
      <c r="AM356" s="10">
        <v>0</v>
      </c>
      <c r="AN356" s="10">
        <v>0</v>
      </c>
      <c r="AO356" s="10">
        <v>0</v>
      </c>
      <c r="AP356" s="10">
        <v>0</v>
      </c>
      <c r="AQ356" s="26">
        <f t="shared" si="17"/>
        <v>0</v>
      </c>
    </row>
    <row r="357" spans="1:43" ht="17.25" customHeight="1" x14ac:dyDescent="0.45">
      <c r="A357" s="2" t="s">
        <v>17</v>
      </c>
      <c r="B357" s="2" t="s">
        <v>66</v>
      </c>
      <c r="C357" s="2" t="s">
        <v>175</v>
      </c>
      <c r="D357" s="2" t="s">
        <v>68</v>
      </c>
      <c r="E357" s="23">
        <v>0</v>
      </c>
      <c r="F357" s="1">
        <v>1</v>
      </c>
      <c r="G357" s="1">
        <v>2</v>
      </c>
      <c r="H357" s="1">
        <v>0</v>
      </c>
      <c r="I357" s="1">
        <v>0</v>
      </c>
      <c r="J357" s="1">
        <v>0</v>
      </c>
      <c r="K357" s="1">
        <v>0</v>
      </c>
      <c r="L357" s="1">
        <v>0</v>
      </c>
      <c r="M357" s="1">
        <v>0</v>
      </c>
      <c r="N357" s="1">
        <v>0</v>
      </c>
      <c r="O357" s="1">
        <v>0</v>
      </c>
      <c r="P357" s="1">
        <v>0</v>
      </c>
      <c r="Q357" s="24">
        <f t="shared" si="15"/>
        <v>3</v>
      </c>
      <c r="R357" s="23">
        <v>0</v>
      </c>
      <c r="S357" s="1">
        <v>165</v>
      </c>
      <c r="T357" s="1">
        <v>298</v>
      </c>
      <c r="U357" s="1">
        <v>0</v>
      </c>
      <c r="V357" s="1">
        <v>0</v>
      </c>
      <c r="W357" s="1">
        <v>0</v>
      </c>
      <c r="X357" s="1">
        <v>0</v>
      </c>
      <c r="Y357" s="1">
        <v>0</v>
      </c>
      <c r="Z357" s="1">
        <v>0</v>
      </c>
      <c r="AA357" s="1">
        <v>0</v>
      </c>
      <c r="AB357" s="1">
        <v>0</v>
      </c>
      <c r="AC357" s="1">
        <v>0</v>
      </c>
      <c r="AD357" s="24">
        <f t="shared" si="16"/>
        <v>463</v>
      </c>
      <c r="AE357" s="23">
        <v>0</v>
      </c>
      <c r="AF357" s="1">
        <v>0</v>
      </c>
      <c r="AG357" s="1">
        <v>0</v>
      </c>
      <c r="AH357" s="1">
        <v>0</v>
      </c>
      <c r="AI357" s="1">
        <v>0</v>
      </c>
      <c r="AJ357" s="1">
        <v>0</v>
      </c>
      <c r="AK357" s="1">
        <v>0</v>
      </c>
      <c r="AL357" s="1">
        <v>0</v>
      </c>
      <c r="AM357" s="1">
        <v>0</v>
      </c>
      <c r="AN357" s="1">
        <v>0</v>
      </c>
      <c r="AO357" s="1">
        <v>0</v>
      </c>
      <c r="AP357" s="1">
        <v>0</v>
      </c>
      <c r="AQ357" s="24">
        <f t="shared" si="17"/>
        <v>0</v>
      </c>
    </row>
    <row r="358" spans="1:43" ht="17.25" customHeight="1" x14ac:dyDescent="0.45">
      <c r="A358" s="12" t="s">
        <v>17</v>
      </c>
      <c r="B358" s="12" t="s">
        <v>66</v>
      </c>
      <c r="C358" s="12" t="s">
        <v>142</v>
      </c>
      <c r="D358" s="12" t="s">
        <v>68</v>
      </c>
      <c r="E358" s="25">
        <v>0</v>
      </c>
      <c r="F358" s="10">
        <v>0</v>
      </c>
      <c r="G358" s="10">
        <v>0</v>
      </c>
      <c r="H358" s="10">
        <v>0</v>
      </c>
      <c r="I358" s="10">
        <v>0</v>
      </c>
      <c r="J358" s="10">
        <v>1</v>
      </c>
      <c r="K358" s="10">
        <v>0</v>
      </c>
      <c r="L358" s="10">
        <v>0</v>
      </c>
      <c r="M358" s="10">
        <v>0</v>
      </c>
      <c r="N358" s="10">
        <v>0</v>
      </c>
      <c r="O358" s="10">
        <v>0</v>
      </c>
      <c r="P358" s="10">
        <v>0</v>
      </c>
      <c r="Q358" s="26">
        <f t="shared" si="15"/>
        <v>1</v>
      </c>
      <c r="R358" s="25">
        <v>0</v>
      </c>
      <c r="S358" s="10">
        <v>0</v>
      </c>
      <c r="T358" s="10">
        <v>0</v>
      </c>
      <c r="U358" s="10">
        <v>0</v>
      </c>
      <c r="V358" s="10">
        <v>0</v>
      </c>
      <c r="W358" s="10">
        <v>12</v>
      </c>
      <c r="X358" s="10">
        <v>0</v>
      </c>
      <c r="Y358" s="10">
        <v>0</v>
      </c>
      <c r="Z358" s="10">
        <v>0</v>
      </c>
      <c r="AA358" s="10">
        <v>0</v>
      </c>
      <c r="AB358" s="10">
        <v>0</v>
      </c>
      <c r="AC358" s="10">
        <v>0</v>
      </c>
      <c r="AD358" s="26">
        <f t="shared" si="16"/>
        <v>12</v>
      </c>
      <c r="AE358" s="25">
        <v>0</v>
      </c>
      <c r="AF358" s="10">
        <v>0</v>
      </c>
      <c r="AG358" s="10">
        <v>0</v>
      </c>
      <c r="AH358" s="10">
        <v>0</v>
      </c>
      <c r="AI358" s="10">
        <v>0</v>
      </c>
      <c r="AJ358" s="10">
        <v>0</v>
      </c>
      <c r="AK358" s="10">
        <v>0</v>
      </c>
      <c r="AL358" s="10">
        <v>0</v>
      </c>
      <c r="AM358" s="10">
        <v>0</v>
      </c>
      <c r="AN358" s="10">
        <v>0</v>
      </c>
      <c r="AO358" s="10">
        <v>0</v>
      </c>
      <c r="AP358" s="10">
        <v>0</v>
      </c>
      <c r="AQ358" s="26">
        <f t="shared" si="17"/>
        <v>0</v>
      </c>
    </row>
    <row r="359" spans="1:43" ht="17.25" customHeight="1" x14ac:dyDescent="0.45">
      <c r="A359" s="2" t="s">
        <v>17</v>
      </c>
      <c r="B359" s="2" t="s">
        <v>66</v>
      </c>
      <c r="C359" s="2" t="s">
        <v>330</v>
      </c>
      <c r="D359" s="2" t="s">
        <v>331</v>
      </c>
      <c r="E359" s="23">
        <v>0</v>
      </c>
      <c r="F359" s="1">
        <v>0</v>
      </c>
      <c r="G359" s="1">
        <v>0</v>
      </c>
      <c r="H359" s="1">
        <v>0</v>
      </c>
      <c r="I359" s="1">
        <v>0</v>
      </c>
      <c r="J359" s="1">
        <v>0</v>
      </c>
      <c r="K359" s="1">
        <v>0</v>
      </c>
      <c r="L359" s="1">
        <v>0</v>
      </c>
      <c r="M359" s="1">
        <v>0</v>
      </c>
      <c r="N359" s="1">
        <v>2</v>
      </c>
      <c r="O359" s="1">
        <v>4</v>
      </c>
      <c r="P359" s="1">
        <v>4</v>
      </c>
      <c r="Q359" s="24">
        <f t="shared" si="15"/>
        <v>10</v>
      </c>
      <c r="R359" s="23">
        <v>0</v>
      </c>
      <c r="S359" s="1">
        <v>0</v>
      </c>
      <c r="T359" s="1">
        <v>0</v>
      </c>
      <c r="U359" s="1">
        <v>0</v>
      </c>
      <c r="V359" s="1">
        <v>0</v>
      </c>
      <c r="W359" s="1">
        <v>0</v>
      </c>
      <c r="X359" s="1">
        <v>0</v>
      </c>
      <c r="Y359" s="1">
        <v>0</v>
      </c>
      <c r="Z359" s="1">
        <v>0</v>
      </c>
      <c r="AA359" s="1">
        <v>325</v>
      </c>
      <c r="AB359" s="1">
        <v>1597</v>
      </c>
      <c r="AC359" s="1">
        <v>1448</v>
      </c>
      <c r="AD359" s="24">
        <f t="shared" si="16"/>
        <v>3370</v>
      </c>
      <c r="AE359" s="23">
        <v>0</v>
      </c>
      <c r="AF359" s="1">
        <v>0</v>
      </c>
      <c r="AG359" s="1">
        <v>0</v>
      </c>
      <c r="AH359" s="1">
        <v>0</v>
      </c>
      <c r="AI359" s="1">
        <v>0</v>
      </c>
      <c r="AJ359" s="1">
        <v>0</v>
      </c>
      <c r="AK359" s="1">
        <v>0</v>
      </c>
      <c r="AL359" s="1">
        <v>0</v>
      </c>
      <c r="AM359" s="1">
        <v>0</v>
      </c>
      <c r="AN359" s="1">
        <v>0</v>
      </c>
      <c r="AO359" s="1">
        <v>0</v>
      </c>
      <c r="AP359" s="1">
        <v>0</v>
      </c>
      <c r="AQ359" s="24">
        <f t="shared" si="17"/>
        <v>0</v>
      </c>
    </row>
    <row r="360" spans="1:43" ht="17.25" customHeight="1" x14ac:dyDescent="0.45">
      <c r="A360" s="12" t="s">
        <v>17</v>
      </c>
      <c r="B360" s="12" t="s">
        <v>66</v>
      </c>
      <c r="C360" s="12" t="s">
        <v>190</v>
      </c>
      <c r="D360" s="12" t="s">
        <v>68</v>
      </c>
      <c r="E360" s="25">
        <v>2</v>
      </c>
      <c r="F360" s="10">
        <v>0</v>
      </c>
      <c r="G360" s="10">
        <v>0</v>
      </c>
      <c r="H360" s="10">
        <v>0</v>
      </c>
      <c r="I360" s="10">
        <v>0</v>
      </c>
      <c r="J360" s="10">
        <v>0</v>
      </c>
      <c r="K360" s="10">
        <v>0</v>
      </c>
      <c r="L360" s="10">
        <v>0</v>
      </c>
      <c r="M360" s="10">
        <v>0</v>
      </c>
      <c r="N360" s="10">
        <v>0</v>
      </c>
      <c r="O360" s="10">
        <v>0</v>
      </c>
      <c r="P360" s="10">
        <v>0</v>
      </c>
      <c r="Q360" s="26">
        <f t="shared" si="15"/>
        <v>2</v>
      </c>
      <c r="R360" s="25">
        <v>340</v>
      </c>
      <c r="S360" s="10">
        <v>0</v>
      </c>
      <c r="T360" s="10">
        <v>0</v>
      </c>
      <c r="U360" s="10">
        <v>0</v>
      </c>
      <c r="V360" s="10">
        <v>0</v>
      </c>
      <c r="W360" s="10">
        <v>0</v>
      </c>
      <c r="X360" s="10">
        <v>0</v>
      </c>
      <c r="Y360" s="10">
        <v>0</v>
      </c>
      <c r="Z360" s="10">
        <v>0</v>
      </c>
      <c r="AA360" s="10">
        <v>0</v>
      </c>
      <c r="AB360" s="10">
        <v>0</v>
      </c>
      <c r="AC360" s="10">
        <v>0</v>
      </c>
      <c r="AD360" s="26">
        <f t="shared" si="16"/>
        <v>340</v>
      </c>
      <c r="AE360" s="25">
        <v>0</v>
      </c>
      <c r="AF360" s="10">
        <v>0</v>
      </c>
      <c r="AG360" s="10">
        <v>0</v>
      </c>
      <c r="AH360" s="10">
        <v>0</v>
      </c>
      <c r="AI360" s="10">
        <v>0</v>
      </c>
      <c r="AJ360" s="10">
        <v>0</v>
      </c>
      <c r="AK360" s="10">
        <v>0</v>
      </c>
      <c r="AL360" s="10">
        <v>0</v>
      </c>
      <c r="AM360" s="10">
        <v>0</v>
      </c>
      <c r="AN360" s="10">
        <v>0</v>
      </c>
      <c r="AO360" s="10">
        <v>0</v>
      </c>
      <c r="AP360" s="10">
        <v>0</v>
      </c>
      <c r="AQ360" s="26">
        <f t="shared" si="17"/>
        <v>0</v>
      </c>
    </row>
    <row r="361" spans="1:43" ht="17.25" customHeight="1" x14ac:dyDescent="0.45">
      <c r="A361" s="2" t="s">
        <v>17</v>
      </c>
      <c r="B361" s="2" t="s">
        <v>66</v>
      </c>
      <c r="C361" s="2" t="s">
        <v>176</v>
      </c>
      <c r="D361" s="2" t="s">
        <v>68</v>
      </c>
      <c r="E361" s="23">
        <v>2</v>
      </c>
      <c r="F361" s="1">
        <v>3</v>
      </c>
      <c r="G361" s="1">
        <v>0</v>
      </c>
      <c r="H361" s="1">
        <v>0</v>
      </c>
      <c r="I361" s="1">
        <v>0</v>
      </c>
      <c r="J361" s="1">
        <v>0</v>
      </c>
      <c r="K361" s="1">
        <v>0</v>
      </c>
      <c r="L361" s="1">
        <v>0</v>
      </c>
      <c r="M361" s="1">
        <v>0</v>
      </c>
      <c r="N361" s="1">
        <v>0</v>
      </c>
      <c r="O361" s="1">
        <v>0</v>
      </c>
      <c r="P361" s="1">
        <v>0</v>
      </c>
      <c r="Q361" s="24">
        <f t="shared" si="15"/>
        <v>5</v>
      </c>
      <c r="R361" s="23">
        <v>171</v>
      </c>
      <c r="S361" s="1">
        <v>465</v>
      </c>
      <c r="T361" s="1">
        <v>0</v>
      </c>
      <c r="U361" s="1">
        <v>0</v>
      </c>
      <c r="V361" s="1">
        <v>0</v>
      </c>
      <c r="W361" s="1">
        <v>0</v>
      </c>
      <c r="X361" s="1">
        <v>0</v>
      </c>
      <c r="Y361" s="1">
        <v>0</v>
      </c>
      <c r="Z361" s="1">
        <v>0</v>
      </c>
      <c r="AA361" s="1">
        <v>0</v>
      </c>
      <c r="AB361" s="1">
        <v>0</v>
      </c>
      <c r="AC361" s="1">
        <v>0</v>
      </c>
      <c r="AD361" s="24">
        <f t="shared" si="16"/>
        <v>636</v>
      </c>
      <c r="AE361" s="23">
        <v>0</v>
      </c>
      <c r="AF361" s="1">
        <v>0</v>
      </c>
      <c r="AG361" s="1">
        <v>0</v>
      </c>
      <c r="AH361" s="1">
        <v>0</v>
      </c>
      <c r="AI361" s="1">
        <v>0</v>
      </c>
      <c r="AJ361" s="1">
        <v>0</v>
      </c>
      <c r="AK361" s="1">
        <v>0</v>
      </c>
      <c r="AL361" s="1">
        <v>0</v>
      </c>
      <c r="AM361" s="1">
        <v>0</v>
      </c>
      <c r="AN361" s="1">
        <v>0</v>
      </c>
      <c r="AO361" s="1">
        <v>0</v>
      </c>
      <c r="AP361" s="1">
        <v>0</v>
      </c>
      <c r="AQ361" s="24">
        <f t="shared" si="17"/>
        <v>0</v>
      </c>
    </row>
    <row r="362" spans="1:43" ht="17.25" customHeight="1" x14ac:dyDescent="0.45">
      <c r="A362" s="12" t="s">
        <v>17</v>
      </c>
      <c r="B362" s="12" t="s">
        <v>66</v>
      </c>
      <c r="C362" s="12" t="s">
        <v>161</v>
      </c>
      <c r="D362" s="12" t="s">
        <v>68</v>
      </c>
      <c r="E362" s="25">
        <v>0</v>
      </c>
      <c r="F362" s="10">
        <v>0</v>
      </c>
      <c r="G362" s="10">
        <v>0</v>
      </c>
      <c r="H362" s="10">
        <v>1</v>
      </c>
      <c r="I362" s="10">
        <v>0</v>
      </c>
      <c r="J362" s="10">
        <v>0</v>
      </c>
      <c r="K362" s="10">
        <v>0</v>
      </c>
      <c r="L362" s="10">
        <v>0</v>
      </c>
      <c r="M362" s="10">
        <v>0</v>
      </c>
      <c r="N362" s="10">
        <v>0</v>
      </c>
      <c r="O362" s="10">
        <v>0</v>
      </c>
      <c r="P362" s="10">
        <v>0</v>
      </c>
      <c r="Q362" s="26">
        <f t="shared" si="15"/>
        <v>1</v>
      </c>
      <c r="R362" s="25">
        <v>0</v>
      </c>
      <c r="S362" s="10">
        <v>0</v>
      </c>
      <c r="T362" s="10">
        <v>0</v>
      </c>
      <c r="U362" s="10">
        <v>13</v>
      </c>
      <c r="V362" s="10">
        <v>0</v>
      </c>
      <c r="W362" s="10">
        <v>0</v>
      </c>
      <c r="X362" s="10">
        <v>0</v>
      </c>
      <c r="Y362" s="10">
        <v>0</v>
      </c>
      <c r="Z362" s="10">
        <v>0</v>
      </c>
      <c r="AA362" s="10">
        <v>0</v>
      </c>
      <c r="AB362" s="10">
        <v>0</v>
      </c>
      <c r="AC362" s="10">
        <v>0</v>
      </c>
      <c r="AD362" s="26">
        <f t="shared" si="16"/>
        <v>13</v>
      </c>
      <c r="AE362" s="25">
        <v>0</v>
      </c>
      <c r="AF362" s="10">
        <v>0</v>
      </c>
      <c r="AG362" s="10">
        <v>0</v>
      </c>
      <c r="AH362" s="10">
        <v>0</v>
      </c>
      <c r="AI362" s="10">
        <v>0</v>
      </c>
      <c r="AJ362" s="10">
        <v>0</v>
      </c>
      <c r="AK362" s="10">
        <v>0</v>
      </c>
      <c r="AL362" s="10">
        <v>0</v>
      </c>
      <c r="AM362" s="10">
        <v>0</v>
      </c>
      <c r="AN362" s="10">
        <v>0</v>
      </c>
      <c r="AO362" s="10">
        <v>0</v>
      </c>
      <c r="AP362" s="10">
        <v>0</v>
      </c>
      <c r="AQ362" s="26">
        <f t="shared" si="17"/>
        <v>0</v>
      </c>
    </row>
    <row r="363" spans="1:43" ht="17.25" customHeight="1" x14ac:dyDescent="0.45">
      <c r="A363" s="2" t="s">
        <v>271</v>
      </c>
      <c r="B363" s="2" t="s">
        <v>159</v>
      </c>
      <c r="C363" s="2" t="s">
        <v>10</v>
      </c>
      <c r="D363" s="2" t="s">
        <v>66</v>
      </c>
      <c r="E363" s="23">
        <v>0</v>
      </c>
      <c r="F363" s="1">
        <v>0</v>
      </c>
      <c r="G363" s="1">
        <v>1</v>
      </c>
      <c r="H363" s="1">
        <v>0</v>
      </c>
      <c r="I363" s="1">
        <v>0</v>
      </c>
      <c r="J363" s="1">
        <v>0</v>
      </c>
      <c r="K363" s="1">
        <v>0</v>
      </c>
      <c r="L363" s="1">
        <v>0</v>
      </c>
      <c r="M363" s="1">
        <v>0</v>
      </c>
      <c r="N363" s="1">
        <v>0</v>
      </c>
      <c r="O363" s="1">
        <v>0</v>
      </c>
      <c r="P363" s="1">
        <v>0</v>
      </c>
      <c r="Q363" s="24">
        <f t="shared" si="15"/>
        <v>1</v>
      </c>
      <c r="R363" s="23">
        <v>0</v>
      </c>
      <c r="S363" s="1">
        <v>0</v>
      </c>
      <c r="T363" s="1">
        <v>295</v>
      </c>
      <c r="U363" s="1">
        <v>0</v>
      </c>
      <c r="V363" s="1">
        <v>0</v>
      </c>
      <c r="W363" s="1">
        <v>0</v>
      </c>
      <c r="X363" s="1">
        <v>0</v>
      </c>
      <c r="Y363" s="1">
        <v>0</v>
      </c>
      <c r="Z363" s="1">
        <v>0</v>
      </c>
      <c r="AA363" s="1">
        <v>0</v>
      </c>
      <c r="AB363" s="1">
        <v>0</v>
      </c>
      <c r="AC363" s="1">
        <v>0</v>
      </c>
      <c r="AD363" s="24">
        <f t="shared" si="16"/>
        <v>295</v>
      </c>
      <c r="AE363" s="23">
        <v>0</v>
      </c>
      <c r="AF363" s="1">
        <v>0</v>
      </c>
      <c r="AG363" s="1">
        <v>0</v>
      </c>
      <c r="AH363" s="1">
        <v>0</v>
      </c>
      <c r="AI363" s="1">
        <v>0</v>
      </c>
      <c r="AJ363" s="1">
        <v>0</v>
      </c>
      <c r="AK363" s="1">
        <v>0</v>
      </c>
      <c r="AL363" s="1">
        <v>0</v>
      </c>
      <c r="AM363" s="1">
        <v>0</v>
      </c>
      <c r="AN363" s="1">
        <v>0</v>
      </c>
      <c r="AO363" s="1">
        <v>0</v>
      </c>
      <c r="AP363" s="1">
        <v>0</v>
      </c>
      <c r="AQ363" s="24">
        <f t="shared" si="17"/>
        <v>0</v>
      </c>
    </row>
    <row r="364" spans="1:43" ht="17.25" customHeight="1" x14ac:dyDescent="0.45">
      <c r="A364" s="12" t="s">
        <v>28</v>
      </c>
      <c r="B364" s="12" t="s">
        <v>66</v>
      </c>
      <c r="C364" s="12" t="s">
        <v>74</v>
      </c>
      <c r="D364" s="12" t="s">
        <v>75</v>
      </c>
      <c r="E364" s="25">
        <v>0</v>
      </c>
      <c r="F364" s="10">
        <v>1</v>
      </c>
      <c r="G364" s="10">
        <v>0</v>
      </c>
      <c r="H364" s="10">
        <v>0</v>
      </c>
      <c r="I364" s="10">
        <v>0</v>
      </c>
      <c r="J364" s="10">
        <v>0</v>
      </c>
      <c r="K364" s="10">
        <v>0</v>
      </c>
      <c r="L364" s="10">
        <v>0</v>
      </c>
      <c r="M364" s="10">
        <v>0</v>
      </c>
      <c r="N364" s="10">
        <v>0</v>
      </c>
      <c r="O364" s="10">
        <v>0</v>
      </c>
      <c r="P364" s="10">
        <v>0</v>
      </c>
      <c r="Q364" s="26">
        <f t="shared" si="15"/>
        <v>1</v>
      </c>
      <c r="R364" s="25">
        <v>0</v>
      </c>
      <c r="S364" s="10">
        <v>0</v>
      </c>
      <c r="T364" s="10">
        <v>0</v>
      </c>
      <c r="U364" s="10">
        <v>0</v>
      </c>
      <c r="V364" s="10">
        <v>0</v>
      </c>
      <c r="W364" s="10">
        <v>0</v>
      </c>
      <c r="X364" s="10">
        <v>0</v>
      </c>
      <c r="Y364" s="10">
        <v>0</v>
      </c>
      <c r="Z364" s="10">
        <v>0</v>
      </c>
      <c r="AA364" s="10">
        <v>0</v>
      </c>
      <c r="AB364" s="10">
        <v>0</v>
      </c>
      <c r="AC364" s="10">
        <v>0</v>
      </c>
      <c r="AD364" s="26">
        <f t="shared" si="16"/>
        <v>0</v>
      </c>
      <c r="AE364" s="25">
        <v>0</v>
      </c>
      <c r="AF364" s="10">
        <v>50459</v>
      </c>
      <c r="AG364" s="10">
        <v>0</v>
      </c>
      <c r="AH364" s="10">
        <v>0</v>
      </c>
      <c r="AI364" s="10">
        <v>0</v>
      </c>
      <c r="AJ364" s="10">
        <v>0</v>
      </c>
      <c r="AK364" s="10">
        <v>0</v>
      </c>
      <c r="AL364" s="10">
        <v>0</v>
      </c>
      <c r="AM364" s="10">
        <v>0</v>
      </c>
      <c r="AN364" s="10">
        <v>0</v>
      </c>
      <c r="AO364" s="10">
        <v>0</v>
      </c>
      <c r="AP364" s="10">
        <v>0</v>
      </c>
      <c r="AQ364" s="26">
        <f t="shared" si="17"/>
        <v>50459</v>
      </c>
    </row>
    <row r="365" spans="1:43" ht="17.25" customHeight="1" x14ac:dyDescent="0.45">
      <c r="A365" s="2" t="s">
        <v>28</v>
      </c>
      <c r="B365" s="2" t="s">
        <v>66</v>
      </c>
      <c r="C365" s="2" t="s">
        <v>100</v>
      </c>
      <c r="D365" s="2" t="s">
        <v>68</v>
      </c>
      <c r="E365" s="23">
        <v>0</v>
      </c>
      <c r="F365" s="1">
        <v>1</v>
      </c>
      <c r="G365" s="1">
        <v>0</v>
      </c>
      <c r="H365" s="1">
        <v>0</v>
      </c>
      <c r="I365" s="1">
        <v>0</v>
      </c>
      <c r="J365" s="1">
        <v>0</v>
      </c>
      <c r="K365" s="1">
        <v>0</v>
      </c>
      <c r="L365" s="1">
        <v>0</v>
      </c>
      <c r="M365" s="1">
        <v>0</v>
      </c>
      <c r="N365" s="1">
        <v>0</v>
      </c>
      <c r="O365" s="1">
        <v>0</v>
      </c>
      <c r="P365" s="1">
        <v>0</v>
      </c>
      <c r="Q365" s="24">
        <f t="shared" si="15"/>
        <v>1</v>
      </c>
      <c r="R365" s="23">
        <v>0</v>
      </c>
      <c r="S365" s="1">
        <v>56</v>
      </c>
      <c r="T365" s="1">
        <v>0</v>
      </c>
      <c r="U365" s="1">
        <v>0</v>
      </c>
      <c r="V365" s="1">
        <v>0</v>
      </c>
      <c r="W365" s="1">
        <v>0</v>
      </c>
      <c r="X365" s="1">
        <v>0</v>
      </c>
      <c r="Y365" s="1">
        <v>0</v>
      </c>
      <c r="Z365" s="1">
        <v>0</v>
      </c>
      <c r="AA365" s="1">
        <v>0</v>
      </c>
      <c r="AB365" s="1">
        <v>0</v>
      </c>
      <c r="AC365" s="1">
        <v>0</v>
      </c>
      <c r="AD365" s="24">
        <f t="shared" si="16"/>
        <v>56</v>
      </c>
      <c r="AE365" s="23">
        <v>0</v>
      </c>
      <c r="AF365" s="1">
        <v>0</v>
      </c>
      <c r="AG365" s="1">
        <v>0</v>
      </c>
      <c r="AH365" s="1">
        <v>0</v>
      </c>
      <c r="AI365" s="1">
        <v>0</v>
      </c>
      <c r="AJ365" s="1">
        <v>0</v>
      </c>
      <c r="AK365" s="1">
        <v>0</v>
      </c>
      <c r="AL365" s="1">
        <v>0</v>
      </c>
      <c r="AM365" s="1">
        <v>0</v>
      </c>
      <c r="AN365" s="1">
        <v>0</v>
      </c>
      <c r="AO365" s="1">
        <v>0</v>
      </c>
      <c r="AP365" s="1">
        <v>0</v>
      </c>
      <c r="AQ365" s="24">
        <f t="shared" si="17"/>
        <v>0</v>
      </c>
    </row>
    <row r="366" spans="1:43" ht="17.25" customHeight="1" x14ac:dyDescent="0.45">
      <c r="A366" s="12" t="s">
        <v>28</v>
      </c>
      <c r="B366" s="12" t="s">
        <v>66</v>
      </c>
      <c r="C366" s="12" t="s">
        <v>101</v>
      </c>
      <c r="D366" s="12" t="s">
        <v>68</v>
      </c>
      <c r="E366" s="25">
        <v>0</v>
      </c>
      <c r="F366" s="10">
        <v>2</v>
      </c>
      <c r="G366" s="10">
        <v>0</v>
      </c>
      <c r="H366" s="10">
        <v>0</v>
      </c>
      <c r="I366" s="10">
        <v>0</v>
      </c>
      <c r="J366" s="10">
        <v>0</v>
      </c>
      <c r="K366" s="10">
        <v>0</v>
      </c>
      <c r="L366" s="10">
        <v>1</v>
      </c>
      <c r="M366" s="10">
        <v>2</v>
      </c>
      <c r="N366" s="10">
        <v>2</v>
      </c>
      <c r="O366" s="10">
        <v>3</v>
      </c>
      <c r="P366" s="10">
        <v>2</v>
      </c>
      <c r="Q366" s="26">
        <f t="shared" si="15"/>
        <v>12</v>
      </c>
      <c r="R366" s="25">
        <v>0</v>
      </c>
      <c r="S366" s="10">
        <v>0</v>
      </c>
      <c r="T366" s="10">
        <v>0</v>
      </c>
      <c r="U366" s="10">
        <v>0</v>
      </c>
      <c r="V366" s="10">
        <v>0</v>
      </c>
      <c r="W366" s="10">
        <v>0</v>
      </c>
      <c r="X366" s="10">
        <v>0</v>
      </c>
      <c r="Y366" s="10">
        <v>0</v>
      </c>
      <c r="Z366" s="10">
        <v>0</v>
      </c>
      <c r="AA366" s="10">
        <v>0</v>
      </c>
      <c r="AB366" s="10">
        <v>0</v>
      </c>
      <c r="AC366" s="10">
        <v>0</v>
      </c>
      <c r="AD366" s="26">
        <f t="shared" si="16"/>
        <v>0</v>
      </c>
      <c r="AE366" s="25">
        <v>0</v>
      </c>
      <c r="AF366" s="10">
        <v>4072</v>
      </c>
      <c r="AG366" s="10">
        <v>0</v>
      </c>
      <c r="AH366" s="10">
        <v>0</v>
      </c>
      <c r="AI366" s="10">
        <v>0</v>
      </c>
      <c r="AJ366" s="10">
        <v>0</v>
      </c>
      <c r="AK366" s="10">
        <v>0</v>
      </c>
      <c r="AL366" s="10">
        <v>3284</v>
      </c>
      <c r="AM366" s="10">
        <v>5241</v>
      </c>
      <c r="AN366" s="10">
        <v>4115</v>
      </c>
      <c r="AO366" s="10">
        <v>7231</v>
      </c>
      <c r="AP366" s="10">
        <v>4548</v>
      </c>
      <c r="AQ366" s="26">
        <f t="shared" si="17"/>
        <v>28491</v>
      </c>
    </row>
    <row r="367" spans="1:43" ht="17.25" customHeight="1" x14ac:dyDescent="0.45">
      <c r="A367" s="2" t="s">
        <v>28</v>
      </c>
      <c r="B367" s="2" t="s">
        <v>66</v>
      </c>
      <c r="C367" s="2" t="s">
        <v>221</v>
      </c>
      <c r="D367" s="2" t="s">
        <v>68</v>
      </c>
      <c r="E367" s="23">
        <v>1</v>
      </c>
      <c r="F367" s="1">
        <v>3</v>
      </c>
      <c r="G367" s="1">
        <v>0</v>
      </c>
      <c r="H367" s="1">
        <v>0</v>
      </c>
      <c r="I367" s="1">
        <v>0</v>
      </c>
      <c r="J367" s="1">
        <v>0</v>
      </c>
      <c r="K367" s="1">
        <v>1</v>
      </c>
      <c r="L367" s="1">
        <v>0</v>
      </c>
      <c r="M367" s="1">
        <v>0</v>
      </c>
      <c r="N367" s="1">
        <v>0</v>
      </c>
      <c r="O367" s="1">
        <v>0</v>
      </c>
      <c r="P367" s="1">
        <v>1</v>
      </c>
      <c r="Q367" s="24">
        <f t="shared" si="15"/>
        <v>6</v>
      </c>
      <c r="R367" s="23">
        <v>0</v>
      </c>
      <c r="S367" s="1">
        <v>0</v>
      </c>
      <c r="T367" s="1">
        <v>0</v>
      </c>
      <c r="U367" s="1">
        <v>0</v>
      </c>
      <c r="V367" s="1">
        <v>0</v>
      </c>
      <c r="W367" s="1">
        <v>0</v>
      </c>
      <c r="X367" s="1">
        <v>0</v>
      </c>
      <c r="Y367" s="1">
        <v>0</v>
      </c>
      <c r="Z367" s="1">
        <v>0</v>
      </c>
      <c r="AA367" s="1">
        <v>0</v>
      </c>
      <c r="AB367" s="1">
        <v>0</v>
      </c>
      <c r="AC367" s="1">
        <v>0</v>
      </c>
      <c r="AD367" s="24">
        <f t="shared" si="16"/>
        <v>0</v>
      </c>
      <c r="AE367" s="23">
        <v>1048</v>
      </c>
      <c r="AF367" s="1">
        <v>3214</v>
      </c>
      <c r="AG367" s="1">
        <v>0</v>
      </c>
      <c r="AH367" s="1">
        <v>0</v>
      </c>
      <c r="AI367" s="1">
        <v>0</v>
      </c>
      <c r="AJ367" s="1">
        <v>0</v>
      </c>
      <c r="AK367" s="1">
        <v>2093</v>
      </c>
      <c r="AL367" s="1">
        <v>0</v>
      </c>
      <c r="AM367" s="1">
        <v>0</v>
      </c>
      <c r="AN367" s="1">
        <v>0</v>
      </c>
      <c r="AO367" s="1">
        <v>0</v>
      </c>
      <c r="AP367" s="1">
        <v>1350</v>
      </c>
      <c r="AQ367" s="24">
        <f t="shared" si="17"/>
        <v>7705</v>
      </c>
    </row>
    <row r="368" spans="1:43" ht="17.25" customHeight="1" x14ac:dyDescent="0.45">
      <c r="A368" s="12" t="s">
        <v>28</v>
      </c>
      <c r="B368" s="12" t="s">
        <v>66</v>
      </c>
      <c r="C368" s="12" t="s">
        <v>321</v>
      </c>
      <c r="D368" s="12" t="s">
        <v>68</v>
      </c>
      <c r="E368" s="25">
        <v>0</v>
      </c>
      <c r="F368" s="10">
        <v>0</v>
      </c>
      <c r="G368" s="10">
        <v>0</v>
      </c>
      <c r="H368" s="10">
        <v>0</v>
      </c>
      <c r="I368" s="10">
        <v>0</v>
      </c>
      <c r="J368" s="10">
        <v>0</v>
      </c>
      <c r="K368" s="10">
        <v>0</v>
      </c>
      <c r="L368" s="10">
        <v>0</v>
      </c>
      <c r="M368" s="10">
        <v>0</v>
      </c>
      <c r="N368" s="10">
        <v>0</v>
      </c>
      <c r="O368" s="10">
        <v>1</v>
      </c>
      <c r="P368" s="10">
        <v>0</v>
      </c>
      <c r="Q368" s="26">
        <f t="shared" si="15"/>
        <v>1</v>
      </c>
      <c r="R368" s="25">
        <v>0</v>
      </c>
      <c r="S368" s="10">
        <v>0</v>
      </c>
      <c r="T368" s="10">
        <v>0</v>
      </c>
      <c r="U368" s="10">
        <v>0</v>
      </c>
      <c r="V368" s="10">
        <v>0</v>
      </c>
      <c r="W368" s="10">
        <v>0</v>
      </c>
      <c r="X368" s="10">
        <v>0</v>
      </c>
      <c r="Y368" s="10">
        <v>0</v>
      </c>
      <c r="Z368" s="10">
        <v>0</v>
      </c>
      <c r="AA368" s="10">
        <v>0</v>
      </c>
      <c r="AB368" s="10">
        <v>0</v>
      </c>
      <c r="AC368" s="10">
        <v>0</v>
      </c>
      <c r="AD368" s="26">
        <f t="shared" si="16"/>
        <v>0</v>
      </c>
      <c r="AE368" s="25">
        <v>0</v>
      </c>
      <c r="AF368" s="10">
        <v>0</v>
      </c>
      <c r="AG368" s="10">
        <v>0</v>
      </c>
      <c r="AH368" s="10">
        <v>0</v>
      </c>
      <c r="AI368" s="10">
        <v>0</v>
      </c>
      <c r="AJ368" s="10">
        <v>0</v>
      </c>
      <c r="AK368" s="10">
        <v>0</v>
      </c>
      <c r="AL368" s="10">
        <v>0</v>
      </c>
      <c r="AM368" s="10">
        <v>0</v>
      </c>
      <c r="AN368" s="10">
        <v>0</v>
      </c>
      <c r="AO368" s="10">
        <v>2304</v>
      </c>
      <c r="AP368" s="10">
        <v>0</v>
      </c>
      <c r="AQ368" s="26">
        <f t="shared" si="17"/>
        <v>2304</v>
      </c>
    </row>
    <row r="369" spans="1:43" ht="17.25" customHeight="1" x14ac:dyDescent="0.45">
      <c r="A369" s="2" t="s">
        <v>28</v>
      </c>
      <c r="B369" s="2" t="s">
        <v>66</v>
      </c>
      <c r="C369" s="2" t="s">
        <v>110</v>
      </c>
      <c r="D369" s="2" t="s">
        <v>65</v>
      </c>
      <c r="E369" s="23">
        <v>0</v>
      </c>
      <c r="F369" s="1">
        <v>0</v>
      </c>
      <c r="G369" s="1">
        <v>0</v>
      </c>
      <c r="H369" s="1">
        <v>1</v>
      </c>
      <c r="I369" s="1">
        <v>0</v>
      </c>
      <c r="J369" s="1">
        <v>0</v>
      </c>
      <c r="K369" s="1">
        <v>0</v>
      </c>
      <c r="L369" s="1">
        <v>0</v>
      </c>
      <c r="M369" s="1">
        <v>0</v>
      </c>
      <c r="N369" s="1">
        <v>0</v>
      </c>
      <c r="O369" s="1">
        <v>0</v>
      </c>
      <c r="P369" s="1">
        <v>0</v>
      </c>
      <c r="Q369" s="24">
        <f t="shared" si="15"/>
        <v>1</v>
      </c>
      <c r="R369" s="23">
        <v>0</v>
      </c>
      <c r="S369" s="1">
        <v>0</v>
      </c>
      <c r="T369" s="1">
        <v>0</v>
      </c>
      <c r="U369" s="1">
        <v>0</v>
      </c>
      <c r="V369" s="1">
        <v>0</v>
      </c>
      <c r="W369" s="1">
        <v>0</v>
      </c>
      <c r="X369" s="1">
        <v>0</v>
      </c>
      <c r="Y369" s="1">
        <v>0</v>
      </c>
      <c r="Z369" s="1">
        <v>0</v>
      </c>
      <c r="AA369" s="1">
        <v>0</v>
      </c>
      <c r="AB369" s="1">
        <v>0</v>
      </c>
      <c r="AC369" s="1">
        <v>0</v>
      </c>
      <c r="AD369" s="24">
        <f t="shared" si="16"/>
        <v>0</v>
      </c>
      <c r="AE369" s="23">
        <v>0</v>
      </c>
      <c r="AF369" s="1">
        <v>0</v>
      </c>
      <c r="AG369" s="1">
        <v>0</v>
      </c>
      <c r="AH369" s="1">
        <v>1082</v>
      </c>
      <c r="AI369" s="1">
        <v>0</v>
      </c>
      <c r="AJ369" s="1">
        <v>0</v>
      </c>
      <c r="AK369" s="1">
        <v>0</v>
      </c>
      <c r="AL369" s="1">
        <v>0</v>
      </c>
      <c r="AM369" s="1">
        <v>0</v>
      </c>
      <c r="AN369" s="1">
        <v>0</v>
      </c>
      <c r="AO369" s="1">
        <v>0</v>
      </c>
      <c r="AP369" s="1">
        <v>0</v>
      </c>
      <c r="AQ369" s="24">
        <f t="shared" si="17"/>
        <v>1082</v>
      </c>
    </row>
    <row r="370" spans="1:43" ht="17.25" customHeight="1" x14ac:dyDescent="0.45">
      <c r="A370" s="12" t="s">
        <v>28</v>
      </c>
      <c r="B370" s="12" t="s">
        <v>66</v>
      </c>
      <c r="C370" s="12" t="s">
        <v>194</v>
      </c>
      <c r="D370" s="12" t="s">
        <v>68</v>
      </c>
      <c r="E370" s="25">
        <v>21</v>
      </c>
      <c r="F370" s="10">
        <v>38</v>
      </c>
      <c r="G370" s="10">
        <v>29</v>
      </c>
      <c r="H370" s="10">
        <v>30</v>
      </c>
      <c r="I370" s="10">
        <v>36</v>
      </c>
      <c r="J370" s="10">
        <v>43</v>
      </c>
      <c r="K370" s="10">
        <v>5</v>
      </c>
      <c r="L370" s="10">
        <v>35</v>
      </c>
      <c r="M370" s="10">
        <v>74</v>
      </c>
      <c r="N370" s="10">
        <v>49</v>
      </c>
      <c r="O370" s="10">
        <v>19</v>
      </c>
      <c r="P370" s="10">
        <v>41</v>
      </c>
      <c r="Q370" s="26">
        <f t="shared" si="15"/>
        <v>420</v>
      </c>
      <c r="R370" s="25">
        <v>0</v>
      </c>
      <c r="S370" s="10">
        <v>0</v>
      </c>
      <c r="T370" s="10">
        <v>0</v>
      </c>
      <c r="U370" s="10">
        <v>0</v>
      </c>
      <c r="V370" s="10">
        <v>0</v>
      </c>
      <c r="W370" s="10">
        <v>0</v>
      </c>
      <c r="X370" s="10">
        <v>0</v>
      </c>
      <c r="Y370" s="10">
        <v>0</v>
      </c>
      <c r="Z370" s="10">
        <v>0</v>
      </c>
      <c r="AA370" s="10">
        <v>0</v>
      </c>
      <c r="AB370" s="10">
        <v>0</v>
      </c>
      <c r="AC370" s="10">
        <v>0</v>
      </c>
      <c r="AD370" s="26">
        <f t="shared" si="16"/>
        <v>0</v>
      </c>
      <c r="AE370" s="25">
        <v>42911</v>
      </c>
      <c r="AF370" s="10">
        <v>95796</v>
      </c>
      <c r="AG370" s="10">
        <v>97380</v>
      </c>
      <c r="AH370" s="10">
        <v>80839</v>
      </c>
      <c r="AI370" s="10">
        <v>117535</v>
      </c>
      <c r="AJ370" s="10">
        <v>136450</v>
      </c>
      <c r="AK370" s="10">
        <v>26714</v>
      </c>
      <c r="AL370" s="10">
        <v>94691</v>
      </c>
      <c r="AM370" s="10">
        <v>219045</v>
      </c>
      <c r="AN370" s="10">
        <v>166121</v>
      </c>
      <c r="AO370" s="10">
        <v>48202</v>
      </c>
      <c r="AP370" s="10">
        <v>124272</v>
      </c>
      <c r="AQ370" s="26">
        <f t="shared" si="17"/>
        <v>1249956</v>
      </c>
    </row>
    <row r="371" spans="1:43" ht="17.25" customHeight="1" x14ac:dyDescent="0.45">
      <c r="A371" s="2" t="s">
        <v>28</v>
      </c>
      <c r="B371" s="2" t="s">
        <v>66</v>
      </c>
      <c r="C371" s="2" t="s">
        <v>195</v>
      </c>
      <c r="D371" s="2" t="s">
        <v>196</v>
      </c>
      <c r="E371" s="23">
        <v>0</v>
      </c>
      <c r="F371" s="1">
        <v>1</v>
      </c>
      <c r="G371" s="1">
        <v>0</v>
      </c>
      <c r="H371" s="1">
        <v>0</v>
      </c>
      <c r="I371" s="1">
        <v>0</v>
      </c>
      <c r="J371" s="1">
        <v>0</v>
      </c>
      <c r="K371" s="1">
        <v>0</v>
      </c>
      <c r="L371" s="1">
        <v>0</v>
      </c>
      <c r="M371" s="1">
        <v>0</v>
      </c>
      <c r="N371" s="1">
        <v>0</v>
      </c>
      <c r="O371" s="1">
        <v>0</v>
      </c>
      <c r="P371" s="1">
        <v>0</v>
      </c>
      <c r="Q371" s="24">
        <f t="shared" si="15"/>
        <v>1</v>
      </c>
      <c r="R371" s="23">
        <v>0</v>
      </c>
      <c r="S371" s="1">
        <v>0</v>
      </c>
      <c r="T371" s="1">
        <v>0</v>
      </c>
      <c r="U371" s="1">
        <v>0</v>
      </c>
      <c r="V371" s="1">
        <v>0</v>
      </c>
      <c r="W371" s="1">
        <v>0</v>
      </c>
      <c r="X371" s="1">
        <v>0</v>
      </c>
      <c r="Y371" s="1">
        <v>0</v>
      </c>
      <c r="Z371" s="1">
        <v>0</v>
      </c>
      <c r="AA371" s="1">
        <v>0</v>
      </c>
      <c r="AB371" s="1">
        <v>0</v>
      </c>
      <c r="AC371" s="1">
        <v>0</v>
      </c>
      <c r="AD371" s="24">
        <f t="shared" si="16"/>
        <v>0</v>
      </c>
      <c r="AE371" s="23">
        <v>0</v>
      </c>
      <c r="AF371" s="1">
        <v>2930</v>
      </c>
      <c r="AG371" s="1">
        <v>0</v>
      </c>
      <c r="AH371" s="1">
        <v>0</v>
      </c>
      <c r="AI371" s="1">
        <v>0</v>
      </c>
      <c r="AJ371" s="1">
        <v>0</v>
      </c>
      <c r="AK371" s="1">
        <v>0</v>
      </c>
      <c r="AL371" s="1">
        <v>0</v>
      </c>
      <c r="AM371" s="1">
        <v>0</v>
      </c>
      <c r="AN371" s="1">
        <v>0</v>
      </c>
      <c r="AO371" s="1">
        <v>0</v>
      </c>
      <c r="AP371" s="1">
        <v>0</v>
      </c>
      <c r="AQ371" s="24">
        <f t="shared" si="17"/>
        <v>2930</v>
      </c>
    </row>
    <row r="372" spans="1:43" ht="17.25" customHeight="1" x14ac:dyDescent="0.45">
      <c r="A372" s="12" t="s">
        <v>28</v>
      </c>
      <c r="B372" s="12" t="s">
        <v>66</v>
      </c>
      <c r="C372" s="12" t="s">
        <v>149</v>
      </c>
      <c r="D372" s="12" t="s">
        <v>68</v>
      </c>
      <c r="E372" s="25">
        <v>1</v>
      </c>
      <c r="F372" s="10">
        <v>0</v>
      </c>
      <c r="G372" s="10">
        <v>0</v>
      </c>
      <c r="H372" s="10">
        <v>0</v>
      </c>
      <c r="I372" s="10">
        <v>0</v>
      </c>
      <c r="J372" s="10">
        <v>0</v>
      </c>
      <c r="K372" s="10">
        <v>0</v>
      </c>
      <c r="L372" s="10">
        <v>0</v>
      </c>
      <c r="M372" s="10">
        <v>0</v>
      </c>
      <c r="N372" s="10">
        <v>0</v>
      </c>
      <c r="O372" s="10">
        <v>0</v>
      </c>
      <c r="P372" s="10">
        <v>0</v>
      </c>
      <c r="Q372" s="26">
        <f t="shared" si="15"/>
        <v>1</v>
      </c>
      <c r="R372" s="25">
        <v>0</v>
      </c>
      <c r="S372" s="10">
        <v>0</v>
      </c>
      <c r="T372" s="10">
        <v>0</v>
      </c>
      <c r="U372" s="10">
        <v>0</v>
      </c>
      <c r="V372" s="10">
        <v>0</v>
      </c>
      <c r="W372" s="10">
        <v>0</v>
      </c>
      <c r="X372" s="10">
        <v>0</v>
      </c>
      <c r="Y372" s="10">
        <v>0</v>
      </c>
      <c r="Z372" s="10">
        <v>0</v>
      </c>
      <c r="AA372" s="10">
        <v>0</v>
      </c>
      <c r="AB372" s="10">
        <v>0</v>
      </c>
      <c r="AC372" s="10">
        <v>0</v>
      </c>
      <c r="AD372" s="26">
        <f t="shared" si="16"/>
        <v>0</v>
      </c>
      <c r="AE372" s="25">
        <v>400</v>
      </c>
      <c r="AF372" s="10">
        <v>0</v>
      </c>
      <c r="AG372" s="10">
        <v>0</v>
      </c>
      <c r="AH372" s="10">
        <v>0</v>
      </c>
      <c r="AI372" s="10">
        <v>0</v>
      </c>
      <c r="AJ372" s="10">
        <v>0</v>
      </c>
      <c r="AK372" s="10">
        <v>0</v>
      </c>
      <c r="AL372" s="10">
        <v>0</v>
      </c>
      <c r="AM372" s="10">
        <v>0</v>
      </c>
      <c r="AN372" s="10">
        <v>0</v>
      </c>
      <c r="AO372" s="10">
        <v>0</v>
      </c>
      <c r="AP372" s="10">
        <v>0</v>
      </c>
      <c r="AQ372" s="26">
        <f t="shared" si="17"/>
        <v>400</v>
      </c>
    </row>
    <row r="373" spans="1:43" ht="17.25" customHeight="1" x14ac:dyDescent="0.45">
      <c r="A373" s="2" t="s">
        <v>28</v>
      </c>
      <c r="B373" s="2" t="s">
        <v>66</v>
      </c>
      <c r="C373" s="2" t="s">
        <v>151</v>
      </c>
      <c r="D373" s="2" t="s">
        <v>68</v>
      </c>
      <c r="E373" s="23">
        <v>1</v>
      </c>
      <c r="F373" s="1">
        <v>0</v>
      </c>
      <c r="G373" s="1">
        <v>0</v>
      </c>
      <c r="H373" s="1">
        <v>0</v>
      </c>
      <c r="I373" s="1">
        <v>0</v>
      </c>
      <c r="J373" s="1">
        <v>0</v>
      </c>
      <c r="K373" s="1">
        <v>0</v>
      </c>
      <c r="L373" s="1">
        <v>0</v>
      </c>
      <c r="M373" s="1">
        <v>0</v>
      </c>
      <c r="N373" s="1">
        <v>0</v>
      </c>
      <c r="O373" s="1">
        <v>0</v>
      </c>
      <c r="P373" s="1">
        <v>0</v>
      </c>
      <c r="Q373" s="24">
        <f t="shared" si="15"/>
        <v>1</v>
      </c>
      <c r="R373" s="23">
        <v>2</v>
      </c>
      <c r="S373" s="1">
        <v>0</v>
      </c>
      <c r="T373" s="1">
        <v>0</v>
      </c>
      <c r="U373" s="1">
        <v>0</v>
      </c>
      <c r="V373" s="1">
        <v>0</v>
      </c>
      <c r="W373" s="1">
        <v>0</v>
      </c>
      <c r="X373" s="1">
        <v>0</v>
      </c>
      <c r="Y373" s="1">
        <v>0</v>
      </c>
      <c r="Z373" s="1">
        <v>0</v>
      </c>
      <c r="AA373" s="1">
        <v>0</v>
      </c>
      <c r="AB373" s="1">
        <v>0</v>
      </c>
      <c r="AC373" s="1">
        <v>0</v>
      </c>
      <c r="AD373" s="24">
        <f t="shared" si="16"/>
        <v>2</v>
      </c>
      <c r="AE373" s="23">
        <v>0</v>
      </c>
      <c r="AF373" s="1">
        <v>0</v>
      </c>
      <c r="AG373" s="1">
        <v>0</v>
      </c>
      <c r="AH373" s="1">
        <v>0</v>
      </c>
      <c r="AI373" s="1">
        <v>0</v>
      </c>
      <c r="AJ373" s="1">
        <v>0</v>
      </c>
      <c r="AK373" s="1">
        <v>0</v>
      </c>
      <c r="AL373" s="1">
        <v>0</v>
      </c>
      <c r="AM373" s="1">
        <v>0</v>
      </c>
      <c r="AN373" s="1">
        <v>0</v>
      </c>
      <c r="AO373" s="1">
        <v>0</v>
      </c>
      <c r="AP373" s="1">
        <v>0</v>
      </c>
      <c r="AQ373" s="24">
        <f t="shared" si="17"/>
        <v>0</v>
      </c>
    </row>
    <row r="374" spans="1:43" ht="17.25" customHeight="1" x14ac:dyDescent="0.45">
      <c r="A374" s="12" t="s">
        <v>28</v>
      </c>
      <c r="B374" s="12" t="s">
        <v>66</v>
      </c>
      <c r="C374" s="12" t="s">
        <v>170</v>
      </c>
      <c r="D374" s="12" t="s">
        <v>65</v>
      </c>
      <c r="E374" s="25">
        <v>0</v>
      </c>
      <c r="F374" s="10">
        <v>0</v>
      </c>
      <c r="G374" s="10">
        <v>0</v>
      </c>
      <c r="H374" s="10">
        <v>0</v>
      </c>
      <c r="I374" s="10">
        <v>0</v>
      </c>
      <c r="J374" s="10">
        <v>0</v>
      </c>
      <c r="K374" s="10">
        <v>0</v>
      </c>
      <c r="L374" s="10">
        <v>0</v>
      </c>
      <c r="M374" s="10">
        <v>1</v>
      </c>
      <c r="N374" s="10">
        <v>1</v>
      </c>
      <c r="O374" s="10">
        <v>3</v>
      </c>
      <c r="P374" s="10">
        <v>0</v>
      </c>
      <c r="Q374" s="26">
        <f t="shared" si="15"/>
        <v>5</v>
      </c>
      <c r="R374" s="25">
        <v>0</v>
      </c>
      <c r="S374" s="10">
        <v>0</v>
      </c>
      <c r="T374" s="10">
        <v>0</v>
      </c>
      <c r="U374" s="10">
        <v>0</v>
      </c>
      <c r="V374" s="10">
        <v>0</v>
      </c>
      <c r="W374" s="10">
        <v>0</v>
      </c>
      <c r="X374" s="10">
        <v>0</v>
      </c>
      <c r="Y374" s="10">
        <v>0</v>
      </c>
      <c r="Z374" s="10">
        <v>0</v>
      </c>
      <c r="AA374" s="10">
        <v>0</v>
      </c>
      <c r="AB374" s="10">
        <v>0</v>
      </c>
      <c r="AC374" s="10">
        <v>0</v>
      </c>
      <c r="AD374" s="26">
        <f t="shared" si="16"/>
        <v>0</v>
      </c>
      <c r="AE374" s="25">
        <v>0</v>
      </c>
      <c r="AF374" s="10">
        <v>0</v>
      </c>
      <c r="AG374" s="10">
        <v>0</v>
      </c>
      <c r="AH374" s="10">
        <v>0</v>
      </c>
      <c r="AI374" s="10">
        <v>0</v>
      </c>
      <c r="AJ374" s="10">
        <v>0</v>
      </c>
      <c r="AK374" s="10">
        <v>0</v>
      </c>
      <c r="AL374" s="10">
        <v>0</v>
      </c>
      <c r="AM374" s="10">
        <v>2099</v>
      </c>
      <c r="AN374" s="10">
        <v>2386</v>
      </c>
      <c r="AO374" s="10">
        <v>6195</v>
      </c>
      <c r="AP374" s="10">
        <v>0</v>
      </c>
      <c r="AQ374" s="26">
        <f t="shared" si="17"/>
        <v>10680</v>
      </c>
    </row>
    <row r="375" spans="1:43" ht="17.25" customHeight="1" x14ac:dyDescent="0.45">
      <c r="A375" s="2" t="s">
        <v>198</v>
      </c>
      <c r="B375" s="2" t="s">
        <v>199</v>
      </c>
      <c r="C375" s="2" t="s">
        <v>28</v>
      </c>
      <c r="D375" s="2" t="s">
        <v>66</v>
      </c>
      <c r="E375" s="23">
        <v>0</v>
      </c>
      <c r="F375" s="1">
        <v>1</v>
      </c>
      <c r="G375" s="1">
        <v>0</v>
      </c>
      <c r="H375" s="1">
        <v>0</v>
      </c>
      <c r="I375" s="1">
        <v>0</v>
      </c>
      <c r="J375" s="1">
        <v>0</v>
      </c>
      <c r="K375" s="1">
        <v>0</v>
      </c>
      <c r="L375" s="1">
        <v>0</v>
      </c>
      <c r="M375" s="1">
        <v>0</v>
      </c>
      <c r="N375" s="1">
        <v>0</v>
      </c>
      <c r="O375" s="1">
        <v>0</v>
      </c>
      <c r="P375" s="1">
        <v>0</v>
      </c>
      <c r="Q375" s="24">
        <f t="shared" si="15"/>
        <v>1</v>
      </c>
      <c r="R375" s="23">
        <v>0</v>
      </c>
      <c r="S375" s="1">
        <v>0</v>
      </c>
      <c r="T375" s="1">
        <v>0</v>
      </c>
      <c r="U375" s="1">
        <v>0</v>
      </c>
      <c r="V375" s="1">
        <v>0</v>
      </c>
      <c r="W375" s="1">
        <v>0</v>
      </c>
      <c r="X375" s="1">
        <v>0</v>
      </c>
      <c r="Y375" s="1">
        <v>0</v>
      </c>
      <c r="Z375" s="1">
        <v>0</v>
      </c>
      <c r="AA375" s="1">
        <v>0</v>
      </c>
      <c r="AB375" s="1">
        <v>0</v>
      </c>
      <c r="AC375" s="1">
        <v>0</v>
      </c>
      <c r="AD375" s="24">
        <f t="shared" si="16"/>
        <v>0</v>
      </c>
      <c r="AE375" s="23">
        <v>0</v>
      </c>
      <c r="AF375" s="1">
        <v>50584</v>
      </c>
      <c r="AG375" s="1">
        <v>0</v>
      </c>
      <c r="AH375" s="1">
        <v>0</v>
      </c>
      <c r="AI375" s="1">
        <v>0</v>
      </c>
      <c r="AJ375" s="1">
        <v>0</v>
      </c>
      <c r="AK375" s="1">
        <v>0</v>
      </c>
      <c r="AL375" s="1">
        <v>0</v>
      </c>
      <c r="AM375" s="1">
        <v>0</v>
      </c>
      <c r="AN375" s="1">
        <v>0</v>
      </c>
      <c r="AO375" s="1">
        <v>0</v>
      </c>
      <c r="AP375" s="1">
        <v>0</v>
      </c>
      <c r="AQ375" s="24">
        <f t="shared" si="17"/>
        <v>50584</v>
      </c>
    </row>
    <row r="376" spans="1:43" ht="17.25" customHeight="1" x14ac:dyDescent="0.45">
      <c r="A376" s="12" t="s">
        <v>332</v>
      </c>
      <c r="B376" s="12" t="s">
        <v>89</v>
      </c>
      <c r="C376" s="12" t="s">
        <v>32</v>
      </c>
      <c r="D376" s="12" t="s">
        <v>66</v>
      </c>
      <c r="E376" s="25">
        <v>0</v>
      </c>
      <c r="F376" s="10">
        <v>0</v>
      </c>
      <c r="G376" s="10">
        <v>0</v>
      </c>
      <c r="H376" s="10">
        <v>0</v>
      </c>
      <c r="I376" s="10">
        <v>0</v>
      </c>
      <c r="J376" s="10">
        <v>0</v>
      </c>
      <c r="K376" s="10">
        <v>0</v>
      </c>
      <c r="L376" s="10">
        <v>0</v>
      </c>
      <c r="M376" s="10">
        <v>0</v>
      </c>
      <c r="N376" s="10">
        <v>1</v>
      </c>
      <c r="O376" s="10">
        <v>0</v>
      </c>
      <c r="P376" s="10">
        <v>0</v>
      </c>
      <c r="Q376" s="26">
        <f t="shared" si="15"/>
        <v>1</v>
      </c>
      <c r="R376" s="25">
        <v>0</v>
      </c>
      <c r="S376" s="10">
        <v>0</v>
      </c>
      <c r="T376" s="10">
        <v>0</v>
      </c>
      <c r="U376" s="10">
        <v>0</v>
      </c>
      <c r="V376" s="10">
        <v>0</v>
      </c>
      <c r="W376" s="10">
        <v>0</v>
      </c>
      <c r="X376" s="10">
        <v>0</v>
      </c>
      <c r="Y376" s="10">
        <v>0</v>
      </c>
      <c r="Z376" s="10">
        <v>0</v>
      </c>
      <c r="AA376" s="10">
        <v>31</v>
      </c>
      <c r="AB376" s="10">
        <v>0</v>
      </c>
      <c r="AC376" s="10">
        <v>0</v>
      </c>
      <c r="AD376" s="26">
        <f t="shared" si="16"/>
        <v>31</v>
      </c>
      <c r="AE376" s="25">
        <v>0</v>
      </c>
      <c r="AF376" s="10">
        <v>0</v>
      </c>
      <c r="AG376" s="10">
        <v>0</v>
      </c>
      <c r="AH376" s="10">
        <v>0</v>
      </c>
      <c r="AI376" s="10">
        <v>0</v>
      </c>
      <c r="AJ376" s="10">
        <v>0</v>
      </c>
      <c r="AK376" s="10">
        <v>0</v>
      </c>
      <c r="AL376" s="10">
        <v>0</v>
      </c>
      <c r="AM376" s="10">
        <v>0</v>
      </c>
      <c r="AN376" s="10">
        <v>0</v>
      </c>
      <c r="AO376" s="10">
        <v>0</v>
      </c>
      <c r="AP376" s="10">
        <v>0</v>
      </c>
      <c r="AQ376" s="26">
        <f t="shared" si="17"/>
        <v>0</v>
      </c>
    </row>
    <row r="377" spans="1:43" ht="17.25" customHeight="1" x14ac:dyDescent="0.45">
      <c r="A377" s="2" t="s">
        <v>297</v>
      </c>
      <c r="B377" s="2" t="s">
        <v>68</v>
      </c>
      <c r="C377" s="2" t="s">
        <v>206</v>
      </c>
      <c r="D377" s="2" t="s">
        <v>66</v>
      </c>
      <c r="E377" s="23">
        <v>0</v>
      </c>
      <c r="F377" s="1">
        <v>0</v>
      </c>
      <c r="G377" s="1">
        <v>0</v>
      </c>
      <c r="H377" s="1">
        <v>0</v>
      </c>
      <c r="I377" s="1">
        <v>2</v>
      </c>
      <c r="J377" s="1">
        <v>0</v>
      </c>
      <c r="K377" s="1">
        <v>0</v>
      </c>
      <c r="L377" s="1">
        <v>0</v>
      </c>
      <c r="M377" s="1">
        <v>0</v>
      </c>
      <c r="N377" s="1">
        <v>0</v>
      </c>
      <c r="O377" s="1">
        <v>0</v>
      </c>
      <c r="P377" s="1">
        <v>0</v>
      </c>
      <c r="Q377" s="24">
        <f t="shared" si="15"/>
        <v>2</v>
      </c>
      <c r="R377" s="23">
        <v>0</v>
      </c>
      <c r="S377" s="1">
        <v>0</v>
      </c>
      <c r="T377" s="1">
        <v>0</v>
      </c>
      <c r="U377" s="1">
        <v>0</v>
      </c>
      <c r="V377" s="1">
        <v>0</v>
      </c>
      <c r="W377" s="1">
        <v>0</v>
      </c>
      <c r="X377" s="1">
        <v>0</v>
      </c>
      <c r="Y377" s="1">
        <v>0</v>
      </c>
      <c r="Z377" s="1">
        <v>0</v>
      </c>
      <c r="AA377" s="1">
        <v>0</v>
      </c>
      <c r="AB377" s="1">
        <v>0</v>
      </c>
      <c r="AC377" s="1">
        <v>0</v>
      </c>
      <c r="AD377" s="24">
        <f t="shared" si="16"/>
        <v>0</v>
      </c>
      <c r="AE377" s="23">
        <v>0</v>
      </c>
      <c r="AF377" s="1">
        <v>0</v>
      </c>
      <c r="AG377" s="1">
        <v>0</v>
      </c>
      <c r="AH377" s="1">
        <v>0</v>
      </c>
      <c r="AI377" s="1">
        <v>80361</v>
      </c>
      <c r="AJ377" s="1">
        <v>0</v>
      </c>
      <c r="AK377" s="1">
        <v>0</v>
      </c>
      <c r="AL377" s="1">
        <v>0</v>
      </c>
      <c r="AM377" s="1">
        <v>0</v>
      </c>
      <c r="AN377" s="1">
        <v>0</v>
      </c>
      <c r="AO377" s="1">
        <v>0</v>
      </c>
      <c r="AP377" s="1">
        <v>0</v>
      </c>
      <c r="AQ377" s="24">
        <f t="shared" si="17"/>
        <v>80361</v>
      </c>
    </row>
    <row r="378" spans="1:43" ht="17.25" customHeight="1" x14ac:dyDescent="0.45">
      <c r="A378" s="12" t="s">
        <v>176</v>
      </c>
      <c r="B378" s="12" t="s">
        <v>68</v>
      </c>
      <c r="C378" s="12" t="s">
        <v>17</v>
      </c>
      <c r="D378" s="12" t="s">
        <v>66</v>
      </c>
      <c r="E378" s="25">
        <v>5</v>
      </c>
      <c r="F378" s="10">
        <v>2</v>
      </c>
      <c r="G378" s="10">
        <v>0</v>
      </c>
      <c r="H378" s="10">
        <v>0</v>
      </c>
      <c r="I378" s="10">
        <v>0</v>
      </c>
      <c r="J378" s="10">
        <v>0</v>
      </c>
      <c r="K378" s="10">
        <v>0</v>
      </c>
      <c r="L378" s="10">
        <v>0</v>
      </c>
      <c r="M378" s="10">
        <v>0</v>
      </c>
      <c r="N378" s="10">
        <v>0</v>
      </c>
      <c r="O378" s="10">
        <v>0</v>
      </c>
      <c r="P378" s="10">
        <v>0</v>
      </c>
      <c r="Q378" s="26">
        <f t="shared" si="15"/>
        <v>7</v>
      </c>
      <c r="R378" s="25">
        <v>667</v>
      </c>
      <c r="S378" s="10">
        <v>319</v>
      </c>
      <c r="T378" s="10">
        <v>0</v>
      </c>
      <c r="U378" s="10">
        <v>0</v>
      </c>
      <c r="V378" s="10">
        <v>0</v>
      </c>
      <c r="W378" s="10">
        <v>0</v>
      </c>
      <c r="X378" s="10">
        <v>0</v>
      </c>
      <c r="Y378" s="10">
        <v>0</v>
      </c>
      <c r="Z378" s="10">
        <v>0</v>
      </c>
      <c r="AA378" s="10">
        <v>0</v>
      </c>
      <c r="AB378" s="10">
        <v>0</v>
      </c>
      <c r="AC378" s="10">
        <v>0</v>
      </c>
      <c r="AD378" s="26">
        <f t="shared" si="16"/>
        <v>986</v>
      </c>
      <c r="AE378" s="25">
        <v>0</v>
      </c>
      <c r="AF378" s="10">
        <v>0</v>
      </c>
      <c r="AG378" s="10">
        <v>0</v>
      </c>
      <c r="AH378" s="10">
        <v>0</v>
      </c>
      <c r="AI378" s="10">
        <v>0</v>
      </c>
      <c r="AJ378" s="10">
        <v>0</v>
      </c>
      <c r="AK378" s="10">
        <v>0</v>
      </c>
      <c r="AL378" s="10">
        <v>0</v>
      </c>
      <c r="AM378" s="10">
        <v>0</v>
      </c>
      <c r="AN378" s="10">
        <v>0</v>
      </c>
      <c r="AO378" s="10">
        <v>0</v>
      </c>
      <c r="AP378" s="10">
        <v>0</v>
      </c>
      <c r="AQ378" s="26">
        <f t="shared" si="17"/>
        <v>0</v>
      </c>
    </row>
    <row r="379" spans="1:43" ht="17.25" customHeight="1" x14ac:dyDescent="0.45">
      <c r="A379" s="2" t="s">
        <v>176</v>
      </c>
      <c r="B379" s="2" t="s">
        <v>68</v>
      </c>
      <c r="C379" s="2" t="s">
        <v>48</v>
      </c>
      <c r="D379" s="2" t="s">
        <v>66</v>
      </c>
      <c r="E379" s="23">
        <v>3</v>
      </c>
      <c r="F379" s="1">
        <v>1</v>
      </c>
      <c r="G379" s="1">
        <v>0</v>
      </c>
      <c r="H379" s="1">
        <v>0</v>
      </c>
      <c r="I379" s="1">
        <v>0</v>
      </c>
      <c r="J379" s="1">
        <v>1</v>
      </c>
      <c r="K379" s="1">
        <v>0</v>
      </c>
      <c r="L379" s="1">
        <v>0</v>
      </c>
      <c r="M379" s="1">
        <v>0</v>
      </c>
      <c r="N379" s="1">
        <v>0</v>
      </c>
      <c r="O379" s="1">
        <v>0</v>
      </c>
      <c r="P379" s="1">
        <v>0</v>
      </c>
      <c r="Q379" s="24">
        <f t="shared" si="15"/>
        <v>5</v>
      </c>
      <c r="R379" s="23">
        <v>305</v>
      </c>
      <c r="S379" s="1">
        <v>159</v>
      </c>
      <c r="T379" s="1">
        <v>0</v>
      </c>
      <c r="U379" s="1">
        <v>0</v>
      </c>
      <c r="V379" s="1">
        <v>0</v>
      </c>
      <c r="W379" s="1">
        <v>144</v>
      </c>
      <c r="X379" s="1">
        <v>0</v>
      </c>
      <c r="Y379" s="1">
        <v>0</v>
      </c>
      <c r="Z379" s="1">
        <v>0</v>
      </c>
      <c r="AA379" s="1">
        <v>0</v>
      </c>
      <c r="AB379" s="1">
        <v>0</v>
      </c>
      <c r="AC379" s="1">
        <v>0</v>
      </c>
      <c r="AD379" s="24">
        <f t="shared" si="16"/>
        <v>608</v>
      </c>
      <c r="AE379" s="23">
        <v>0</v>
      </c>
      <c r="AF379" s="1">
        <v>0</v>
      </c>
      <c r="AG379" s="1">
        <v>0</v>
      </c>
      <c r="AH379" s="1">
        <v>0</v>
      </c>
      <c r="AI379" s="1">
        <v>0</v>
      </c>
      <c r="AJ379" s="1">
        <v>0</v>
      </c>
      <c r="AK379" s="1">
        <v>0</v>
      </c>
      <c r="AL379" s="1">
        <v>0</v>
      </c>
      <c r="AM379" s="1">
        <v>0</v>
      </c>
      <c r="AN379" s="1">
        <v>0</v>
      </c>
      <c r="AO379" s="1">
        <v>0</v>
      </c>
      <c r="AP379" s="1">
        <v>0</v>
      </c>
      <c r="AQ379" s="24">
        <f t="shared" si="17"/>
        <v>0</v>
      </c>
    </row>
    <row r="380" spans="1:43" ht="17.25" customHeight="1" x14ac:dyDescent="0.45">
      <c r="A380" s="12" t="s">
        <v>148</v>
      </c>
      <c r="B380" s="12" t="s">
        <v>68</v>
      </c>
      <c r="C380" s="12" t="s">
        <v>32</v>
      </c>
      <c r="D380" s="12" t="s">
        <v>66</v>
      </c>
      <c r="E380" s="25">
        <v>0</v>
      </c>
      <c r="F380" s="10">
        <v>0</v>
      </c>
      <c r="G380" s="10">
        <v>0</v>
      </c>
      <c r="H380" s="10">
        <v>0</v>
      </c>
      <c r="I380" s="10">
        <v>0</v>
      </c>
      <c r="J380" s="10">
        <v>0</v>
      </c>
      <c r="K380" s="10">
        <v>0</v>
      </c>
      <c r="L380" s="10">
        <v>1</v>
      </c>
      <c r="M380" s="10">
        <v>0</v>
      </c>
      <c r="N380" s="10">
        <v>0</v>
      </c>
      <c r="O380" s="10">
        <v>0</v>
      </c>
      <c r="P380" s="10">
        <v>0</v>
      </c>
      <c r="Q380" s="26">
        <f t="shared" si="15"/>
        <v>1</v>
      </c>
      <c r="R380" s="25">
        <v>0</v>
      </c>
      <c r="S380" s="10">
        <v>0</v>
      </c>
      <c r="T380" s="10">
        <v>0</v>
      </c>
      <c r="U380" s="10">
        <v>0</v>
      </c>
      <c r="V380" s="10">
        <v>0</v>
      </c>
      <c r="W380" s="10">
        <v>0</v>
      </c>
      <c r="X380" s="10">
        <v>0</v>
      </c>
      <c r="Y380" s="10">
        <v>11</v>
      </c>
      <c r="Z380" s="10">
        <v>0</v>
      </c>
      <c r="AA380" s="10">
        <v>0</v>
      </c>
      <c r="AB380" s="10">
        <v>0</v>
      </c>
      <c r="AC380" s="10">
        <v>0</v>
      </c>
      <c r="AD380" s="26">
        <f t="shared" si="16"/>
        <v>11</v>
      </c>
      <c r="AE380" s="25">
        <v>0</v>
      </c>
      <c r="AF380" s="10">
        <v>0</v>
      </c>
      <c r="AG380" s="10">
        <v>0</v>
      </c>
      <c r="AH380" s="10">
        <v>0</v>
      </c>
      <c r="AI380" s="10">
        <v>0</v>
      </c>
      <c r="AJ380" s="10">
        <v>0</v>
      </c>
      <c r="AK380" s="10">
        <v>0</v>
      </c>
      <c r="AL380" s="10">
        <v>0</v>
      </c>
      <c r="AM380" s="10">
        <v>0</v>
      </c>
      <c r="AN380" s="10">
        <v>0</v>
      </c>
      <c r="AO380" s="10">
        <v>0</v>
      </c>
      <c r="AP380" s="10">
        <v>0</v>
      </c>
      <c r="AQ380" s="26">
        <f t="shared" si="17"/>
        <v>0</v>
      </c>
    </row>
    <row r="381" spans="1:43" ht="17.25" customHeight="1" x14ac:dyDescent="0.45">
      <c r="A381" s="2" t="s">
        <v>206</v>
      </c>
      <c r="B381" s="2" t="s">
        <v>66</v>
      </c>
      <c r="C381" s="2" t="s">
        <v>67</v>
      </c>
      <c r="D381" s="2" t="s">
        <v>68</v>
      </c>
      <c r="E381" s="23">
        <v>0</v>
      </c>
      <c r="F381" s="1">
        <v>0</v>
      </c>
      <c r="G381" s="1">
        <v>0</v>
      </c>
      <c r="H381" s="1">
        <v>0</v>
      </c>
      <c r="I381" s="1">
        <v>1</v>
      </c>
      <c r="J381" s="1">
        <v>0</v>
      </c>
      <c r="K381" s="1">
        <v>0</v>
      </c>
      <c r="L381" s="1">
        <v>0</v>
      </c>
      <c r="M381" s="1">
        <v>0</v>
      </c>
      <c r="N381" s="1">
        <v>0</v>
      </c>
      <c r="O381" s="1">
        <v>0</v>
      </c>
      <c r="P381" s="1">
        <v>0</v>
      </c>
      <c r="Q381" s="24">
        <f t="shared" si="15"/>
        <v>1</v>
      </c>
      <c r="R381" s="23">
        <v>0</v>
      </c>
      <c r="S381" s="1">
        <v>0</v>
      </c>
      <c r="T381" s="1">
        <v>0</v>
      </c>
      <c r="U381" s="1">
        <v>0</v>
      </c>
      <c r="V381" s="1">
        <v>0</v>
      </c>
      <c r="W381" s="1">
        <v>0</v>
      </c>
      <c r="X381" s="1">
        <v>0</v>
      </c>
      <c r="Y381" s="1">
        <v>0</v>
      </c>
      <c r="Z381" s="1">
        <v>0</v>
      </c>
      <c r="AA381" s="1">
        <v>0</v>
      </c>
      <c r="AB381" s="1">
        <v>0</v>
      </c>
      <c r="AC381" s="1">
        <v>0</v>
      </c>
      <c r="AD381" s="24">
        <f t="shared" si="16"/>
        <v>0</v>
      </c>
      <c r="AE381" s="23">
        <v>0</v>
      </c>
      <c r="AF381" s="1">
        <v>0</v>
      </c>
      <c r="AG381" s="1">
        <v>0</v>
      </c>
      <c r="AH381" s="1">
        <v>0</v>
      </c>
      <c r="AI381" s="1">
        <v>827</v>
      </c>
      <c r="AJ381" s="1">
        <v>0</v>
      </c>
      <c r="AK381" s="1">
        <v>0</v>
      </c>
      <c r="AL381" s="1">
        <v>0</v>
      </c>
      <c r="AM381" s="1">
        <v>0</v>
      </c>
      <c r="AN381" s="1">
        <v>0</v>
      </c>
      <c r="AO381" s="1">
        <v>0</v>
      </c>
      <c r="AP381" s="1">
        <v>0</v>
      </c>
      <c r="AQ381" s="24">
        <f t="shared" si="17"/>
        <v>827</v>
      </c>
    </row>
    <row r="382" spans="1:43" ht="17.25" customHeight="1" x14ac:dyDescent="0.45">
      <c r="A382" s="12" t="s">
        <v>206</v>
      </c>
      <c r="B382" s="12" t="s">
        <v>66</v>
      </c>
      <c r="C382" s="12" t="s">
        <v>101</v>
      </c>
      <c r="D382" s="12" t="s">
        <v>68</v>
      </c>
      <c r="E382" s="25">
        <v>5</v>
      </c>
      <c r="F382" s="10">
        <v>14</v>
      </c>
      <c r="G382" s="10">
        <v>2</v>
      </c>
      <c r="H382" s="10">
        <v>2</v>
      </c>
      <c r="I382" s="10">
        <v>0</v>
      </c>
      <c r="J382" s="10">
        <v>7</v>
      </c>
      <c r="K382" s="10">
        <v>0</v>
      </c>
      <c r="L382" s="10">
        <v>1</v>
      </c>
      <c r="M382" s="10">
        <v>3</v>
      </c>
      <c r="N382" s="10">
        <v>1</v>
      </c>
      <c r="O382" s="10">
        <v>3</v>
      </c>
      <c r="P382" s="10">
        <v>0</v>
      </c>
      <c r="Q382" s="26">
        <f t="shared" si="15"/>
        <v>38</v>
      </c>
      <c r="R382" s="25">
        <v>0</v>
      </c>
      <c r="S382" s="10">
        <v>0</v>
      </c>
      <c r="T382" s="10">
        <v>0</v>
      </c>
      <c r="U382" s="10">
        <v>0</v>
      </c>
      <c r="V382" s="10">
        <v>0</v>
      </c>
      <c r="W382" s="10">
        <v>0</v>
      </c>
      <c r="X382" s="10">
        <v>0</v>
      </c>
      <c r="Y382" s="10">
        <v>0</v>
      </c>
      <c r="Z382" s="10">
        <v>0</v>
      </c>
      <c r="AA382" s="10">
        <v>0</v>
      </c>
      <c r="AB382" s="10">
        <v>0</v>
      </c>
      <c r="AC382" s="10">
        <v>0</v>
      </c>
      <c r="AD382" s="26">
        <f t="shared" si="16"/>
        <v>0</v>
      </c>
      <c r="AE382" s="25">
        <v>5495</v>
      </c>
      <c r="AF382" s="10">
        <v>26101</v>
      </c>
      <c r="AG382" s="10">
        <v>3053</v>
      </c>
      <c r="AH382" s="10">
        <v>3051</v>
      </c>
      <c r="AI382" s="10">
        <v>0</v>
      </c>
      <c r="AJ382" s="10">
        <v>17979</v>
      </c>
      <c r="AK382" s="10">
        <v>0</v>
      </c>
      <c r="AL382" s="10">
        <v>3005</v>
      </c>
      <c r="AM382" s="10">
        <v>6855</v>
      </c>
      <c r="AN382" s="10">
        <v>2286</v>
      </c>
      <c r="AO382" s="10">
        <v>7031</v>
      </c>
      <c r="AP382" s="10">
        <v>0</v>
      </c>
      <c r="AQ382" s="26">
        <f t="shared" si="17"/>
        <v>74856</v>
      </c>
    </row>
    <row r="383" spans="1:43" ht="17.25" customHeight="1" x14ac:dyDescent="0.45">
      <c r="A383" s="2" t="s">
        <v>206</v>
      </c>
      <c r="B383" s="2" t="s">
        <v>66</v>
      </c>
      <c r="C383" s="2" t="s">
        <v>221</v>
      </c>
      <c r="D383" s="2" t="s">
        <v>68</v>
      </c>
      <c r="E383" s="23">
        <v>6</v>
      </c>
      <c r="F383" s="1">
        <v>0</v>
      </c>
      <c r="G383" s="1">
        <v>0</v>
      </c>
      <c r="H383" s="1">
        <v>1</v>
      </c>
      <c r="I383" s="1">
        <v>0</v>
      </c>
      <c r="J383" s="1">
        <v>0</v>
      </c>
      <c r="K383" s="1">
        <v>0</v>
      </c>
      <c r="L383" s="1">
        <v>0</v>
      </c>
      <c r="M383" s="1">
        <v>0</v>
      </c>
      <c r="N383" s="1">
        <v>0</v>
      </c>
      <c r="O383" s="1">
        <v>0</v>
      </c>
      <c r="P383" s="1">
        <v>2</v>
      </c>
      <c r="Q383" s="24">
        <f t="shared" si="15"/>
        <v>9</v>
      </c>
      <c r="R383" s="23">
        <v>0</v>
      </c>
      <c r="S383" s="1">
        <v>0</v>
      </c>
      <c r="T383" s="1">
        <v>0</v>
      </c>
      <c r="U383" s="1">
        <v>0</v>
      </c>
      <c r="V383" s="1">
        <v>0</v>
      </c>
      <c r="W383" s="1">
        <v>0</v>
      </c>
      <c r="X383" s="1">
        <v>0</v>
      </c>
      <c r="Y383" s="1">
        <v>0</v>
      </c>
      <c r="Z383" s="1">
        <v>0</v>
      </c>
      <c r="AA383" s="1">
        <v>0</v>
      </c>
      <c r="AB383" s="1">
        <v>0</v>
      </c>
      <c r="AC383" s="1">
        <v>0</v>
      </c>
      <c r="AD383" s="24">
        <f t="shared" si="16"/>
        <v>0</v>
      </c>
      <c r="AE383" s="23">
        <v>4868</v>
      </c>
      <c r="AF383" s="1">
        <v>0</v>
      </c>
      <c r="AG383" s="1">
        <v>0</v>
      </c>
      <c r="AH383" s="1">
        <v>1217</v>
      </c>
      <c r="AI383" s="1">
        <v>0</v>
      </c>
      <c r="AJ383" s="1">
        <v>0</v>
      </c>
      <c r="AK383" s="1">
        <v>0</v>
      </c>
      <c r="AL383" s="1">
        <v>0</v>
      </c>
      <c r="AM383" s="1">
        <v>0</v>
      </c>
      <c r="AN383" s="1">
        <v>0</v>
      </c>
      <c r="AO383" s="1">
        <v>0</v>
      </c>
      <c r="AP383" s="1">
        <v>1400</v>
      </c>
      <c r="AQ383" s="24">
        <f t="shared" si="17"/>
        <v>7485</v>
      </c>
    </row>
    <row r="384" spans="1:43" ht="17.25" customHeight="1" x14ac:dyDescent="0.45">
      <c r="A384" s="12" t="s">
        <v>206</v>
      </c>
      <c r="B384" s="12" t="s">
        <v>66</v>
      </c>
      <c r="C384" s="12" t="s">
        <v>69</v>
      </c>
      <c r="D384" s="12" t="s">
        <v>68</v>
      </c>
      <c r="E384" s="25">
        <v>0</v>
      </c>
      <c r="F384" s="10">
        <v>0</v>
      </c>
      <c r="G384" s="10">
        <v>0</v>
      </c>
      <c r="H384" s="10">
        <v>1</v>
      </c>
      <c r="I384" s="10">
        <v>1</v>
      </c>
      <c r="J384" s="10">
        <v>0</v>
      </c>
      <c r="K384" s="10">
        <v>0</v>
      </c>
      <c r="L384" s="10">
        <v>0</v>
      </c>
      <c r="M384" s="10">
        <v>0</v>
      </c>
      <c r="N384" s="10">
        <v>0</v>
      </c>
      <c r="O384" s="10">
        <v>0</v>
      </c>
      <c r="P384" s="10">
        <v>0</v>
      </c>
      <c r="Q384" s="26">
        <f t="shared" si="15"/>
        <v>2</v>
      </c>
      <c r="R384" s="25">
        <v>0</v>
      </c>
      <c r="S384" s="10">
        <v>0</v>
      </c>
      <c r="T384" s="10">
        <v>0</v>
      </c>
      <c r="U384" s="10">
        <v>0</v>
      </c>
      <c r="V384" s="10">
        <v>0</v>
      </c>
      <c r="W384" s="10">
        <v>0</v>
      </c>
      <c r="X384" s="10">
        <v>0</v>
      </c>
      <c r="Y384" s="10">
        <v>0</v>
      </c>
      <c r="Z384" s="10">
        <v>0</v>
      </c>
      <c r="AA384" s="10">
        <v>0</v>
      </c>
      <c r="AB384" s="10">
        <v>0</v>
      </c>
      <c r="AC384" s="10">
        <v>0</v>
      </c>
      <c r="AD384" s="26">
        <f t="shared" si="16"/>
        <v>0</v>
      </c>
      <c r="AE384" s="25">
        <v>0</v>
      </c>
      <c r="AF384" s="10">
        <v>0</v>
      </c>
      <c r="AG384" s="10">
        <v>0</v>
      </c>
      <c r="AH384" s="10">
        <v>2195</v>
      </c>
      <c r="AI384" s="10">
        <v>1702</v>
      </c>
      <c r="AJ384" s="10">
        <v>0</v>
      </c>
      <c r="AK384" s="10">
        <v>0</v>
      </c>
      <c r="AL384" s="10">
        <v>0</v>
      </c>
      <c r="AM384" s="10">
        <v>0</v>
      </c>
      <c r="AN384" s="10">
        <v>0</v>
      </c>
      <c r="AO384" s="10">
        <v>0</v>
      </c>
      <c r="AP384" s="10">
        <v>0</v>
      </c>
      <c r="AQ384" s="26">
        <f t="shared" si="17"/>
        <v>3897</v>
      </c>
    </row>
    <row r="385" spans="1:43" ht="17.25" customHeight="1" x14ac:dyDescent="0.45">
      <c r="A385" s="2" t="s">
        <v>206</v>
      </c>
      <c r="B385" s="2" t="s">
        <v>66</v>
      </c>
      <c r="C385" s="2" t="s">
        <v>194</v>
      </c>
      <c r="D385" s="2" t="s">
        <v>68</v>
      </c>
      <c r="E385" s="23">
        <v>43</v>
      </c>
      <c r="F385" s="1">
        <v>42</v>
      </c>
      <c r="G385" s="1">
        <v>9</v>
      </c>
      <c r="H385" s="1">
        <v>37</v>
      </c>
      <c r="I385" s="1">
        <v>68</v>
      </c>
      <c r="J385" s="1">
        <v>168</v>
      </c>
      <c r="K385" s="1">
        <v>12</v>
      </c>
      <c r="L385" s="1">
        <v>30</v>
      </c>
      <c r="M385" s="1">
        <v>207</v>
      </c>
      <c r="N385" s="1">
        <v>366</v>
      </c>
      <c r="O385" s="1">
        <v>311</v>
      </c>
      <c r="P385" s="1">
        <v>228</v>
      </c>
      <c r="Q385" s="24">
        <f t="shared" si="15"/>
        <v>1521</v>
      </c>
      <c r="R385" s="23">
        <v>0</v>
      </c>
      <c r="S385" s="1">
        <v>0</v>
      </c>
      <c r="T385" s="1">
        <v>0</v>
      </c>
      <c r="U385" s="1">
        <v>0</v>
      </c>
      <c r="V385" s="1">
        <v>0</v>
      </c>
      <c r="W385" s="1">
        <v>0</v>
      </c>
      <c r="X385" s="1">
        <v>0</v>
      </c>
      <c r="Y385" s="1">
        <v>0</v>
      </c>
      <c r="Z385" s="1">
        <v>0</v>
      </c>
      <c r="AA385" s="1">
        <v>0</v>
      </c>
      <c r="AB385" s="1">
        <v>0</v>
      </c>
      <c r="AC385" s="1">
        <v>0</v>
      </c>
      <c r="AD385" s="24">
        <f t="shared" si="16"/>
        <v>0</v>
      </c>
      <c r="AE385" s="23">
        <v>112903</v>
      </c>
      <c r="AF385" s="1">
        <v>76551</v>
      </c>
      <c r="AG385" s="1">
        <v>11995</v>
      </c>
      <c r="AH385" s="1">
        <v>138258</v>
      </c>
      <c r="AI385" s="1">
        <v>240629</v>
      </c>
      <c r="AJ385" s="1">
        <v>2114814</v>
      </c>
      <c r="AK385" s="1">
        <v>919016</v>
      </c>
      <c r="AL385" s="1">
        <v>184059</v>
      </c>
      <c r="AM385" s="1">
        <v>2885682</v>
      </c>
      <c r="AN385" s="1">
        <v>5526062</v>
      </c>
      <c r="AO385" s="1">
        <v>3874174</v>
      </c>
      <c r="AP385" s="1">
        <v>3518712</v>
      </c>
      <c r="AQ385" s="24">
        <f t="shared" si="17"/>
        <v>19602855</v>
      </c>
    </row>
    <row r="386" spans="1:43" ht="17.25" customHeight="1" x14ac:dyDescent="0.45">
      <c r="A386" s="12" t="s">
        <v>206</v>
      </c>
      <c r="B386" s="12" t="s">
        <v>66</v>
      </c>
      <c r="C386" s="12" t="s">
        <v>195</v>
      </c>
      <c r="D386" s="12" t="s">
        <v>196</v>
      </c>
      <c r="E386" s="25">
        <v>1</v>
      </c>
      <c r="F386" s="10">
        <v>0</v>
      </c>
      <c r="G386" s="10">
        <v>0</v>
      </c>
      <c r="H386" s="10">
        <v>0</v>
      </c>
      <c r="I386" s="10">
        <v>0</v>
      </c>
      <c r="J386" s="10">
        <v>0</v>
      </c>
      <c r="K386" s="10">
        <v>1</v>
      </c>
      <c r="L386" s="10">
        <v>2</v>
      </c>
      <c r="M386" s="10">
        <v>0</v>
      </c>
      <c r="N386" s="10">
        <v>0</v>
      </c>
      <c r="O386" s="10">
        <v>0</v>
      </c>
      <c r="P386" s="10">
        <v>0</v>
      </c>
      <c r="Q386" s="26">
        <f t="shared" si="15"/>
        <v>4</v>
      </c>
      <c r="R386" s="25">
        <v>0</v>
      </c>
      <c r="S386" s="10">
        <v>0</v>
      </c>
      <c r="T386" s="10">
        <v>0</v>
      </c>
      <c r="U386" s="10">
        <v>0</v>
      </c>
      <c r="V386" s="10">
        <v>0</v>
      </c>
      <c r="W386" s="10">
        <v>0</v>
      </c>
      <c r="X386" s="10">
        <v>0</v>
      </c>
      <c r="Y386" s="10">
        <v>0</v>
      </c>
      <c r="Z386" s="10">
        <v>0</v>
      </c>
      <c r="AA386" s="10">
        <v>0</v>
      </c>
      <c r="AB386" s="10">
        <v>0</v>
      </c>
      <c r="AC386" s="10">
        <v>0</v>
      </c>
      <c r="AD386" s="26">
        <f t="shared" si="16"/>
        <v>0</v>
      </c>
      <c r="AE386" s="25">
        <v>50</v>
      </c>
      <c r="AF386" s="10">
        <v>0</v>
      </c>
      <c r="AG386" s="10">
        <v>0</v>
      </c>
      <c r="AH386" s="10">
        <v>0</v>
      </c>
      <c r="AI386" s="10">
        <v>0</v>
      </c>
      <c r="AJ386" s="10">
        <v>0</v>
      </c>
      <c r="AK386" s="10">
        <v>1000</v>
      </c>
      <c r="AL386" s="10">
        <v>12581</v>
      </c>
      <c r="AM386" s="10">
        <v>0</v>
      </c>
      <c r="AN386" s="10">
        <v>0</v>
      </c>
      <c r="AO386" s="10">
        <v>0</v>
      </c>
      <c r="AP386" s="10">
        <v>0</v>
      </c>
      <c r="AQ386" s="26">
        <f t="shared" si="17"/>
        <v>13631</v>
      </c>
    </row>
    <row r="387" spans="1:43" ht="17.25" customHeight="1" x14ac:dyDescent="0.45">
      <c r="A387" s="2" t="s">
        <v>206</v>
      </c>
      <c r="B387" s="2" t="s">
        <v>66</v>
      </c>
      <c r="C387" s="2" t="s">
        <v>170</v>
      </c>
      <c r="D387" s="2" t="s">
        <v>65</v>
      </c>
      <c r="E387" s="23">
        <v>0</v>
      </c>
      <c r="F387" s="1">
        <v>0</v>
      </c>
      <c r="G387" s="1">
        <v>0</v>
      </c>
      <c r="H387" s="1">
        <v>0</v>
      </c>
      <c r="I387" s="1">
        <v>0</v>
      </c>
      <c r="J387" s="1">
        <v>0</v>
      </c>
      <c r="K387" s="1">
        <v>0</v>
      </c>
      <c r="L387" s="1">
        <v>0</v>
      </c>
      <c r="M387" s="1">
        <v>0</v>
      </c>
      <c r="N387" s="1">
        <v>5</v>
      </c>
      <c r="O387" s="1">
        <v>3</v>
      </c>
      <c r="P387" s="1">
        <v>0</v>
      </c>
      <c r="Q387" s="24">
        <f t="shared" si="15"/>
        <v>8</v>
      </c>
      <c r="R387" s="23">
        <v>0</v>
      </c>
      <c r="S387" s="1">
        <v>0</v>
      </c>
      <c r="T387" s="1">
        <v>0</v>
      </c>
      <c r="U387" s="1">
        <v>0</v>
      </c>
      <c r="V387" s="1">
        <v>0</v>
      </c>
      <c r="W387" s="1">
        <v>0</v>
      </c>
      <c r="X387" s="1">
        <v>0</v>
      </c>
      <c r="Y387" s="1">
        <v>0</v>
      </c>
      <c r="Z387" s="1">
        <v>0</v>
      </c>
      <c r="AA387" s="1">
        <v>0</v>
      </c>
      <c r="AB387" s="1">
        <v>0</v>
      </c>
      <c r="AC387" s="1">
        <v>0</v>
      </c>
      <c r="AD387" s="24">
        <f t="shared" si="16"/>
        <v>0</v>
      </c>
      <c r="AE387" s="23">
        <v>0</v>
      </c>
      <c r="AF387" s="1">
        <v>0</v>
      </c>
      <c r="AG387" s="1">
        <v>0</v>
      </c>
      <c r="AH387" s="1">
        <v>0</v>
      </c>
      <c r="AI387" s="1">
        <v>0</v>
      </c>
      <c r="AJ387" s="1">
        <v>0</v>
      </c>
      <c r="AK387" s="1">
        <v>0</v>
      </c>
      <c r="AL387" s="1">
        <v>0</v>
      </c>
      <c r="AM387" s="1">
        <v>0</v>
      </c>
      <c r="AN387" s="1">
        <v>10427</v>
      </c>
      <c r="AO387" s="1">
        <v>5764</v>
      </c>
      <c r="AP387" s="1">
        <v>0</v>
      </c>
      <c r="AQ387" s="24">
        <f t="shared" si="17"/>
        <v>16191</v>
      </c>
    </row>
    <row r="388" spans="1:43" ht="17.25" customHeight="1" x14ac:dyDescent="0.45">
      <c r="A388" s="12" t="s">
        <v>149</v>
      </c>
      <c r="B388" s="12" t="s">
        <v>68</v>
      </c>
      <c r="C388" s="12" t="s">
        <v>13</v>
      </c>
      <c r="D388" s="12" t="s">
        <v>66</v>
      </c>
      <c r="E388" s="25">
        <v>0</v>
      </c>
      <c r="F388" s="10">
        <v>0</v>
      </c>
      <c r="G388" s="10">
        <v>0</v>
      </c>
      <c r="H388" s="10">
        <v>0</v>
      </c>
      <c r="I388" s="10">
        <v>0</v>
      </c>
      <c r="J388" s="10">
        <v>0</v>
      </c>
      <c r="K388" s="10">
        <v>0</v>
      </c>
      <c r="L388" s="10">
        <v>0</v>
      </c>
      <c r="M388" s="10">
        <v>0</v>
      </c>
      <c r="N388" s="10">
        <v>1</v>
      </c>
      <c r="O388" s="10">
        <v>0</v>
      </c>
      <c r="P388" s="10">
        <v>0</v>
      </c>
      <c r="Q388" s="26">
        <f t="shared" si="15"/>
        <v>1</v>
      </c>
      <c r="R388" s="25">
        <v>0</v>
      </c>
      <c r="S388" s="10">
        <v>0</v>
      </c>
      <c r="T388" s="10">
        <v>0</v>
      </c>
      <c r="U388" s="10">
        <v>0</v>
      </c>
      <c r="V388" s="10">
        <v>0</v>
      </c>
      <c r="W388" s="10">
        <v>0</v>
      </c>
      <c r="X388" s="10">
        <v>0</v>
      </c>
      <c r="Y388" s="10">
        <v>0</v>
      </c>
      <c r="Z388" s="10">
        <v>0</v>
      </c>
      <c r="AA388" s="10">
        <v>61</v>
      </c>
      <c r="AB388" s="10">
        <v>0</v>
      </c>
      <c r="AC388" s="10">
        <v>0</v>
      </c>
      <c r="AD388" s="26">
        <f t="shared" si="16"/>
        <v>61</v>
      </c>
      <c r="AE388" s="25">
        <v>0</v>
      </c>
      <c r="AF388" s="10">
        <v>0</v>
      </c>
      <c r="AG388" s="10">
        <v>0</v>
      </c>
      <c r="AH388" s="10">
        <v>0</v>
      </c>
      <c r="AI388" s="10">
        <v>0</v>
      </c>
      <c r="AJ388" s="10">
        <v>0</v>
      </c>
      <c r="AK388" s="10">
        <v>0</v>
      </c>
      <c r="AL388" s="10">
        <v>0</v>
      </c>
      <c r="AM388" s="10">
        <v>0</v>
      </c>
      <c r="AN388" s="10">
        <v>0</v>
      </c>
      <c r="AO388" s="10">
        <v>0</v>
      </c>
      <c r="AP388" s="10">
        <v>0</v>
      </c>
      <c r="AQ388" s="26">
        <f t="shared" si="17"/>
        <v>0</v>
      </c>
    </row>
    <row r="389" spans="1:43" ht="17.25" customHeight="1" x14ac:dyDescent="0.45">
      <c r="A389" s="2" t="s">
        <v>149</v>
      </c>
      <c r="B389" s="2" t="s">
        <v>68</v>
      </c>
      <c r="C389" s="2" t="s">
        <v>206</v>
      </c>
      <c r="D389" s="2" t="s">
        <v>66</v>
      </c>
      <c r="E389" s="23">
        <v>0</v>
      </c>
      <c r="F389" s="1">
        <v>1</v>
      </c>
      <c r="G389" s="1">
        <v>0</v>
      </c>
      <c r="H389" s="1">
        <v>0</v>
      </c>
      <c r="I389" s="1">
        <v>0</v>
      </c>
      <c r="J389" s="1">
        <v>0</v>
      </c>
      <c r="K389" s="1">
        <v>0</v>
      </c>
      <c r="L389" s="1">
        <v>0</v>
      </c>
      <c r="M389" s="1">
        <v>0</v>
      </c>
      <c r="N389" s="1">
        <v>0</v>
      </c>
      <c r="O389" s="1">
        <v>1</v>
      </c>
      <c r="P389" s="1">
        <v>0</v>
      </c>
      <c r="Q389" s="24">
        <f t="shared" si="15"/>
        <v>2</v>
      </c>
      <c r="R389" s="23">
        <v>0</v>
      </c>
      <c r="S389" s="1">
        <v>0</v>
      </c>
      <c r="T389" s="1">
        <v>0</v>
      </c>
      <c r="U389" s="1">
        <v>0</v>
      </c>
      <c r="V389" s="1">
        <v>0</v>
      </c>
      <c r="W389" s="1">
        <v>0</v>
      </c>
      <c r="X389" s="1">
        <v>0</v>
      </c>
      <c r="Y389" s="1">
        <v>0</v>
      </c>
      <c r="Z389" s="1">
        <v>0</v>
      </c>
      <c r="AA389" s="1">
        <v>0</v>
      </c>
      <c r="AB389" s="1">
        <v>0</v>
      </c>
      <c r="AC389" s="1">
        <v>0</v>
      </c>
      <c r="AD389" s="24">
        <f t="shared" si="16"/>
        <v>0</v>
      </c>
      <c r="AE389" s="23">
        <v>0</v>
      </c>
      <c r="AF389" s="1">
        <v>32469</v>
      </c>
      <c r="AG389" s="1">
        <v>0</v>
      </c>
      <c r="AH389" s="1">
        <v>0</v>
      </c>
      <c r="AI389" s="1">
        <v>0</v>
      </c>
      <c r="AJ389" s="1">
        <v>0</v>
      </c>
      <c r="AK389" s="1">
        <v>0</v>
      </c>
      <c r="AL389" s="1">
        <v>0</v>
      </c>
      <c r="AM389" s="1">
        <v>0</v>
      </c>
      <c r="AN389" s="1">
        <v>0</v>
      </c>
      <c r="AO389" s="1">
        <v>49236</v>
      </c>
      <c r="AP389" s="1">
        <v>0</v>
      </c>
      <c r="AQ389" s="24">
        <f t="shared" si="17"/>
        <v>81705</v>
      </c>
    </row>
    <row r="390" spans="1:43" ht="17.25" customHeight="1" x14ac:dyDescent="0.45">
      <c r="A390" s="12" t="s">
        <v>149</v>
      </c>
      <c r="B390" s="12" t="s">
        <v>68</v>
      </c>
      <c r="C390" s="12" t="s">
        <v>15</v>
      </c>
      <c r="D390" s="12" t="s">
        <v>66</v>
      </c>
      <c r="E390" s="25">
        <v>0</v>
      </c>
      <c r="F390" s="10">
        <v>0</v>
      </c>
      <c r="G390" s="10">
        <v>0</v>
      </c>
      <c r="H390" s="10">
        <v>0</v>
      </c>
      <c r="I390" s="10">
        <v>0</v>
      </c>
      <c r="J390" s="10">
        <v>1</v>
      </c>
      <c r="K390" s="10">
        <v>1</v>
      </c>
      <c r="L390" s="10">
        <v>0</v>
      </c>
      <c r="M390" s="10">
        <v>0</v>
      </c>
      <c r="N390" s="10">
        <v>0</v>
      </c>
      <c r="O390" s="10">
        <v>0</v>
      </c>
      <c r="P390" s="10">
        <v>0</v>
      </c>
      <c r="Q390" s="26">
        <f t="shared" si="15"/>
        <v>2</v>
      </c>
      <c r="R390" s="25">
        <v>0</v>
      </c>
      <c r="S390" s="10">
        <v>0</v>
      </c>
      <c r="T390" s="10">
        <v>0</v>
      </c>
      <c r="U390" s="10">
        <v>0</v>
      </c>
      <c r="V390" s="10">
        <v>0</v>
      </c>
      <c r="W390" s="10">
        <v>0</v>
      </c>
      <c r="X390" s="10">
        <v>0</v>
      </c>
      <c r="Y390" s="10">
        <v>0</v>
      </c>
      <c r="Z390" s="10">
        <v>0</v>
      </c>
      <c r="AA390" s="10">
        <v>0</v>
      </c>
      <c r="AB390" s="10">
        <v>0</v>
      </c>
      <c r="AC390" s="10">
        <v>0</v>
      </c>
      <c r="AD390" s="26">
        <f t="shared" si="16"/>
        <v>0</v>
      </c>
      <c r="AE390" s="25">
        <v>0</v>
      </c>
      <c r="AF390" s="10">
        <v>0</v>
      </c>
      <c r="AG390" s="10">
        <v>0</v>
      </c>
      <c r="AH390" s="10">
        <v>0</v>
      </c>
      <c r="AI390" s="10">
        <v>0</v>
      </c>
      <c r="AJ390" s="10">
        <v>18695</v>
      </c>
      <c r="AK390" s="10">
        <v>14567</v>
      </c>
      <c r="AL390" s="10">
        <v>0</v>
      </c>
      <c r="AM390" s="10">
        <v>0</v>
      </c>
      <c r="AN390" s="10">
        <v>0</v>
      </c>
      <c r="AO390" s="10">
        <v>0</v>
      </c>
      <c r="AP390" s="10">
        <v>0</v>
      </c>
      <c r="AQ390" s="26">
        <f t="shared" si="17"/>
        <v>33262</v>
      </c>
    </row>
    <row r="391" spans="1:43" ht="17.25" customHeight="1" x14ac:dyDescent="0.45">
      <c r="A391" s="2" t="s">
        <v>150</v>
      </c>
      <c r="B391" s="2" t="s">
        <v>68</v>
      </c>
      <c r="C391" s="2" t="s">
        <v>11</v>
      </c>
      <c r="D391" s="2" t="s">
        <v>66</v>
      </c>
      <c r="E391" s="23">
        <v>0</v>
      </c>
      <c r="F391" s="1">
        <v>0</v>
      </c>
      <c r="G391" s="1">
        <v>0</v>
      </c>
      <c r="H391" s="1">
        <v>0</v>
      </c>
      <c r="I391" s="1">
        <v>0</v>
      </c>
      <c r="J391" s="1">
        <v>0</v>
      </c>
      <c r="K391" s="1">
        <v>0</v>
      </c>
      <c r="L391" s="1">
        <v>1</v>
      </c>
      <c r="M391" s="1">
        <v>0</v>
      </c>
      <c r="N391" s="1">
        <v>0</v>
      </c>
      <c r="O391" s="1">
        <v>0</v>
      </c>
      <c r="P391" s="1">
        <v>0</v>
      </c>
      <c r="Q391" s="24">
        <f t="shared" si="15"/>
        <v>1</v>
      </c>
      <c r="R391" s="23">
        <v>0</v>
      </c>
      <c r="S391" s="1">
        <v>0</v>
      </c>
      <c r="T391" s="1">
        <v>0</v>
      </c>
      <c r="U391" s="1">
        <v>0</v>
      </c>
      <c r="V391" s="1">
        <v>0</v>
      </c>
      <c r="W391" s="1">
        <v>0</v>
      </c>
      <c r="X391" s="1">
        <v>0</v>
      </c>
      <c r="Y391" s="1">
        <v>49</v>
      </c>
      <c r="Z391" s="1">
        <v>0</v>
      </c>
      <c r="AA391" s="1">
        <v>0</v>
      </c>
      <c r="AB391" s="1">
        <v>0</v>
      </c>
      <c r="AC391" s="1">
        <v>0</v>
      </c>
      <c r="AD391" s="24">
        <f t="shared" si="16"/>
        <v>49</v>
      </c>
      <c r="AE391" s="23">
        <v>0</v>
      </c>
      <c r="AF391" s="1">
        <v>0</v>
      </c>
      <c r="AG391" s="1">
        <v>0</v>
      </c>
      <c r="AH391" s="1">
        <v>0</v>
      </c>
      <c r="AI391" s="1">
        <v>0</v>
      </c>
      <c r="AJ391" s="1">
        <v>0</v>
      </c>
      <c r="AK391" s="1">
        <v>0</v>
      </c>
      <c r="AL391" s="1">
        <v>0</v>
      </c>
      <c r="AM391" s="1">
        <v>0</v>
      </c>
      <c r="AN391" s="1">
        <v>0</v>
      </c>
      <c r="AO391" s="1">
        <v>0</v>
      </c>
      <c r="AP391" s="1">
        <v>0</v>
      </c>
      <c r="AQ391" s="24">
        <f t="shared" si="17"/>
        <v>0</v>
      </c>
    </row>
    <row r="392" spans="1:43" ht="17.25" customHeight="1" x14ac:dyDescent="0.45">
      <c r="A392" s="12" t="s">
        <v>150</v>
      </c>
      <c r="B392" s="12" t="s">
        <v>68</v>
      </c>
      <c r="C392" s="12" t="s">
        <v>15</v>
      </c>
      <c r="D392" s="12" t="s">
        <v>66</v>
      </c>
      <c r="E392" s="25">
        <v>22</v>
      </c>
      <c r="F392" s="10">
        <v>14</v>
      </c>
      <c r="G392" s="10">
        <v>23</v>
      </c>
      <c r="H392" s="10">
        <v>0</v>
      </c>
      <c r="I392" s="10">
        <v>22</v>
      </c>
      <c r="J392" s="10">
        <v>20</v>
      </c>
      <c r="K392" s="10">
        <v>21</v>
      </c>
      <c r="L392" s="10">
        <v>23</v>
      </c>
      <c r="M392" s="10">
        <v>18</v>
      </c>
      <c r="N392" s="10">
        <v>22</v>
      </c>
      <c r="O392" s="10">
        <v>22</v>
      </c>
      <c r="P392" s="10">
        <v>23</v>
      </c>
      <c r="Q392" s="26">
        <f t="shared" ref="Q392:Q455" si="18">SUM(E392:P392)</f>
        <v>230</v>
      </c>
      <c r="R392" s="25">
        <v>0</v>
      </c>
      <c r="S392" s="10">
        <v>0</v>
      </c>
      <c r="T392" s="10">
        <v>0</v>
      </c>
      <c r="U392" s="10">
        <v>0</v>
      </c>
      <c r="V392" s="10">
        <v>0</v>
      </c>
      <c r="W392" s="10">
        <v>0</v>
      </c>
      <c r="X392" s="10">
        <v>0</v>
      </c>
      <c r="Y392" s="10">
        <v>0</v>
      </c>
      <c r="Z392" s="10">
        <v>0</v>
      </c>
      <c r="AA392" s="10">
        <v>0</v>
      </c>
      <c r="AB392" s="10">
        <v>0</v>
      </c>
      <c r="AC392" s="10">
        <v>0</v>
      </c>
      <c r="AD392" s="26">
        <f t="shared" ref="AD392:AD455" si="19">SUM(R392:AC392)</f>
        <v>0</v>
      </c>
      <c r="AE392" s="25">
        <v>260807</v>
      </c>
      <c r="AF392" s="10">
        <v>97268</v>
      </c>
      <c r="AG392" s="10">
        <v>294165</v>
      </c>
      <c r="AH392" s="10">
        <v>0</v>
      </c>
      <c r="AI392" s="10">
        <v>306284</v>
      </c>
      <c r="AJ392" s="10">
        <v>338860</v>
      </c>
      <c r="AK392" s="10">
        <v>407269</v>
      </c>
      <c r="AL392" s="10">
        <v>319857</v>
      </c>
      <c r="AM392" s="10">
        <v>367854</v>
      </c>
      <c r="AN392" s="10">
        <v>427083</v>
      </c>
      <c r="AO392" s="10">
        <v>369458</v>
      </c>
      <c r="AP392" s="10">
        <v>467450</v>
      </c>
      <c r="AQ392" s="26">
        <f t="shared" ref="AQ392:AQ455" si="20">SUM(AE392:AP392)</f>
        <v>3656355</v>
      </c>
    </row>
    <row r="393" spans="1:43" ht="17.25" customHeight="1" x14ac:dyDescent="0.45">
      <c r="A393" s="2" t="s">
        <v>150</v>
      </c>
      <c r="B393" s="2" t="s">
        <v>68</v>
      </c>
      <c r="C393" s="2" t="s">
        <v>32</v>
      </c>
      <c r="D393" s="2" t="s">
        <v>66</v>
      </c>
      <c r="E393" s="23">
        <v>0</v>
      </c>
      <c r="F393" s="1">
        <v>2</v>
      </c>
      <c r="G393" s="1">
        <v>0</v>
      </c>
      <c r="H393" s="1">
        <v>0</v>
      </c>
      <c r="I393" s="1">
        <v>0</v>
      </c>
      <c r="J393" s="1">
        <v>0</v>
      </c>
      <c r="K393" s="1">
        <v>0</v>
      </c>
      <c r="L393" s="1">
        <v>0</v>
      </c>
      <c r="M393" s="1">
        <v>0</v>
      </c>
      <c r="N393" s="1">
        <v>0</v>
      </c>
      <c r="O393" s="1">
        <v>0</v>
      </c>
      <c r="P393" s="1">
        <v>0</v>
      </c>
      <c r="Q393" s="24">
        <f t="shared" si="18"/>
        <v>2</v>
      </c>
      <c r="R393" s="23">
        <v>0</v>
      </c>
      <c r="S393" s="1">
        <v>41</v>
      </c>
      <c r="T393" s="1">
        <v>0</v>
      </c>
      <c r="U393" s="1">
        <v>0</v>
      </c>
      <c r="V393" s="1">
        <v>0</v>
      </c>
      <c r="W393" s="1">
        <v>0</v>
      </c>
      <c r="X393" s="1">
        <v>0</v>
      </c>
      <c r="Y393" s="1">
        <v>0</v>
      </c>
      <c r="Z393" s="1">
        <v>0</v>
      </c>
      <c r="AA393" s="1">
        <v>0</v>
      </c>
      <c r="AB393" s="1">
        <v>0</v>
      </c>
      <c r="AC393" s="1">
        <v>0</v>
      </c>
      <c r="AD393" s="24">
        <f t="shared" si="19"/>
        <v>41</v>
      </c>
      <c r="AE393" s="23">
        <v>0</v>
      </c>
      <c r="AF393" s="1">
        <v>0</v>
      </c>
      <c r="AG393" s="1">
        <v>0</v>
      </c>
      <c r="AH393" s="1">
        <v>0</v>
      </c>
      <c r="AI393" s="1">
        <v>0</v>
      </c>
      <c r="AJ393" s="1">
        <v>0</v>
      </c>
      <c r="AK393" s="1">
        <v>0</v>
      </c>
      <c r="AL393" s="1">
        <v>0</v>
      </c>
      <c r="AM393" s="1">
        <v>0</v>
      </c>
      <c r="AN393" s="1">
        <v>0</v>
      </c>
      <c r="AO393" s="1">
        <v>0</v>
      </c>
      <c r="AP393" s="1">
        <v>0</v>
      </c>
      <c r="AQ393" s="24">
        <f t="shared" si="20"/>
        <v>0</v>
      </c>
    </row>
    <row r="394" spans="1:43" ht="17.25" customHeight="1" x14ac:dyDescent="0.45">
      <c r="A394" s="12" t="s">
        <v>48</v>
      </c>
      <c r="B394" s="12" t="s">
        <v>66</v>
      </c>
      <c r="C394" s="12" t="s">
        <v>235</v>
      </c>
      <c r="D394" s="12" t="s">
        <v>68</v>
      </c>
      <c r="E394" s="25">
        <v>0</v>
      </c>
      <c r="F394" s="10">
        <v>0</v>
      </c>
      <c r="G394" s="10">
        <v>0</v>
      </c>
      <c r="H394" s="10">
        <v>0</v>
      </c>
      <c r="I394" s="10">
        <v>0</v>
      </c>
      <c r="J394" s="10">
        <v>1</v>
      </c>
      <c r="K394" s="10">
        <v>0</v>
      </c>
      <c r="L394" s="10">
        <v>0</v>
      </c>
      <c r="M394" s="10">
        <v>0</v>
      </c>
      <c r="N394" s="10">
        <v>0</v>
      </c>
      <c r="O394" s="10">
        <v>0</v>
      </c>
      <c r="P394" s="10">
        <v>0</v>
      </c>
      <c r="Q394" s="26">
        <f t="shared" si="18"/>
        <v>1</v>
      </c>
      <c r="R394" s="25">
        <v>0</v>
      </c>
      <c r="S394" s="10">
        <v>0</v>
      </c>
      <c r="T394" s="10">
        <v>0</v>
      </c>
      <c r="U394" s="10">
        <v>0</v>
      </c>
      <c r="V394" s="10">
        <v>0</v>
      </c>
      <c r="W394" s="10">
        <v>4</v>
      </c>
      <c r="X394" s="10">
        <v>0</v>
      </c>
      <c r="Y394" s="10">
        <v>0</v>
      </c>
      <c r="Z394" s="10">
        <v>0</v>
      </c>
      <c r="AA394" s="10">
        <v>0</v>
      </c>
      <c r="AB394" s="10">
        <v>0</v>
      </c>
      <c r="AC394" s="10">
        <v>0</v>
      </c>
      <c r="AD394" s="26">
        <f t="shared" si="19"/>
        <v>4</v>
      </c>
      <c r="AE394" s="25">
        <v>0</v>
      </c>
      <c r="AF394" s="10">
        <v>0</v>
      </c>
      <c r="AG394" s="10">
        <v>0</v>
      </c>
      <c r="AH394" s="10">
        <v>0</v>
      </c>
      <c r="AI394" s="10">
        <v>0</v>
      </c>
      <c r="AJ394" s="10">
        <v>0</v>
      </c>
      <c r="AK394" s="10">
        <v>0</v>
      </c>
      <c r="AL394" s="10">
        <v>0</v>
      </c>
      <c r="AM394" s="10">
        <v>0</v>
      </c>
      <c r="AN394" s="10">
        <v>0</v>
      </c>
      <c r="AO394" s="10">
        <v>0</v>
      </c>
      <c r="AP394" s="10">
        <v>0</v>
      </c>
      <c r="AQ394" s="26">
        <f t="shared" si="20"/>
        <v>0</v>
      </c>
    </row>
    <row r="395" spans="1:43" ht="17.25" customHeight="1" x14ac:dyDescent="0.45">
      <c r="A395" s="2" t="s">
        <v>48</v>
      </c>
      <c r="B395" s="2" t="s">
        <v>66</v>
      </c>
      <c r="C395" s="2" t="s">
        <v>223</v>
      </c>
      <c r="D395" s="2" t="s">
        <v>68</v>
      </c>
      <c r="E395" s="23">
        <v>1</v>
      </c>
      <c r="F395" s="1">
        <v>0</v>
      </c>
      <c r="G395" s="1">
        <v>0</v>
      </c>
      <c r="H395" s="1">
        <v>0</v>
      </c>
      <c r="I395" s="1">
        <v>0</v>
      </c>
      <c r="J395" s="1">
        <v>0</v>
      </c>
      <c r="K395" s="1">
        <v>0</v>
      </c>
      <c r="L395" s="1">
        <v>0</v>
      </c>
      <c r="M395" s="1">
        <v>0</v>
      </c>
      <c r="N395" s="1">
        <v>0</v>
      </c>
      <c r="O395" s="1">
        <v>0</v>
      </c>
      <c r="P395" s="1">
        <v>0</v>
      </c>
      <c r="Q395" s="24">
        <f t="shared" si="18"/>
        <v>1</v>
      </c>
      <c r="R395" s="23">
        <v>8</v>
      </c>
      <c r="S395" s="1">
        <v>0</v>
      </c>
      <c r="T395" s="1">
        <v>0</v>
      </c>
      <c r="U395" s="1">
        <v>0</v>
      </c>
      <c r="V395" s="1">
        <v>0</v>
      </c>
      <c r="W395" s="1">
        <v>0</v>
      </c>
      <c r="X395" s="1">
        <v>0</v>
      </c>
      <c r="Y395" s="1">
        <v>0</v>
      </c>
      <c r="Z395" s="1">
        <v>0</v>
      </c>
      <c r="AA395" s="1">
        <v>0</v>
      </c>
      <c r="AB395" s="1">
        <v>0</v>
      </c>
      <c r="AC395" s="1">
        <v>0</v>
      </c>
      <c r="AD395" s="24">
        <f t="shared" si="19"/>
        <v>8</v>
      </c>
      <c r="AE395" s="23">
        <v>0</v>
      </c>
      <c r="AF395" s="1">
        <v>0</v>
      </c>
      <c r="AG395" s="1">
        <v>0</v>
      </c>
      <c r="AH395" s="1">
        <v>0</v>
      </c>
      <c r="AI395" s="1">
        <v>0</v>
      </c>
      <c r="AJ395" s="1">
        <v>0</v>
      </c>
      <c r="AK395" s="1">
        <v>0</v>
      </c>
      <c r="AL395" s="1">
        <v>0</v>
      </c>
      <c r="AM395" s="1">
        <v>0</v>
      </c>
      <c r="AN395" s="1">
        <v>0</v>
      </c>
      <c r="AO395" s="1">
        <v>0</v>
      </c>
      <c r="AP395" s="1">
        <v>0</v>
      </c>
      <c r="AQ395" s="24">
        <f t="shared" si="20"/>
        <v>0</v>
      </c>
    </row>
    <row r="396" spans="1:43" ht="17.25" customHeight="1" x14ac:dyDescent="0.45">
      <c r="A396" s="12" t="s">
        <v>48</v>
      </c>
      <c r="B396" s="12" t="s">
        <v>66</v>
      </c>
      <c r="C396" s="12" t="s">
        <v>174</v>
      </c>
      <c r="D396" s="12" t="s">
        <v>68</v>
      </c>
      <c r="E396" s="25">
        <v>2</v>
      </c>
      <c r="F396" s="10">
        <v>0</v>
      </c>
      <c r="G396" s="10">
        <v>0</v>
      </c>
      <c r="H396" s="10">
        <v>0</v>
      </c>
      <c r="I396" s="10">
        <v>0</v>
      </c>
      <c r="J396" s="10">
        <v>0</v>
      </c>
      <c r="K396" s="10">
        <v>0</v>
      </c>
      <c r="L396" s="10">
        <v>0</v>
      </c>
      <c r="M396" s="10">
        <v>0</v>
      </c>
      <c r="N396" s="10">
        <v>0</v>
      </c>
      <c r="O396" s="10">
        <v>0</v>
      </c>
      <c r="P396" s="10">
        <v>0</v>
      </c>
      <c r="Q396" s="26">
        <f t="shared" si="18"/>
        <v>2</v>
      </c>
      <c r="R396" s="25">
        <v>277</v>
      </c>
      <c r="S396" s="10">
        <v>0</v>
      </c>
      <c r="T396" s="10">
        <v>0</v>
      </c>
      <c r="U396" s="10">
        <v>0</v>
      </c>
      <c r="V396" s="10">
        <v>0</v>
      </c>
      <c r="W396" s="10">
        <v>0</v>
      </c>
      <c r="X396" s="10">
        <v>0</v>
      </c>
      <c r="Y396" s="10">
        <v>0</v>
      </c>
      <c r="Z396" s="10">
        <v>0</v>
      </c>
      <c r="AA396" s="10">
        <v>0</v>
      </c>
      <c r="AB396" s="10">
        <v>0</v>
      </c>
      <c r="AC396" s="10">
        <v>0</v>
      </c>
      <c r="AD396" s="26">
        <f t="shared" si="19"/>
        <v>277</v>
      </c>
      <c r="AE396" s="25">
        <v>0</v>
      </c>
      <c r="AF396" s="10">
        <v>0</v>
      </c>
      <c r="AG396" s="10">
        <v>0</v>
      </c>
      <c r="AH396" s="10">
        <v>0</v>
      </c>
      <c r="AI396" s="10">
        <v>0</v>
      </c>
      <c r="AJ396" s="10">
        <v>0</v>
      </c>
      <c r="AK396" s="10">
        <v>0</v>
      </c>
      <c r="AL396" s="10">
        <v>0</v>
      </c>
      <c r="AM396" s="10">
        <v>0</v>
      </c>
      <c r="AN396" s="10">
        <v>0</v>
      </c>
      <c r="AO396" s="10">
        <v>0</v>
      </c>
      <c r="AP396" s="10">
        <v>0</v>
      </c>
      <c r="AQ396" s="26">
        <f t="shared" si="20"/>
        <v>0</v>
      </c>
    </row>
    <row r="397" spans="1:43" ht="17.25" customHeight="1" x14ac:dyDescent="0.45">
      <c r="A397" s="2" t="s">
        <v>48</v>
      </c>
      <c r="B397" s="2" t="s">
        <v>66</v>
      </c>
      <c r="C397" s="2" t="s">
        <v>69</v>
      </c>
      <c r="D397" s="2" t="s">
        <v>68</v>
      </c>
      <c r="E397" s="23">
        <v>1</v>
      </c>
      <c r="F397" s="1">
        <v>1</v>
      </c>
      <c r="G397" s="1">
        <v>0</v>
      </c>
      <c r="H397" s="1">
        <v>1</v>
      </c>
      <c r="I397" s="1">
        <v>1</v>
      </c>
      <c r="J397" s="1">
        <v>1</v>
      </c>
      <c r="K397" s="1">
        <v>1</v>
      </c>
      <c r="L397" s="1">
        <v>1</v>
      </c>
      <c r="M397" s="1">
        <v>0</v>
      </c>
      <c r="N397" s="1">
        <v>2</v>
      </c>
      <c r="O397" s="1">
        <v>1</v>
      </c>
      <c r="P397" s="1">
        <v>1</v>
      </c>
      <c r="Q397" s="24">
        <f t="shared" si="18"/>
        <v>11</v>
      </c>
      <c r="R397" s="23">
        <v>4</v>
      </c>
      <c r="S397" s="1">
        <v>6</v>
      </c>
      <c r="T397" s="1">
        <v>0</v>
      </c>
      <c r="U397" s="1">
        <v>5</v>
      </c>
      <c r="V397" s="1">
        <v>4</v>
      </c>
      <c r="W397" s="1">
        <v>2</v>
      </c>
      <c r="X397" s="1">
        <v>4</v>
      </c>
      <c r="Y397" s="1">
        <v>2</v>
      </c>
      <c r="Z397" s="1">
        <v>0</v>
      </c>
      <c r="AA397" s="1">
        <v>8</v>
      </c>
      <c r="AB397" s="1">
        <v>5</v>
      </c>
      <c r="AC397" s="1">
        <v>3</v>
      </c>
      <c r="AD397" s="24">
        <f t="shared" si="19"/>
        <v>43</v>
      </c>
      <c r="AE397" s="23">
        <v>0</v>
      </c>
      <c r="AF397" s="1">
        <v>0</v>
      </c>
      <c r="AG397" s="1">
        <v>0</v>
      </c>
      <c r="AH397" s="1">
        <v>0</v>
      </c>
      <c r="AI397" s="1">
        <v>0</v>
      </c>
      <c r="AJ397" s="1">
        <v>0</v>
      </c>
      <c r="AK397" s="1">
        <v>0</v>
      </c>
      <c r="AL397" s="1">
        <v>0</v>
      </c>
      <c r="AM397" s="1">
        <v>0</v>
      </c>
      <c r="AN397" s="1">
        <v>0</v>
      </c>
      <c r="AO397" s="1">
        <v>0</v>
      </c>
      <c r="AP397" s="1">
        <v>0</v>
      </c>
      <c r="AQ397" s="24">
        <f t="shared" si="20"/>
        <v>0</v>
      </c>
    </row>
    <row r="398" spans="1:43" ht="17.25" customHeight="1" x14ac:dyDescent="0.45">
      <c r="A398" s="12" t="s">
        <v>48</v>
      </c>
      <c r="B398" s="12" t="s">
        <v>66</v>
      </c>
      <c r="C398" s="12" t="s">
        <v>112</v>
      </c>
      <c r="D398" s="12" t="s">
        <v>68</v>
      </c>
      <c r="E398" s="25">
        <v>0</v>
      </c>
      <c r="F398" s="10">
        <v>1</v>
      </c>
      <c r="G398" s="10">
        <v>0</v>
      </c>
      <c r="H398" s="10">
        <v>0</v>
      </c>
      <c r="I398" s="10">
        <v>0</v>
      </c>
      <c r="J398" s="10">
        <v>0</v>
      </c>
      <c r="K398" s="10">
        <v>0</v>
      </c>
      <c r="L398" s="10">
        <v>0</v>
      </c>
      <c r="M398" s="10">
        <v>0</v>
      </c>
      <c r="N398" s="10">
        <v>0</v>
      </c>
      <c r="O398" s="10">
        <v>0</v>
      </c>
      <c r="P398" s="10">
        <v>0</v>
      </c>
      <c r="Q398" s="26">
        <f t="shared" si="18"/>
        <v>1</v>
      </c>
      <c r="R398" s="25">
        <v>0</v>
      </c>
      <c r="S398" s="10">
        <v>138</v>
      </c>
      <c r="T398" s="10">
        <v>0</v>
      </c>
      <c r="U398" s="10">
        <v>0</v>
      </c>
      <c r="V398" s="10">
        <v>0</v>
      </c>
      <c r="W398" s="10">
        <v>0</v>
      </c>
      <c r="X398" s="10">
        <v>0</v>
      </c>
      <c r="Y398" s="10">
        <v>0</v>
      </c>
      <c r="Z398" s="10">
        <v>0</v>
      </c>
      <c r="AA398" s="10">
        <v>0</v>
      </c>
      <c r="AB398" s="10">
        <v>0</v>
      </c>
      <c r="AC398" s="10">
        <v>0</v>
      </c>
      <c r="AD398" s="26">
        <f t="shared" si="19"/>
        <v>138</v>
      </c>
      <c r="AE398" s="25">
        <v>0</v>
      </c>
      <c r="AF398" s="10">
        <v>0</v>
      </c>
      <c r="AG398" s="10">
        <v>0</v>
      </c>
      <c r="AH398" s="10">
        <v>0</v>
      </c>
      <c r="AI398" s="10">
        <v>0</v>
      </c>
      <c r="AJ398" s="10">
        <v>0</v>
      </c>
      <c r="AK398" s="10">
        <v>0</v>
      </c>
      <c r="AL398" s="10">
        <v>0</v>
      </c>
      <c r="AM398" s="10">
        <v>0</v>
      </c>
      <c r="AN398" s="10">
        <v>0</v>
      </c>
      <c r="AO398" s="10">
        <v>0</v>
      </c>
      <c r="AP398" s="10">
        <v>0</v>
      </c>
      <c r="AQ398" s="26">
        <f t="shared" si="20"/>
        <v>0</v>
      </c>
    </row>
    <row r="399" spans="1:43" ht="17.25" customHeight="1" x14ac:dyDescent="0.45">
      <c r="A399" s="2" t="s">
        <v>48</v>
      </c>
      <c r="B399" s="2" t="s">
        <v>66</v>
      </c>
      <c r="C399" s="2" t="s">
        <v>194</v>
      </c>
      <c r="D399" s="2" t="s">
        <v>68</v>
      </c>
      <c r="E399" s="23">
        <v>0</v>
      </c>
      <c r="F399" s="1">
        <v>0</v>
      </c>
      <c r="G399" s="1">
        <v>1</v>
      </c>
      <c r="H399" s="1">
        <v>0</v>
      </c>
      <c r="I399" s="1">
        <v>0</v>
      </c>
      <c r="J399" s="1">
        <v>0</v>
      </c>
      <c r="K399" s="1">
        <v>0</v>
      </c>
      <c r="L399" s="1">
        <v>0</v>
      </c>
      <c r="M399" s="1">
        <v>0</v>
      </c>
      <c r="N399" s="1">
        <v>0</v>
      </c>
      <c r="O399" s="1">
        <v>0</v>
      </c>
      <c r="P399" s="1">
        <v>0</v>
      </c>
      <c r="Q399" s="24">
        <f t="shared" si="18"/>
        <v>1</v>
      </c>
      <c r="R399" s="23">
        <v>0</v>
      </c>
      <c r="S399" s="1">
        <v>0</v>
      </c>
      <c r="T399" s="1">
        <v>11</v>
      </c>
      <c r="U399" s="1">
        <v>0</v>
      </c>
      <c r="V399" s="1">
        <v>0</v>
      </c>
      <c r="W399" s="1">
        <v>0</v>
      </c>
      <c r="X399" s="1">
        <v>0</v>
      </c>
      <c r="Y399" s="1">
        <v>0</v>
      </c>
      <c r="Z399" s="1">
        <v>0</v>
      </c>
      <c r="AA399" s="1">
        <v>0</v>
      </c>
      <c r="AB399" s="1">
        <v>0</v>
      </c>
      <c r="AC399" s="1">
        <v>0</v>
      </c>
      <c r="AD399" s="24">
        <f t="shared" si="19"/>
        <v>11</v>
      </c>
      <c r="AE399" s="23">
        <v>0</v>
      </c>
      <c r="AF399" s="1">
        <v>0</v>
      </c>
      <c r="AG399" s="1">
        <v>0</v>
      </c>
      <c r="AH399" s="1">
        <v>0</v>
      </c>
      <c r="AI399" s="1">
        <v>0</v>
      </c>
      <c r="AJ399" s="1">
        <v>0</v>
      </c>
      <c r="AK399" s="1">
        <v>0</v>
      </c>
      <c r="AL399" s="1">
        <v>0</v>
      </c>
      <c r="AM399" s="1">
        <v>0</v>
      </c>
      <c r="AN399" s="1">
        <v>0</v>
      </c>
      <c r="AO399" s="1">
        <v>0</v>
      </c>
      <c r="AP399" s="1">
        <v>0</v>
      </c>
      <c r="AQ399" s="24">
        <f t="shared" si="20"/>
        <v>0</v>
      </c>
    </row>
    <row r="400" spans="1:43" ht="17.25" customHeight="1" x14ac:dyDescent="0.45">
      <c r="A400" s="12" t="s">
        <v>48</v>
      </c>
      <c r="B400" s="12" t="s">
        <v>66</v>
      </c>
      <c r="C400" s="12" t="s">
        <v>73</v>
      </c>
      <c r="D400" s="12" t="s">
        <v>68</v>
      </c>
      <c r="E400" s="25">
        <v>2</v>
      </c>
      <c r="F400" s="10">
        <v>0</v>
      </c>
      <c r="G400" s="10">
        <v>0</v>
      </c>
      <c r="H400" s="10">
        <v>0</v>
      </c>
      <c r="I400" s="10">
        <v>0</v>
      </c>
      <c r="J400" s="10">
        <v>0</v>
      </c>
      <c r="K400" s="10">
        <v>0</v>
      </c>
      <c r="L400" s="10">
        <v>0</v>
      </c>
      <c r="M400" s="10">
        <v>0</v>
      </c>
      <c r="N400" s="10">
        <v>0</v>
      </c>
      <c r="O400" s="10">
        <v>0</v>
      </c>
      <c r="P400" s="10">
        <v>3</v>
      </c>
      <c r="Q400" s="26">
        <f t="shared" si="18"/>
        <v>5</v>
      </c>
      <c r="R400" s="25">
        <v>18</v>
      </c>
      <c r="S400" s="10">
        <v>0</v>
      </c>
      <c r="T400" s="10">
        <v>0</v>
      </c>
      <c r="U400" s="10">
        <v>0</v>
      </c>
      <c r="V400" s="10">
        <v>0</v>
      </c>
      <c r="W400" s="10">
        <v>0</v>
      </c>
      <c r="X400" s="10">
        <v>0</v>
      </c>
      <c r="Y400" s="10">
        <v>0</v>
      </c>
      <c r="Z400" s="10">
        <v>0</v>
      </c>
      <c r="AA400" s="10">
        <v>0</v>
      </c>
      <c r="AB400" s="10">
        <v>0</v>
      </c>
      <c r="AC400" s="10">
        <v>25</v>
      </c>
      <c r="AD400" s="26">
        <f t="shared" si="19"/>
        <v>43</v>
      </c>
      <c r="AE400" s="25">
        <v>0</v>
      </c>
      <c r="AF400" s="10">
        <v>0</v>
      </c>
      <c r="AG400" s="10">
        <v>0</v>
      </c>
      <c r="AH400" s="10">
        <v>0</v>
      </c>
      <c r="AI400" s="10">
        <v>0</v>
      </c>
      <c r="AJ400" s="10">
        <v>0</v>
      </c>
      <c r="AK400" s="10">
        <v>0</v>
      </c>
      <c r="AL400" s="10">
        <v>0</v>
      </c>
      <c r="AM400" s="10">
        <v>0</v>
      </c>
      <c r="AN400" s="10">
        <v>0</v>
      </c>
      <c r="AO400" s="10">
        <v>0</v>
      </c>
      <c r="AP400" s="10">
        <v>0</v>
      </c>
      <c r="AQ400" s="26">
        <f t="shared" si="20"/>
        <v>0</v>
      </c>
    </row>
    <row r="401" spans="1:43" ht="17.25" customHeight="1" x14ac:dyDescent="0.45">
      <c r="A401" s="2" t="s">
        <v>48</v>
      </c>
      <c r="B401" s="2" t="s">
        <v>66</v>
      </c>
      <c r="C401" s="2" t="s">
        <v>132</v>
      </c>
      <c r="D401" s="2" t="s">
        <v>68</v>
      </c>
      <c r="E401" s="23">
        <v>1</v>
      </c>
      <c r="F401" s="1">
        <v>0</v>
      </c>
      <c r="G401" s="1">
        <v>0</v>
      </c>
      <c r="H401" s="1">
        <v>0</v>
      </c>
      <c r="I401" s="1">
        <v>0</v>
      </c>
      <c r="J401" s="1">
        <v>0</v>
      </c>
      <c r="K401" s="1">
        <v>0</v>
      </c>
      <c r="L401" s="1">
        <v>0</v>
      </c>
      <c r="M401" s="1">
        <v>0</v>
      </c>
      <c r="N401" s="1">
        <v>0</v>
      </c>
      <c r="O401" s="1">
        <v>0</v>
      </c>
      <c r="P401" s="1">
        <v>0</v>
      </c>
      <c r="Q401" s="24">
        <f t="shared" si="18"/>
        <v>1</v>
      </c>
      <c r="R401" s="23">
        <v>13</v>
      </c>
      <c r="S401" s="1">
        <v>0</v>
      </c>
      <c r="T401" s="1">
        <v>0</v>
      </c>
      <c r="U401" s="1">
        <v>0</v>
      </c>
      <c r="V401" s="1">
        <v>0</v>
      </c>
      <c r="W401" s="1">
        <v>0</v>
      </c>
      <c r="X401" s="1">
        <v>0</v>
      </c>
      <c r="Y401" s="1">
        <v>0</v>
      </c>
      <c r="Z401" s="1">
        <v>0</v>
      </c>
      <c r="AA401" s="1">
        <v>0</v>
      </c>
      <c r="AB401" s="1">
        <v>0</v>
      </c>
      <c r="AC401" s="1">
        <v>0</v>
      </c>
      <c r="AD401" s="24">
        <f t="shared" si="19"/>
        <v>13</v>
      </c>
      <c r="AE401" s="23">
        <v>0</v>
      </c>
      <c r="AF401" s="1">
        <v>0</v>
      </c>
      <c r="AG401" s="1">
        <v>0</v>
      </c>
      <c r="AH401" s="1">
        <v>0</v>
      </c>
      <c r="AI401" s="1">
        <v>0</v>
      </c>
      <c r="AJ401" s="1">
        <v>0</v>
      </c>
      <c r="AK401" s="1">
        <v>0</v>
      </c>
      <c r="AL401" s="1">
        <v>0</v>
      </c>
      <c r="AM401" s="1">
        <v>0</v>
      </c>
      <c r="AN401" s="1">
        <v>0</v>
      </c>
      <c r="AO401" s="1">
        <v>0</v>
      </c>
      <c r="AP401" s="1">
        <v>0</v>
      </c>
      <c r="AQ401" s="24">
        <f t="shared" si="20"/>
        <v>0</v>
      </c>
    </row>
    <row r="402" spans="1:43" ht="17.25" customHeight="1" x14ac:dyDescent="0.45">
      <c r="A402" s="12" t="s">
        <v>48</v>
      </c>
      <c r="B402" s="12" t="s">
        <v>66</v>
      </c>
      <c r="C402" s="12" t="s">
        <v>134</v>
      </c>
      <c r="D402" s="12" t="s">
        <v>68</v>
      </c>
      <c r="E402" s="25">
        <v>0</v>
      </c>
      <c r="F402" s="10">
        <v>0</v>
      </c>
      <c r="G402" s="10">
        <v>0</v>
      </c>
      <c r="H402" s="10">
        <v>1</v>
      </c>
      <c r="I402" s="10">
        <v>1</v>
      </c>
      <c r="J402" s="10">
        <v>0</v>
      </c>
      <c r="K402" s="10">
        <v>0</v>
      </c>
      <c r="L402" s="10">
        <v>0</v>
      </c>
      <c r="M402" s="10">
        <v>0</v>
      </c>
      <c r="N402" s="10">
        <v>0</v>
      </c>
      <c r="O402" s="10">
        <v>0</v>
      </c>
      <c r="P402" s="10">
        <v>0</v>
      </c>
      <c r="Q402" s="26">
        <f t="shared" si="18"/>
        <v>2</v>
      </c>
      <c r="R402" s="25">
        <v>0</v>
      </c>
      <c r="S402" s="10">
        <v>0</v>
      </c>
      <c r="T402" s="10">
        <v>0</v>
      </c>
      <c r="U402" s="10">
        <v>179</v>
      </c>
      <c r="V402" s="10">
        <v>174</v>
      </c>
      <c r="W402" s="10">
        <v>0</v>
      </c>
      <c r="X402" s="10">
        <v>0</v>
      </c>
      <c r="Y402" s="10">
        <v>0</v>
      </c>
      <c r="Z402" s="10">
        <v>0</v>
      </c>
      <c r="AA402" s="10">
        <v>0</v>
      </c>
      <c r="AB402" s="10">
        <v>0</v>
      </c>
      <c r="AC402" s="10">
        <v>0</v>
      </c>
      <c r="AD402" s="26">
        <f t="shared" si="19"/>
        <v>353</v>
      </c>
      <c r="AE402" s="25">
        <v>0</v>
      </c>
      <c r="AF402" s="10">
        <v>0</v>
      </c>
      <c r="AG402" s="10">
        <v>0</v>
      </c>
      <c r="AH402" s="10">
        <v>0</v>
      </c>
      <c r="AI402" s="10">
        <v>0</v>
      </c>
      <c r="AJ402" s="10">
        <v>0</v>
      </c>
      <c r="AK402" s="10">
        <v>0</v>
      </c>
      <c r="AL402" s="10">
        <v>0</v>
      </c>
      <c r="AM402" s="10">
        <v>0</v>
      </c>
      <c r="AN402" s="10">
        <v>0</v>
      </c>
      <c r="AO402" s="10">
        <v>0</v>
      </c>
      <c r="AP402" s="10">
        <v>0</v>
      </c>
      <c r="AQ402" s="26">
        <f t="shared" si="20"/>
        <v>0</v>
      </c>
    </row>
    <row r="403" spans="1:43" ht="17.25" customHeight="1" x14ac:dyDescent="0.45">
      <c r="A403" s="2" t="s">
        <v>48</v>
      </c>
      <c r="B403" s="2" t="s">
        <v>66</v>
      </c>
      <c r="C403" s="2" t="s">
        <v>175</v>
      </c>
      <c r="D403" s="2" t="s">
        <v>68</v>
      </c>
      <c r="E403" s="23">
        <v>0</v>
      </c>
      <c r="F403" s="1">
        <v>2</v>
      </c>
      <c r="G403" s="1">
        <v>1</v>
      </c>
      <c r="H403" s="1">
        <v>0</v>
      </c>
      <c r="I403" s="1">
        <v>0</v>
      </c>
      <c r="J403" s="1">
        <v>0</v>
      </c>
      <c r="K403" s="1">
        <v>0</v>
      </c>
      <c r="L403" s="1">
        <v>0</v>
      </c>
      <c r="M403" s="1">
        <v>0</v>
      </c>
      <c r="N403" s="1">
        <v>0</v>
      </c>
      <c r="O403" s="1">
        <v>0</v>
      </c>
      <c r="P403" s="1">
        <v>0</v>
      </c>
      <c r="Q403" s="24">
        <f t="shared" si="18"/>
        <v>3</v>
      </c>
      <c r="R403" s="23">
        <v>0</v>
      </c>
      <c r="S403" s="1">
        <v>344</v>
      </c>
      <c r="T403" s="1">
        <v>165</v>
      </c>
      <c r="U403" s="1">
        <v>0</v>
      </c>
      <c r="V403" s="1">
        <v>0</v>
      </c>
      <c r="W403" s="1">
        <v>0</v>
      </c>
      <c r="X403" s="1">
        <v>0</v>
      </c>
      <c r="Y403" s="1">
        <v>0</v>
      </c>
      <c r="Z403" s="1">
        <v>0</v>
      </c>
      <c r="AA403" s="1">
        <v>0</v>
      </c>
      <c r="AB403" s="1">
        <v>0</v>
      </c>
      <c r="AC403" s="1">
        <v>0</v>
      </c>
      <c r="AD403" s="24">
        <f t="shared" si="19"/>
        <v>509</v>
      </c>
      <c r="AE403" s="23">
        <v>0</v>
      </c>
      <c r="AF403" s="1">
        <v>0</v>
      </c>
      <c r="AG403" s="1">
        <v>0</v>
      </c>
      <c r="AH403" s="1">
        <v>0</v>
      </c>
      <c r="AI403" s="1">
        <v>0</v>
      </c>
      <c r="AJ403" s="1">
        <v>0</v>
      </c>
      <c r="AK403" s="1">
        <v>0</v>
      </c>
      <c r="AL403" s="1">
        <v>0</v>
      </c>
      <c r="AM403" s="1">
        <v>0</v>
      </c>
      <c r="AN403" s="1">
        <v>0</v>
      </c>
      <c r="AO403" s="1">
        <v>0</v>
      </c>
      <c r="AP403" s="1">
        <v>0</v>
      </c>
      <c r="AQ403" s="24">
        <f t="shared" si="20"/>
        <v>0</v>
      </c>
    </row>
    <row r="404" spans="1:43" ht="17.25" customHeight="1" x14ac:dyDescent="0.45">
      <c r="A404" s="12" t="s">
        <v>48</v>
      </c>
      <c r="B404" s="12" t="s">
        <v>66</v>
      </c>
      <c r="C404" s="12" t="s">
        <v>142</v>
      </c>
      <c r="D404" s="12" t="s">
        <v>68</v>
      </c>
      <c r="E404" s="25">
        <v>0</v>
      </c>
      <c r="F404" s="10">
        <v>0</v>
      </c>
      <c r="G404" s="10">
        <v>1</v>
      </c>
      <c r="H404" s="10">
        <v>0</v>
      </c>
      <c r="I404" s="10">
        <v>0</v>
      </c>
      <c r="J404" s="10">
        <v>0</v>
      </c>
      <c r="K404" s="10">
        <v>0</v>
      </c>
      <c r="L404" s="10">
        <v>0</v>
      </c>
      <c r="M404" s="10">
        <v>0</v>
      </c>
      <c r="N404" s="10">
        <v>0</v>
      </c>
      <c r="O404" s="10">
        <v>0</v>
      </c>
      <c r="P404" s="10">
        <v>0</v>
      </c>
      <c r="Q404" s="26">
        <f t="shared" si="18"/>
        <v>1</v>
      </c>
      <c r="R404" s="25">
        <v>0</v>
      </c>
      <c r="S404" s="10">
        <v>0</v>
      </c>
      <c r="T404" s="10">
        <v>0</v>
      </c>
      <c r="U404" s="10">
        <v>0</v>
      </c>
      <c r="V404" s="10">
        <v>0</v>
      </c>
      <c r="W404" s="10">
        <v>0</v>
      </c>
      <c r="X404" s="10">
        <v>0</v>
      </c>
      <c r="Y404" s="10">
        <v>0</v>
      </c>
      <c r="Z404" s="10">
        <v>0</v>
      </c>
      <c r="AA404" s="10">
        <v>0</v>
      </c>
      <c r="AB404" s="10">
        <v>0</v>
      </c>
      <c r="AC404" s="10">
        <v>0</v>
      </c>
      <c r="AD404" s="26">
        <f t="shared" si="19"/>
        <v>0</v>
      </c>
      <c r="AE404" s="25">
        <v>0</v>
      </c>
      <c r="AF404" s="10">
        <v>0</v>
      </c>
      <c r="AG404" s="10">
        <v>1092</v>
      </c>
      <c r="AH404" s="10">
        <v>0</v>
      </c>
      <c r="AI404" s="10">
        <v>0</v>
      </c>
      <c r="AJ404" s="10">
        <v>0</v>
      </c>
      <c r="AK404" s="10">
        <v>0</v>
      </c>
      <c r="AL404" s="10">
        <v>0</v>
      </c>
      <c r="AM404" s="10">
        <v>0</v>
      </c>
      <c r="AN404" s="10">
        <v>0</v>
      </c>
      <c r="AO404" s="10">
        <v>0</v>
      </c>
      <c r="AP404" s="10">
        <v>0</v>
      </c>
      <c r="AQ404" s="26">
        <f t="shared" si="20"/>
        <v>1092</v>
      </c>
    </row>
    <row r="405" spans="1:43" ht="17.25" customHeight="1" x14ac:dyDescent="0.45">
      <c r="A405" s="2" t="s">
        <v>48</v>
      </c>
      <c r="B405" s="2" t="s">
        <v>66</v>
      </c>
      <c r="C405" s="2" t="s">
        <v>176</v>
      </c>
      <c r="D405" s="2" t="s">
        <v>68</v>
      </c>
      <c r="E405" s="23">
        <v>2</v>
      </c>
      <c r="F405" s="1">
        <v>2</v>
      </c>
      <c r="G405" s="1">
        <v>0</v>
      </c>
      <c r="H405" s="1">
        <v>0</v>
      </c>
      <c r="I405" s="1">
        <v>0</v>
      </c>
      <c r="J405" s="1">
        <v>0</v>
      </c>
      <c r="K405" s="1">
        <v>0</v>
      </c>
      <c r="L405" s="1">
        <v>0</v>
      </c>
      <c r="M405" s="1">
        <v>0</v>
      </c>
      <c r="N405" s="1">
        <v>0</v>
      </c>
      <c r="O405" s="1">
        <v>0</v>
      </c>
      <c r="P405" s="1">
        <v>0</v>
      </c>
      <c r="Q405" s="24">
        <f t="shared" si="18"/>
        <v>4</v>
      </c>
      <c r="R405" s="23">
        <v>150</v>
      </c>
      <c r="S405" s="1">
        <v>308</v>
      </c>
      <c r="T405" s="1">
        <v>0</v>
      </c>
      <c r="U405" s="1">
        <v>0</v>
      </c>
      <c r="V405" s="1">
        <v>0</v>
      </c>
      <c r="W405" s="1">
        <v>0</v>
      </c>
      <c r="X405" s="1">
        <v>0</v>
      </c>
      <c r="Y405" s="1">
        <v>0</v>
      </c>
      <c r="Z405" s="1">
        <v>0</v>
      </c>
      <c r="AA405" s="1">
        <v>0</v>
      </c>
      <c r="AB405" s="1">
        <v>0</v>
      </c>
      <c r="AC405" s="1">
        <v>0</v>
      </c>
      <c r="AD405" s="24">
        <f t="shared" si="19"/>
        <v>458</v>
      </c>
      <c r="AE405" s="23">
        <v>0</v>
      </c>
      <c r="AF405" s="1">
        <v>0</v>
      </c>
      <c r="AG405" s="1">
        <v>0</v>
      </c>
      <c r="AH405" s="1">
        <v>0</v>
      </c>
      <c r="AI405" s="1">
        <v>0</v>
      </c>
      <c r="AJ405" s="1">
        <v>0</v>
      </c>
      <c r="AK405" s="1">
        <v>0</v>
      </c>
      <c r="AL405" s="1">
        <v>0</v>
      </c>
      <c r="AM405" s="1">
        <v>0</v>
      </c>
      <c r="AN405" s="1">
        <v>0</v>
      </c>
      <c r="AO405" s="1">
        <v>0</v>
      </c>
      <c r="AP405" s="1">
        <v>0</v>
      </c>
      <c r="AQ405" s="24">
        <f t="shared" si="20"/>
        <v>0</v>
      </c>
    </row>
    <row r="406" spans="1:43" ht="17.25" customHeight="1" x14ac:dyDescent="0.45">
      <c r="A406" s="12" t="s">
        <v>48</v>
      </c>
      <c r="B406" s="12" t="s">
        <v>66</v>
      </c>
      <c r="C406" s="12" t="s">
        <v>148</v>
      </c>
      <c r="D406" s="12" t="s">
        <v>68</v>
      </c>
      <c r="E406" s="25">
        <v>0</v>
      </c>
      <c r="F406" s="10">
        <v>0</v>
      </c>
      <c r="G406" s="10">
        <v>0</v>
      </c>
      <c r="H406" s="10">
        <v>0</v>
      </c>
      <c r="I406" s="10">
        <v>0</v>
      </c>
      <c r="J406" s="10">
        <v>0</v>
      </c>
      <c r="K406" s="10">
        <v>0</v>
      </c>
      <c r="L406" s="10">
        <v>0</v>
      </c>
      <c r="M406" s="10">
        <v>0</v>
      </c>
      <c r="N406" s="10">
        <v>1</v>
      </c>
      <c r="O406" s="10">
        <v>0</v>
      </c>
      <c r="P406" s="10">
        <v>0</v>
      </c>
      <c r="Q406" s="26">
        <f t="shared" si="18"/>
        <v>1</v>
      </c>
      <c r="R406" s="25">
        <v>0</v>
      </c>
      <c r="S406" s="10">
        <v>0</v>
      </c>
      <c r="T406" s="10">
        <v>0</v>
      </c>
      <c r="U406" s="10">
        <v>0</v>
      </c>
      <c r="V406" s="10">
        <v>0</v>
      </c>
      <c r="W406" s="10">
        <v>0</v>
      </c>
      <c r="X406" s="10">
        <v>0</v>
      </c>
      <c r="Y406" s="10">
        <v>0</v>
      </c>
      <c r="Z406" s="10">
        <v>0</v>
      </c>
      <c r="AA406" s="10">
        <v>2</v>
      </c>
      <c r="AB406" s="10">
        <v>0</v>
      </c>
      <c r="AC406" s="10">
        <v>0</v>
      </c>
      <c r="AD406" s="26">
        <f t="shared" si="19"/>
        <v>2</v>
      </c>
      <c r="AE406" s="25">
        <v>0</v>
      </c>
      <c r="AF406" s="10">
        <v>0</v>
      </c>
      <c r="AG406" s="10">
        <v>0</v>
      </c>
      <c r="AH406" s="10">
        <v>0</v>
      </c>
      <c r="AI406" s="10">
        <v>0</v>
      </c>
      <c r="AJ406" s="10">
        <v>0</v>
      </c>
      <c r="AK406" s="10">
        <v>0</v>
      </c>
      <c r="AL406" s="10">
        <v>0</v>
      </c>
      <c r="AM406" s="10">
        <v>0</v>
      </c>
      <c r="AN406" s="10">
        <v>0</v>
      </c>
      <c r="AO406" s="10">
        <v>0</v>
      </c>
      <c r="AP406" s="10">
        <v>0</v>
      </c>
      <c r="AQ406" s="26">
        <f t="shared" si="20"/>
        <v>0</v>
      </c>
    </row>
    <row r="407" spans="1:43" ht="17.25" customHeight="1" x14ac:dyDescent="0.45">
      <c r="A407" s="2" t="s">
        <v>48</v>
      </c>
      <c r="B407" s="2" t="s">
        <v>66</v>
      </c>
      <c r="C407" s="2" t="s">
        <v>150</v>
      </c>
      <c r="D407" s="2" t="s">
        <v>68</v>
      </c>
      <c r="E407" s="23">
        <v>1</v>
      </c>
      <c r="F407" s="1">
        <v>0</v>
      </c>
      <c r="G407" s="1">
        <v>0</v>
      </c>
      <c r="H407" s="1">
        <v>0</v>
      </c>
      <c r="I407" s="1">
        <v>0</v>
      </c>
      <c r="J407" s="1">
        <v>0</v>
      </c>
      <c r="K407" s="1">
        <v>0</v>
      </c>
      <c r="L407" s="1">
        <v>0</v>
      </c>
      <c r="M407" s="1">
        <v>0</v>
      </c>
      <c r="N407" s="1">
        <v>0</v>
      </c>
      <c r="O407" s="1">
        <v>0</v>
      </c>
      <c r="P407" s="1">
        <v>0</v>
      </c>
      <c r="Q407" s="24">
        <f t="shared" si="18"/>
        <v>1</v>
      </c>
      <c r="R407" s="23">
        <v>14</v>
      </c>
      <c r="S407" s="1">
        <v>0</v>
      </c>
      <c r="T407" s="1">
        <v>0</v>
      </c>
      <c r="U407" s="1">
        <v>0</v>
      </c>
      <c r="V407" s="1">
        <v>0</v>
      </c>
      <c r="W407" s="1">
        <v>0</v>
      </c>
      <c r="X407" s="1">
        <v>0</v>
      </c>
      <c r="Y407" s="1">
        <v>0</v>
      </c>
      <c r="Z407" s="1">
        <v>0</v>
      </c>
      <c r="AA407" s="1">
        <v>0</v>
      </c>
      <c r="AB407" s="1">
        <v>0</v>
      </c>
      <c r="AC407" s="1">
        <v>0</v>
      </c>
      <c r="AD407" s="24">
        <f t="shared" si="19"/>
        <v>14</v>
      </c>
      <c r="AE407" s="23">
        <v>0</v>
      </c>
      <c r="AF407" s="1">
        <v>0</v>
      </c>
      <c r="AG407" s="1">
        <v>0</v>
      </c>
      <c r="AH407" s="1">
        <v>0</v>
      </c>
      <c r="AI407" s="1">
        <v>0</v>
      </c>
      <c r="AJ407" s="1">
        <v>0</v>
      </c>
      <c r="AK407" s="1">
        <v>0</v>
      </c>
      <c r="AL407" s="1">
        <v>0</v>
      </c>
      <c r="AM407" s="1">
        <v>0</v>
      </c>
      <c r="AN407" s="1">
        <v>0</v>
      </c>
      <c r="AO407" s="1">
        <v>0</v>
      </c>
      <c r="AP407" s="1">
        <v>0</v>
      </c>
      <c r="AQ407" s="24">
        <f t="shared" si="20"/>
        <v>0</v>
      </c>
    </row>
    <row r="408" spans="1:43" ht="17.25" customHeight="1" x14ac:dyDescent="0.45">
      <c r="A408" s="12" t="s">
        <v>48</v>
      </c>
      <c r="B408" s="12" t="s">
        <v>66</v>
      </c>
      <c r="C408" s="12" t="s">
        <v>204</v>
      </c>
      <c r="D408" s="12" t="s">
        <v>68</v>
      </c>
      <c r="E408" s="25">
        <v>0</v>
      </c>
      <c r="F408" s="10">
        <v>0</v>
      </c>
      <c r="G408" s="10">
        <v>0</v>
      </c>
      <c r="H408" s="10">
        <v>0</v>
      </c>
      <c r="I408" s="10">
        <v>0</v>
      </c>
      <c r="J408" s="10">
        <v>2</v>
      </c>
      <c r="K408" s="10">
        <v>0</v>
      </c>
      <c r="L408" s="10">
        <v>0</v>
      </c>
      <c r="M408" s="10">
        <v>0</v>
      </c>
      <c r="N408" s="10">
        <v>0</v>
      </c>
      <c r="O408" s="10">
        <v>0</v>
      </c>
      <c r="P408" s="10">
        <v>0</v>
      </c>
      <c r="Q408" s="26">
        <f t="shared" si="18"/>
        <v>2</v>
      </c>
      <c r="R408" s="25">
        <v>0</v>
      </c>
      <c r="S408" s="10">
        <v>0</v>
      </c>
      <c r="T408" s="10">
        <v>0</v>
      </c>
      <c r="U408" s="10">
        <v>0</v>
      </c>
      <c r="V408" s="10">
        <v>0</v>
      </c>
      <c r="W408" s="10">
        <v>284</v>
      </c>
      <c r="X408" s="10">
        <v>0</v>
      </c>
      <c r="Y408" s="10">
        <v>0</v>
      </c>
      <c r="Z408" s="10">
        <v>0</v>
      </c>
      <c r="AA408" s="10">
        <v>0</v>
      </c>
      <c r="AB408" s="10">
        <v>0</v>
      </c>
      <c r="AC408" s="10">
        <v>0</v>
      </c>
      <c r="AD408" s="26">
        <f t="shared" si="19"/>
        <v>284</v>
      </c>
      <c r="AE408" s="25">
        <v>0</v>
      </c>
      <c r="AF408" s="10">
        <v>0</v>
      </c>
      <c r="AG408" s="10">
        <v>0</v>
      </c>
      <c r="AH408" s="10">
        <v>0</v>
      </c>
      <c r="AI408" s="10">
        <v>0</v>
      </c>
      <c r="AJ408" s="10">
        <v>0</v>
      </c>
      <c r="AK408" s="10">
        <v>0</v>
      </c>
      <c r="AL408" s="10">
        <v>0</v>
      </c>
      <c r="AM408" s="10">
        <v>0</v>
      </c>
      <c r="AN408" s="10">
        <v>0</v>
      </c>
      <c r="AO408" s="10">
        <v>0</v>
      </c>
      <c r="AP408" s="10">
        <v>0</v>
      </c>
      <c r="AQ408" s="26">
        <f t="shared" si="20"/>
        <v>0</v>
      </c>
    </row>
    <row r="409" spans="1:43" ht="17.25" customHeight="1" x14ac:dyDescent="0.45">
      <c r="A409" s="2" t="s">
        <v>48</v>
      </c>
      <c r="B409" s="2" t="s">
        <v>66</v>
      </c>
      <c r="C409" s="2" t="s">
        <v>386</v>
      </c>
      <c r="D409" s="2" t="s">
        <v>68</v>
      </c>
      <c r="E409" s="23">
        <v>0</v>
      </c>
      <c r="F409" s="1">
        <v>1</v>
      </c>
      <c r="G409" s="1">
        <v>0</v>
      </c>
      <c r="H409" s="1">
        <v>0</v>
      </c>
      <c r="I409" s="1">
        <v>0</v>
      </c>
      <c r="J409" s="1">
        <v>0</v>
      </c>
      <c r="K409" s="1">
        <v>0</v>
      </c>
      <c r="L409" s="1">
        <v>0</v>
      </c>
      <c r="M409" s="1">
        <v>0</v>
      </c>
      <c r="N409" s="1">
        <v>0</v>
      </c>
      <c r="O409" s="1">
        <v>0</v>
      </c>
      <c r="P409" s="1">
        <v>1</v>
      </c>
      <c r="Q409" s="24">
        <f t="shared" si="18"/>
        <v>2</v>
      </c>
      <c r="R409" s="23">
        <v>0</v>
      </c>
      <c r="S409" s="1">
        <v>1</v>
      </c>
      <c r="T409" s="1">
        <v>0</v>
      </c>
      <c r="U409" s="1">
        <v>0</v>
      </c>
      <c r="V409" s="1">
        <v>0</v>
      </c>
      <c r="W409" s="1">
        <v>0</v>
      </c>
      <c r="X409" s="1">
        <v>0</v>
      </c>
      <c r="Y409" s="1">
        <v>0</v>
      </c>
      <c r="Z409" s="1">
        <v>0</v>
      </c>
      <c r="AA409" s="1">
        <v>0</v>
      </c>
      <c r="AB409" s="1">
        <v>0</v>
      </c>
      <c r="AC409" s="1">
        <v>1</v>
      </c>
      <c r="AD409" s="24">
        <f t="shared" si="19"/>
        <v>2</v>
      </c>
      <c r="AE409" s="23">
        <v>0</v>
      </c>
      <c r="AF409" s="1">
        <v>0</v>
      </c>
      <c r="AG409" s="1">
        <v>0</v>
      </c>
      <c r="AH409" s="1">
        <v>0</v>
      </c>
      <c r="AI409" s="1">
        <v>0</v>
      </c>
      <c r="AJ409" s="1">
        <v>0</v>
      </c>
      <c r="AK409" s="1">
        <v>0</v>
      </c>
      <c r="AL409" s="1">
        <v>0</v>
      </c>
      <c r="AM409" s="1">
        <v>0</v>
      </c>
      <c r="AN409" s="1">
        <v>0</v>
      </c>
      <c r="AO409" s="1">
        <v>0</v>
      </c>
      <c r="AP409" s="1">
        <v>0</v>
      </c>
      <c r="AQ409" s="24">
        <f t="shared" si="20"/>
        <v>0</v>
      </c>
    </row>
    <row r="410" spans="1:43" ht="17.25" customHeight="1" x14ac:dyDescent="0.45">
      <c r="A410" s="12" t="s">
        <v>48</v>
      </c>
      <c r="B410" s="12" t="s">
        <v>66</v>
      </c>
      <c r="C410" s="12" t="s">
        <v>161</v>
      </c>
      <c r="D410" s="12" t="s">
        <v>68</v>
      </c>
      <c r="E410" s="25">
        <v>0</v>
      </c>
      <c r="F410" s="10">
        <v>0</v>
      </c>
      <c r="G410" s="10">
        <v>0</v>
      </c>
      <c r="H410" s="10">
        <v>0</v>
      </c>
      <c r="I410" s="10">
        <v>0</v>
      </c>
      <c r="J410" s="10">
        <v>0</v>
      </c>
      <c r="K410" s="10">
        <v>0</v>
      </c>
      <c r="L410" s="10">
        <v>0</v>
      </c>
      <c r="M410" s="10">
        <v>0</v>
      </c>
      <c r="N410" s="10">
        <v>0</v>
      </c>
      <c r="O410" s="10">
        <v>0</v>
      </c>
      <c r="P410" s="10">
        <v>1</v>
      </c>
      <c r="Q410" s="26">
        <f t="shared" si="18"/>
        <v>1</v>
      </c>
      <c r="R410" s="25">
        <v>0</v>
      </c>
      <c r="S410" s="10">
        <v>0</v>
      </c>
      <c r="T410" s="10">
        <v>0</v>
      </c>
      <c r="U410" s="10">
        <v>0</v>
      </c>
      <c r="V410" s="10">
        <v>0</v>
      </c>
      <c r="W410" s="10">
        <v>0</v>
      </c>
      <c r="X410" s="10">
        <v>0</v>
      </c>
      <c r="Y410" s="10">
        <v>0</v>
      </c>
      <c r="Z410" s="10">
        <v>0</v>
      </c>
      <c r="AA410" s="10">
        <v>0</v>
      </c>
      <c r="AB410" s="10">
        <v>0</v>
      </c>
      <c r="AC410" s="10">
        <v>3</v>
      </c>
      <c r="AD410" s="26">
        <f t="shared" si="19"/>
        <v>3</v>
      </c>
      <c r="AE410" s="25">
        <v>0</v>
      </c>
      <c r="AF410" s="10">
        <v>0</v>
      </c>
      <c r="AG410" s="10">
        <v>0</v>
      </c>
      <c r="AH410" s="10">
        <v>0</v>
      </c>
      <c r="AI410" s="10">
        <v>0</v>
      </c>
      <c r="AJ410" s="10">
        <v>0</v>
      </c>
      <c r="AK410" s="10">
        <v>0</v>
      </c>
      <c r="AL410" s="10">
        <v>0</v>
      </c>
      <c r="AM410" s="10">
        <v>0</v>
      </c>
      <c r="AN410" s="10">
        <v>0</v>
      </c>
      <c r="AO410" s="10">
        <v>0</v>
      </c>
      <c r="AP410" s="10">
        <v>0</v>
      </c>
      <c r="AQ410" s="26">
        <f t="shared" si="20"/>
        <v>0</v>
      </c>
    </row>
    <row r="411" spans="1:43" ht="17.25" customHeight="1" x14ac:dyDescent="0.45">
      <c r="A411" s="2" t="s">
        <v>48</v>
      </c>
      <c r="B411" s="2" t="s">
        <v>66</v>
      </c>
      <c r="C411" s="2" t="s">
        <v>274</v>
      </c>
      <c r="D411" s="2" t="s">
        <v>68</v>
      </c>
      <c r="E411" s="23">
        <v>1</v>
      </c>
      <c r="F411" s="1">
        <v>0</v>
      </c>
      <c r="G411" s="1">
        <v>1</v>
      </c>
      <c r="H411" s="1">
        <v>1</v>
      </c>
      <c r="I411" s="1">
        <v>0</v>
      </c>
      <c r="J411" s="1">
        <v>0</v>
      </c>
      <c r="K411" s="1">
        <v>0</v>
      </c>
      <c r="L411" s="1">
        <v>0</v>
      </c>
      <c r="M411" s="1">
        <v>0</v>
      </c>
      <c r="N411" s="1">
        <v>0</v>
      </c>
      <c r="O411" s="1">
        <v>0</v>
      </c>
      <c r="P411" s="1">
        <v>0</v>
      </c>
      <c r="Q411" s="24">
        <f t="shared" si="18"/>
        <v>3</v>
      </c>
      <c r="R411" s="23">
        <v>10</v>
      </c>
      <c r="S411" s="1">
        <v>0</v>
      </c>
      <c r="T411" s="1">
        <v>8</v>
      </c>
      <c r="U411" s="1">
        <v>2</v>
      </c>
      <c r="V411" s="1">
        <v>0</v>
      </c>
      <c r="W411" s="1">
        <v>0</v>
      </c>
      <c r="X411" s="1">
        <v>0</v>
      </c>
      <c r="Y411" s="1">
        <v>0</v>
      </c>
      <c r="Z411" s="1">
        <v>0</v>
      </c>
      <c r="AA411" s="1">
        <v>0</v>
      </c>
      <c r="AB411" s="1">
        <v>0</v>
      </c>
      <c r="AC411" s="1">
        <v>0</v>
      </c>
      <c r="AD411" s="24">
        <f t="shared" si="19"/>
        <v>20</v>
      </c>
      <c r="AE411" s="23">
        <v>0</v>
      </c>
      <c r="AF411" s="1">
        <v>0</v>
      </c>
      <c r="AG411" s="1">
        <v>0</v>
      </c>
      <c r="AH411" s="1">
        <v>0</v>
      </c>
      <c r="AI411" s="1">
        <v>0</v>
      </c>
      <c r="AJ411" s="1">
        <v>0</v>
      </c>
      <c r="AK411" s="1">
        <v>0</v>
      </c>
      <c r="AL411" s="1">
        <v>0</v>
      </c>
      <c r="AM411" s="1">
        <v>0</v>
      </c>
      <c r="AN411" s="1">
        <v>0</v>
      </c>
      <c r="AO411" s="1">
        <v>0</v>
      </c>
      <c r="AP411" s="1">
        <v>0</v>
      </c>
      <c r="AQ411" s="24">
        <f t="shared" si="20"/>
        <v>0</v>
      </c>
    </row>
    <row r="412" spans="1:43" ht="17.25" customHeight="1" x14ac:dyDescent="0.45">
      <c r="A412" s="12" t="s">
        <v>48</v>
      </c>
      <c r="B412" s="12" t="s">
        <v>66</v>
      </c>
      <c r="C412" s="12" t="s">
        <v>278</v>
      </c>
      <c r="D412" s="12" t="s">
        <v>68</v>
      </c>
      <c r="E412" s="25">
        <v>0</v>
      </c>
      <c r="F412" s="10">
        <v>0</v>
      </c>
      <c r="G412" s="10">
        <v>0</v>
      </c>
      <c r="H412" s="10">
        <v>0</v>
      </c>
      <c r="I412" s="10">
        <v>0</v>
      </c>
      <c r="J412" s="10">
        <v>1</v>
      </c>
      <c r="K412" s="10">
        <v>0</v>
      </c>
      <c r="L412" s="10">
        <v>0</v>
      </c>
      <c r="M412" s="10">
        <v>0</v>
      </c>
      <c r="N412" s="10">
        <v>0</v>
      </c>
      <c r="O412" s="10">
        <v>1</v>
      </c>
      <c r="P412" s="10">
        <v>0</v>
      </c>
      <c r="Q412" s="26">
        <f t="shared" si="18"/>
        <v>2</v>
      </c>
      <c r="R412" s="25">
        <v>0</v>
      </c>
      <c r="S412" s="10">
        <v>0</v>
      </c>
      <c r="T412" s="10">
        <v>0</v>
      </c>
      <c r="U412" s="10">
        <v>0</v>
      </c>
      <c r="V412" s="10">
        <v>0</v>
      </c>
      <c r="W412" s="10">
        <v>2</v>
      </c>
      <c r="X412" s="10">
        <v>0</v>
      </c>
      <c r="Y412" s="10">
        <v>0</v>
      </c>
      <c r="Z412" s="10">
        <v>0</v>
      </c>
      <c r="AA412" s="10">
        <v>0</v>
      </c>
      <c r="AB412" s="10">
        <v>2</v>
      </c>
      <c r="AC412" s="10">
        <v>0</v>
      </c>
      <c r="AD412" s="26">
        <f t="shared" si="19"/>
        <v>4</v>
      </c>
      <c r="AE412" s="25">
        <v>0</v>
      </c>
      <c r="AF412" s="10">
        <v>0</v>
      </c>
      <c r="AG412" s="10">
        <v>0</v>
      </c>
      <c r="AH412" s="10">
        <v>0</v>
      </c>
      <c r="AI412" s="10">
        <v>0</v>
      </c>
      <c r="AJ412" s="10">
        <v>0</v>
      </c>
      <c r="AK412" s="10">
        <v>0</v>
      </c>
      <c r="AL412" s="10">
        <v>0</v>
      </c>
      <c r="AM412" s="10">
        <v>0</v>
      </c>
      <c r="AN412" s="10">
        <v>0</v>
      </c>
      <c r="AO412" s="10">
        <v>0</v>
      </c>
      <c r="AP412" s="10">
        <v>0</v>
      </c>
      <c r="AQ412" s="26">
        <f t="shared" si="20"/>
        <v>0</v>
      </c>
    </row>
    <row r="413" spans="1:43" ht="17.25" customHeight="1" x14ac:dyDescent="0.45">
      <c r="A413" s="2" t="s">
        <v>177</v>
      </c>
      <c r="B413" s="2" t="s">
        <v>68</v>
      </c>
      <c r="C413" s="2" t="s">
        <v>16</v>
      </c>
      <c r="D413" s="2" t="s">
        <v>66</v>
      </c>
      <c r="E413" s="23">
        <v>0</v>
      </c>
      <c r="F413" s="1">
        <v>0</v>
      </c>
      <c r="G413" s="1">
        <v>0</v>
      </c>
      <c r="H413" s="1">
        <v>0</v>
      </c>
      <c r="I413" s="1">
        <v>0</v>
      </c>
      <c r="J413" s="1">
        <v>0</v>
      </c>
      <c r="K413" s="1">
        <v>0</v>
      </c>
      <c r="L413" s="1">
        <v>1</v>
      </c>
      <c r="M413" s="1">
        <v>0</v>
      </c>
      <c r="N413" s="1">
        <v>0</v>
      </c>
      <c r="O413" s="1">
        <v>0</v>
      </c>
      <c r="P413" s="1">
        <v>0</v>
      </c>
      <c r="Q413" s="24">
        <f t="shared" si="18"/>
        <v>1</v>
      </c>
      <c r="R413" s="23">
        <v>0</v>
      </c>
      <c r="S413" s="1">
        <v>0</v>
      </c>
      <c r="T413" s="1">
        <v>0</v>
      </c>
      <c r="U413" s="1">
        <v>0</v>
      </c>
      <c r="V413" s="1">
        <v>0</v>
      </c>
      <c r="W413" s="1">
        <v>0</v>
      </c>
      <c r="X413" s="1">
        <v>0</v>
      </c>
      <c r="Y413" s="1">
        <v>46</v>
      </c>
      <c r="Z413" s="1">
        <v>0</v>
      </c>
      <c r="AA413" s="1">
        <v>0</v>
      </c>
      <c r="AB413" s="1">
        <v>0</v>
      </c>
      <c r="AC413" s="1">
        <v>0</v>
      </c>
      <c r="AD413" s="24">
        <f t="shared" si="19"/>
        <v>46</v>
      </c>
      <c r="AE413" s="23">
        <v>0</v>
      </c>
      <c r="AF413" s="1">
        <v>0</v>
      </c>
      <c r="AG413" s="1">
        <v>0</v>
      </c>
      <c r="AH413" s="1">
        <v>0</v>
      </c>
      <c r="AI413" s="1">
        <v>0</v>
      </c>
      <c r="AJ413" s="1">
        <v>0</v>
      </c>
      <c r="AK413" s="1">
        <v>0</v>
      </c>
      <c r="AL413" s="1">
        <v>0</v>
      </c>
      <c r="AM413" s="1">
        <v>0</v>
      </c>
      <c r="AN413" s="1">
        <v>0</v>
      </c>
      <c r="AO413" s="1">
        <v>0</v>
      </c>
      <c r="AP413" s="1">
        <v>0</v>
      </c>
      <c r="AQ413" s="24">
        <f t="shared" si="20"/>
        <v>0</v>
      </c>
    </row>
    <row r="414" spans="1:43" ht="17.25" customHeight="1" x14ac:dyDescent="0.45">
      <c r="A414" s="12" t="s">
        <v>177</v>
      </c>
      <c r="B414" s="12" t="s">
        <v>68</v>
      </c>
      <c r="C414" s="12" t="s">
        <v>55</v>
      </c>
      <c r="D414" s="12" t="s">
        <v>66</v>
      </c>
      <c r="E414" s="25">
        <v>0</v>
      </c>
      <c r="F414" s="10">
        <v>0</v>
      </c>
      <c r="G414" s="10">
        <v>0</v>
      </c>
      <c r="H414" s="10">
        <v>0</v>
      </c>
      <c r="I414" s="10">
        <v>1</v>
      </c>
      <c r="J414" s="10">
        <v>0</v>
      </c>
      <c r="K414" s="10">
        <v>0</v>
      </c>
      <c r="L414" s="10">
        <v>0</v>
      </c>
      <c r="M414" s="10">
        <v>0</v>
      </c>
      <c r="N414" s="10">
        <v>0</v>
      </c>
      <c r="O414" s="10">
        <v>0</v>
      </c>
      <c r="P414" s="10">
        <v>0</v>
      </c>
      <c r="Q414" s="26">
        <f t="shared" si="18"/>
        <v>1</v>
      </c>
      <c r="R414" s="25">
        <v>0</v>
      </c>
      <c r="S414" s="10">
        <v>0</v>
      </c>
      <c r="T414" s="10">
        <v>0</v>
      </c>
      <c r="U414" s="10">
        <v>0</v>
      </c>
      <c r="V414" s="10">
        <v>53</v>
      </c>
      <c r="W414" s="10">
        <v>0</v>
      </c>
      <c r="X414" s="10">
        <v>0</v>
      </c>
      <c r="Y414" s="10">
        <v>0</v>
      </c>
      <c r="Z414" s="10">
        <v>0</v>
      </c>
      <c r="AA414" s="10">
        <v>0</v>
      </c>
      <c r="AB414" s="10">
        <v>0</v>
      </c>
      <c r="AC414" s="10">
        <v>0</v>
      </c>
      <c r="AD414" s="26">
        <f t="shared" si="19"/>
        <v>53</v>
      </c>
      <c r="AE414" s="25">
        <v>0</v>
      </c>
      <c r="AF414" s="10">
        <v>0</v>
      </c>
      <c r="AG414" s="10">
        <v>0</v>
      </c>
      <c r="AH414" s="10">
        <v>0</v>
      </c>
      <c r="AI414" s="10">
        <v>0</v>
      </c>
      <c r="AJ414" s="10">
        <v>0</v>
      </c>
      <c r="AK414" s="10">
        <v>0</v>
      </c>
      <c r="AL414" s="10">
        <v>0</v>
      </c>
      <c r="AM414" s="10">
        <v>0</v>
      </c>
      <c r="AN414" s="10">
        <v>0</v>
      </c>
      <c r="AO414" s="10">
        <v>0</v>
      </c>
      <c r="AP414" s="10">
        <v>0</v>
      </c>
      <c r="AQ414" s="26">
        <f t="shared" si="20"/>
        <v>0</v>
      </c>
    </row>
    <row r="415" spans="1:43" ht="17.25" customHeight="1" x14ac:dyDescent="0.45">
      <c r="A415" s="2" t="s">
        <v>177</v>
      </c>
      <c r="B415" s="2" t="s">
        <v>68</v>
      </c>
      <c r="C415" s="2" t="s">
        <v>48</v>
      </c>
      <c r="D415" s="2" t="s">
        <v>66</v>
      </c>
      <c r="E415" s="23">
        <v>0</v>
      </c>
      <c r="F415" s="1">
        <v>0</v>
      </c>
      <c r="G415" s="1">
        <v>0</v>
      </c>
      <c r="H415" s="1">
        <v>0</v>
      </c>
      <c r="I415" s="1">
        <v>0</v>
      </c>
      <c r="J415" s="1">
        <v>0</v>
      </c>
      <c r="K415" s="1">
        <v>0</v>
      </c>
      <c r="L415" s="1">
        <v>0</v>
      </c>
      <c r="M415" s="1">
        <v>0</v>
      </c>
      <c r="N415" s="1">
        <v>0</v>
      </c>
      <c r="O415" s="1">
        <v>0</v>
      </c>
      <c r="P415" s="1">
        <v>1</v>
      </c>
      <c r="Q415" s="24">
        <f t="shared" si="18"/>
        <v>1</v>
      </c>
      <c r="R415" s="23">
        <v>0</v>
      </c>
      <c r="S415" s="1">
        <v>0</v>
      </c>
      <c r="T415" s="1">
        <v>0</v>
      </c>
      <c r="U415" s="1">
        <v>0</v>
      </c>
      <c r="V415" s="1">
        <v>0</v>
      </c>
      <c r="W415" s="1">
        <v>0</v>
      </c>
      <c r="X415" s="1">
        <v>0</v>
      </c>
      <c r="Y415" s="1">
        <v>0</v>
      </c>
      <c r="Z415" s="1">
        <v>0</v>
      </c>
      <c r="AA415" s="1">
        <v>0</v>
      </c>
      <c r="AB415" s="1">
        <v>0</v>
      </c>
      <c r="AC415" s="1">
        <v>19</v>
      </c>
      <c r="AD415" s="24">
        <f t="shared" si="19"/>
        <v>19</v>
      </c>
      <c r="AE415" s="23">
        <v>0</v>
      </c>
      <c r="AF415" s="1">
        <v>0</v>
      </c>
      <c r="AG415" s="1">
        <v>0</v>
      </c>
      <c r="AH415" s="1">
        <v>0</v>
      </c>
      <c r="AI415" s="1">
        <v>0</v>
      </c>
      <c r="AJ415" s="1">
        <v>0</v>
      </c>
      <c r="AK415" s="1">
        <v>0</v>
      </c>
      <c r="AL415" s="1">
        <v>0</v>
      </c>
      <c r="AM415" s="1">
        <v>0</v>
      </c>
      <c r="AN415" s="1">
        <v>0</v>
      </c>
      <c r="AO415" s="1">
        <v>0</v>
      </c>
      <c r="AP415" s="1">
        <v>0</v>
      </c>
      <c r="AQ415" s="24">
        <f t="shared" si="20"/>
        <v>0</v>
      </c>
    </row>
    <row r="416" spans="1:43" ht="17.25" customHeight="1" x14ac:dyDescent="0.45">
      <c r="A416" s="12" t="s">
        <v>177</v>
      </c>
      <c r="B416" s="12" t="s">
        <v>68</v>
      </c>
      <c r="C416" s="12" t="s">
        <v>32</v>
      </c>
      <c r="D416" s="12" t="s">
        <v>66</v>
      </c>
      <c r="E416" s="25">
        <v>0</v>
      </c>
      <c r="F416" s="10">
        <v>0</v>
      </c>
      <c r="G416" s="10">
        <v>2</v>
      </c>
      <c r="H416" s="10">
        <v>0</v>
      </c>
      <c r="I416" s="10">
        <v>0</v>
      </c>
      <c r="J416" s="10">
        <v>0</v>
      </c>
      <c r="K416" s="10">
        <v>0</v>
      </c>
      <c r="L416" s="10">
        <v>0</v>
      </c>
      <c r="M416" s="10">
        <v>0</v>
      </c>
      <c r="N416" s="10">
        <v>0</v>
      </c>
      <c r="O416" s="10">
        <v>0</v>
      </c>
      <c r="P416" s="10">
        <v>0</v>
      </c>
      <c r="Q416" s="26">
        <f t="shared" si="18"/>
        <v>2</v>
      </c>
      <c r="R416" s="25">
        <v>0</v>
      </c>
      <c r="S416" s="10">
        <v>0</v>
      </c>
      <c r="T416" s="10">
        <v>81</v>
      </c>
      <c r="U416" s="10">
        <v>0</v>
      </c>
      <c r="V416" s="10">
        <v>0</v>
      </c>
      <c r="W416" s="10">
        <v>0</v>
      </c>
      <c r="X416" s="10">
        <v>0</v>
      </c>
      <c r="Y416" s="10">
        <v>0</v>
      </c>
      <c r="Z416" s="10">
        <v>0</v>
      </c>
      <c r="AA416" s="10">
        <v>0</v>
      </c>
      <c r="AB416" s="10">
        <v>0</v>
      </c>
      <c r="AC416" s="10">
        <v>0</v>
      </c>
      <c r="AD416" s="26">
        <f t="shared" si="19"/>
        <v>81</v>
      </c>
      <c r="AE416" s="25">
        <v>0</v>
      </c>
      <c r="AF416" s="10">
        <v>0</v>
      </c>
      <c r="AG416" s="10">
        <v>0</v>
      </c>
      <c r="AH416" s="10">
        <v>0</v>
      </c>
      <c r="AI416" s="10">
        <v>0</v>
      </c>
      <c r="AJ416" s="10">
        <v>0</v>
      </c>
      <c r="AK416" s="10">
        <v>0</v>
      </c>
      <c r="AL416" s="10">
        <v>0</v>
      </c>
      <c r="AM416" s="10">
        <v>0</v>
      </c>
      <c r="AN416" s="10">
        <v>0</v>
      </c>
      <c r="AO416" s="10">
        <v>0</v>
      </c>
      <c r="AP416" s="10">
        <v>0</v>
      </c>
      <c r="AQ416" s="26">
        <f t="shared" si="20"/>
        <v>0</v>
      </c>
    </row>
    <row r="417" spans="1:43" ht="17.25" customHeight="1" x14ac:dyDescent="0.45">
      <c r="A417" s="2" t="s">
        <v>152</v>
      </c>
      <c r="B417" s="2" t="s">
        <v>153</v>
      </c>
      <c r="C417" s="2" t="s">
        <v>13</v>
      </c>
      <c r="D417" s="2" t="s">
        <v>66</v>
      </c>
      <c r="E417" s="23">
        <v>0</v>
      </c>
      <c r="F417" s="1">
        <v>0</v>
      </c>
      <c r="G417" s="1">
        <v>0</v>
      </c>
      <c r="H417" s="1">
        <v>0</v>
      </c>
      <c r="I417" s="1">
        <v>0</v>
      </c>
      <c r="J417" s="1">
        <v>0</v>
      </c>
      <c r="K417" s="1">
        <v>0</v>
      </c>
      <c r="L417" s="1">
        <v>0</v>
      </c>
      <c r="M417" s="1">
        <v>0</v>
      </c>
      <c r="N417" s="1">
        <v>0</v>
      </c>
      <c r="O417" s="1">
        <v>2</v>
      </c>
      <c r="P417" s="1">
        <v>0</v>
      </c>
      <c r="Q417" s="24">
        <f t="shared" si="18"/>
        <v>2</v>
      </c>
      <c r="R417" s="23">
        <v>0</v>
      </c>
      <c r="S417" s="1">
        <v>0</v>
      </c>
      <c r="T417" s="1">
        <v>0</v>
      </c>
      <c r="U417" s="1">
        <v>0</v>
      </c>
      <c r="V417" s="1">
        <v>0</v>
      </c>
      <c r="W417" s="1">
        <v>0</v>
      </c>
      <c r="X417" s="1">
        <v>0</v>
      </c>
      <c r="Y417" s="1">
        <v>0</v>
      </c>
      <c r="Z417" s="1">
        <v>0</v>
      </c>
      <c r="AA417" s="1">
        <v>0</v>
      </c>
      <c r="AB417" s="1">
        <v>98</v>
      </c>
      <c r="AC417" s="1">
        <v>0</v>
      </c>
      <c r="AD417" s="24">
        <f t="shared" si="19"/>
        <v>98</v>
      </c>
      <c r="AE417" s="23">
        <v>0</v>
      </c>
      <c r="AF417" s="1">
        <v>0</v>
      </c>
      <c r="AG417" s="1">
        <v>0</v>
      </c>
      <c r="AH417" s="1">
        <v>0</v>
      </c>
      <c r="AI417" s="1">
        <v>0</v>
      </c>
      <c r="AJ417" s="1">
        <v>0</v>
      </c>
      <c r="AK417" s="1">
        <v>0</v>
      </c>
      <c r="AL417" s="1">
        <v>0</v>
      </c>
      <c r="AM417" s="1">
        <v>0</v>
      </c>
      <c r="AN417" s="1">
        <v>0</v>
      </c>
      <c r="AO417" s="1">
        <v>51847</v>
      </c>
      <c r="AP417" s="1">
        <v>0</v>
      </c>
      <c r="AQ417" s="24">
        <f t="shared" si="20"/>
        <v>51847</v>
      </c>
    </row>
    <row r="418" spans="1:43" ht="17.25" customHeight="1" x14ac:dyDescent="0.45">
      <c r="A418" s="12" t="s">
        <v>152</v>
      </c>
      <c r="B418" s="12" t="s">
        <v>153</v>
      </c>
      <c r="C418" s="12" t="s">
        <v>14</v>
      </c>
      <c r="D418" s="12" t="s">
        <v>66</v>
      </c>
      <c r="E418" s="25">
        <v>0</v>
      </c>
      <c r="F418" s="10">
        <v>0</v>
      </c>
      <c r="G418" s="10">
        <v>0</v>
      </c>
      <c r="H418" s="10">
        <v>0</v>
      </c>
      <c r="I418" s="10">
        <v>0</v>
      </c>
      <c r="J418" s="10">
        <v>0</v>
      </c>
      <c r="K418" s="10">
        <v>0</v>
      </c>
      <c r="L418" s="10">
        <v>0</v>
      </c>
      <c r="M418" s="10">
        <v>0</v>
      </c>
      <c r="N418" s="10">
        <v>0</v>
      </c>
      <c r="O418" s="10">
        <v>1</v>
      </c>
      <c r="P418" s="10">
        <v>0</v>
      </c>
      <c r="Q418" s="26">
        <f t="shared" si="18"/>
        <v>1</v>
      </c>
      <c r="R418" s="25">
        <v>0</v>
      </c>
      <c r="S418" s="10">
        <v>0</v>
      </c>
      <c r="T418" s="10">
        <v>0</v>
      </c>
      <c r="U418" s="10">
        <v>0</v>
      </c>
      <c r="V418" s="10">
        <v>0</v>
      </c>
      <c r="W418" s="10">
        <v>0</v>
      </c>
      <c r="X418" s="10">
        <v>0</v>
      </c>
      <c r="Y418" s="10">
        <v>0</v>
      </c>
      <c r="Z418" s="10">
        <v>0</v>
      </c>
      <c r="AA418" s="10">
        <v>0</v>
      </c>
      <c r="AB418" s="10">
        <v>0</v>
      </c>
      <c r="AC418" s="10">
        <v>0</v>
      </c>
      <c r="AD418" s="26">
        <f t="shared" si="19"/>
        <v>0</v>
      </c>
      <c r="AE418" s="25">
        <v>0</v>
      </c>
      <c r="AF418" s="10">
        <v>0</v>
      </c>
      <c r="AG418" s="10">
        <v>0</v>
      </c>
      <c r="AH418" s="10">
        <v>0</v>
      </c>
      <c r="AI418" s="10">
        <v>0</v>
      </c>
      <c r="AJ418" s="10">
        <v>0</v>
      </c>
      <c r="AK418" s="10">
        <v>0</v>
      </c>
      <c r="AL418" s="10">
        <v>0</v>
      </c>
      <c r="AM418" s="10">
        <v>0</v>
      </c>
      <c r="AN418" s="10">
        <v>0</v>
      </c>
      <c r="AO418" s="10">
        <v>486</v>
      </c>
      <c r="AP418" s="10">
        <v>0</v>
      </c>
      <c r="AQ418" s="26">
        <f t="shared" si="20"/>
        <v>486</v>
      </c>
    </row>
    <row r="419" spans="1:43" ht="17.25" customHeight="1" x14ac:dyDescent="0.45">
      <c r="A419" s="2" t="s">
        <v>152</v>
      </c>
      <c r="B419" s="2" t="s">
        <v>153</v>
      </c>
      <c r="C419" s="2" t="s">
        <v>32</v>
      </c>
      <c r="D419" s="2" t="s">
        <v>66</v>
      </c>
      <c r="E419" s="23">
        <v>0</v>
      </c>
      <c r="F419" s="1">
        <v>1</v>
      </c>
      <c r="G419" s="1">
        <v>0</v>
      </c>
      <c r="H419" s="1">
        <v>0</v>
      </c>
      <c r="I419" s="1">
        <v>0</v>
      </c>
      <c r="J419" s="1">
        <v>0</v>
      </c>
      <c r="K419" s="1">
        <v>0</v>
      </c>
      <c r="L419" s="1">
        <v>1</v>
      </c>
      <c r="M419" s="1">
        <v>1</v>
      </c>
      <c r="N419" s="1">
        <v>0</v>
      </c>
      <c r="O419" s="1">
        <v>0</v>
      </c>
      <c r="P419" s="1">
        <v>0</v>
      </c>
      <c r="Q419" s="24">
        <f t="shared" si="18"/>
        <v>3</v>
      </c>
      <c r="R419" s="23">
        <v>0</v>
      </c>
      <c r="S419" s="1">
        <v>47</v>
      </c>
      <c r="T419" s="1">
        <v>0</v>
      </c>
      <c r="U419" s="1">
        <v>0</v>
      </c>
      <c r="V419" s="1">
        <v>0</v>
      </c>
      <c r="W419" s="1">
        <v>0</v>
      </c>
      <c r="X419" s="1">
        <v>0</v>
      </c>
      <c r="Y419" s="1">
        <v>47</v>
      </c>
      <c r="Z419" s="1">
        <v>1</v>
      </c>
      <c r="AA419" s="1">
        <v>0</v>
      </c>
      <c r="AB419" s="1">
        <v>0</v>
      </c>
      <c r="AC419" s="1">
        <v>0</v>
      </c>
      <c r="AD419" s="24">
        <f t="shared" si="19"/>
        <v>95</v>
      </c>
      <c r="AE419" s="23">
        <v>0</v>
      </c>
      <c r="AF419" s="1">
        <v>0</v>
      </c>
      <c r="AG419" s="1">
        <v>0</v>
      </c>
      <c r="AH419" s="1">
        <v>0</v>
      </c>
      <c r="AI419" s="1">
        <v>0</v>
      </c>
      <c r="AJ419" s="1">
        <v>0</v>
      </c>
      <c r="AK419" s="1">
        <v>0</v>
      </c>
      <c r="AL419" s="1">
        <v>0</v>
      </c>
      <c r="AM419" s="1">
        <v>0</v>
      </c>
      <c r="AN419" s="1">
        <v>0</v>
      </c>
      <c r="AO419" s="1">
        <v>0</v>
      </c>
      <c r="AP419" s="1">
        <v>0</v>
      </c>
      <c r="AQ419" s="24">
        <f t="shared" si="20"/>
        <v>0</v>
      </c>
    </row>
    <row r="420" spans="1:43" ht="17.25" customHeight="1" x14ac:dyDescent="0.45">
      <c r="A420" s="12" t="s">
        <v>298</v>
      </c>
      <c r="B420" s="12" t="s">
        <v>299</v>
      </c>
      <c r="C420" s="12" t="s">
        <v>14</v>
      </c>
      <c r="D420" s="12" t="s">
        <v>66</v>
      </c>
      <c r="E420" s="25">
        <v>0</v>
      </c>
      <c r="F420" s="10">
        <v>0</v>
      </c>
      <c r="G420" s="10">
        <v>0</v>
      </c>
      <c r="H420" s="10">
        <v>0</v>
      </c>
      <c r="I420" s="10">
        <v>1</v>
      </c>
      <c r="J420" s="10">
        <v>0</v>
      </c>
      <c r="K420" s="10">
        <v>0</v>
      </c>
      <c r="L420" s="10">
        <v>0</v>
      </c>
      <c r="M420" s="10">
        <v>1</v>
      </c>
      <c r="N420" s="10">
        <v>0</v>
      </c>
      <c r="O420" s="10">
        <v>0</v>
      </c>
      <c r="P420" s="10">
        <v>0</v>
      </c>
      <c r="Q420" s="26">
        <f t="shared" si="18"/>
        <v>2</v>
      </c>
      <c r="R420" s="25">
        <v>0</v>
      </c>
      <c r="S420" s="10">
        <v>0</v>
      </c>
      <c r="T420" s="10">
        <v>0</v>
      </c>
      <c r="U420" s="10">
        <v>0</v>
      </c>
      <c r="V420" s="10">
        <v>0</v>
      </c>
      <c r="W420" s="10">
        <v>0</v>
      </c>
      <c r="X420" s="10">
        <v>0</v>
      </c>
      <c r="Y420" s="10">
        <v>0</v>
      </c>
      <c r="Z420" s="10">
        <v>0</v>
      </c>
      <c r="AA420" s="10">
        <v>0</v>
      </c>
      <c r="AB420" s="10">
        <v>0</v>
      </c>
      <c r="AC420" s="10">
        <v>0</v>
      </c>
      <c r="AD420" s="26">
        <f t="shared" si="19"/>
        <v>0</v>
      </c>
      <c r="AE420" s="25">
        <v>0</v>
      </c>
      <c r="AF420" s="10">
        <v>0</v>
      </c>
      <c r="AG420" s="10">
        <v>0</v>
      </c>
      <c r="AH420" s="10">
        <v>0</v>
      </c>
      <c r="AI420" s="10">
        <v>14875</v>
      </c>
      <c r="AJ420" s="10">
        <v>0</v>
      </c>
      <c r="AK420" s="10">
        <v>0</v>
      </c>
      <c r="AL420" s="10">
        <v>0</v>
      </c>
      <c r="AM420" s="10">
        <v>71450</v>
      </c>
      <c r="AN420" s="10">
        <v>0</v>
      </c>
      <c r="AO420" s="10">
        <v>0</v>
      </c>
      <c r="AP420" s="10">
        <v>0</v>
      </c>
      <c r="AQ420" s="26">
        <f t="shared" si="20"/>
        <v>86325</v>
      </c>
    </row>
    <row r="421" spans="1:43" ht="17.25" customHeight="1" x14ac:dyDescent="0.45">
      <c r="A421" s="2" t="s">
        <v>30</v>
      </c>
      <c r="B421" s="2" t="s">
        <v>66</v>
      </c>
      <c r="C421" s="2" t="s">
        <v>227</v>
      </c>
      <c r="D421" s="2" t="s">
        <v>68</v>
      </c>
      <c r="E421" s="23">
        <v>0</v>
      </c>
      <c r="F421" s="1">
        <v>0</v>
      </c>
      <c r="G421" s="1">
        <v>0</v>
      </c>
      <c r="H421" s="1">
        <v>0</v>
      </c>
      <c r="I421" s="1">
        <v>0</v>
      </c>
      <c r="J421" s="1">
        <v>0</v>
      </c>
      <c r="K421" s="1">
        <v>0</v>
      </c>
      <c r="L421" s="1">
        <v>1</v>
      </c>
      <c r="M421" s="1">
        <v>0</v>
      </c>
      <c r="N421" s="1">
        <v>0</v>
      </c>
      <c r="O421" s="1">
        <v>0</v>
      </c>
      <c r="P421" s="1">
        <v>0</v>
      </c>
      <c r="Q421" s="24">
        <f t="shared" si="18"/>
        <v>1</v>
      </c>
      <c r="R421" s="23">
        <v>0</v>
      </c>
      <c r="S421" s="1">
        <v>0</v>
      </c>
      <c r="T421" s="1">
        <v>0</v>
      </c>
      <c r="U421" s="1">
        <v>0</v>
      </c>
      <c r="V421" s="1">
        <v>0</v>
      </c>
      <c r="W421" s="1">
        <v>0</v>
      </c>
      <c r="X421" s="1">
        <v>0</v>
      </c>
      <c r="Y421" s="1">
        <v>0</v>
      </c>
      <c r="Z421" s="1">
        <v>0</v>
      </c>
      <c r="AA421" s="1">
        <v>0</v>
      </c>
      <c r="AB421" s="1">
        <v>0</v>
      </c>
      <c r="AC421" s="1">
        <v>0</v>
      </c>
      <c r="AD421" s="24">
        <f t="shared" si="19"/>
        <v>0</v>
      </c>
      <c r="AE421" s="23">
        <v>0</v>
      </c>
      <c r="AF421" s="1">
        <v>0</v>
      </c>
      <c r="AG421" s="1">
        <v>0</v>
      </c>
      <c r="AH421" s="1">
        <v>0</v>
      </c>
      <c r="AI421" s="1">
        <v>0</v>
      </c>
      <c r="AJ421" s="1">
        <v>0</v>
      </c>
      <c r="AK421" s="1">
        <v>0</v>
      </c>
      <c r="AL421" s="1">
        <v>2095</v>
      </c>
      <c r="AM421" s="1">
        <v>0</v>
      </c>
      <c r="AN421" s="1">
        <v>0</v>
      </c>
      <c r="AO421" s="1">
        <v>0</v>
      </c>
      <c r="AP421" s="1">
        <v>0</v>
      </c>
      <c r="AQ421" s="24">
        <f t="shared" si="20"/>
        <v>2095</v>
      </c>
    </row>
    <row r="422" spans="1:43" ht="17.25" customHeight="1" x14ac:dyDescent="0.45">
      <c r="A422" s="12" t="s">
        <v>30</v>
      </c>
      <c r="B422" s="12" t="s">
        <v>66</v>
      </c>
      <c r="C422" s="12" t="s">
        <v>101</v>
      </c>
      <c r="D422" s="12" t="s">
        <v>68</v>
      </c>
      <c r="E422" s="25">
        <v>0</v>
      </c>
      <c r="F422" s="10">
        <v>1</v>
      </c>
      <c r="G422" s="10">
        <v>0</v>
      </c>
      <c r="H422" s="10">
        <v>0</v>
      </c>
      <c r="I422" s="10">
        <v>0</v>
      </c>
      <c r="J422" s="10">
        <v>0</v>
      </c>
      <c r="K422" s="10">
        <v>0</v>
      </c>
      <c r="L422" s="10">
        <v>0</v>
      </c>
      <c r="M422" s="10">
        <v>0</v>
      </c>
      <c r="N422" s="10">
        <v>0</v>
      </c>
      <c r="O422" s="10">
        <v>1</v>
      </c>
      <c r="P422" s="10">
        <v>0</v>
      </c>
      <c r="Q422" s="26">
        <f t="shared" si="18"/>
        <v>2</v>
      </c>
      <c r="R422" s="25">
        <v>0</v>
      </c>
      <c r="S422" s="10">
        <v>0</v>
      </c>
      <c r="T422" s="10">
        <v>0</v>
      </c>
      <c r="U422" s="10">
        <v>0</v>
      </c>
      <c r="V422" s="10">
        <v>0</v>
      </c>
      <c r="W422" s="10">
        <v>0</v>
      </c>
      <c r="X422" s="10">
        <v>0</v>
      </c>
      <c r="Y422" s="10">
        <v>0</v>
      </c>
      <c r="Z422" s="10">
        <v>0</v>
      </c>
      <c r="AA422" s="10">
        <v>0</v>
      </c>
      <c r="AB422" s="10">
        <v>0</v>
      </c>
      <c r="AC422" s="10">
        <v>0</v>
      </c>
      <c r="AD422" s="26">
        <f t="shared" si="19"/>
        <v>0</v>
      </c>
      <c r="AE422" s="25">
        <v>0</v>
      </c>
      <c r="AF422" s="10">
        <v>957</v>
      </c>
      <c r="AG422" s="10">
        <v>0</v>
      </c>
      <c r="AH422" s="10">
        <v>0</v>
      </c>
      <c r="AI422" s="10">
        <v>0</v>
      </c>
      <c r="AJ422" s="10">
        <v>0</v>
      </c>
      <c r="AK422" s="10">
        <v>0</v>
      </c>
      <c r="AL422" s="10">
        <v>0</v>
      </c>
      <c r="AM422" s="10">
        <v>0</v>
      </c>
      <c r="AN422" s="10">
        <v>0</v>
      </c>
      <c r="AO422" s="10">
        <v>2031</v>
      </c>
      <c r="AP422" s="10">
        <v>0</v>
      </c>
      <c r="AQ422" s="26">
        <f t="shared" si="20"/>
        <v>2988</v>
      </c>
    </row>
    <row r="423" spans="1:43" ht="17.25" customHeight="1" x14ac:dyDescent="0.45">
      <c r="A423" s="2" t="s">
        <v>30</v>
      </c>
      <c r="B423" s="2" t="s">
        <v>66</v>
      </c>
      <c r="C423" s="2" t="s">
        <v>221</v>
      </c>
      <c r="D423" s="2" t="s">
        <v>68</v>
      </c>
      <c r="E423" s="23">
        <v>0</v>
      </c>
      <c r="F423" s="1">
        <v>0</v>
      </c>
      <c r="G423" s="1">
        <v>0</v>
      </c>
      <c r="H423" s="1">
        <v>0</v>
      </c>
      <c r="I423" s="1">
        <v>0</v>
      </c>
      <c r="J423" s="1">
        <v>0</v>
      </c>
      <c r="K423" s="1">
        <v>1</v>
      </c>
      <c r="L423" s="1">
        <v>0</v>
      </c>
      <c r="M423" s="1">
        <v>0</v>
      </c>
      <c r="N423" s="1">
        <v>0</v>
      </c>
      <c r="O423" s="1">
        <v>0</v>
      </c>
      <c r="P423" s="1">
        <v>0</v>
      </c>
      <c r="Q423" s="24">
        <f t="shared" si="18"/>
        <v>1</v>
      </c>
      <c r="R423" s="23">
        <v>0</v>
      </c>
      <c r="S423" s="1">
        <v>0</v>
      </c>
      <c r="T423" s="1">
        <v>0</v>
      </c>
      <c r="U423" s="1">
        <v>0</v>
      </c>
      <c r="V423" s="1">
        <v>0</v>
      </c>
      <c r="W423" s="1">
        <v>0</v>
      </c>
      <c r="X423" s="1">
        <v>0</v>
      </c>
      <c r="Y423" s="1">
        <v>0</v>
      </c>
      <c r="Z423" s="1">
        <v>0</v>
      </c>
      <c r="AA423" s="1">
        <v>0</v>
      </c>
      <c r="AB423" s="1">
        <v>0</v>
      </c>
      <c r="AC423" s="1">
        <v>0</v>
      </c>
      <c r="AD423" s="24">
        <f t="shared" si="19"/>
        <v>0</v>
      </c>
      <c r="AE423" s="23">
        <v>0</v>
      </c>
      <c r="AF423" s="1">
        <v>0</v>
      </c>
      <c r="AG423" s="1">
        <v>0</v>
      </c>
      <c r="AH423" s="1">
        <v>0</v>
      </c>
      <c r="AI423" s="1">
        <v>0</v>
      </c>
      <c r="AJ423" s="1">
        <v>0</v>
      </c>
      <c r="AK423" s="1">
        <v>1552</v>
      </c>
      <c r="AL423" s="1">
        <v>0</v>
      </c>
      <c r="AM423" s="1">
        <v>0</v>
      </c>
      <c r="AN423" s="1">
        <v>0</v>
      </c>
      <c r="AO423" s="1">
        <v>0</v>
      </c>
      <c r="AP423" s="1">
        <v>0</v>
      </c>
      <c r="AQ423" s="24">
        <f t="shared" si="20"/>
        <v>1552</v>
      </c>
    </row>
    <row r="424" spans="1:43" ht="17.25" customHeight="1" x14ac:dyDescent="0.45">
      <c r="A424" s="12" t="s">
        <v>30</v>
      </c>
      <c r="B424" s="12" t="s">
        <v>66</v>
      </c>
      <c r="C424" s="12" t="s">
        <v>194</v>
      </c>
      <c r="D424" s="12" t="s">
        <v>68</v>
      </c>
      <c r="E424" s="25">
        <v>0</v>
      </c>
      <c r="F424" s="10">
        <v>11</v>
      </c>
      <c r="G424" s="10">
        <v>2</v>
      </c>
      <c r="H424" s="10">
        <v>5</v>
      </c>
      <c r="I424" s="10">
        <v>8</v>
      </c>
      <c r="J424" s="10">
        <v>8</v>
      </c>
      <c r="K424" s="10">
        <v>8</v>
      </c>
      <c r="L424" s="10">
        <v>6</v>
      </c>
      <c r="M424" s="10">
        <v>6</v>
      </c>
      <c r="N424" s="10">
        <v>6</v>
      </c>
      <c r="O424" s="10">
        <v>2</v>
      </c>
      <c r="P424" s="10">
        <v>1</v>
      </c>
      <c r="Q424" s="26">
        <f t="shared" si="18"/>
        <v>63</v>
      </c>
      <c r="R424" s="25">
        <v>0</v>
      </c>
      <c r="S424" s="10">
        <v>0</v>
      </c>
      <c r="T424" s="10">
        <v>0</v>
      </c>
      <c r="U424" s="10">
        <v>0</v>
      </c>
      <c r="V424" s="10">
        <v>0</v>
      </c>
      <c r="W424" s="10">
        <v>0</v>
      </c>
      <c r="X424" s="10">
        <v>0</v>
      </c>
      <c r="Y424" s="10">
        <v>0</v>
      </c>
      <c r="Z424" s="10">
        <v>20</v>
      </c>
      <c r="AA424" s="10">
        <v>0</v>
      </c>
      <c r="AB424" s="10">
        <v>0</v>
      </c>
      <c r="AC424" s="10">
        <v>0</v>
      </c>
      <c r="AD424" s="26">
        <f t="shared" si="19"/>
        <v>20</v>
      </c>
      <c r="AE424" s="25">
        <v>0</v>
      </c>
      <c r="AF424" s="10">
        <v>68858</v>
      </c>
      <c r="AG424" s="10">
        <v>1621</v>
      </c>
      <c r="AH424" s="10">
        <v>7660</v>
      </c>
      <c r="AI424" s="10">
        <v>48894</v>
      </c>
      <c r="AJ424" s="10">
        <v>28253</v>
      </c>
      <c r="AK424" s="10">
        <v>14321</v>
      </c>
      <c r="AL424" s="10">
        <v>11909</v>
      </c>
      <c r="AM424" s="10">
        <v>10477</v>
      </c>
      <c r="AN424" s="10">
        <v>12342</v>
      </c>
      <c r="AO424" s="10">
        <v>5302</v>
      </c>
      <c r="AP424" s="10">
        <v>5256</v>
      </c>
      <c r="AQ424" s="26">
        <f t="shared" si="20"/>
        <v>214893</v>
      </c>
    </row>
    <row r="425" spans="1:43" ht="17.25" customHeight="1" x14ac:dyDescent="0.45">
      <c r="A425" s="2" t="s">
        <v>200</v>
      </c>
      <c r="B425" s="2" t="s">
        <v>172</v>
      </c>
      <c r="C425" s="2" t="s">
        <v>12</v>
      </c>
      <c r="D425" s="2" t="s">
        <v>66</v>
      </c>
      <c r="E425" s="23">
        <v>0</v>
      </c>
      <c r="F425" s="1">
        <v>1</v>
      </c>
      <c r="G425" s="1">
        <v>0</v>
      </c>
      <c r="H425" s="1">
        <v>0</v>
      </c>
      <c r="I425" s="1">
        <v>0</v>
      </c>
      <c r="J425" s="1">
        <v>0</v>
      </c>
      <c r="K425" s="1">
        <v>0</v>
      </c>
      <c r="L425" s="1">
        <v>0</v>
      </c>
      <c r="M425" s="1">
        <v>0</v>
      </c>
      <c r="N425" s="1">
        <v>0</v>
      </c>
      <c r="O425" s="1">
        <v>0</v>
      </c>
      <c r="P425" s="1">
        <v>0</v>
      </c>
      <c r="Q425" s="24">
        <f t="shared" si="18"/>
        <v>1</v>
      </c>
      <c r="R425" s="23">
        <v>0</v>
      </c>
      <c r="S425" s="1">
        <v>3</v>
      </c>
      <c r="T425" s="1">
        <v>0</v>
      </c>
      <c r="U425" s="1">
        <v>0</v>
      </c>
      <c r="V425" s="1">
        <v>0</v>
      </c>
      <c r="W425" s="1">
        <v>0</v>
      </c>
      <c r="X425" s="1">
        <v>0</v>
      </c>
      <c r="Y425" s="1">
        <v>0</v>
      </c>
      <c r="Z425" s="1">
        <v>0</v>
      </c>
      <c r="AA425" s="1">
        <v>0</v>
      </c>
      <c r="AB425" s="1">
        <v>0</v>
      </c>
      <c r="AC425" s="1">
        <v>0</v>
      </c>
      <c r="AD425" s="24">
        <f t="shared" si="19"/>
        <v>3</v>
      </c>
      <c r="AE425" s="23">
        <v>0</v>
      </c>
      <c r="AF425" s="1">
        <v>0</v>
      </c>
      <c r="AG425" s="1">
        <v>0</v>
      </c>
      <c r="AH425" s="1">
        <v>0</v>
      </c>
      <c r="AI425" s="1">
        <v>0</v>
      </c>
      <c r="AJ425" s="1">
        <v>0</v>
      </c>
      <c r="AK425" s="1">
        <v>0</v>
      </c>
      <c r="AL425" s="1">
        <v>0</v>
      </c>
      <c r="AM425" s="1">
        <v>0</v>
      </c>
      <c r="AN425" s="1">
        <v>0</v>
      </c>
      <c r="AO425" s="1">
        <v>0</v>
      </c>
      <c r="AP425" s="1">
        <v>0</v>
      </c>
      <c r="AQ425" s="24">
        <f t="shared" si="20"/>
        <v>0</v>
      </c>
    </row>
    <row r="426" spans="1:43" ht="17.25" customHeight="1" x14ac:dyDescent="0.45">
      <c r="A426" s="12" t="s">
        <v>200</v>
      </c>
      <c r="B426" s="12" t="s">
        <v>172</v>
      </c>
      <c r="C426" s="12" t="s">
        <v>13</v>
      </c>
      <c r="D426" s="12" t="s">
        <v>66</v>
      </c>
      <c r="E426" s="25">
        <v>1</v>
      </c>
      <c r="F426" s="10">
        <v>2</v>
      </c>
      <c r="G426" s="10">
        <v>0</v>
      </c>
      <c r="H426" s="10">
        <v>0</v>
      </c>
      <c r="I426" s="10">
        <v>0</v>
      </c>
      <c r="J426" s="10">
        <v>0</v>
      </c>
      <c r="K426" s="10">
        <v>0</v>
      </c>
      <c r="L426" s="10">
        <v>0</v>
      </c>
      <c r="M426" s="10">
        <v>0</v>
      </c>
      <c r="N426" s="10">
        <v>0</v>
      </c>
      <c r="O426" s="10">
        <v>0</v>
      </c>
      <c r="P426" s="10">
        <v>0</v>
      </c>
      <c r="Q426" s="26">
        <f t="shared" si="18"/>
        <v>3</v>
      </c>
      <c r="R426" s="25">
        <v>3</v>
      </c>
      <c r="S426" s="10">
        <v>7</v>
      </c>
      <c r="T426" s="10">
        <v>0</v>
      </c>
      <c r="U426" s="10">
        <v>0</v>
      </c>
      <c r="V426" s="10">
        <v>0</v>
      </c>
      <c r="W426" s="10">
        <v>0</v>
      </c>
      <c r="X426" s="10">
        <v>0</v>
      </c>
      <c r="Y426" s="10">
        <v>0</v>
      </c>
      <c r="Z426" s="10">
        <v>0</v>
      </c>
      <c r="AA426" s="10">
        <v>0</v>
      </c>
      <c r="AB426" s="10">
        <v>0</v>
      </c>
      <c r="AC426" s="10">
        <v>0</v>
      </c>
      <c r="AD426" s="26">
        <f t="shared" si="19"/>
        <v>10</v>
      </c>
      <c r="AE426" s="25">
        <v>0</v>
      </c>
      <c r="AF426" s="10">
        <v>0</v>
      </c>
      <c r="AG426" s="10">
        <v>0</v>
      </c>
      <c r="AH426" s="10">
        <v>0</v>
      </c>
      <c r="AI426" s="10">
        <v>0</v>
      </c>
      <c r="AJ426" s="10">
        <v>0</v>
      </c>
      <c r="AK426" s="10">
        <v>0</v>
      </c>
      <c r="AL426" s="10">
        <v>0</v>
      </c>
      <c r="AM426" s="10">
        <v>0</v>
      </c>
      <c r="AN426" s="10">
        <v>0</v>
      </c>
      <c r="AO426" s="10">
        <v>0</v>
      </c>
      <c r="AP426" s="10">
        <v>0</v>
      </c>
      <c r="AQ426" s="26">
        <f t="shared" si="20"/>
        <v>0</v>
      </c>
    </row>
    <row r="427" spans="1:43" ht="17.25" customHeight="1" x14ac:dyDescent="0.45">
      <c r="A427" s="2" t="s">
        <v>200</v>
      </c>
      <c r="B427" s="2" t="s">
        <v>172</v>
      </c>
      <c r="C427" s="2" t="s">
        <v>50</v>
      </c>
      <c r="D427" s="2" t="s">
        <v>66</v>
      </c>
      <c r="E427" s="23">
        <v>0</v>
      </c>
      <c r="F427" s="1">
        <v>0</v>
      </c>
      <c r="G427" s="1">
        <v>0</v>
      </c>
      <c r="H427" s="1">
        <v>0</v>
      </c>
      <c r="I427" s="1">
        <v>10</v>
      </c>
      <c r="J427" s="1">
        <v>0</v>
      </c>
      <c r="K427" s="1">
        <v>0</v>
      </c>
      <c r="L427" s="1">
        <v>0</v>
      </c>
      <c r="M427" s="1">
        <v>1</v>
      </c>
      <c r="N427" s="1">
        <v>0</v>
      </c>
      <c r="O427" s="1">
        <v>0</v>
      </c>
      <c r="P427" s="1">
        <v>0</v>
      </c>
      <c r="Q427" s="24">
        <f t="shared" si="18"/>
        <v>11</v>
      </c>
      <c r="R427" s="23">
        <v>0</v>
      </c>
      <c r="S427" s="1">
        <v>0</v>
      </c>
      <c r="T427" s="1">
        <v>0</v>
      </c>
      <c r="U427" s="1">
        <v>0</v>
      </c>
      <c r="V427" s="1">
        <v>0</v>
      </c>
      <c r="W427" s="1">
        <v>0</v>
      </c>
      <c r="X427" s="1">
        <v>0</v>
      </c>
      <c r="Y427" s="1">
        <v>0</v>
      </c>
      <c r="Z427" s="1">
        <v>0</v>
      </c>
      <c r="AA427" s="1">
        <v>0</v>
      </c>
      <c r="AB427" s="1">
        <v>0</v>
      </c>
      <c r="AC427" s="1">
        <v>0</v>
      </c>
      <c r="AD427" s="24">
        <f t="shared" si="19"/>
        <v>0</v>
      </c>
      <c r="AE427" s="23">
        <v>0</v>
      </c>
      <c r="AF427" s="1">
        <v>0</v>
      </c>
      <c r="AG427" s="1">
        <v>0</v>
      </c>
      <c r="AH427" s="1">
        <v>0</v>
      </c>
      <c r="AI427" s="1">
        <v>7309</v>
      </c>
      <c r="AJ427" s="1">
        <v>0</v>
      </c>
      <c r="AK427" s="1">
        <v>0</v>
      </c>
      <c r="AL427" s="1">
        <v>0</v>
      </c>
      <c r="AM427" s="1">
        <v>16367</v>
      </c>
      <c r="AN427" s="1">
        <v>0</v>
      </c>
      <c r="AO427" s="1">
        <v>0</v>
      </c>
      <c r="AP427" s="1">
        <v>0</v>
      </c>
      <c r="AQ427" s="24">
        <f t="shared" si="20"/>
        <v>23676</v>
      </c>
    </row>
    <row r="428" spans="1:43" ht="17.25" customHeight="1" x14ac:dyDescent="0.45">
      <c r="A428" s="12" t="s">
        <v>200</v>
      </c>
      <c r="B428" s="12" t="s">
        <v>172</v>
      </c>
      <c r="C428" s="12" t="s">
        <v>32</v>
      </c>
      <c r="D428" s="12" t="s">
        <v>66</v>
      </c>
      <c r="E428" s="25">
        <v>0</v>
      </c>
      <c r="F428" s="10">
        <v>0</v>
      </c>
      <c r="G428" s="10">
        <v>0</v>
      </c>
      <c r="H428" s="10">
        <v>0</v>
      </c>
      <c r="I428" s="10">
        <v>0</v>
      </c>
      <c r="J428" s="10">
        <v>0</v>
      </c>
      <c r="K428" s="10">
        <v>0</v>
      </c>
      <c r="L428" s="10">
        <v>0</v>
      </c>
      <c r="M428" s="10">
        <v>0</v>
      </c>
      <c r="N428" s="10">
        <v>0</v>
      </c>
      <c r="O428" s="10">
        <v>1</v>
      </c>
      <c r="P428" s="10">
        <v>0</v>
      </c>
      <c r="Q428" s="26">
        <f t="shared" si="18"/>
        <v>1</v>
      </c>
      <c r="R428" s="25">
        <v>0</v>
      </c>
      <c r="S428" s="10">
        <v>0</v>
      </c>
      <c r="T428" s="10">
        <v>0</v>
      </c>
      <c r="U428" s="10">
        <v>0</v>
      </c>
      <c r="V428" s="10">
        <v>0</v>
      </c>
      <c r="W428" s="10">
        <v>0</v>
      </c>
      <c r="X428" s="10">
        <v>0</v>
      </c>
      <c r="Y428" s="10">
        <v>0</v>
      </c>
      <c r="Z428" s="10">
        <v>0</v>
      </c>
      <c r="AA428" s="10">
        <v>0</v>
      </c>
      <c r="AB428" s="10">
        <v>70</v>
      </c>
      <c r="AC428" s="10">
        <v>0</v>
      </c>
      <c r="AD428" s="26">
        <f t="shared" si="19"/>
        <v>70</v>
      </c>
      <c r="AE428" s="25">
        <v>0</v>
      </c>
      <c r="AF428" s="10">
        <v>0</v>
      </c>
      <c r="AG428" s="10">
        <v>0</v>
      </c>
      <c r="AH428" s="10">
        <v>0</v>
      </c>
      <c r="AI428" s="10">
        <v>0</v>
      </c>
      <c r="AJ428" s="10">
        <v>0</v>
      </c>
      <c r="AK428" s="10">
        <v>0</v>
      </c>
      <c r="AL428" s="10">
        <v>0</v>
      </c>
      <c r="AM428" s="10">
        <v>0</v>
      </c>
      <c r="AN428" s="10">
        <v>0</v>
      </c>
      <c r="AO428" s="10">
        <v>0</v>
      </c>
      <c r="AP428" s="10">
        <v>0</v>
      </c>
      <c r="AQ428" s="26">
        <f t="shared" si="20"/>
        <v>0</v>
      </c>
    </row>
    <row r="429" spans="1:43" ht="17.25" customHeight="1" x14ac:dyDescent="0.45">
      <c r="A429" s="2" t="s">
        <v>200</v>
      </c>
      <c r="B429" s="2" t="s">
        <v>172</v>
      </c>
      <c r="C429" s="2" t="s">
        <v>36</v>
      </c>
      <c r="D429" s="2" t="s">
        <v>66</v>
      </c>
      <c r="E429" s="23">
        <v>0</v>
      </c>
      <c r="F429" s="1">
        <v>0</v>
      </c>
      <c r="G429" s="1">
        <v>0</v>
      </c>
      <c r="H429" s="1">
        <v>2</v>
      </c>
      <c r="I429" s="1">
        <v>3</v>
      </c>
      <c r="J429" s="1">
        <v>0</v>
      </c>
      <c r="K429" s="1">
        <v>0</v>
      </c>
      <c r="L429" s="1">
        <v>0</v>
      </c>
      <c r="M429" s="1">
        <v>0</v>
      </c>
      <c r="N429" s="1">
        <v>0</v>
      </c>
      <c r="O429" s="1">
        <v>0</v>
      </c>
      <c r="P429" s="1">
        <v>0</v>
      </c>
      <c r="Q429" s="24">
        <f t="shared" si="18"/>
        <v>5</v>
      </c>
      <c r="R429" s="23">
        <v>0</v>
      </c>
      <c r="S429" s="1">
        <v>0</v>
      </c>
      <c r="T429" s="1">
        <v>0</v>
      </c>
      <c r="U429" s="1">
        <v>23</v>
      </c>
      <c r="V429" s="1">
        <v>42</v>
      </c>
      <c r="W429" s="1">
        <v>0</v>
      </c>
      <c r="X429" s="1">
        <v>0</v>
      </c>
      <c r="Y429" s="1">
        <v>0</v>
      </c>
      <c r="Z429" s="1">
        <v>0</v>
      </c>
      <c r="AA429" s="1">
        <v>0</v>
      </c>
      <c r="AB429" s="1">
        <v>0</v>
      </c>
      <c r="AC429" s="1">
        <v>0</v>
      </c>
      <c r="AD429" s="24">
        <f t="shared" si="19"/>
        <v>65</v>
      </c>
      <c r="AE429" s="23">
        <v>0</v>
      </c>
      <c r="AF429" s="1">
        <v>0</v>
      </c>
      <c r="AG429" s="1">
        <v>0</v>
      </c>
      <c r="AH429" s="1">
        <v>0</v>
      </c>
      <c r="AI429" s="1">
        <v>0</v>
      </c>
      <c r="AJ429" s="1">
        <v>0</v>
      </c>
      <c r="AK429" s="1">
        <v>0</v>
      </c>
      <c r="AL429" s="1">
        <v>0</v>
      </c>
      <c r="AM429" s="1">
        <v>0</v>
      </c>
      <c r="AN429" s="1">
        <v>0</v>
      </c>
      <c r="AO429" s="1">
        <v>0</v>
      </c>
      <c r="AP429" s="1">
        <v>0</v>
      </c>
      <c r="AQ429" s="24">
        <f t="shared" si="20"/>
        <v>0</v>
      </c>
    </row>
    <row r="430" spans="1:43" ht="17.25" customHeight="1" x14ac:dyDescent="0.45">
      <c r="A430" s="12" t="s">
        <v>154</v>
      </c>
      <c r="B430" s="12" t="s">
        <v>155</v>
      </c>
      <c r="C430" s="12" t="s">
        <v>10</v>
      </c>
      <c r="D430" s="12" t="s">
        <v>66</v>
      </c>
      <c r="E430" s="25">
        <v>0</v>
      </c>
      <c r="F430" s="10">
        <v>0</v>
      </c>
      <c r="G430" s="10">
        <v>0</v>
      </c>
      <c r="H430" s="10">
        <v>0</v>
      </c>
      <c r="I430" s="10">
        <v>0</v>
      </c>
      <c r="J430" s="10">
        <v>0</v>
      </c>
      <c r="K430" s="10">
        <v>0</v>
      </c>
      <c r="L430" s="10">
        <v>0</v>
      </c>
      <c r="M430" s="10">
        <v>0</v>
      </c>
      <c r="N430" s="10">
        <v>0</v>
      </c>
      <c r="O430" s="10">
        <v>1</v>
      </c>
      <c r="P430" s="10">
        <v>0</v>
      </c>
      <c r="Q430" s="26">
        <f t="shared" si="18"/>
        <v>1</v>
      </c>
      <c r="R430" s="25">
        <v>0</v>
      </c>
      <c r="S430" s="10">
        <v>0</v>
      </c>
      <c r="T430" s="10">
        <v>0</v>
      </c>
      <c r="U430" s="10">
        <v>0</v>
      </c>
      <c r="V430" s="10">
        <v>0</v>
      </c>
      <c r="W430" s="10">
        <v>0</v>
      </c>
      <c r="X430" s="10">
        <v>0</v>
      </c>
      <c r="Y430" s="10">
        <v>0</v>
      </c>
      <c r="Z430" s="10">
        <v>0</v>
      </c>
      <c r="AA430" s="10">
        <v>0</v>
      </c>
      <c r="AB430" s="10">
        <v>3</v>
      </c>
      <c r="AC430" s="10">
        <v>0</v>
      </c>
      <c r="AD430" s="26">
        <f t="shared" si="19"/>
        <v>3</v>
      </c>
      <c r="AE430" s="25">
        <v>0</v>
      </c>
      <c r="AF430" s="10">
        <v>0</v>
      </c>
      <c r="AG430" s="10">
        <v>0</v>
      </c>
      <c r="AH430" s="10">
        <v>0</v>
      </c>
      <c r="AI430" s="10">
        <v>0</v>
      </c>
      <c r="AJ430" s="10">
        <v>0</v>
      </c>
      <c r="AK430" s="10">
        <v>0</v>
      </c>
      <c r="AL430" s="10">
        <v>0</v>
      </c>
      <c r="AM430" s="10">
        <v>0</v>
      </c>
      <c r="AN430" s="10">
        <v>0</v>
      </c>
      <c r="AO430" s="10">
        <v>0</v>
      </c>
      <c r="AP430" s="10">
        <v>0</v>
      </c>
      <c r="AQ430" s="26">
        <f t="shared" si="20"/>
        <v>0</v>
      </c>
    </row>
    <row r="431" spans="1:43" ht="17.25" customHeight="1" x14ac:dyDescent="0.45">
      <c r="A431" s="2" t="s">
        <v>154</v>
      </c>
      <c r="B431" s="2" t="s">
        <v>155</v>
      </c>
      <c r="C431" s="2" t="s">
        <v>30</v>
      </c>
      <c r="D431" s="2" t="s">
        <v>66</v>
      </c>
      <c r="E431" s="23">
        <v>0</v>
      </c>
      <c r="F431" s="1">
        <v>0</v>
      </c>
      <c r="G431" s="1">
        <v>0</v>
      </c>
      <c r="H431" s="1">
        <v>0</v>
      </c>
      <c r="I431" s="1">
        <v>0</v>
      </c>
      <c r="J431" s="1">
        <v>0</v>
      </c>
      <c r="K431" s="1">
        <v>0</v>
      </c>
      <c r="L431" s="1">
        <v>0</v>
      </c>
      <c r="M431" s="1">
        <v>2</v>
      </c>
      <c r="N431" s="1">
        <v>0</v>
      </c>
      <c r="O431" s="1">
        <v>0</v>
      </c>
      <c r="P431" s="1">
        <v>0</v>
      </c>
      <c r="Q431" s="24">
        <f t="shared" si="18"/>
        <v>2</v>
      </c>
      <c r="R431" s="23">
        <v>0</v>
      </c>
      <c r="S431" s="1">
        <v>0</v>
      </c>
      <c r="T431" s="1">
        <v>0</v>
      </c>
      <c r="U431" s="1">
        <v>0</v>
      </c>
      <c r="V431" s="1">
        <v>0</v>
      </c>
      <c r="W431" s="1">
        <v>0</v>
      </c>
      <c r="X431" s="1">
        <v>0</v>
      </c>
      <c r="Y431" s="1">
        <v>0</v>
      </c>
      <c r="Z431" s="1">
        <v>0</v>
      </c>
      <c r="AA431" s="1">
        <v>0</v>
      </c>
      <c r="AB431" s="1">
        <v>0</v>
      </c>
      <c r="AC431" s="1">
        <v>0</v>
      </c>
      <c r="AD431" s="24">
        <f t="shared" si="19"/>
        <v>0</v>
      </c>
      <c r="AE431" s="23">
        <v>0</v>
      </c>
      <c r="AF431" s="1">
        <v>0</v>
      </c>
      <c r="AG431" s="1">
        <v>0</v>
      </c>
      <c r="AH431" s="1">
        <v>0</v>
      </c>
      <c r="AI431" s="1">
        <v>0</v>
      </c>
      <c r="AJ431" s="1">
        <v>0</v>
      </c>
      <c r="AK431" s="1">
        <v>0</v>
      </c>
      <c r="AL431" s="1">
        <v>0</v>
      </c>
      <c r="AM431" s="1">
        <v>97183</v>
      </c>
      <c r="AN431" s="1">
        <v>0</v>
      </c>
      <c r="AO431" s="1">
        <v>0</v>
      </c>
      <c r="AP431" s="1">
        <v>0</v>
      </c>
      <c r="AQ431" s="24">
        <f t="shared" si="20"/>
        <v>97183</v>
      </c>
    </row>
    <row r="432" spans="1:43" ht="17.25" customHeight="1" x14ac:dyDescent="0.45">
      <c r="A432" s="12" t="s">
        <v>154</v>
      </c>
      <c r="B432" s="12" t="s">
        <v>155</v>
      </c>
      <c r="C432" s="12" t="s">
        <v>32</v>
      </c>
      <c r="D432" s="12" t="s">
        <v>66</v>
      </c>
      <c r="E432" s="25">
        <v>0</v>
      </c>
      <c r="F432" s="10">
        <v>0</v>
      </c>
      <c r="G432" s="10">
        <v>1</v>
      </c>
      <c r="H432" s="10">
        <v>0</v>
      </c>
      <c r="I432" s="10">
        <v>1</v>
      </c>
      <c r="J432" s="10">
        <v>0</v>
      </c>
      <c r="K432" s="10">
        <v>0</v>
      </c>
      <c r="L432" s="10">
        <v>0</v>
      </c>
      <c r="M432" s="10">
        <v>0</v>
      </c>
      <c r="N432" s="10">
        <v>0</v>
      </c>
      <c r="O432" s="10">
        <v>0</v>
      </c>
      <c r="P432" s="10">
        <v>0</v>
      </c>
      <c r="Q432" s="26">
        <f t="shared" si="18"/>
        <v>2</v>
      </c>
      <c r="R432" s="25">
        <v>0</v>
      </c>
      <c r="S432" s="10">
        <v>0</v>
      </c>
      <c r="T432" s="10">
        <v>5</v>
      </c>
      <c r="U432" s="10">
        <v>0</v>
      </c>
      <c r="V432" s="10">
        <v>15</v>
      </c>
      <c r="W432" s="10">
        <v>0</v>
      </c>
      <c r="X432" s="10">
        <v>0</v>
      </c>
      <c r="Y432" s="10">
        <v>0</v>
      </c>
      <c r="Z432" s="10">
        <v>0</v>
      </c>
      <c r="AA432" s="10">
        <v>0</v>
      </c>
      <c r="AB432" s="10">
        <v>0</v>
      </c>
      <c r="AC432" s="10">
        <v>0</v>
      </c>
      <c r="AD432" s="26">
        <f t="shared" si="19"/>
        <v>20</v>
      </c>
      <c r="AE432" s="25">
        <v>0</v>
      </c>
      <c r="AF432" s="10">
        <v>0</v>
      </c>
      <c r="AG432" s="10">
        <v>0</v>
      </c>
      <c r="AH432" s="10">
        <v>0</v>
      </c>
      <c r="AI432" s="10">
        <v>0</v>
      </c>
      <c r="AJ432" s="10">
        <v>0</v>
      </c>
      <c r="AK432" s="10">
        <v>0</v>
      </c>
      <c r="AL432" s="10">
        <v>0</v>
      </c>
      <c r="AM432" s="10">
        <v>0</v>
      </c>
      <c r="AN432" s="10">
        <v>0</v>
      </c>
      <c r="AO432" s="10">
        <v>0</v>
      </c>
      <c r="AP432" s="10">
        <v>0</v>
      </c>
      <c r="AQ432" s="26">
        <f t="shared" si="20"/>
        <v>0</v>
      </c>
    </row>
    <row r="433" spans="1:43" ht="17.25" customHeight="1" x14ac:dyDescent="0.45">
      <c r="A433" s="2" t="s">
        <v>204</v>
      </c>
      <c r="B433" s="2" t="s">
        <v>68</v>
      </c>
      <c r="C433" s="2" t="s">
        <v>48</v>
      </c>
      <c r="D433" s="2" t="s">
        <v>66</v>
      </c>
      <c r="E433" s="23">
        <v>0</v>
      </c>
      <c r="F433" s="1">
        <v>0</v>
      </c>
      <c r="G433" s="1">
        <v>0</v>
      </c>
      <c r="H433" s="1">
        <v>0</v>
      </c>
      <c r="I433" s="1">
        <v>0</v>
      </c>
      <c r="J433" s="1">
        <v>2</v>
      </c>
      <c r="K433" s="1">
        <v>0</v>
      </c>
      <c r="L433" s="1">
        <v>0</v>
      </c>
      <c r="M433" s="1">
        <v>0</v>
      </c>
      <c r="N433" s="1">
        <v>0</v>
      </c>
      <c r="O433" s="1">
        <v>0</v>
      </c>
      <c r="P433" s="1">
        <v>0</v>
      </c>
      <c r="Q433" s="24">
        <f t="shared" si="18"/>
        <v>2</v>
      </c>
      <c r="R433" s="23">
        <v>0</v>
      </c>
      <c r="S433" s="1">
        <v>0</v>
      </c>
      <c r="T433" s="1">
        <v>0</v>
      </c>
      <c r="U433" s="1">
        <v>0</v>
      </c>
      <c r="V433" s="1">
        <v>0</v>
      </c>
      <c r="W433" s="1">
        <v>273</v>
      </c>
      <c r="X433" s="1">
        <v>0</v>
      </c>
      <c r="Y433" s="1">
        <v>0</v>
      </c>
      <c r="Z433" s="1">
        <v>0</v>
      </c>
      <c r="AA433" s="1">
        <v>0</v>
      </c>
      <c r="AB433" s="1">
        <v>0</v>
      </c>
      <c r="AC433" s="1">
        <v>0</v>
      </c>
      <c r="AD433" s="24">
        <f t="shared" si="19"/>
        <v>273</v>
      </c>
      <c r="AE433" s="23">
        <v>0</v>
      </c>
      <c r="AF433" s="1">
        <v>0</v>
      </c>
      <c r="AG433" s="1">
        <v>0</v>
      </c>
      <c r="AH433" s="1">
        <v>0</v>
      </c>
      <c r="AI433" s="1">
        <v>0</v>
      </c>
      <c r="AJ433" s="1">
        <v>0</v>
      </c>
      <c r="AK433" s="1">
        <v>0</v>
      </c>
      <c r="AL433" s="1">
        <v>0</v>
      </c>
      <c r="AM433" s="1">
        <v>0</v>
      </c>
      <c r="AN433" s="1">
        <v>0</v>
      </c>
      <c r="AO433" s="1">
        <v>0</v>
      </c>
      <c r="AP433" s="1">
        <v>0</v>
      </c>
      <c r="AQ433" s="24">
        <f t="shared" si="20"/>
        <v>0</v>
      </c>
    </row>
    <row r="434" spans="1:43" ht="17.25" customHeight="1" x14ac:dyDescent="0.45">
      <c r="A434" s="12" t="s">
        <v>14</v>
      </c>
      <c r="B434" s="12" t="s">
        <v>66</v>
      </c>
      <c r="C434" s="12" t="s">
        <v>76</v>
      </c>
      <c r="D434" s="12" t="s">
        <v>68</v>
      </c>
      <c r="E434" s="25">
        <v>4</v>
      </c>
      <c r="F434" s="10">
        <v>1</v>
      </c>
      <c r="G434" s="10">
        <v>3</v>
      </c>
      <c r="H434" s="10">
        <v>1</v>
      </c>
      <c r="I434" s="10">
        <v>3</v>
      </c>
      <c r="J434" s="10">
        <v>1</v>
      </c>
      <c r="K434" s="10">
        <v>0</v>
      </c>
      <c r="L434" s="10">
        <v>2</v>
      </c>
      <c r="M434" s="10">
        <v>1</v>
      </c>
      <c r="N434" s="10">
        <v>1</v>
      </c>
      <c r="O434" s="10">
        <v>0</v>
      </c>
      <c r="P434" s="10">
        <v>1</v>
      </c>
      <c r="Q434" s="26">
        <f t="shared" si="18"/>
        <v>18</v>
      </c>
      <c r="R434" s="25">
        <v>0</v>
      </c>
      <c r="S434" s="10">
        <v>0</v>
      </c>
      <c r="T434" s="10">
        <v>0</v>
      </c>
      <c r="U434" s="10">
        <v>0</v>
      </c>
      <c r="V434" s="10">
        <v>0</v>
      </c>
      <c r="W434" s="10">
        <v>0</v>
      </c>
      <c r="X434" s="10">
        <v>0</v>
      </c>
      <c r="Y434" s="10">
        <v>0</v>
      </c>
      <c r="Z434" s="10">
        <v>0</v>
      </c>
      <c r="AA434" s="10">
        <v>0</v>
      </c>
      <c r="AB434" s="10">
        <v>0</v>
      </c>
      <c r="AC434" s="10">
        <v>0</v>
      </c>
      <c r="AD434" s="26">
        <f t="shared" si="19"/>
        <v>0</v>
      </c>
      <c r="AE434" s="25">
        <v>4242</v>
      </c>
      <c r="AF434" s="10">
        <v>1039</v>
      </c>
      <c r="AG434" s="10">
        <v>4212</v>
      </c>
      <c r="AH434" s="10">
        <v>1866</v>
      </c>
      <c r="AI434" s="10">
        <v>6252</v>
      </c>
      <c r="AJ434" s="10">
        <v>3178</v>
      </c>
      <c r="AK434" s="10">
        <v>0</v>
      </c>
      <c r="AL434" s="10">
        <v>4032</v>
      </c>
      <c r="AM434" s="10">
        <v>2742</v>
      </c>
      <c r="AN434" s="10">
        <v>2951</v>
      </c>
      <c r="AO434" s="10">
        <v>0</v>
      </c>
      <c r="AP434" s="10">
        <v>2387</v>
      </c>
      <c r="AQ434" s="26">
        <f t="shared" si="20"/>
        <v>32901</v>
      </c>
    </row>
    <row r="435" spans="1:43" ht="17.25" customHeight="1" x14ac:dyDescent="0.45">
      <c r="A435" s="2" t="s">
        <v>14</v>
      </c>
      <c r="B435" s="2" t="s">
        <v>66</v>
      </c>
      <c r="C435" s="2" t="s">
        <v>77</v>
      </c>
      <c r="D435" s="2" t="s">
        <v>68</v>
      </c>
      <c r="E435" s="23">
        <v>1</v>
      </c>
      <c r="F435" s="1">
        <v>0</v>
      </c>
      <c r="G435" s="1">
        <v>0</v>
      </c>
      <c r="H435" s="1">
        <v>0</v>
      </c>
      <c r="I435" s="1">
        <v>0</v>
      </c>
      <c r="J435" s="1">
        <v>0</v>
      </c>
      <c r="K435" s="1">
        <v>0</v>
      </c>
      <c r="L435" s="1">
        <v>0</v>
      </c>
      <c r="M435" s="1">
        <v>0</v>
      </c>
      <c r="N435" s="1">
        <v>0</v>
      </c>
      <c r="O435" s="1">
        <v>0</v>
      </c>
      <c r="P435" s="1">
        <v>0</v>
      </c>
      <c r="Q435" s="24">
        <f t="shared" si="18"/>
        <v>1</v>
      </c>
      <c r="R435" s="23">
        <v>0</v>
      </c>
      <c r="S435" s="1">
        <v>0</v>
      </c>
      <c r="T435" s="1">
        <v>0</v>
      </c>
      <c r="U435" s="1">
        <v>0</v>
      </c>
      <c r="V435" s="1">
        <v>0</v>
      </c>
      <c r="W435" s="1">
        <v>0</v>
      </c>
      <c r="X435" s="1">
        <v>0</v>
      </c>
      <c r="Y435" s="1">
        <v>0</v>
      </c>
      <c r="Z435" s="1">
        <v>0</v>
      </c>
      <c r="AA435" s="1">
        <v>0</v>
      </c>
      <c r="AB435" s="1">
        <v>0</v>
      </c>
      <c r="AC435" s="1">
        <v>0</v>
      </c>
      <c r="AD435" s="24">
        <f t="shared" si="19"/>
        <v>0</v>
      </c>
      <c r="AE435" s="23">
        <v>1045</v>
      </c>
      <c r="AF435" s="1">
        <v>0</v>
      </c>
      <c r="AG435" s="1">
        <v>0</v>
      </c>
      <c r="AH435" s="1">
        <v>0</v>
      </c>
      <c r="AI435" s="1">
        <v>0</v>
      </c>
      <c r="AJ435" s="1">
        <v>0</v>
      </c>
      <c r="AK435" s="1">
        <v>0</v>
      </c>
      <c r="AL435" s="1">
        <v>0</v>
      </c>
      <c r="AM435" s="1">
        <v>0</v>
      </c>
      <c r="AN435" s="1">
        <v>0</v>
      </c>
      <c r="AO435" s="1">
        <v>0</v>
      </c>
      <c r="AP435" s="1">
        <v>0</v>
      </c>
      <c r="AQ435" s="24">
        <f t="shared" si="20"/>
        <v>1045</v>
      </c>
    </row>
    <row r="436" spans="1:43" ht="17.25" customHeight="1" x14ac:dyDescent="0.45">
      <c r="A436" s="12" t="s">
        <v>14</v>
      </c>
      <c r="B436" s="12" t="s">
        <v>66</v>
      </c>
      <c r="C436" s="12" t="s">
        <v>325</v>
      </c>
      <c r="D436" s="12" t="s">
        <v>87</v>
      </c>
      <c r="E436" s="25">
        <v>0</v>
      </c>
      <c r="F436" s="10">
        <v>0</v>
      </c>
      <c r="G436" s="10">
        <v>0</v>
      </c>
      <c r="H436" s="10">
        <v>0</v>
      </c>
      <c r="I436" s="10">
        <v>0</v>
      </c>
      <c r="J436" s="10">
        <v>0</v>
      </c>
      <c r="K436" s="10">
        <v>0</v>
      </c>
      <c r="L436" s="10">
        <v>0</v>
      </c>
      <c r="M436" s="10">
        <v>0</v>
      </c>
      <c r="N436" s="10">
        <v>0</v>
      </c>
      <c r="O436" s="10">
        <v>1</v>
      </c>
      <c r="P436" s="10">
        <v>0</v>
      </c>
      <c r="Q436" s="26">
        <f t="shared" si="18"/>
        <v>1</v>
      </c>
      <c r="R436" s="25">
        <v>0</v>
      </c>
      <c r="S436" s="10">
        <v>0</v>
      </c>
      <c r="T436" s="10">
        <v>0</v>
      </c>
      <c r="U436" s="10">
        <v>0</v>
      </c>
      <c r="V436" s="10">
        <v>0</v>
      </c>
      <c r="W436" s="10">
        <v>0</v>
      </c>
      <c r="X436" s="10">
        <v>0</v>
      </c>
      <c r="Y436" s="10">
        <v>0</v>
      </c>
      <c r="Z436" s="10">
        <v>0</v>
      </c>
      <c r="AA436" s="10">
        <v>0</v>
      </c>
      <c r="AB436" s="10">
        <v>0</v>
      </c>
      <c r="AC436" s="10">
        <v>0</v>
      </c>
      <c r="AD436" s="26">
        <f t="shared" si="19"/>
        <v>0</v>
      </c>
      <c r="AE436" s="25">
        <v>0</v>
      </c>
      <c r="AF436" s="10">
        <v>0</v>
      </c>
      <c r="AG436" s="10">
        <v>0</v>
      </c>
      <c r="AH436" s="10">
        <v>0</v>
      </c>
      <c r="AI436" s="10">
        <v>0</v>
      </c>
      <c r="AJ436" s="10">
        <v>0</v>
      </c>
      <c r="AK436" s="10">
        <v>0</v>
      </c>
      <c r="AL436" s="10">
        <v>0</v>
      </c>
      <c r="AM436" s="10">
        <v>0</v>
      </c>
      <c r="AN436" s="10">
        <v>0</v>
      </c>
      <c r="AO436" s="10">
        <v>2385</v>
      </c>
      <c r="AP436" s="10">
        <v>0</v>
      </c>
      <c r="AQ436" s="26">
        <f t="shared" si="20"/>
        <v>2385</v>
      </c>
    </row>
    <row r="437" spans="1:43" ht="17.25" customHeight="1" x14ac:dyDescent="0.45">
      <c r="A437" s="2" t="s">
        <v>14</v>
      </c>
      <c r="B437" s="2" t="s">
        <v>66</v>
      </c>
      <c r="C437" s="2" t="s">
        <v>282</v>
      </c>
      <c r="D437" s="2" t="s">
        <v>68</v>
      </c>
      <c r="E437" s="23">
        <v>0</v>
      </c>
      <c r="F437" s="1">
        <v>0</v>
      </c>
      <c r="G437" s="1">
        <v>0</v>
      </c>
      <c r="H437" s="1">
        <v>1</v>
      </c>
      <c r="I437" s="1">
        <v>0</v>
      </c>
      <c r="J437" s="1">
        <v>0</v>
      </c>
      <c r="K437" s="1">
        <v>0</v>
      </c>
      <c r="L437" s="1">
        <v>0</v>
      </c>
      <c r="M437" s="1">
        <v>0</v>
      </c>
      <c r="N437" s="1">
        <v>0</v>
      </c>
      <c r="O437" s="1">
        <v>0</v>
      </c>
      <c r="P437" s="1">
        <v>0</v>
      </c>
      <c r="Q437" s="24">
        <f t="shared" si="18"/>
        <v>1</v>
      </c>
      <c r="R437" s="23">
        <v>0</v>
      </c>
      <c r="S437" s="1">
        <v>0</v>
      </c>
      <c r="T437" s="1">
        <v>0</v>
      </c>
      <c r="U437" s="1">
        <v>53</v>
      </c>
      <c r="V437" s="1">
        <v>0</v>
      </c>
      <c r="W437" s="1">
        <v>0</v>
      </c>
      <c r="X437" s="1">
        <v>0</v>
      </c>
      <c r="Y437" s="1">
        <v>0</v>
      </c>
      <c r="Z437" s="1">
        <v>0</v>
      </c>
      <c r="AA437" s="1">
        <v>0</v>
      </c>
      <c r="AB437" s="1">
        <v>0</v>
      </c>
      <c r="AC437" s="1">
        <v>0</v>
      </c>
      <c r="AD437" s="24">
        <f t="shared" si="19"/>
        <v>53</v>
      </c>
      <c r="AE437" s="23">
        <v>0</v>
      </c>
      <c r="AF437" s="1">
        <v>0</v>
      </c>
      <c r="AG437" s="1">
        <v>0</v>
      </c>
      <c r="AH437" s="1">
        <v>0</v>
      </c>
      <c r="AI437" s="1">
        <v>0</v>
      </c>
      <c r="AJ437" s="1">
        <v>0</v>
      </c>
      <c r="AK437" s="1">
        <v>0</v>
      </c>
      <c r="AL437" s="1">
        <v>0</v>
      </c>
      <c r="AM437" s="1">
        <v>0</v>
      </c>
      <c r="AN437" s="1">
        <v>0</v>
      </c>
      <c r="AO437" s="1">
        <v>0</v>
      </c>
      <c r="AP437" s="1">
        <v>0</v>
      </c>
      <c r="AQ437" s="24">
        <f t="shared" si="20"/>
        <v>0</v>
      </c>
    </row>
    <row r="438" spans="1:43" ht="17.25" customHeight="1" x14ac:dyDescent="0.45">
      <c r="A438" s="12" t="s">
        <v>14</v>
      </c>
      <c r="B438" s="12" t="s">
        <v>66</v>
      </c>
      <c r="C438" s="12" t="s">
        <v>86</v>
      </c>
      <c r="D438" s="12" t="s">
        <v>87</v>
      </c>
      <c r="E438" s="25">
        <v>0</v>
      </c>
      <c r="F438" s="10">
        <v>0</v>
      </c>
      <c r="G438" s="10">
        <v>0</v>
      </c>
      <c r="H438" s="10">
        <v>0</v>
      </c>
      <c r="I438" s="10">
        <v>1</v>
      </c>
      <c r="J438" s="10">
        <v>0</v>
      </c>
      <c r="K438" s="10">
        <v>0</v>
      </c>
      <c r="L438" s="10">
        <v>0</v>
      </c>
      <c r="M438" s="10">
        <v>0</v>
      </c>
      <c r="N438" s="10">
        <v>1</v>
      </c>
      <c r="O438" s="10">
        <v>0</v>
      </c>
      <c r="P438" s="10">
        <v>0</v>
      </c>
      <c r="Q438" s="26">
        <f t="shared" si="18"/>
        <v>2</v>
      </c>
      <c r="R438" s="25">
        <v>0</v>
      </c>
      <c r="S438" s="10">
        <v>0</v>
      </c>
      <c r="T438" s="10">
        <v>0</v>
      </c>
      <c r="U438" s="10">
        <v>0</v>
      </c>
      <c r="V438" s="10">
        <v>70</v>
      </c>
      <c r="W438" s="10">
        <v>0</v>
      </c>
      <c r="X438" s="10">
        <v>0</v>
      </c>
      <c r="Y438" s="10">
        <v>0</v>
      </c>
      <c r="Z438" s="10">
        <v>0</v>
      </c>
      <c r="AA438" s="10">
        <v>0</v>
      </c>
      <c r="AB438" s="10">
        <v>0</v>
      </c>
      <c r="AC438" s="10">
        <v>0</v>
      </c>
      <c r="AD438" s="26">
        <f t="shared" si="19"/>
        <v>70</v>
      </c>
      <c r="AE438" s="25">
        <v>0</v>
      </c>
      <c r="AF438" s="10">
        <v>0</v>
      </c>
      <c r="AG438" s="10">
        <v>0</v>
      </c>
      <c r="AH438" s="10">
        <v>0</v>
      </c>
      <c r="AI438" s="10">
        <v>0</v>
      </c>
      <c r="AJ438" s="10">
        <v>0</v>
      </c>
      <c r="AK438" s="10">
        <v>0</v>
      </c>
      <c r="AL438" s="10">
        <v>0</v>
      </c>
      <c r="AM438" s="10">
        <v>0</v>
      </c>
      <c r="AN438" s="10">
        <v>17839</v>
      </c>
      <c r="AO438" s="10">
        <v>0</v>
      </c>
      <c r="AP438" s="10">
        <v>0</v>
      </c>
      <c r="AQ438" s="26">
        <f t="shared" si="20"/>
        <v>17839</v>
      </c>
    </row>
    <row r="439" spans="1:43" ht="17.25" customHeight="1" x14ac:dyDescent="0.45">
      <c r="A439" s="2" t="s">
        <v>14</v>
      </c>
      <c r="B439" s="2" t="s">
        <v>66</v>
      </c>
      <c r="C439" s="2" t="s">
        <v>92</v>
      </c>
      <c r="D439" s="2" t="s">
        <v>93</v>
      </c>
      <c r="E439" s="23">
        <v>0</v>
      </c>
      <c r="F439" s="1">
        <v>0</v>
      </c>
      <c r="G439" s="1">
        <v>0</v>
      </c>
      <c r="H439" s="1">
        <v>0</v>
      </c>
      <c r="I439" s="1">
        <v>0</v>
      </c>
      <c r="J439" s="1">
        <v>0</v>
      </c>
      <c r="K439" s="1">
        <v>0</v>
      </c>
      <c r="L439" s="1">
        <v>2</v>
      </c>
      <c r="M439" s="1">
        <v>1</v>
      </c>
      <c r="N439" s="1">
        <v>0</v>
      </c>
      <c r="O439" s="1">
        <v>0</v>
      </c>
      <c r="P439" s="1">
        <v>1</v>
      </c>
      <c r="Q439" s="24">
        <f t="shared" si="18"/>
        <v>4</v>
      </c>
      <c r="R439" s="23">
        <v>0</v>
      </c>
      <c r="S439" s="1">
        <v>0</v>
      </c>
      <c r="T439" s="1">
        <v>0</v>
      </c>
      <c r="U439" s="1">
        <v>0</v>
      </c>
      <c r="V439" s="1">
        <v>0</v>
      </c>
      <c r="W439" s="1">
        <v>0</v>
      </c>
      <c r="X439" s="1">
        <v>0</v>
      </c>
      <c r="Y439" s="1">
        <v>0</v>
      </c>
      <c r="Z439" s="1">
        <v>0</v>
      </c>
      <c r="AA439" s="1">
        <v>0</v>
      </c>
      <c r="AB439" s="1">
        <v>0</v>
      </c>
      <c r="AC439" s="1">
        <v>0</v>
      </c>
      <c r="AD439" s="24">
        <f t="shared" si="19"/>
        <v>0</v>
      </c>
      <c r="AE439" s="23">
        <v>0</v>
      </c>
      <c r="AF439" s="1">
        <v>0</v>
      </c>
      <c r="AG439" s="1">
        <v>0</v>
      </c>
      <c r="AH439" s="1">
        <v>0</v>
      </c>
      <c r="AI439" s="1">
        <v>0</v>
      </c>
      <c r="AJ439" s="1">
        <v>0</v>
      </c>
      <c r="AK439" s="1">
        <v>0</v>
      </c>
      <c r="AL439" s="1">
        <v>43427</v>
      </c>
      <c r="AM439" s="1">
        <v>39837</v>
      </c>
      <c r="AN439" s="1">
        <v>0</v>
      </c>
      <c r="AO439" s="1">
        <v>0</v>
      </c>
      <c r="AP439" s="1">
        <v>45500</v>
      </c>
      <c r="AQ439" s="24">
        <f t="shared" si="20"/>
        <v>128764</v>
      </c>
    </row>
    <row r="440" spans="1:43" ht="17.25" customHeight="1" x14ac:dyDescent="0.45">
      <c r="A440" s="12" t="s">
        <v>14</v>
      </c>
      <c r="B440" s="12" t="s">
        <v>66</v>
      </c>
      <c r="C440" s="12" t="s">
        <v>197</v>
      </c>
      <c r="D440" s="12" t="s">
        <v>89</v>
      </c>
      <c r="E440" s="25">
        <v>0</v>
      </c>
      <c r="F440" s="10">
        <v>0</v>
      </c>
      <c r="G440" s="10">
        <v>0</v>
      </c>
      <c r="H440" s="10">
        <v>0</v>
      </c>
      <c r="I440" s="10">
        <v>0</v>
      </c>
      <c r="J440" s="10">
        <v>0</v>
      </c>
      <c r="K440" s="10">
        <v>0</v>
      </c>
      <c r="L440" s="10">
        <v>0</v>
      </c>
      <c r="M440" s="10">
        <v>0</v>
      </c>
      <c r="N440" s="10">
        <v>4</v>
      </c>
      <c r="O440" s="10">
        <v>6</v>
      </c>
      <c r="P440" s="10">
        <v>0</v>
      </c>
      <c r="Q440" s="26">
        <f t="shared" si="18"/>
        <v>10</v>
      </c>
      <c r="R440" s="25">
        <v>0</v>
      </c>
      <c r="S440" s="10">
        <v>0</v>
      </c>
      <c r="T440" s="10">
        <v>0</v>
      </c>
      <c r="U440" s="10">
        <v>0</v>
      </c>
      <c r="V440" s="10">
        <v>0</v>
      </c>
      <c r="W440" s="10">
        <v>0</v>
      </c>
      <c r="X440" s="10">
        <v>0</v>
      </c>
      <c r="Y440" s="10">
        <v>0</v>
      </c>
      <c r="Z440" s="10">
        <v>0</v>
      </c>
      <c r="AA440" s="10">
        <v>0</v>
      </c>
      <c r="AB440" s="10">
        <v>0</v>
      </c>
      <c r="AC440" s="10">
        <v>0</v>
      </c>
      <c r="AD440" s="26">
        <f t="shared" si="19"/>
        <v>0</v>
      </c>
      <c r="AE440" s="25">
        <v>0</v>
      </c>
      <c r="AF440" s="10">
        <v>0</v>
      </c>
      <c r="AG440" s="10">
        <v>0</v>
      </c>
      <c r="AH440" s="10">
        <v>0</v>
      </c>
      <c r="AI440" s="10">
        <v>0</v>
      </c>
      <c r="AJ440" s="10">
        <v>0</v>
      </c>
      <c r="AK440" s="10">
        <v>0</v>
      </c>
      <c r="AL440" s="10">
        <v>0</v>
      </c>
      <c r="AM440" s="10">
        <v>0</v>
      </c>
      <c r="AN440" s="10">
        <v>92875</v>
      </c>
      <c r="AO440" s="10">
        <v>120916</v>
      </c>
      <c r="AP440" s="10">
        <v>0</v>
      </c>
      <c r="AQ440" s="26">
        <f t="shared" si="20"/>
        <v>213791</v>
      </c>
    </row>
    <row r="441" spans="1:43" ht="17.25" customHeight="1" x14ac:dyDescent="0.45">
      <c r="A441" s="2" t="s">
        <v>14</v>
      </c>
      <c r="B441" s="2" t="s">
        <v>66</v>
      </c>
      <c r="C441" s="2" t="s">
        <v>323</v>
      </c>
      <c r="D441" s="2" t="s">
        <v>68</v>
      </c>
      <c r="E441" s="23">
        <v>0</v>
      </c>
      <c r="F441" s="1">
        <v>0</v>
      </c>
      <c r="G441" s="1">
        <v>0</v>
      </c>
      <c r="H441" s="1">
        <v>0</v>
      </c>
      <c r="I441" s="1">
        <v>0</v>
      </c>
      <c r="J441" s="1">
        <v>0</v>
      </c>
      <c r="K441" s="1">
        <v>0</v>
      </c>
      <c r="L441" s="1">
        <v>0</v>
      </c>
      <c r="M441" s="1">
        <v>1</v>
      </c>
      <c r="N441" s="1">
        <v>0</v>
      </c>
      <c r="O441" s="1">
        <v>0</v>
      </c>
      <c r="P441" s="1">
        <v>0</v>
      </c>
      <c r="Q441" s="24">
        <f t="shared" si="18"/>
        <v>1</v>
      </c>
      <c r="R441" s="23">
        <v>0</v>
      </c>
      <c r="S441" s="1">
        <v>0</v>
      </c>
      <c r="T441" s="1">
        <v>0</v>
      </c>
      <c r="U441" s="1">
        <v>0</v>
      </c>
      <c r="V441" s="1">
        <v>0</v>
      </c>
      <c r="W441" s="1">
        <v>0</v>
      </c>
      <c r="X441" s="1">
        <v>0</v>
      </c>
      <c r="Y441" s="1">
        <v>0</v>
      </c>
      <c r="Z441" s="1">
        <v>0</v>
      </c>
      <c r="AA441" s="1">
        <v>0</v>
      </c>
      <c r="AB441" s="1">
        <v>0</v>
      </c>
      <c r="AC441" s="1">
        <v>0</v>
      </c>
      <c r="AD441" s="24">
        <f t="shared" si="19"/>
        <v>0</v>
      </c>
      <c r="AE441" s="23">
        <v>0</v>
      </c>
      <c r="AF441" s="1">
        <v>0</v>
      </c>
      <c r="AG441" s="1">
        <v>0</v>
      </c>
      <c r="AH441" s="1">
        <v>0</v>
      </c>
      <c r="AI441" s="1">
        <v>0</v>
      </c>
      <c r="AJ441" s="1">
        <v>0</v>
      </c>
      <c r="AK441" s="1">
        <v>0</v>
      </c>
      <c r="AL441" s="1">
        <v>0</v>
      </c>
      <c r="AM441" s="1">
        <v>2062</v>
      </c>
      <c r="AN441" s="1">
        <v>0</v>
      </c>
      <c r="AO441" s="1">
        <v>0</v>
      </c>
      <c r="AP441" s="1">
        <v>0</v>
      </c>
      <c r="AQ441" s="24">
        <f t="shared" si="20"/>
        <v>2062</v>
      </c>
    </row>
    <row r="442" spans="1:43" ht="17.25" customHeight="1" x14ac:dyDescent="0.45">
      <c r="A442" s="12" t="s">
        <v>14</v>
      </c>
      <c r="B442" s="12" t="s">
        <v>66</v>
      </c>
      <c r="C442" s="12" t="s">
        <v>72</v>
      </c>
      <c r="D442" s="12" t="s">
        <v>68</v>
      </c>
      <c r="E442" s="25">
        <v>0</v>
      </c>
      <c r="F442" s="10">
        <v>0</v>
      </c>
      <c r="G442" s="10">
        <v>0</v>
      </c>
      <c r="H442" s="10">
        <v>1</v>
      </c>
      <c r="I442" s="10">
        <v>1</v>
      </c>
      <c r="J442" s="10">
        <v>0</v>
      </c>
      <c r="K442" s="10">
        <v>0</v>
      </c>
      <c r="L442" s="10">
        <v>0</v>
      </c>
      <c r="M442" s="10">
        <v>0</v>
      </c>
      <c r="N442" s="10">
        <v>0</v>
      </c>
      <c r="O442" s="10">
        <v>0</v>
      </c>
      <c r="P442" s="10">
        <v>0</v>
      </c>
      <c r="Q442" s="26">
        <f t="shared" si="18"/>
        <v>2</v>
      </c>
      <c r="R442" s="25">
        <v>0</v>
      </c>
      <c r="S442" s="10">
        <v>0</v>
      </c>
      <c r="T442" s="10">
        <v>0</v>
      </c>
      <c r="U442" s="10">
        <v>0</v>
      </c>
      <c r="V442" s="10">
        <v>0</v>
      </c>
      <c r="W442" s="10">
        <v>0</v>
      </c>
      <c r="X442" s="10">
        <v>0</v>
      </c>
      <c r="Y442" s="10">
        <v>0</v>
      </c>
      <c r="Z442" s="10">
        <v>0</v>
      </c>
      <c r="AA442" s="10">
        <v>0</v>
      </c>
      <c r="AB442" s="10">
        <v>0</v>
      </c>
      <c r="AC442" s="10">
        <v>0</v>
      </c>
      <c r="AD442" s="26">
        <f t="shared" si="19"/>
        <v>0</v>
      </c>
      <c r="AE442" s="25">
        <v>0</v>
      </c>
      <c r="AF442" s="10">
        <v>0</v>
      </c>
      <c r="AG442" s="10">
        <v>0</v>
      </c>
      <c r="AH442" s="10">
        <v>1065</v>
      </c>
      <c r="AI442" s="10">
        <v>2493</v>
      </c>
      <c r="AJ442" s="10">
        <v>0</v>
      </c>
      <c r="AK442" s="10">
        <v>0</v>
      </c>
      <c r="AL442" s="10">
        <v>0</v>
      </c>
      <c r="AM442" s="10">
        <v>0</v>
      </c>
      <c r="AN442" s="10">
        <v>0</v>
      </c>
      <c r="AO442" s="10">
        <v>0</v>
      </c>
      <c r="AP442" s="10">
        <v>0</v>
      </c>
      <c r="AQ442" s="26">
        <f t="shared" si="20"/>
        <v>3558</v>
      </c>
    </row>
    <row r="443" spans="1:43" ht="17.25" customHeight="1" x14ac:dyDescent="0.45">
      <c r="A443" s="2" t="s">
        <v>14</v>
      </c>
      <c r="B443" s="2" t="s">
        <v>66</v>
      </c>
      <c r="C443" s="2" t="s">
        <v>259</v>
      </c>
      <c r="D443" s="2" t="s">
        <v>68</v>
      </c>
      <c r="E443" s="23">
        <v>0</v>
      </c>
      <c r="F443" s="1">
        <v>0</v>
      </c>
      <c r="G443" s="1">
        <v>0</v>
      </c>
      <c r="H443" s="1">
        <v>0</v>
      </c>
      <c r="I443" s="1">
        <v>0</v>
      </c>
      <c r="J443" s="1">
        <v>1</v>
      </c>
      <c r="K443" s="1">
        <v>0</v>
      </c>
      <c r="L443" s="1">
        <v>0</v>
      </c>
      <c r="M443" s="1">
        <v>0</v>
      </c>
      <c r="N443" s="1">
        <v>0</v>
      </c>
      <c r="O443" s="1">
        <v>0</v>
      </c>
      <c r="P443" s="1">
        <v>0</v>
      </c>
      <c r="Q443" s="24">
        <f t="shared" si="18"/>
        <v>1</v>
      </c>
      <c r="R443" s="23">
        <v>0</v>
      </c>
      <c r="S443" s="1">
        <v>0</v>
      </c>
      <c r="T443" s="1">
        <v>0</v>
      </c>
      <c r="U443" s="1">
        <v>0</v>
      </c>
      <c r="V443" s="1">
        <v>0</v>
      </c>
      <c r="W443" s="1">
        <v>57</v>
      </c>
      <c r="X443" s="1">
        <v>0</v>
      </c>
      <c r="Y443" s="1">
        <v>0</v>
      </c>
      <c r="Z443" s="1">
        <v>0</v>
      </c>
      <c r="AA443" s="1">
        <v>0</v>
      </c>
      <c r="AB443" s="1">
        <v>0</v>
      </c>
      <c r="AC443" s="1">
        <v>0</v>
      </c>
      <c r="AD443" s="24">
        <f t="shared" si="19"/>
        <v>57</v>
      </c>
      <c r="AE443" s="23">
        <v>0</v>
      </c>
      <c r="AF443" s="1">
        <v>0</v>
      </c>
      <c r="AG443" s="1">
        <v>0</v>
      </c>
      <c r="AH443" s="1">
        <v>0</v>
      </c>
      <c r="AI443" s="1">
        <v>0</v>
      </c>
      <c r="AJ443" s="1">
        <v>0</v>
      </c>
      <c r="AK443" s="1">
        <v>0</v>
      </c>
      <c r="AL443" s="1">
        <v>0</v>
      </c>
      <c r="AM443" s="1">
        <v>0</v>
      </c>
      <c r="AN443" s="1">
        <v>0</v>
      </c>
      <c r="AO443" s="1">
        <v>0</v>
      </c>
      <c r="AP443" s="1">
        <v>0</v>
      </c>
      <c r="AQ443" s="24">
        <f t="shared" si="20"/>
        <v>0</v>
      </c>
    </row>
    <row r="444" spans="1:43" ht="17.25" customHeight="1" x14ac:dyDescent="0.45">
      <c r="A444" s="12" t="s">
        <v>14</v>
      </c>
      <c r="B444" s="12" t="s">
        <v>66</v>
      </c>
      <c r="C444" s="12" t="s">
        <v>67</v>
      </c>
      <c r="D444" s="12" t="s">
        <v>68</v>
      </c>
      <c r="E444" s="25">
        <v>0</v>
      </c>
      <c r="F444" s="10">
        <v>0</v>
      </c>
      <c r="G444" s="10">
        <v>0</v>
      </c>
      <c r="H444" s="10">
        <v>0</v>
      </c>
      <c r="I444" s="10">
        <v>0</v>
      </c>
      <c r="J444" s="10">
        <v>0</v>
      </c>
      <c r="K444" s="10">
        <v>0</v>
      </c>
      <c r="L444" s="10">
        <v>0</v>
      </c>
      <c r="M444" s="10">
        <v>0</v>
      </c>
      <c r="N444" s="10">
        <v>0</v>
      </c>
      <c r="O444" s="10">
        <v>0</v>
      </c>
      <c r="P444" s="10">
        <v>1</v>
      </c>
      <c r="Q444" s="26">
        <f t="shared" si="18"/>
        <v>1</v>
      </c>
      <c r="R444" s="25">
        <v>0</v>
      </c>
      <c r="S444" s="10">
        <v>0</v>
      </c>
      <c r="T444" s="10">
        <v>0</v>
      </c>
      <c r="U444" s="10">
        <v>0</v>
      </c>
      <c r="V444" s="10">
        <v>0</v>
      </c>
      <c r="W444" s="10">
        <v>0</v>
      </c>
      <c r="X444" s="10">
        <v>0</v>
      </c>
      <c r="Y444" s="10">
        <v>0</v>
      </c>
      <c r="Z444" s="10">
        <v>0</v>
      </c>
      <c r="AA444" s="10">
        <v>0</v>
      </c>
      <c r="AB444" s="10">
        <v>0</v>
      </c>
      <c r="AC444" s="10">
        <v>0</v>
      </c>
      <c r="AD444" s="26">
        <f t="shared" si="19"/>
        <v>0</v>
      </c>
      <c r="AE444" s="25">
        <v>0</v>
      </c>
      <c r="AF444" s="10">
        <v>0</v>
      </c>
      <c r="AG444" s="10">
        <v>0</v>
      </c>
      <c r="AH444" s="10">
        <v>0</v>
      </c>
      <c r="AI444" s="10">
        <v>0</v>
      </c>
      <c r="AJ444" s="10">
        <v>0</v>
      </c>
      <c r="AK444" s="10">
        <v>0</v>
      </c>
      <c r="AL444" s="10">
        <v>0</v>
      </c>
      <c r="AM444" s="10">
        <v>0</v>
      </c>
      <c r="AN444" s="10">
        <v>0</v>
      </c>
      <c r="AO444" s="10">
        <v>0</v>
      </c>
      <c r="AP444" s="10">
        <v>2475</v>
      </c>
      <c r="AQ444" s="26">
        <f t="shared" si="20"/>
        <v>2475</v>
      </c>
    </row>
    <row r="445" spans="1:43" ht="17.25" customHeight="1" x14ac:dyDescent="0.45">
      <c r="A445" s="2" t="s">
        <v>14</v>
      </c>
      <c r="B445" s="2" t="s">
        <v>66</v>
      </c>
      <c r="C445" s="2" t="s">
        <v>221</v>
      </c>
      <c r="D445" s="2" t="s">
        <v>68</v>
      </c>
      <c r="E445" s="23">
        <v>0</v>
      </c>
      <c r="F445" s="1">
        <v>0</v>
      </c>
      <c r="G445" s="1">
        <v>0</v>
      </c>
      <c r="H445" s="1">
        <v>0</v>
      </c>
      <c r="I445" s="1">
        <v>0</v>
      </c>
      <c r="J445" s="1">
        <v>0</v>
      </c>
      <c r="K445" s="1">
        <v>0</v>
      </c>
      <c r="L445" s="1">
        <v>0</v>
      </c>
      <c r="M445" s="1">
        <v>0</v>
      </c>
      <c r="N445" s="1">
        <v>0</v>
      </c>
      <c r="O445" s="1">
        <v>0</v>
      </c>
      <c r="P445" s="1">
        <v>1</v>
      </c>
      <c r="Q445" s="24">
        <f t="shared" si="18"/>
        <v>1</v>
      </c>
      <c r="R445" s="23">
        <v>0</v>
      </c>
      <c r="S445" s="1">
        <v>0</v>
      </c>
      <c r="T445" s="1">
        <v>0</v>
      </c>
      <c r="U445" s="1">
        <v>0</v>
      </c>
      <c r="V445" s="1">
        <v>0</v>
      </c>
      <c r="W445" s="1">
        <v>0</v>
      </c>
      <c r="X445" s="1">
        <v>0</v>
      </c>
      <c r="Y445" s="1">
        <v>0</v>
      </c>
      <c r="Z445" s="1">
        <v>0</v>
      </c>
      <c r="AA445" s="1">
        <v>0</v>
      </c>
      <c r="AB445" s="1">
        <v>0</v>
      </c>
      <c r="AC445" s="1">
        <v>0</v>
      </c>
      <c r="AD445" s="24">
        <f t="shared" si="19"/>
        <v>0</v>
      </c>
      <c r="AE445" s="23">
        <v>0</v>
      </c>
      <c r="AF445" s="1">
        <v>0</v>
      </c>
      <c r="AG445" s="1">
        <v>0</v>
      </c>
      <c r="AH445" s="1">
        <v>0</v>
      </c>
      <c r="AI445" s="1">
        <v>0</v>
      </c>
      <c r="AJ445" s="1">
        <v>0</v>
      </c>
      <c r="AK445" s="1">
        <v>0</v>
      </c>
      <c r="AL445" s="1">
        <v>0</v>
      </c>
      <c r="AM445" s="1">
        <v>0</v>
      </c>
      <c r="AN445" s="1">
        <v>0</v>
      </c>
      <c r="AO445" s="1">
        <v>0</v>
      </c>
      <c r="AP445" s="1">
        <v>280</v>
      </c>
      <c r="AQ445" s="24">
        <f t="shared" si="20"/>
        <v>280</v>
      </c>
    </row>
    <row r="446" spans="1:43" ht="17.25" customHeight="1" x14ac:dyDescent="0.45">
      <c r="A446" s="12" t="s">
        <v>14</v>
      </c>
      <c r="B446" s="12" t="s">
        <v>66</v>
      </c>
      <c r="C446" s="12" t="s">
        <v>287</v>
      </c>
      <c r="D446" s="12" t="s">
        <v>68</v>
      </c>
      <c r="E446" s="25">
        <v>0</v>
      </c>
      <c r="F446" s="10">
        <v>0</v>
      </c>
      <c r="G446" s="10">
        <v>0</v>
      </c>
      <c r="H446" s="10">
        <v>1</v>
      </c>
      <c r="I446" s="10">
        <v>0</v>
      </c>
      <c r="J446" s="10">
        <v>1</v>
      </c>
      <c r="K446" s="10">
        <v>0</v>
      </c>
      <c r="L446" s="10">
        <v>0</v>
      </c>
      <c r="M446" s="10">
        <v>0</v>
      </c>
      <c r="N446" s="10">
        <v>0</v>
      </c>
      <c r="O446" s="10">
        <v>0</v>
      </c>
      <c r="P446" s="10">
        <v>0</v>
      </c>
      <c r="Q446" s="26">
        <f t="shared" si="18"/>
        <v>2</v>
      </c>
      <c r="R446" s="25">
        <v>0</v>
      </c>
      <c r="S446" s="10">
        <v>0</v>
      </c>
      <c r="T446" s="10">
        <v>0</v>
      </c>
      <c r="U446" s="10">
        <v>0</v>
      </c>
      <c r="V446" s="10">
        <v>0</v>
      </c>
      <c r="W446" s="10">
        <v>0</v>
      </c>
      <c r="X446" s="10">
        <v>0</v>
      </c>
      <c r="Y446" s="10">
        <v>0</v>
      </c>
      <c r="Z446" s="10">
        <v>0</v>
      </c>
      <c r="AA446" s="10">
        <v>0</v>
      </c>
      <c r="AB446" s="10">
        <v>0</v>
      </c>
      <c r="AC446" s="10">
        <v>0</v>
      </c>
      <c r="AD446" s="26">
        <f t="shared" si="19"/>
        <v>0</v>
      </c>
      <c r="AE446" s="25">
        <v>0</v>
      </c>
      <c r="AF446" s="10">
        <v>0</v>
      </c>
      <c r="AG446" s="10">
        <v>0</v>
      </c>
      <c r="AH446" s="10">
        <v>2049</v>
      </c>
      <c r="AI446" s="10">
        <v>0</v>
      </c>
      <c r="AJ446" s="10">
        <v>2047</v>
      </c>
      <c r="AK446" s="10">
        <v>0</v>
      </c>
      <c r="AL446" s="10">
        <v>0</v>
      </c>
      <c r="AM446" s="10">
        <v>0</v>
      </c>
      <c r="AN446" s="10">
        <v>0</v>
      </c>
      <c r="AO446" s="10">
        <v>0</v>
      </c>
      <c r="AP446" s="10">
        <v>0</v>
      </c>
      <c r="AQ446" s="26">
        <f t="shared" si="20"/>
        <v>4096</v>
      </c>
    </row>
    <row r="447" spans="1:43" ht="17.25" customHeight="1" x14ac:dyDescent="0.45">
      <c r="A447" s="2" t="s">
        <v>14</v>
      </c>
      <c r="B447" s="2" t="s">
        <v>66</v>
      </c>
      <c r="C447" s="2" t="s">
        <v>108</v>
      </c>
      <c r="D447" s="2" t="s">
        <v>104</v>
      </c>
      <c r="E447" s="23">
        <v>2</v>
      </c>
      <c r="F447" s="1">
        <v>4</v>
      </c>
      <c r="G447" s="1">
        <v>3</v>
      </c>
      <c r="H447" s="1">
        <v>0</v>
      </c>
      <c r="I447" s="1">
        <v>0</v>
      </c>
      <c r="J447" s="1">
        <v>0</v>
      </c>
      <c r="K447" s="1">
        <v>0</v>
      </c>
      <c r="L447" s="1">
        <v>0</v>
      </c>
      <c r="M447" s="1">
        <v>0</v>
      </c>
      <c r="N447" s="1">
        <v>0</v>
      </c>
      <c r="O447" s="1">
        <v>5</v>
      </c>
      <c r="P447" s="1">
        <v>0</v>
      </c>
      <c r="Q447" s="24">
        <f t="shared" si="18"/>
        <v>14</v>
      </c>
      <c r="R447" s="23">
        <v>252</v>
      </c>
      <c r="S447" s="1">
        <v>77</v>
      </c>
      <c r="T447" s="1">
        <v>0</v>
      </c>
      <c r="U447" s="1">
        <v>0</v>
      </c>
      <c r="V447" s="1">
        <v>0</v>
      </c>
      <c r="W447" s="1">
        <v>0</v>
      </c>
      <c r="X447" s="1">
        <v>0</v>
      </c>
      <c r="Y447" s="1">
        <v>0</v>
      </c>
      <c r="Z447" s="1">
        <v>0</v>
      </c>
      <c r="AA447" s="1">
        <v>0</v>
      </c>
      <c r="AB447" s="1">
        <v>0</v>
      </c>
      <c r="AC447" s="1">
        <v>0</v>
      </c>
      <c r="AD447" s="24">
        <f t="shared" si="19"/>
        <v>329</v>
      </c>
      <c r="AE447" s="23">
        <v>0</v>
      </c>
      <c r="AF447" s="1">
        <v>29515</v>
      </c>
      <c r="AG447" s="1">
        <v>28629</v>
      </c>
      <c r="AH447" s="1">
        <v>0</v>
      </c>
      <c r="AI447" s="1">
        <v>0</v>
      </c>
      <c r="AJ447" s="1">
        <v>0</v>
      </c>
      <c r="AK447" s="1">
        <v>0</v>
      </c>
      <c r="AL447" s="1">
        <v>0</v>
      </c>
      <c r="AM447" s="1">
        <v>0</v>
      </c>
      <c r="AN447" s="1">
        <v>0</v>
      </c>
      <c r="AO447" s="1">
        <v>71036</v>
      </c>
      <c r="AP447" s="1">
        <v>0</v>
      </c>
      <c r="AQ447" s="24">
        <f t="shared" si="20"/>
        <v>129180</v>
      </c>
    </row>
    <row r="448" spans="1:43" ht="17.25" customHeight="1" x14ac:dyDescent="0.45">
      <c r="A448" s="12" t="s">
        <v>14</v>
      </c>
      <c r="B448" s="12" t="s">
        <v>66</v>
      </c>
      <c r="C448" s="12" t="s">
        <v>290</v>
      </c>
      <c r="D448" s="12" t="s">
        <v>199</v>
      </c>
      <c r="E448" s="25">
        <v>0</v>
      </c>
      <c r="F448" s="10">
        <v>0</v>
      </c>
      <c r="G448" s="10">
        <v>0</v>
      </c>
      <c r="H448" s="10">
        <v>0</v>
      </c>
      <c r="I448" s="10">
        <v>0</v>
      </c>
      <c r="J448" s="10">
        <v>0</v>
      </c>
      <c r="K448" s="10">
        <v>0</v>
      </c>
      <c r="L448" s="10">
        <v>0</v>
      </c>
      <c r="M448" s="10">
        <v>0</v>
      </c>
      <c r="N448" s="10">
        <v>0</v>
      </c>
      <c r="O448" s="10">
        <v>0</v>
      </c>
      <c r="P448" s="10">
        <v>1</v>
      </c>
      <c r="Q448" s="26">
        <f t="shared" si="18"/>
        <v>1</v>
      </c>
      <c r="R448" s="25">
        <v>0</v>
      </c>
      <c r="S448" s="10">
        <v>0</v>
      </c>
      <c r="T448" s="10">
        <v>0</v>
      </c>
      <c r="U448" s="10">
        <v>0</v>
      </c>
      <c r="V448" s="10">
        <v>0</v>
      </c>
      <c r="W448" s="10">
        <v>0</v>
      </c>
      <c r="X448" s="10">
        <v>0</v>
      </c>
      <c r="Y448" s="10">
        <v>0</v>
      </c>
      <c r="Z448" s="10">
        <v>0</v>
      </c>
      <c r="AA448" s="10">
        <v>0</v>
      </c>
      <c r="AB448" s="10">
        <v>0</v>
      </c>
      <c r="AC448" s="10">
        <v>0</v>
      </c>
      <c r="AD448" s="26">
        <f t="shared" si="19"/>
        <v>0</v>
      </c>
      <c r="AE448" s="25">
        <v>0</v>
      </c>
      <c r="AF448" s="10">
        <v>0</v>
      </c>
      <c r="AG448" s="10">
        <v>0</v>
      </c>
      <c r="AH448" s="10">
        <v>0</v>
      </c>
      <c r="AI448" s="10">
        <v>0</v>
      </c>
      <c r="AJ448" s="10">
        <v>0</v>
      </c>
      <c r="AK448" s="10">
        <v>0</v>
      </c>
      <c r="AL448" s="10">
        <v>0</v>
      </c>
      <c r="AM448" s="10">
        <v>0</v>
      </c>
      <c r="AN448" s="10">
        <v>0</v>
      </c>
      <c r="AO448" s="10">
        <v>0</v>
      </c>
      <c r="AP448" s="10">
        <v>12000</v>
      </c>
      <c r="AQ448" s="26">
        <f t="shared" si="20"/>
        <v>12000</v>
      </c>
    </row>
    <row r="449" spans="1:43" ht="17.25" customHeight="1" x14ac:dyDescent="0.45">
      <c r="A449" s="2" t="s">
        <v>14</v>
      </c>
      <c r="B449" s="2" t="s">
        <v>66</v>
      </c>
      <c r="C449" s="2" t="s">
        <v>109</v>
      </c>
      <c r="D449" s="2" t="s">
        <v>65</v>
      </c>
      <c r="E449" s="23">
        <v>1</v>
      </c>
      <c r="F449" s="1">
        <v>0</v>
      </c>
      <c r="G449" s="1">
        <v>0</v>
      </c>
      <c r="H449" s="1">
        <v>0</v>
      </c>
      <c r="I449" s="1">
        <v>0</v>
      </c>
      <c r="J449" s="1">
        <v>0</v>
      </c>
      <c r="K449" s="1">
        <v>0</v>
      </c>
      <c r="L449" s="1">
        <v>0</v>
      </c>
      <c r="M449" s="1">
        <v>0</v>
      </c>
      <c r="N449" s="1">
        <v>0</v>
      </c>
      <c r="O449" s="1">
        <v>0</v>
      </c>
      <c r="P449" s="1">
        <v>0</v>
      </c>
      <c r="Q449" s="24">
        <f t="shared" si="18"/>
        <v>1</v>
      </c>
      <c r="R449" s="23">
        <v>0</v>
      </c>
      <c r="S449" s="1">
        <v>0</v>
      </c>
      <c r="T449" s="1">
        <v>0</v>
      </c>
      <c r="U449" s="1">
        <v>0</v>
      </c>
      <c r="V449" s="1">
        <v>0</v>
      </c>
      <c r="W449" s="1">
        <v>0</v>
      </c>
      <c r="X449" s="1">
        <v>0</v>
      </c>
      <c r="Y449" s="1">
        <v>0</v>
      </c>
      <c r="Z449" s="1">
        <v>0</v>
      </c>
      <c r="AA449" s="1">
        <v>0</v>
      </c>
      <c r="AB449" s="1">
        <v>0</v>
      </c>
      <c r="AC449" s="1">
        <v>0</v>
      </c>
      <c r="AD449" s="24">
        <f t="shared" si="19"/>
        <v>0</v>
      </c>
      <c r="AE449" s="23">
        <v>87460</v>
      </c>
      <c r="AF449" s="1">
        <v>0</v>
      </c>
      <c r="AG449" s="1">
        <v>0</v>
      </c>
      <c r="AH449" s="1">
        <v>0</v>
      </c>
      <c r="AI449" s="1">
        <v>0</v>
      </c>
      <c r="AJ449" s="1">
        <v>0</v>
      </c>
      <c r="AK449" s="1">
        <v>0</v>
      </c>
      <c r="AL449" s="1">
        <v>0</v>
      </c>
      <c r="AM449" s="1">
        <v>0</v>
      </c>
      <c r="AN449" s="1">
        <v>0</v>
      </c>
      <c r="AO449" s="1">
        <v>0</v>
      </c>
      <c r="AP449" s="1">
        <v>0</v>
      </c>
      <c r="AQ449" s="24">
        <f t="shared" si="20"/>
        <v>87460</v>
      </c>
    </row>
    <row r="450" spans="1:43" ht="17.25" customHeight="1" x14ac:dyDescent="0.45">
      <c r="A450" s="12" t="s">
        <v>14</v>
      </c>
      <c r="B450" s="12" t="s">
        <v>66</v>
      </c>
      <c r="C450" s="12" t="s">
        <v>275</v>
      </c>
      <c r="D450" s="12" t="s">
        <v>68</v>
      </c>
      <c r="E450" s="25">
        <v>0</v>
      </c>
      <c r="F450" s="10">
        <v>0</v>
      </c>
      <c r="G450" s="10">
        <v>1</v>
      </c>
      <c r="H450" s="10">
        <v>0</v>
      </c>
      <c r="I450" s="10">
        <v>0</v>
      </c>
      <c r="J450" s="10">
        <v>0</v>
      </c>
      <c r="K450" s="10">
        <v>0</v>
      </c>
      <c r="L450" s="10">
        <v>0</v>
      </c>
      <c r="M450" s="10">
        <v>0</v>
      </c>
      <c r="N450" s="10">
        <v>0</v>
      </c>
      <c r="O450" s="10">
        <v>0</v>
      </c>
      <c r="P450" s="10">
        <v>0</v>
      </c>
      <c r="Q450" s="26">
        <f t="shared" si="18"/>
        <v>1</v>
      </c>
      <c r="R450" s="25">
        <v>0</v>
      </c>
      <c r="S450" s="10">
        <v>0</v>
      </c>
      <c r="T450" s="10">
        <v>0</v>
      </c>
      <c r="U450" s="10">
        <v>0</v>
      </c>
      <c r="V450" s="10">
        <v>0</v>
      </c>
      <c r="W450" s="10">
        <v>0</v>
      </c>
      <c r="X450" s="10">
        <v>0</v>
      </c>
      <c r="Y450" s="10">
        <v>0</v>
      </c>
      <c r="Z450" s="10">
        <v>0</v>
      </c>
      <c r="AA450" s="10">
        <v>0</v>
      </c>
      <c r="AB450" s="10">
        <v>0</v>
      </c>
      <c r="AC450" s="10">
        <v>0</v>
      </c>
      <c r="AD450" s="26">
        <f t="shared" si="19"/>
        <v>0</v>
      </c>
      <c r="AE450" s="25">
        <v>0</v>
      </c>
      <c r="AF450" s="10">
        <v>0</v>
      </c>
      <c r="AG450" s="10">
        <v>2004</v>
      </c>
      <c r="AH450" s="10">
        <v>0</v>
      </c>
      <c r="AI450" s="10">
        <v>0</v>
      </c>
      <c r="AJ450" s="10">
        <v>0</v>
      </c>
      <c r="AK450" s="10">
        <v>0</v>
      </c>
      <c r="AL450" s="10">
        <v>0</v>
      </c>
      <c r="AM450" s="10">
        <v>0</v>
      </c>
      <c r="AN450" s="10">
        <v>0</v>
      </c>
      <c r="AO450" s="10">
        <v>0</v>
      </c>
      <c r="AP450" s="10">
        <v>0</v>
      </c>
      <c r="AQ450" s="26">
        <f t="shared" si="20"/>
        <v>2004</v>
      </c>
    </row>
    <row r="451" spans="1:43" ht="17.25" customHeight="1" x14ac:dyDescent="0.45">
      <c r="A451" s="2" t="s">
        <v>14</v>
      </c>
      <c r="B451" s="2" t="s">
        <v>66</v>
      </c>
      <c r="C451" s="2" t="s">
        <v>110</v>
      </c>
      <c r="D451" s="2" t="s">
        <v>65</v>
      </c>
      <c r="E451" s="23">
        <v>0</v>
      </c>
      <c r="F451" s="1">
        <v>0</v>
      </c>
      <c r="G451" s="1">
        <v>0</v>
      </c>
      <c r="H451" s="1">
        <v>0</v>
      </c>
      <c r="I451" s="1">
        <v>0</v>
      </c>
      <c r="J451" s="1">
        <v>0</v>
      </c>
      <c r="K451" s="1">
        <v>0</v>
      </c>
      <c r="L451" s="1">
        <v>0</v>
      </c>
      <c r="M451" s="1">
        <v>0</v>
      </c>
      <c r="N451" s="1">
        <v>0</v>
      </c>
      <c r="O451" s="1">
        <v>0</v>
      </c>
      <c r="P451" s="1">
        <v>1</v>
      </c>
      <c r="Q451" s="24">
        <f t="shared" si="18"/>
        <v>1</v>
      </c>
      <c r="R451" s="23">
        <v>0</v>
      </c>
      <c r="S451" s="1">
        <v>0</v>
      </c>
      <c r="T451" s="1">
        <v>0</v>
      </c>
      <c r="U451" s="1">
        <v>0</v>
      </c>
      <c r="V451" s="1">
        <v>0</v>
      </c>
      <c r="W451" s="1">
        <v>0</v>
      </c>
      <c r="X451" s="1">
        <v>0</v>
      </c>
      <c r="Y451" s="1">
        <v>0</v>
      </c>
      <c r="Z451" s="1">
        <v>0</v>
      </c>
      <c r="AA451" s="1">
        <v>0</v>
      </c>
      <c r="AB451" s="1">
        <v>0</v>
      </c>
      <c r="AC451" s="1">
        <v>0</v>
      </c>
      <c r="AD451" s="24">
        <f t="shared" si="19"/>
        <v>0</v>
      </c>
      <c r="AE451" s="23">
        <v>0</v>
      </c>
      <c r="AF451" s="1">
        <v>0</v>
      </c>
      <c r="AG451" s="1">
        <v>0</v>
      </c>
      <c r="AH451" s="1">
        <v>0</v>
      </c>
      <c r="AI451" s="1">
        <v>0</v>
      </c>
      <c r="AJ451" s="1">
        <v>0</v>
      </c>
      <c r="AK451" s="1">
        <v>0</v>
      </c>
      <c r="AL451" s="1">
        <v>0</v>
      </c>
      <c r="AM451" s="1">
        <v>0</v>
      </c>
      <c r="AN451" s="1">
        <v>0</v>
      </c>
      <c r="AO451" s="1">
        <v>0</v>
      </c>
      <c r="AP451" s="1">
        <v>2052</v>
      </c>
      <c r="AQ451" s="24">
        <f t="shared" si="20"/>
        <v>2052</v>
      </c>
    </row>
    <row r="452" spans="1:43" ht="17.25" customHeight="1" x14ac:dyDescent="0.45">
      <c r="A452" s="12" t="s">
        <v>14</v>
      </c>
      <c r="B452" s="12" t="s">
        <v>66</v>
      </c>
      <c r="C452" s="12" t="s">
        <v>182</v>
      </c>
      <c r="D452" s="12" t="s">
        <v>183</v>
      </c>
      <c r="E452" s="25">
        <v>0</v>
      </c>
      <c r="F452" s="10">
        <v>0</v>
      </c>
      <c r="G452" s="10">
        <v>1</v>
      </c>
      <c r="H452" s="10">
        <v>0</v>
      </c>
      <c r="I452" s="10">
        <v>0</v>
      </c>
      <c r="J452" s="10">
        <v>0</v>
      </c>
      <c r="K452" s="10">
        <v>0</v>
      </c>
      <c r="L452" s="10">
        <v>0</v>
      </c>
      <c r="M452" s="10">
        <v>0</v>
      </c>
      <c r="N452" s="10">
        <v>0</v>
      </c>
      <c r="O452" s="10">
        <v>0</v>
      </c>
      <c r="P452" s="10">
        <v>0</v>
      </c>
      <c r="Q452" s="26">
        <f t="shared" si="18"/>
        <v>1</v>
      </c>
      <c r="R452" s="25">
        <v>0</v>
      </c>
      <c r="S452" s="10">
        <v>0</v>
      </c>
      <c r="T452" s="10">
        <v>0</v>
      </c>
      <c r="U452" s="10">
        <v>0</v>
      </c>
      <c r="V452" s="10">
        <v>0</v>
      </c>
      <c r="W452" s="10">
        <v>0</v>
      </c>
      <c r="X452" s="10">
        <v>0</v>
      </c>
      <c r="Y452" s="10">
        <v>0</v>
      </c>
      <c r="Z452" s="10">
        <v>0</v>
      </c>
      <c r="AA452" s="10">
        <v>0</v>
      </c>
      <c r="AB452" s="10">
        <v>0</v>
      </c>
      <c r="AC452" s="10">
        <v>0</v>
      </c>
      <c r="AD452" s="26">
        <f t="shared" si="19"/>
        <v>0</v>
      </c>
      <c r="AE452" s="25">
        <v>0</v>
      </c>
      <c r="AF452" s="10">
        <v>0</v>
      </c>
      <c r="AG452" s="10">
        <v>4049</v>
      </c>
      <c r="AH452" s="10">
        <v>0</v>
      </c>
      <c r="AI452" s="10">
        <v>0</v>
      </c>
      <c r="AJ452" s="10">
        <v>0</v>
      </c>
      <c r="AK452" s="10">
        <v>0</v>
      </c>
      <c r="AL452" s="10">
        <v>0</v>
      </c>
      <c r="AM452" s="10">
        <v>0</v>
      </c>
      <c r="AN452" s="10">
        <v>0</v>
      </c>
      <c r="AO452" s="10">
        <v>0</v>
      </c>
      <c r="AP452" s="10">
        <v>0</v>
      </c>
      <c r="AQ452" s="26">
        <f t="shared" si="20"/>
        <v>4049</v>
      </c>
    </row>
    <row r="453" spans="1:43" ht="17.25" customHeight="1" x14ac:dyDescent="0.45">
      <c r="A453" s="2" t="s">
        <v>14</v>
      </c>
      <c r="B453" s="2" t="s">
        <v>66</v>
      </c>
      <c r="C453" s="2" t="s">
        <v>69</v>
      </c>
      <c r="D453" s="2" t="s">
        <v>68</v>
      </c>
      <c r="E453" s="23">
        <v>0</v>
      </c>
      <c r="F453" s="1">
        <v>0</v>
      </c>
      <c r="G453" s="1">
        <v>1</v>
      </c>
      <c r="H453" s="1">
        <v>0</v>
      </c>
      <c r="I453" s="1">
        <v>0</v>
      </c>
      <c r="J453" s="1">
        <v>0</v>
      </c>
      <c r="K453" s="1">
        <v>0</v>
      </c>
      <c r="L453" s="1">
        <v>0</v>
      </c>
      <c r="M453" s="1">
        <v>0</v>
      </c>
      <c r="N453" s="1">
        <v>0</v>
      </c>
      <c r="O453" s="1">
        <v>0</v>
      </c>
      <c r="P453" s="1">
        <v>0</v>
      </c>
      <c r="Q453" s="24">
        <f t="shared" si="18"/>
        <v>1</v>
      </c>
      <c r="R453" s="23">
        <v>0</v>
      </c>
      <c r="S453" s="1">
        <v>0</v>
      </c>
      <c r="T453" s="1">
        <v>63</v>
      </c>
      <c r="U453" s="1">
        <v>0</v>
      </c>
      <c r="V453" s="1">
        <v>0</v>
      </c>
      <c r="W453" s="1">
        <v>0</v>
      </c>
      <c r="X453" s="1">
        <v>0</v>
      </c>
      <c r="Y453" s="1">
        <v>0</v>
      </c>
      <c r="Z453" s="1">
        <v>0</v>
      </c>
      <c r="AA453" s="1">
        <v>0</v>
      </c>
      <c r="AB453" s="1">
        <v>0</v>
      </c>
      <c r="AC453" s="1">
        <v>0</v>
      </c>
      <c r="AD453" s="24">
        <f t="shared" si="19"/>
        <v>63</v>
      </c>
      <c r="AE453" s="23">
        <v>0</v>
      </c>
      <c r="AF453" s="1">
        <v>0</v>
      </c>
      <c r="AG453" s="1">
        <v>0</v>
      </c>
      <c r="AH453" s="1">
        <v>0</v>
      </c>
      <c r="AI453" s="1">
        <v>0</v>
      </c>
      <c r="AJ453" s="1">
        <v>0</v>
      </c>
      <c r="AK453" s="1">
        <v>0</v>
      </c>
      <c r="AL453" s="1">
        <v>0</v>
      </c>
      <c r="AM453" s="1">
        <v>0</v>
      </c>
      <c r="AN453" s="1">
        <v>0</v>
      </c>
      <c r="AO453" s="1">
        <v>0</v>
      </c>
      <c r="AP453" s="1">
        <v>0</v>
      </c>
      <c r="AQ453" s="24">
        <f t="shared" si="20"/>
        <v>0</v>
      </c>
    </row>
    <row r="454" spans="1:43" ht="17.25" customHeight="1" x14ac:dyDescent="0.45">
      <c r="A454" s="12" t="s">
        <v>14</v>
      </c>
      <c r="B454" s="12" t="s">
        <v>66</v>
      </c>
      <c r="C454" s="12" t="s">
        <v>116</v>
      </c>
      <c r="D454" s="12" t="s">
        <v>96</v>
      </c>
      <c r="E454" s="25">
        <v>5</v>
      </c>
      <c r="F454" s="10">
        <v>0</v>
      </c>
      <c r="G454" s="10">
        <v>0</v>
      </c>
      <c r="H454" s="10">
        <v>1</v>
      </c>
      <c r="I454" s="10">
        <v>1</v>
      </c>
      <c r="J454" s="10">
        <v>1</v>
      </c>
      <c r="K454" s="10">
        <v>2</v>
      </c>
      <c r="L454" s="10">
        <v>7</v>
      </c>
      <c r="M454" s="10">
        <v>0</v>
      </c>
      <c r="N454" s="10">
        <v>1</v>
      </c>
      <c r="O454" s="10">
        <v>0</v>
      </c>
      <c r="P454" s="10">
        <v>0</v>
      </c>
      <c r="Q454" s="26">
        <f t="shared" si="18"/>
        <v>18</v>
      </c>
      <c r="R454" s="25">
        <v>247</v>
      </c>
      <c r="S454" s="10">
        <v>0</v>
      </c>
      <c r="T454" s="10">
        <v>0</v>
      </c>
      <c r="U454" s="10">
        <v>112</v>
      </c>
      <c r="V454" s="10">
        <v>4</v>
      </c>
      <c r="W454" s="10">
        <v>121</v>
      </c>
      <c r="X454" s="10">
        <v>5</v>
      </c>
      <c r="Y454" s="10">
        <v>108</v>
      </c>
      <c r="Z454" s="10">
        <v>0</v>
      </c>
      <c r="AA454" s="10">
        <v>107</v>
      </c>
      <c r="AB454" s="10">
        <v>0</v>
      </c>
      <c r="AC454" s="10">
        <v>0</v>
      </c>
      <c r="AD454" s="26">
        <f t="shared" si="19"/>
        <v>704</v>
      </c>
      <c r="AE454" s="25">
        <v>0</v>
      </c>
      <c r="AF454" s="10">
        <v>0</v>
      </c>
      <c r="AG454" s="10">
        <v>0</v>
      </c>
      <c r="AH454" s="10">
        <v>0</v>
      </c>
      <c r="AI454" s="10">
        <v>0</v>
      </c>
      <c r="AJ454" s="10">
        <v>0</v>
      </c>
      <c r="AK454" s="10">
        <v>0</v>
      </c>
      <c r="AL454" s="10">
        <v>9390.1</v>
      </c>
      <c r="AM454" s="10">
        <v>0</v>
      </c>
      <c r="AN454" s="10">
        <v>0</v>
      </c>
      <c r="AO454" s="10">
        <v>0</v>
      </c>
      <c r="AP454" s="10">
        <v>0</v>
      </c>
      <c r="AQ454" s="26">
        <f t="shared" si="20"/>
        <v>9390.1</v>
      </c>
    </row>
    <row r="455" spans="1:43" ht="17.25" customHeight="1" x14ac:dyDescent="0.45">
      <c r="A455" s="2" t="s">
        <v>14</v>
      </c>
      <c r="B455" s="2" t="s">
        <v>66</v>
      </c>
      <c r="C455" s="2" t="s">
        <v>194</v>
      </c>
      <c r="D455" s="2" t="s">
        <v>68</v>
      </c>
      <c r="E455" s="23">
        <v>0</v>
      </c>
      <c r="F455" s="1">
        <v>0</v>
      </c>
      <c r="G455" s="1">
        <v>0</v>
      </c>
      <c r="H455" s="1">
        <v>0</v>
      </c>
      <c r="I455" s="1">
        <v>1</v>
      </c>
      <c r="J455" s="1">
        <v>1</v>
      </c>
      <c r="K455" s="1">
        <v>0</v>
      </c>
      <c r="L455" s="1">
        <v>1</v>
      </c>
      <c r="M455" s="1">
        <v>0</v>
      </c>
      <c r="N455" s="1">
        <v>0</v>
      </c>
      <c r="O455" s="1">
        <v>1</v>
      </c>
      <c r="P455" s="1">
        <v>0</v>
      </c>
      <c r="Q455" s="24">
        <f t="shared" si="18"/>
        <v>4</v>
      </c>
      <c r="R455" s="23">
        <v>0</v>
      </c>
      <c r="S455" s="1">
        <v>0</v>
      </c>
      <c r="T455" s="1">
        <v>0</v>
      </c>
      <c r="U455" s="1">
        <v>0</v>
      </c>
      <c r="V455" s="1">
        <v>0</v>
      </c>
      <c r="W455" s="1">
        <v>0</v>
      </c>
      <c r="X455" s="1">
        <v>0</v>
      </c>
      <c r="Y455" s="1">
        <v>0</v>
      </c>
      <c r="Z455" s="1">
        <v>0</v>
      </c>
      <c r="AA455" s="1">
        <v>0</v>
      </c>
      <c r="AB455" s="1">
        <v>0</v>
      </c>
      <c r="AC455" s="1">
        <v>0</v>
      </c>
      <c r="AD455" s="24">
        <f t="shared" si="19"/>
        <v>0</v>
      </c>
      <c r="AE455" s="23">
        <v>0</v>
      </c>
      <c r="AF455" s="1">
        <v>0</v>
      </c>
      <c r="AG455" s="1">
        <v>0</v>
      </c>
      <c r="AH455" s="1">
        <v>0</v>
      </c>
      <c r="AI455" s="1">
        <v>1075</v>
      </c>
      <c r="AJ455" s="1">
        <v>2025</v>
      </c>
      <c r="AK455" s="1">
        <v>0</v>
      </c>
      <c r="AL455" s="1">
        <v>2057</v>
      </c>
      <c r="AM455" s="1">
        <v>0</v>
      </c>
      <c r="AN455" s="1">
        <v>0</v>
      </c>
      <c r="AO455" s="1">
        <v>4579</v>
      </c>
      <c r="AP455" s="1">
        <v>0</v>
      </c>
      <c r="AQ455" s="24">
        <f t="shared" si="20"/>
        <v>9736</v>
      </c>
    </row>
    <row r="456" spans="1:43" ht="17.25" customHeight="1" x14ac:dyDescent="0.45">
      <c r="A456" s="12" t="s">
        <v>14</v>
      </c>
      <c r="B456" s="12" t="s">
        <v>66</v>
      </c>
      <c r="C456" s="12" t="s">
        <v>228</v>
      </c>
      <c r="D456" s="12" t="s">
        <v>91</v>
      </c>
      <c r="E456" s="25">
        <v>4</v>
      </c>
      <c r="F456" s="10">
        <v>1</v>
      </c>
      <c r="G456" s="10">
        <v>5</v>
      </c>
      <c r="H456" s="10">
        <v>4</v>
      </c>
      <c r="I456" s="10">
        <v>4</v>
      </c>
      <c r="J456" s="10">
        <v>4</v>
      </c>
      <c r="K456" s="10">
        <v>4</v>
      </c>
      <c r="L456" s="10">
        <v>0</v>
      </c>
      <c r="M456" s="10">
        <v>0</v>
      </c>
      <c r="N456" s="10">
        <v>0</v>
      </c>
      <c r="O456" s="10">
        <v>0</v>
      </c>
      <c r="P456" s="10">
        <v>0</v>
      </c>
      <c r="Q456" s="26">
        <f t="shared" ref="Q456:Q519" si="21">SUM(E456:P456)</f>
        <v>26</v>
      </c>
      <c r="R456" s="25">
        <v>0</v>
      </c>
      <c r="S456" s="10">
        <v>0</v>
      </c>
      <c r="T456" s="10">
        <v>0</v>
      </c>
      <c r="U456" s="10">
        <v>0</v>
      </c>
      <c r="V456" s="10">
        <v>0</v>
      </c>
      <c r="W456" s="10">
        <v>0</v>
      </c>
      <c r="X456" s="10">
        <v>0</v>
      </c>
      <c r="Y456" s="10">
        <v>0</v>
      </c>
      <c r="Z456" s="10">
        <v>0</v>
      </c>
      <c r="AA456" s="10">
        <v>0</v>
      </c>
      <c r="AB456" s="10">
        <v>0</v>
      </c>
      <c r="AC456" s="10">
        <v>0</v>
      </c>
      <c r="AD456" s="26">
        <f t="shared" ref="AD456:AD519" si="22">SUM(R456:AC456)</f>
        <v>0</v>
      </c>
      <c r="AE456" s="25">
        <v>140504</v>
      </c>
      <c r="AF456" s="10">
        <v>21848</v>
      </c>
      <c r="AG456" s="10">
        <v>287849</v>
      </c>
      <c r="AH456" s="10">
        <v>177829</v>
      </c>
      <c r="AI456" s="10">
        <v>96680</v>
      </c>
      <c r="AJ456" s="10">
        <v>117191</v>
      </c>
      <c r="AK456" s="10">
        <v>58307</v>
      </c>
      <c r="AL456" s="10">
        <v>0</v>
      </c>
      <c r="AM456" s="10">
        <v>0</v>
      </c>
      <c r="AN456" s="10">
        <v>0</v>
      </c>
      <c r="AO456" s="10">
        <v>0</v>
      </c>
      <c r="AP456" s="10">
        <v>0</v>
      </c>
      <c r="AQ456" s="26">
        <f t="shared" ref="AQ456:AQ519" si="23">SUM(AE456:AP456)</f>
        <v>900208</v>
      </c>
    </row>
    <row r="457" spans="1:43" ht="17.25" customHeight="1" x14ac:dyDescent="0.45">
      <c r="A457" s="2" t="s">
        <v>14</v>
      </c>
      <c r="B457" s="2" t="s">
        <v>66</v>
      </c>
      <c r="C457" s="2" t="s">
        <v>117</v>
      </c>
      <c r="D457" s="2" t="s">
        <v>118</v>
      </c>
      <c r="E457" s="23">
        <v>0</v>
      </c>
      <c r="F457" s="1">
        <v>0</v>
      </c>
      <c r="G457" s="1">
        <v>0</v>
      </c>
      <c r="H457" s="1">
        <v>3</v>
      </c>
      <c r="I457" s="1">
        <v>0</v>
      </c>
      <c r="J457" s="1">
        <v>0</v>
      </c>
      <c r="K457" s="1">
        <v>0</v>
      </c>
      <c r="L457" s="1">
        <v>0</v>
      </c>
      <c r="M457" s="1">
        <v>0</v>
      </c>
      <c r="N457" s="1">
        <v>5</v>
      </c>
      <c r="O457" s="1">
        <v>0</v>
      </c>
      <c r="P457" s="1">
        <v>1</v>
      </c>
      <c r="Q457" s="24">
        <f t="shared" si="21"/>
        <v>9</v>
      </c>
      <c r="R457" s="23">
        <v>0</v>
      </c>
      <c r="S457" s="1">
        <v>0</v>
      </c>
      <c r="T457" s="1">
        <v>0</v>
      </c>
      <c r="U457" s="1">
        <v>0</v>
      </c>
      <c r="V457" s="1">
        <v>0</v>
      </c>
      <c r="W457" s="1">
        <v>0</v>
      </c>
      <c r="X457" s="1">
        <v>0</v>
      </c>
      <c r="Y457" s="1">
        <v>0</v>
      </c>
      <c r="Z457" s="1">
        <v>0</v>
      </c>
      <c r="AA457" s="1">
        <v>0</v>
      </c>
      <c r="AB457" s="1">
        <v>0</v>
      </c>
      <c r="AC457" s="1">
        <v>0</v>
      </c>
      <c r="AD457" s="24">
        <f t="shared" si="22"/>
        <v>0</v>
      </c>
      <c r="AE457" s="23">
        <v>0</v>
      </c>
      <c r="AF457" s="1">
        <v>0</v>
      </c>
      <c r="AG457" s="1">
        <v>0</v>
      </c>
      <c r="AH457" s="1">
        <v>213056</v>
      </c>
      <c r="AI457" s="1">
        <v>0</v>
      </c>
      <c r="AJ457" s="1">
        <v>0</v>
      </c>
      <c r="AK457" s="1">
        <v>0</v>
      </c>
      <c r="AL457" s="1">
        <v>0</v>
      </c>
      <c r="AM457" s="1">
        <v>0</v>
      </c>
      <c r="AN457" s="1">
        <v>386045</v>
      </c>
      <c r="AO457" s="1">
        <v>0</v>
      </c>
      <c r="AP457" s="1">
        <v>8070</v>
      </c>
      <c r="AQ457" s="24">
        <f t="shared" si="23"/>
        <v>607171</v>
      </c>
    </row>
    <row r="458" spans="1:43" ht="17.25" customHeight="1" x14ac:dyDescent="0.45">
      <c r="A458" s="12" t="s">
        <v>14</v>
      </c>
      <c r="B458" s="12" t="s">
        <v>66</v>
      </c>
      <c r="C458" s="12" t="s">
        <v>73</v>
      </c>
      <c r="D458" s="12" t="s">
        <v>68</v>
      </c>
      <c r="E458" s="25">
        <v>0</v>
      </c>
      <c r="F458" s="10">
        <v>16</v>
      </c>
      <c r="G458" s="10">
        <v>20</v>
      </c>
      <c r="H458" s="10">
        <v>24</v>
      </c>
      <c r="I458" s="10">
        <v>18</v>
      </c>
      <c r="J458" s="10">
        <v>17</v>
      </c>
      <c r="K458" s="10">
        <v>16</v>
      </c>
      <c r="L458" s="10">
        <v>20</v>
      </c>
      <c r="M458" s="10">
        <v>21</v>
      </c>
      <c r="N458" s="10">
        <v>21</v>
      </c>
      <c r="O458" s="10">
        <v>22</v>
      </c>
      <c r="P458" s="10">
        <v>22</v>
      </c>
      <c r="Q458" s="26">
        <f t="shared" si="21"/>
        <v>217</v>
      </c>
      <c r="R458" s="25">
        <v>0</v>
      </c>
      <c r="S458" s="10">
        <v>0</v>
      </c>
      <c r="T458" s="10">
        <v>0</v>
      </c>
      <c r="U458" s="10">
        <v>0</v>
      </c>
      <c r="V458" s="10">
        <v>0</v>
      </c>
      <c r="W458" s="10">
        <v>0</v>
      </c>
      <c r="X458" s="10">
        <v>0</v>
      </c>
      <c r="Y458" s="10">
        <v>0</v>
      </c>
      <c r="Z458" s="10">
        <v>0</v>
      </c>
      <c r="AA458" s="10">
        <v>0</v>
      </c>
      <c r="AB458" s="10">
        <v>0</v>
      </c>
      <c r="AC458" s="10">
        <v>0</v>
      </c>
      <c r="AD458" s="26">
        <f t="shared" si="22"/>
        <v>0</v>
      </c>
      <c r="AE458" s="25">
        <v>0</v>
      </c>
      <c r="AF458" s="10">
        <v>37658</v>
      </c>
      <c r="AG458" s="10">
        <v>16225</v>
      </c>
      <c r="AH458" s="10">
        <v>54885</v>
      </c>
      <c r="AI458" s="10">
        <v>5654</v>
      </c>
      <c r="AJ458" s="10">
        <v>5254</v>
      </c>
      <c r="AK458" s="10">
        <v>8785</v>
      </c>
      <c r="AL458" s="10">
        <v>9074</v>
      </c>
      <c r="AM458" s="10">
        <v>3716</v>
      </c>
      <c r="AN458" s="10">
        <v>21210</v>
      </c>
      <c r="AO458" s="10">
        <v>13232</v>
      </c>
      <c r="AP458" s="10">
        <v>1055</v>
      </c>
      <c r="AQ458" s="26">
        <f t="shared" si="23"/>
        <v>176748</v>
      </c>
    </row>
    <row r="459" spans="1:43" ht="17.25" customHeight="1" x14ac:dyDescent="0.45">
      <c r="A459" s="2" t="s">
        <v>14</v>
      </c>
      <c r="B459" s="2" t="s">
        <v>66</v>
      </c>
      <c r="C459" s="2" t="s">
        <v>333</v>
      </c>
      <c r="D459" s="2" t="s">
        <v>89</v>
      </c>
      <c r="E459" s="23">
        <v>0</v>
      </c>
      <c r="F459" s="1">
        <v>0</v>
      </c>
      <c r="G459" s="1">
        <v>0</v>
      </c>
      <c r="H459" s="1">
        <v>0</v>
      </c>
      <c r="I459" s="1">
        <v>0</v>
      </c>
      <c r="J459" s="1">
        <v>0</v>
      </c>
      <c r="K459" s="1">
        <v>0</v>
      </c>
      <c r="L459" s="1">
        <v>0</v>
      </c>
      <c r="M459" s="1">
        <v>0</v>
      </c>
      <c r="N459" s="1">
        <v>1</v>
      </c>
      <c r="O459" s="1">
        <v>0</v>
      </c>
      <c r="P459" s="1">
        <v>0</v>
      </c>
      <c r="Q459" s="24">
        <f t="shared" si="21"/>
        <v>1</v>
      </c>
      <c r="R459" s="23">
        <v>0</v>
      </c>
      <c r="S459" s="1">
        <v>0</v>
      </c>
      <c r="T459" s="1">
        <v>0</v>
      </c>
      <c r="U459" s="1">
        <v>0</v>
      </c>
      <c r="V459" s="1">
        <v>0</v>
      </c>
      <c r="W459" s="1">
        <v>0</v>
      </c>
      <c r="X459" s="1">
        <v>0</v>
      </c>
      <c r="Y459" s="1">
        <v>0</v>
      </c>
      <c r="Z459" s="1">
        <v>0</v>
      </c>
      <c r="AA459" s="1">
        <v>0</v>
      </c>
      <c r="AB459" s="1">
        <v>0</v>
      </c>
      <c r="AC459" s="1">
        <v>0</v>
      </c>
      <c r="AD459" s="24">
        <f t="shared" si="22"/>
        <v>0</v>
      </c>
      <c r="AE459" s="23">
        <v>0</v>
      </c>
      <c r="AF459" s="1">
        <v>0</v>
      </c>
      <c r="AG459" s="1">
        <v>0</v>
      </c>
      <c r="AH459" s="1">
        <v>0</v>
      </c>
      <c r="AI459" s="1">
        <v>0</v>
      </c>
      <c r="AJ459" s="1">
        <v>0</v>
      </c>
      <c r="AK459" s="1">
        <v>0</v>
      </c>
      <c r="AL459" s="1">
        <v>0</v>
      </c>
      <c r="AM459" s="1">
        <v>0</v>
      </c>
      <c r="AN459" s="1">
        <v>19789</v>
      </c>
      <c r="AO459" s="1">
        <v>0</v>
      </c>
      <c r="AP459" s="1">
        <v>0</v>
      </c>
      <c r="AQ459" s="24">
        <f t="shared" si="23"/>
        <v>19789</v>
      </c>
    </row>
    <row r="460" spans="1:43" ht="17.25" customHeight="1" x14ac:dyDescent="0.45">
      <c r="A460" s="12" t="s">
        <v>14</v>
      </c>
      <c r="B460" s="12" t="s">
        <v>66</v>
      </c>
      <c r="C460" s="12" t="s">
        <v>126</v>
      </c>
      <c r="D460" s="12" t="s">
        <v>68</v>
      </c>
      <c r="E460" s="25">
        <v>0</v>
      </c>
      <c r="F460" s="10">
        <v>7</v>
      </c>
      <c r="G460" s="10">
        <v>3</v>
      </c>
      <c r="H460" s="10">
        <v>0</v>
      </c>
      <c r="I460" s="10">
        <v>1</v>
      </c>
      <c r="J460" s="10">
        <v>0</v>
      </c>
      <c r="K460" s="10">
        <v>1</v>
      </c>
      <c r="L460" s="10">
        <v>0</v>
      </c>
      <c r="M460" s="10">
        <v>0</v>
      </c>
      <c r="N460" s="10">
        <v>5</v>
      </c>
      <c r="O460" s="10">
        <v>1</v>
      </c>
      <c r="P460" s="10">
        <v>0</v>
      </c>
      <c r="Q460" s="26">
        <f t="shared" si="21"/>
        <v>18</v>
      </c>
      <c r="R460" s="25">
        <v>0</v>
      </c>
      <c r="S460" s="10">
        <v>0</v>
      </c>
      <c r="T460" s="10">
        <v>0</v>
      </c>
      <c r="U460" s="10">
        <v>0</v>
      </c>
      <c r="V460" s="10">
        <v>0</v>
      </c>
      <c r="W460" s="10">
        <v>0</v>
      </c>
      <c r="X460" s="10">
        <v>0</v>
      </c>
      <c r="Y460" s="10">
        <v>0</v>
      </c>
      <c r="Z460" s="10">
        <v>0</v>
      </c>
      <c r="AA460" s="10">
        <v>0</v>
      </c>
      <c r="AB460" s="10">
        <v>64</v>
      </c>
      <c r="AC460" s="10">
        <v>0</v>
      </c>
      <c r="AD460" s="26">
        <f t="shared" si="22"/>
        <v>64</v>
      </c>
      <c r="AE460" s="25">
        <v>0</v>
      </c>
      <c r="AF460" s="10">
        <v>10309</v>
      </c>
      <c r="AG460" s="10">
        <v>8562</v>
      </c>
      <c r="AH460" s="10">
        <v>0</v>
      </c>
      <c r="AI460" s="10">
        <v>2030</v>
      </c>
      <c r="AJ460" s="10">
        <v>0</v>
      </c>
      <c r="AK460" s="10">
        <v>34216</v>
      </c>
      <c r="AL460" s="10">
        <v>0</v>
      </c>
      <c r="AM460" s="10">
        <v>0</v>
      </c>
      <c r="AN460" s="10">
        <v>8587</v>
      </c>
      <c r="AO460" s="10">
        <v>0</v>
      </c>
      <c r="AP460" s="10">
        <v>0</v>
      </c>
      <c r="AQ460" s="26">
        <f t="shared" si="23"/>
        <v>63704</v>
      </c>
    </row>
    <row r="461" spans="1:43" ht="17.25" customHeight="1" x14ac:dyDescent="0.45">
      <c r="A461" s="2" t="s">
        <v>14</v>
      </c>
      <c r="B461" s="2" t="s">
        <v>66</v>
      </c>
      <c r="C461" s="2" t="s">
        <v>315</v>
      </c>
      <c r="D461" s="2" t="s">
        <v>203</v>
      </c>
      <c r="E461" s="23">
        <v>0</v>
      </c>
      <c r="F461" s="1">
        <v>0</v>
      </c>
      <c r="G461" s="1">
        <v>0</v>
      </c>
      <c r="H461" s="1">
        <v>0</v>
      </c>
      <c r="I461" s="1">
        <v>0</v>
      </c>
      <c r="J461" s="1">
        <v>0</v>
      </c>
      <c r="K461" s="1">
        <v>0</v>
      </c>
      <c r="L461" s="1">
        <v>1</v>
      </c>
      <c r="M461" s="1">
        <v>0</v>
      </c>
      <c r="N461" s="1">
        <v>0</v>
      </c>
      <c r="O461" s="1">
        <v>0</v>
      </c>
      <c r="P461" s="1">
        <v>0</v>
      </c>
      <c r="Q461" s="24">
        <f t="shared" si="21"/>
        <v>1</v>
      </c>
      <c r="R461" s="23">
        <v>0</v>
      </c>
      <c r="S461" s="1">
        <v>0</v>
      </c>
      <c r="T461" s="1">
        <v>0</v>
      </c>
      <c r="U461" s="1">
        <v>0</v>
      </c>
      <c r="V461" s="1">
        <v>0</v>
      </c>
      <c r="W461" s="1">
        <v>0</v>
      </c>
      <c r="X461" s="1">
        <v>0</v>
      </c>
      <c r="Y461" s="1">
        <v>0</v>
      </c>
      <c r="Z461" s="1">
        <v>0</v>
      </c>
      <c r="AA461" s="1">
        <v>0</v>
      </c>
      <c r="AB461" s="1">
        <v>0</v>
      </c>
      <c r="AC461" s="1">
        <v>0</v>
      </c>
      <c r="AD461" s="24">
        <f t="shared" si="22"/>
        <v>0</v>
      </c>
      <c r="AE461" s="23">
        <v>0</v>
      </c>
      <c r="AF461" s="1">
        <v>0</v>
      </c>
      <c r="AG461" s="1">
        <v>0</v>
      </c>
      <c r="AH461" s="1">
        <v>0</v>
      </c>
      <c r="AI461" s="1">
        <v>0</v>
      </c>
      <c r="AJ461" s="1">
        <v>0</v>
      </c>
      <c r="AK461" s="1">
        <v>0</v>
      </c>
      <c r="AL461" s="1">
        <v>3004</v>
      </c>
      <c r="AM461" s="1">
        <v>0</v>
      </c>
      <c r="AN461" s="1">
        <v>0</v>
      </c>
      <c r="AO461" s="1">
        <v>0</v>
      </c>
      <c r="AP461" s="1">
        <v>0</v>
      </c>
      <c r="AQ461" s="24">
        <f t="shared" si="23"/>
        <v>3004</v>
      </c>
    </row>
    <row r="462" spans="1:43" ht="17.25" customHeight="1" x14ac:dyDescent="0.45">
      <c r="A462" s="12" t="s">
        <v>14</v>
      </c>
      <c r="B462" s="12" t="s">
        <v>66</v>
      </c>
      <c r="C462" s="12" t="s">
        <v>131</v>
      </c>
      <c r="D462" s="12" t="s">
        <v>68</v>
      </c>
      <c r="E462" s="25">
        <v>0</v>
      </c>
      <c r="F462" s="10">
        <v>0</v>
      </c>
      <c r="G462" s="10">
        <v>0</v>
      </c>
      <c r="H462" s="10">
        <v>0</v>
      </c>
      <c r="I462" s="10">
        <v>0</v>
      </c>
      <c r="J462" s="10">
        <v>0</v>
      </c>
      <c r="K462" s="10">
        <v>0</v>
      </c>
      <c r="L462" s="10">
        <v>0</v>
      </c>
      <c r="M462" s="10">
        <v>0</v>
      </c>
      <c r="N462" s="10">
        <v>1</v>
      </c>
      <c r="O462" s="10">
        <v>0</v>
      </c>
      <c r="P462" s="10">
        <v>0</v>
      </c>
      <c r="Q462" s="26">
        <f t="shared" si="21"/>
        <v>1</v>
      </c>
      <c r="R462" s="25">
        <v>0</v>
      </c>
      <c r="S462" s="10">
        <v>0</v>
      </c>
      <c r="T462" s="10">
        <v>0</v>
      </c>
      <c r="U462" s="10">
        <v>0</v>
      </c>
      <c r="V462" s="10">
        <v>0</v>
      </c>
      <c r="W462" s="10">
        <v>0</v>
      </c>
      <c r="X462" s="10">
        <v>0</v>
      </c>
      <c r="Y462" s="10">
        <v>0</v>
      </c>
      <c r="Z462" s="10">
        <v>0</v>
      </c>
      <c r="AA462" s="10">
        <v>0</v>
      </c>
      <c r="AB462" s="10">
        <v>0</v>
      </c>
      <c r="AC462" s="10">
        <v>0</v>
      </c>
      <c r="AD462" s="26">
        <f t="shared" si="22"/>
        <v>0</v>
      </c>
      <c r="AE462" s="25">
        <v>0</v>
      </c>
      <c r="AF462" s="10">
        <v>0</v>
      </c>
      <c r="AG462" s="10">
        <v>0</v>
      </c>
      <c r="AH462" s="10">
        <v>0</v>
      </c>
      <c r="AI462" s="10">
        <v>0</v>
      </c>
      <c r="AJ462" s="10">
        <v>0</v>
      </c>
      <c r="AK462" s="10">
        <v>0</v>
      </c>
      <c r="AL462" s="10">
        <v>0</v>
      </c>
      <c r="AM462" s="10">
        <v>0</v>
      </c>
      <c r="AN462" s="10">
        <v>1807</v>
      </c>
      <c r="AO462" s="10">
        <v>0</v>
      </c>
      <c r="AP462" s="10">
        <v>0</v>
      </c>
      <c r="AQ462" s="26">
        <f t="shared" si="23"/>
        <v>1807</v>
      </c>
    </row>
    <row r="463" spans="1:43" ht="17.25" customHeight="1" x14ac:dyDescent="0.45">
      <c r="A463" s="2" t="s">
        <v>14</v>
      </c>
      <c r="B463" s="2" t="s">
        <v>66</v>
      </c>
      <c r="C463" s="2" t="s">
        <v>132</v>
      </c>
      <c r="D463" s="2" t="s">
        <v>68</v>
      </c>
      <c r="E463" s="23">
        <v>0</v>
      </c>
      <c r="F463" s="1">
        <v>0</v>
      </c>
      <c r="G463" s="1">
        <v>0</v>
      </c>
      <c r="H463" s="1">
        <v>0</v>
      </c>
      <c r="I463" s="1">
        <v>0</v>
      </c>
      <c r="J463" s="1">
        <v>0</v>
      </c>
      <c r="K463" s="1">
        <v>0</v>
      </c>
      <c r="L463" s="1">
        <v>0</v>
      </c>
      <c r="M463" s="1">
        <v>1</v>
      </c>
      <c r="N463" s="1">
        <v>0</v>
      </c>
      <c r="O463" s="1">
        <v>0</v>
      </c>
      <c r="P463" s="1">
        <v>0</v>
      </c>
      <c r="Q463" s="24">
        <f t="shared" si="21"/>
        <v>1</v>
      </c>
      <c r="R463" s="23">
        <v>0</v>
      </c>
      <c r="S463" s="1">
        <v>0</v>
      </c>
      <c r="T463" s="1">
        <v>0</v>
      </c>
      <c r="U463" s="1">
        <v>0</v>
      </c>
      <c r="V463" s="1">
        <v>0</v>
      </c>
      <c r="W463" s="1">
        <v>0</v>
      </c>
      <c r="X463" s="1">
        <v>0</v>
      </c>
      <c r="Y463" s="1">
        <v>0</v>
      </c>
      <c r="Z463" s="1">
        <v>0</v>
      </c>
      <c r="AA463" s="1">
        <v>0</v>
      </c>
      <c r="AB463" s="1">
        <v>0</v>
      </c>
      <c r="AC463" s="1">
        <v>0</v>
      </c>
      <c r="AD463" s="24">
        <f t="shared" si="22"/>
        <v>0</v>
      </c>
      <c r="AE463" s="23">
        <v>0</v>
      </c>
      <c r="AF463" s="1">
        <v>0</v>
      </c>
      <c r="AG463" s="1">
        <v>0</v>
      </c>
      <c r="AH463" s="1">
        <v>0</v>
      </c>
      <c r="AI463" s="1">
        <v>0</v>
      </c>
      <c r="AJ463" s="1">
        <v>0</v>
      </c>
      <c r="AK463" s="1">
        <v>0</v>
      </c>
      <c r="AL463" s="1">
        <v>0</v>
      </c>
      <c r="AM463" s="1">
        <v>2047</v>
      </c>
      <c r="AN463" s="1">
        <v>0</v>
      </c>
      <c r="AO463" s="1">
        <v>0</v>
      </c>
      <c r="AP463" s="1">
        <v>0</v>
      </c>
      <c r="AQ463" s="24">
        <f t="shared" si="23"/>
        <v>2047</v>
      </c>
    </row>
    <row r="464" spans="1:43" ht="17.25" customHeight="1" x14ac:dyDescent="0.45">
      <c r="A464" s="12" t="s">
        <v>14</v>
      </c>
      <c r="B464" s="12" t="s">
        <v>66</v>
      </c>
      <c r="C464" s="12" t="s">
        <v>133</v>
      </c>
      <c r="D464" s="12" t="s">
        <v>68</v>
      </c>
      <c r="E464" s="25">
        <v>0</v>
      </c>
      <c r="F464" s="10">
        <v>0</v>
      </c>
      <c r="G464" s="10">
        <v>1</v>
      </c>
      <c r="H464" s="10">
        <v>0</v>
      </c>
      <c r="I464" s="10">
        <v>0</v>
      </c>
      <c r="J464" s="10">
        <v>0</v>
      </c>
      <c r="K464" s="10">
        <v>0</v>
      </c>
      <c r="L464" s="10">
        <v>0</v>
      </c>
      <c r="M464" s="10">
        <v>0</v>
      </c>
      <c r="N464" s="10">
        <v>0</v>
      </c>
      <c r="O464" s="10">
        <v>0</v>
      </c>
      <c r="P464" s="10">
        <v>0</v>
      </c>
      <c r="Q464" s="26">
        <f t="shared" si="21"/>
        <v>1</v>
      </c>
      <c r="R464" s="25">
        <v>0</v>
      </c>
      <c r="S464" s="10">
        <v>0</v>
      </c>
      <c r="T464" s="10">
        <v>0</v>
      </c>
      <c r="U464" s="10">
        <v>0</v>
      </c>
      <c r="V464" s="10">
        <v>0</v>
      </c>
      <c r="W464" s="10">
        <v>0</v>
      </c>
      <c r="X464" s="10">
        <v>0</v>
      </c>
      <c r="Y464" s="10">
        <v>0</v>
      </c>
      <c r="Z464" s="10">
        <v>0</v>
      </c>
      <c r="AA464" s="10">
        <v>0</v>
      </c>
      <c r="AB464" s="10">
        <v>0</v>
      </c>
      <c r="AC464" s="10">
        <v>0</v>
      </c>
      <c r="AD464" s="26">
        <f t="shared" si="22"/>
        <v>0</v>
      </c>
      <c r="AE464" s="25">
        <v>0</v>
      </c>
      <c r="AF464" s="10">
        <v>0</v>
      </c>
      <c r="AG464" s="10">
        <v>2039</v>
      </c>
      <c r="AH464" s="10">
        <v>0</v>
      </c>
      <c r="AI464" s="10">
        <v>0</v>
      </c>
      <c r="AJ464" s="10">
        <v>0</v>
      </c>
      <c r="AK464" s="10">
        <v>0</v>
      </c>
      <c r="AL464" s="10">
        <v>0</v>
      </c>
      <c r="AM464" s="10">
        <v>0</v>
      </c>
      <c r="AN464" s="10">
        <v>0</v>
      </c>
      <c r="AO464" s="10">
        <v>0</v>
      </c>
      <c r="AP464" s="10">
        <v>0</v>
      </c>
      <c r="AQ464" s="26">
        <f t="shared" si="23"/>
        <v>2039</v>
      </c>
    </row>
    <row r="465" spans="1:43" ht="17.25" customHeight="1" x14ac:dyDescent="0.45">
      <c r="A465" s="2" t="s">
        <v>14</v>
      </c>
      <c r="B465" s="2" t="s">
        <v>66</v>
      </c>
      <c r="C465" s="2" t="s">
        <v>134</v>
      </c>
      <c r="D465" s="2" t="s">
        <v>68</v>
      </c>
      <c r="E465" s="23">
        <v>3</v>
      </c>
      <c r="F465" s="1">
        <v>1</v>
      </c>
      <c r="G465" s="1">
        <v>0</v>
      </c>
      <c r="H465" s="1">
        <v>1</v>
      </c>
      <c r="I465" s="1">
        <v>0</v>
      </c>
      <c r="J465" s="1">
        <v>2</v>
      </c>
      <c r="K465" s="1">
        <v>0</v>
      </c>
      <c r="L465" s="1">
        <v>0</v>
      </c>
      <c r="M465" s="1">
        <v>0</v>
      </c>
      <c r="N465" s="1">
        <v>1</v>
      </c>
      <c r="O465" s="1">
        <v>0</v>
      </c>
      <c r="P465" s="1">
        <v>0</v>
      </c>
      <c r="Q465" s="24">
        <f t="shared" si="21"/>
        <v>8</v>
      </c>
      <c r="R465" s="23">
        <v>0</v>
      </c>
      <c r="S465" s="1">
        <v>0</v>
      </c>
      <c r="T465" s="1">
        <v>0</v>
      </c>
      <c r="U465" s="1">
        <v>0</v>
      </c>
      <c r="V465" s="1">
        <v>0</v>
      </c>
      <c r="W465" s="1">
        <v>0</v>
      </c>
      <c r="X465" s="1">
        <v>0</v>
      </c>
      <c r="Y465" s="1">
        <v>0</v>
      </c>
      <c r="Z465" s="1">
        <v>0</v>
      </c>
      <c r="AA465" s="1">
        <v>0</v>
      </c>
      <c r="AB465" s="1">
        <v>0</v>
      </c>
      <c r="AC465" s="1">
        <v>0</v>
      </c>
      <c r="AD465" s="24">
        <f t="shared" si="22"/>
        <v>0</v>
      </c>
      <c r="AE465" s="23">
        <v>95281</v>
      </c>
      <c r="AF465" s="1">
        <v>967</v>
      </c>
      <c r="AG465" s="1">
        <v>0</v>
      </c>
      <c r="AH465" s="1">
        <v>1705</v>
      </c>
      <c r="AI465" s="1">
        <v>0</v>
      </c>
      <c r="AJ465" s="1">
        <v>4478</v>
      </c>
      <c r="AK465" s="1">
        <v>0</v>
      </c>
      <c r="AL465" s="1">
        <v>0</v>
      </c>
      <c r="AM465" s="1">
        <v>0</v>
      </c>
      <c r="AN465" s="1">
        <v>2075</v>
      </c>
      <c r="AO465" s="1">
        <v>0</v>
      </c>
      <c r="AP465" s="1">
        <v>0</v>
      </c>
      <c r="AQ465" s="24">
        <f t="shared" si="23"/>
        <v>104506</v>
      </c>
    </row>
    <row r="466" spans="1:43" ht="17.25" customHeight="1" x14ac:dyDescent="0.45">
      <c r="A466" s="12" t="s">
        <v>14</v>
      </c>
      <c r="B466" s="12" t="s">
        <v>66</v>
      </c>
      <c r="C466" s="12" t="s">
        <v>135</v>
      </c>
      <c r="D466" s="12" t="s">
        <v>68</v>
      </c>
      <c r="E466" s="25">
        <v>0</v>
      </c>
      <c r="F466" s="10">
        <v>0</v>
      </c>
      <c r="G466" s="10">
        <v>1</v>
      </c>
      <c r="H466" s="10">
        <v>0</v>
      </c>
      <c r="I466" s="10">
        <v>1</v>
      </c>
      <c r="J466" s="10">
        <v>0</v>
      </c>
      <c r="K466" s="10">
        <v>0</v>
      </c>
      <c r="L466" s="10">
        <v>0</v>
      </c>
      <c r="M466" s="10">
        <v>0</v>
      </c>
      <c r="N466" s="10">
        <v>0</v>
      </c>
      <c r="O466" s="10">
        <v>0</v>
      </c>
      <c r="P466" s="10">
        <v>0</v>
      </c>
      <c r="Q466" s="26">
        <f t="shared" si="21"/>
        <v>2</v>
      </c>
      <c r="R466" s="25">
        <v>0</v>
      </c>
      <c r="S466" s="10">
        <v>0</v>
      </c>
      <c r="T466" s="10">
        <v>0</v>
      </c>
      <c r="U466" s="10">
        <v>0</v>
      </c>
      <c r="V466" s="10">
        <v>0</v>
      </c>
      <c r="W466" s="10">
        <v>0</v>
      </c>
      <c r="X466" s="10">
        <v>0</v>
      </c>
      <c r="Y466" s="10">
        <v>0</v>
      </c>
      <c r="Z466" s="10">
        <v>0</v>
      </c>
      <c r="AA466" s="10">
        <v>0</v>
      </c>
      <c r="AB466" s="10">
        <v>0</v>
      </c>
      <c r="AC466" s="10">
        <v>0</v>
      </c>
      <c r="AD466" s="26">
        <f t="shared" si="22"/>
        <v>0</v>
      </c>
      <c r="AE466" s="25">
        <v>0</v>
      </c>
      <c r="AF466" s="10">
        <v>0</v>
      </c>
      <c r="AG466" s="10">
        <v>826</v>
      </c>
      <c r="AH466" s="10">
        <v>0</v>
      </c>
      <c r="AI466" s="10">
        <v>1739</v>
      </c>
      <c r="AJ466" s="10">
        <v>0</v>
      </c>
      <c r="AK466" s="10">
        <v>0</v>
      </c>
      <c r="AL466" s="10">
        <v>0</v>
      </c>
      <c r="AM466" s="10">
        <v>0</v>
      </c>
      <c r="AN466" s="10">
        <v>0</v>
      </c>
      <c r="AO466" s="10">
        <v>0</v>
      </c>
      <c r="AP466" s="10">
        <v>0</v>
      </c>
      <c r="AQ466" s="26">
        <f t="shared" si="23"/>
        <v>2565</v>
      </c>
    </row>
    <row r="467" spans="1:43" ht="17.25" customHeight="1" x14ac:dyDescent="0.45">
      <c r="A467" s="2" t="s">
        <v>14</v>
      </c>
      <c r="B467" s="2" t="s">
        <v>66</v>
      </c>
      <c r="C467" s="2" t="s">
        <v>137</v>
      </c>
      <c r="D467" s="2" t="s">
        <v>138</v>
      </c>
      <c r="E467" s="23">
        <v>0</v>
      </c>
      <c r="F467" s="1">
        <v>0</v>
      </c>
      <c r="G467" s="1">
        <v>0</v>
      </c>
      <c r="H467" s="1">
        <v>0</v>
      </c>
      <c r="I467" s="1">
        <v>0</v>
      </c>
      <c r="J467" s="1">
        <v>0</v>
      </c>
      <c r="K467" s="1">
        <v>0</v>
      </c>
      <c r="L467" s="1">
        <v>0</v>
      </c>
      <c r="M467" s="1">
        <v>0</v>
      </c>
      <c r="N467" s="1">
        <v>3</v>
      </c>
      <c r="O467" s="1">
        <v>1</v>
      </c>
      <c r="P467" s="1">
        <v>1</v>
      </c>
      <c r="Q467" s="24">
        <f t="shared" si="21"/>
        <v>5</v>
      </c>
      <c r="R467" s="23">
        <v>0</v>
      </c>
      <c r="S467" s="1">
        <v>0</v>
      </c>
      <c r="T467" s="1">
        <v>0</v>
      </c>
      <c r="U467" s="1">
        <v>0</v>
      </c>
      <c r="V467" s="1">
        <v>0</v>
      </c>
      <c r="W467" s="1">
        <v>0</v>
      </c>
      <c r="X467" s="1">
        <v>0</v>
      </c>
      <c r="Y467" s="1">
        <v>0</v>
      </c>
      <c r="Z467" s="1">
        <v>0</v>
      </c>
      <c r="AA467" s="1">
        <v>0</v>
      </c>
      <c r="AB467" s="1">
        <v>0</v>
      </c>
      <c r="AC467" s="1">
        <v>0</v>
      </c>
      <c r="AD467" s="24">
        <f t="shared" si="22"/>
        <v>0</v>
      </c>
      <c r="AE467" s="23">
        <v>0</v>
      </c>
      <c r="AF467" s="1">
        <v>0</v>
      </c>
      <c r="AG467" s="1">
        <v>0</v>
      </c>
      <c r="AH467" s="1">
        <v>0</v>
      </c>
      <c r="AI467" s="1">
        <v>0</v>
      </c>
      <c r="AJ467" s="1">
        <v>0</v>
      </c>
      <c r="AK467" s="1">
        <v>0</v>
      </c>
      <c r="AL467" s="1">
        <v>0</v>
      </c>
      <c r="AM467" s="1">
        <v>0</v>
      </c>
      <c r="AN467" s="1">
        <v>7974</v>
      </c>
      <c r="AO467" s="1">
        <v>3904</v>
      </c>
      <c r="AP467" s="1">
        <v>33536</v>
      </c>
      <c r="AQ467" s="24">
        <f t="shared" si="23"/>
        <v>45414</v>
      </c>
    </row>
    <row r="468" spans="1:43" ht="17.25" customHeight="1" x14ac:dyDescent="0.45">
      <c r="A468" s="12" t="s">
        <v>14</v>
      </c>
      <c r="B468" s="12" t="s">
        <v>66</v>
      </c>
      <c r="C468" s="12" t="s">
        <v>307</v>
      </c>
      <c r="D468" s="12" t="s">
        <v>308</v>
      </c>
      <c r="E468" s="25">
        <v>0</v>
      </c>
      <c r="F468" s="10">
        <v>0</v>
      </c>
      <c r="G468" s="10">
        <v>0</v>
      </c>
      <c r="H468" s="10">
        <v>0</v>
      </c>
      <c r="I468" s="10">
        <v>0</v>
      </c>
      <c r="J468" s="10">
        <v>1</v>
      </c>
      <c r="K468" s="10">
        <v>0</v>
      </c>
      <c r="L468" s="10">
        <v>0</v>
      </c>
      <c r="M468" s="10">
        <v>0</v>
      </c>
      <c r="N468" s="10">
        <v>0</v>
      </c>
      <c r="O468" s="10">
        <v>0</v>
      </c>
      <c r="P468" s="10">
        <v>0</v>
      </c>
      <c r="Q468" s="26">
        <f t="shared" si="21"/>
        <v>1</v>
      </c>
      <c r="R468" s="25">
        <v>0</v>
      </c>
      <c r="S468" s="10">
        <v>0</v>
      </c>
      <c r="T468" s="10">
        <v>0</v>
      </c>
      <c r="U468" s="10">
        <v>0</v>
      </c>
      <c r="V468" s="10">
        <v>0</v>
      </c>
      <c r="W468" s="10">
        <v>0</v>
      </c>
      <c r="X468" s="10">
        <v>0</v>
      </c>
      <c r="Y468" s="10">
        <v>0</v>
      </c>
      <c r="Z468" s="10">
        <v>0</v>
      </c>
      <c r="AA468" s="10">
        <v>0</v>
      </c>
      <c r="AB468" s="10">
        <v>0</v>
      </c>
      <c r="AC468" s="10">
        <v>0</v>
      </c>
      <c r="AD468" s="26">
        <f t="shared" si="22"/>
        <v>0</v>
      </c>
      <c r="AE468" s="25">
        <v>0</v>
      </c>
      <c r="AF468" s="10">
        <v>0</v>
      </c>
      <c r="AG468" s="10">
        <v>0</v>
      </c>
      <c r="AH468" s="10">
        <v>0</v>
      </c>
      <c r="AI468" s="10">
        <v>0</v>
      </c>
      <c r="AJ468" s="10">
        <v>17916</v>
      </c>
      <c r="AK468" s="10">
        <v>0</v>
      </c>
      <c r="AL468" s="10">
        <v>0</v>
      </c>
      <c r="AM468" s="10">
        <v>0</v>
      </c>
      <c r="AN468" s="10">
        <v>0</v>
      </c>
      <c r="AO468" s="10">
        <v>0</v>
      </c>
      <c r="AP468" s="10">
        <v>0</v>
      </c>
      <c r="AQ468" s="26">
        <f t="shared" si="23"/>
        <v>17916</v>
      </c>
    </row>
    <row r="469" spans="1:43" ht="17.25" customHeight="1" x14ac:dyDescent="0.45">
      <c r="A469" s="2" t="s">
        <v>14</v>
      </c>
      <c r="B469" s="2" t="s">
        <v>66</v>
      </c>
      <c r="C469" s="2" t="s">
        <v>198</v>
      </c>
      <c r="D469" s="2" t="s">
        <v>199</v>
      </c>
      <c r="E469" s="23">
        <v>7</v>
      </c>
      <c r="F469" s="1">
        <v>9</v>
      </c>
      <c r="G469" s="1">
        <v>9</v>
      </c>
      <c r="H469" s="1">
        <v>9</v>
      </c>
      <c r="I469" s="1">
        <v>10</v>
      </c>
      <c r="J469" s="1">
        <v>8</v>
      </c>
      <c r="K469" s="1">
        <v>9</v>
      </c>
      <c r="L469" s="1">
        <v>10</v>
      </c>
      <c r="M469" s="1">
        <v>8</v>
      </c>
      <c r="N469" s="1">
        <v>9</v>
      </c>
      <c r="O469" s="1">
        <v>9</v>
      </c>
      <c r="P469" s="1">
        <v>7</v>
      </c>
      <c r="Q469" s="24">
        <f t="shared" si="21"/>
        <v>104</v>
      </c>
      <c r="R469" s="23">
        <v>0</v>
      </c>
      <c r="S469" s="1">
        <v>0</v>
      </c>
      <c r="T469" s="1">
        <v>0</v>
      </c>
      <c r="U469" s="1">
        <v>0</v>
      </c>
      <c r="V469" s="1">
        <v>0</v>
      </c>
      <c r="W469" s="1">
        <v>0</v>
      </c>
      <c r="X469" s="1">
        <v>0</v>
      </c>
      <c r="Y469" s="1">
        <v>0</v>
      </c>
      <c r="Z469" s="1">
        <v>0</v>
      </c>
      <c r="AA469" s="1">
        <v>0</v>
      </c>
      <c r="AB469" s="1">
        <v>0</v>
      </c>
      <c r="AC469" s="1">
        <v>0</v>
      </c>
      <c r="AD469" s="24">
        <f t="shared" si="22"/>
        <v>0</v>
      </c>
      <c r="AE469" s="23">
        <v>35118</v>
      </c>
      <c r="AF469" s="1">
        <v>42353</v>
      </c>
      <c r="AG469" s="1">
        <v>25378</v>
      </c>
      <c r="AH469" s="1">
        <v>11747</v>
      </c>
      <c r="AI469" s="1">
        <v>20717</v>
      </c>
      <c r="AJ469" s="1">
        <v>17740</v>
      </c>
      <c r="AK469" s="1">
        <v>27549</v>
      </c>
      <c r="AL469" s="1">
        <v>25012</v>
      </c>
      <c r="AM469" s="1">
        <v>60481</v>
      </c>
      <c r="AN469" s="1">
        <v>31731</v>
      </c>
      <c r="AO469" s="1">
        <v>28944</v>
      </c>
      <c r="AP469" s="1">
        <v>33318</v>
      </c>
      <c r="AQ469" s="24">
        <f t="shared" si="23"/>
        <v>360088</v>
      </c>
    </row>
    <row r="470" spans="1:43" ht="17.25" customHeight="1" x14ac:dyDescent="0.45">
      <c r="A470" s="12" t="s">
        <v>14</v>
      </c>
      <c r="B470" s="12" t="s">
        <v>66</v>
      </c>
      <c r="C470" s="12" t="s">
        <v>152</v>
      </c>
      <c r="D470" s="12" t="s">
        <v>153</v>
      </c>
      <c r="E470" s="25">
        <v>0</v>
      </c>
      <c r="F470" s="10">
        <v>0</v>
      </c>
      <c r="G470" s="10">
        <v>0</v>
      </c>
      <c r="H470" s="10">
        <v>0</v>
      </c>
      <c r="I470" s="10">
        <v>0</v>
      </c>
      <c r="J470" s="10">
        <v>0</v>
      </c>
      <c r="K470" s="10">
        <v>0</v>
      </c>
      <c r="L470" s="10">
        <v>0</v>
      </c>
      <c r="M470" s="10">
        <v>0</v>
      </c>
      <c r="N470" s="10">
        <v>0</v>
      </c>
      <c r="O470" s="10">
        <v>1</v>
      </c>
      <c r="P470" s="10">
        <v>0</v>
      </c>
      <c r="Q470" s="26">
        <f t="shared" si="21"/>
        <v>1</v>
      </c>
      <c r="R470" s="25">
        <v>0</v>
      </c>
      <c r="S470" s="10">
        <v>0</v>
      </c>
      <c r="T470" s="10">
        <v>0</v>
      </c>
      <c r="U470" s="10">
        <v>0</v>
      </c>
      <c r="V470" s="10">
        <v>0</v>
      </c>
      <c r="W470" s="10">
        <v>0</v>
      </c>
      <c r="X470" s="10">
        <v>0</v>
      </c>
      <c r="Y470" s="10">
        <v>0</v>
      </c>
      <c r="Z470" s="10">
        <v>0</v>
      </c>
      <c r="AA470" s="10">
        <v>0</v>
      </c>
      <c r="AB470" s="10">
        <v>0</v>
      </c>
      <c r="AC470" s="10">
        <v>0</v>
      </c>
      <c r="AD470" s="26">
        <f t="shared" si="22"/>
        <v>0</v>
      </c>
      <c r="AE470" s="25">
        <v>0</v>
      </c>
      <c r="AF470" s="10">
        <v>0</v>
      </c>
      <c r="AG470" s="10">
        <v>0</v>
      </c>
      <c r="AH470" s="10">
        <v>0</v>
      </c>
      <c r="AI470" s="10">
        <v>0</v>
      </c>
      <c r="AJ470" s="10">
        <v>0</v>
      </c>
      <c r="AK470" s="10">
        <v>0</v>
      </c>
      <c r="AL470" s="10">
        <v>0</v>
      </c>
      <c r="AM470" s="10">
        <v>0</v>
      </c>
      <c r="AN470" s="10">
        <v>0</v>
      </c>
      <c r="AO470" s="10">
        <v>23781</v>
      </c>
      <c r="AP470" s="10">
        <v>0</v>
      </c>
      <c r="AQ470" s="26">
        <f t="shared" si="23"/>
        <v>23781</v>
      </c>
    </row>
    <row r="471" spans="1:43" ht="17.25" customHeight="1" x14ac:dyDescent="0.45">
      <c r="A471" s="2" t="s">
        <v>14</v>
      </c>
      <c r="B471" s="2" t="s">
        <v>66</v>
      </c>
      <c r="C471" s="2" t="s">
        <v>200</v>
      </c>
      <c r="D471" s="2" t="s">
        <v>172</v>
      </c>
      <c r="E471" s="23">
        <v>0</v>
      </c>
      <c r="F471" s="1">
        <v>0</v>
      </c>
      <c r="G471" s="1">
        <v>0</v>
      </c>
      <c r="H471" s="1">
        <v>0</v>
      </c>
      <c r="I471" s="1">
        <v>0</v>
      </c>
      <c r="J471" s="1">
        <v>0</v>
      </c>
      <c r="K471" s="1">
        <v>0</v>
      </c>
      <c r="L471" s="1">
        <v>0</v>
      </c>
      <c r="M471" s="1">
        <v>0</v>
      </c>
      <c r="N471" s="1">
        <v>0</v>
      </c>
      <c r="O471" s="1">
        <v>1</v>
      </c>
      <c r="P471" s="1">
        <v>0</v>
      </c>
      <c r="Q471" s="24">
        <f t="shared" si="21"/>
        <v>1</v>
      </c>
      <c r="R471" s="23">
        <v>0</v>
      </c>
      <c r="S471" s="1">
        <v>0</v>
      </c>
      <c r="T471" s="1">
        <v>0</v>
      </c>
      <c r="U471" s="1">
        <v>0</v>
      </c>
      <c r="V471" s="1">
        <v>0</v>
      </c>
      <c r="W471" s="1">
        <v>0</v>
      </c>
      <c r="X471" s="1">
        <v>0</v>
      </c>
      <c r="Y471" s="1">
        <v>0</v>
      </c>
      <c r="Z471" s="1">
        <v>0</v>
      </c>
      <c r="AA471" s="1">
        <v>0</v>
      </c>
      <c r="AB471" s="1">
        <v>0</v>
      </c>
      <c r="AC471" s="1">
        <v>0</v>
      </c>
      <c r="AD471" s="24">
        <f t="shared" si="22"/>
        <v>0</v>
      </c>
      <c r="AE471" s="23">
        <v>0</v>
      </c>
      <c r="AF471" s="1">
        <v>0</v>
      </c>
      <c r="AG471" s="1">
        <v>0</v>
      </c>
      <c r="AH471" s="1">
        <v>0</v>
      </c>
      <c r="AI471" s="1">
        <v>0</v>
      </c>
      <c r="AJ471" s="1">
        <v>0</v>
      </c>
      <c r="AK471" s="1">
        <v>0</v>
      </c>
      <c r="AL471" s="1">
        <v>0</v>
      </c>
      <c r="AM471" s="1">
        <v>0</v>
      </c>
      <c r="AN471" s="1">
        <v>0</v>
      </c>
      <c r="AO471" s="1">
        <v>22345</v>
      </c>
      <c r="AP471" s="1">
        <v>0</v>
      </c>
      <c r="AQ471" s="24">
        <f t="shared" si="23"/>
        <v>22345</v>
      </c>
    </row>
    <row r="472" spans="1:43" ht="17.25" customHeight="1" x14ac:dyDescent="0.45">
      <c r="A472" s="12" t="s">
        <v>14</v>
      </c>
      <c r="B472" s="12" t="s">
        <v>66</v>
      </c>
      <c r="C472" s="12" t="s">
        <v>154</v>
      </c>
      <c r="D472" s="12" t="s">
        <v>155</v>
      </c>
      <c r="E472" s="25">
        <v>0</v>
      </c>
      <c r="F472" s="10">
        <v>0</v>
      </c>
      <c r="G472" s="10">
        <v>0</v>
      </c>
      <c r="H472" s="10">
        <v>0</v>
      </c>
      <c r="I472" s="10">
        <v>0</v>
      </c>
      <c r="J472" s="10">
        <v>0</v>
      </c>
      <c r="K472" s="10">
        <v>0</v>
      </c>
      <c r="L472" s="10">
        <v>0</v>
      </c>
      <c r="M472" s="10">
        <v>1</v>
      </c>
      <c r="N472" s="10">
        <v>1</v>
      </c>
      <c r="O472" s="10">
        <v>0</v>
      </c>
      <c r="P472" s="10">
        <v>0</v>
      </c>
      <c r="Q472" s="26">
        <f t="shared" si="21"/>
        <v>2</v>
      </c>
      <c r="R472" s="25">
        <v>0</v>
      </c>
      <c r="S472" s="10">
        <v>0</v>
      </c>
      <c r="T472" s="10">
        <v>0</v>
      </c>
      <c r="U472" s="10">
        <v>0</v>
      </c>
      <c r="V472" s="10">
        <v>0</v>
      </c>
      <c r="W472" s="10">
        <v>0</v>
      </c>
      <c r="X472" s="10">
        <v>0</v>
      </c>
      <c r="Y472" s="10">
        <v>0</v>
      </c>
      <c r="Z472" s="10">
        <v>0</v>
      </c>
      <c r="AA472" s="10">
        <v>0</v>
      </c>
      <c r="AB472" s="10">
        <v>0</v>
      </c>
      <c r="AC472" s="10">
        <v>0</v>
      </c>
      <c r="AD472" s="26">
        <f t="shared" si="22"/>
        <v>0</v>
      </c>
      <c r="AE472" s="25">
        <v>0</v>
      </c>
      <c r="AF472" s="10">
        <v>0</v>
      </c>
      <c r="AG472" s="10">
        <v>0</v>
      </c>
      <c r="AH472" s="10">
        <v>0</v>
      </c>
      <c r="AI472" s="10">
        <v>0</v>
      </c>
      <c r="AJ472" s="10">
        <v>0</v>
      </c>
      <c r="AK472" s="10">
        <v>0</v>
      </c>
      <c r="AL472" s="10">
        <v>0</v>
      </c>
      <c r="AM472" s="10">
        <v>22047</v>
      </c>
      <c r="AN472" s="10">
        <v>16527</v>
      </c>
      <c r="AO472" s="10">
        <v>0</v>
      </c>
      <c r="AP472" s="10">
        <v>0</v>
      </c>
      <c r="AQ472" s="26">
        <f t="shared" si="23"/>
        <v>38574</v>
      </c>
    </row>
    <row r="473" spans="1:43" ht="17.25" customHeight="1" x14ac:dyDescent="0.45">
      <c r="A473" s="2" t="s">
        <v>14</v>
      </c>
      <c r="B473" s="2" t="s">
        <v>66</v>
      </c>
      <c r="C473" s="2" t="s">
        <v>158</v>
      </c>
      <c r="D473" s="2" t="s">
        <v>159</v>
      </c>
      <c r="E473" s="23">
        <v>0</v>
      </c>
      <c r="F473" s="1">
        <v>0</v>
      </c>
      <c r="G473" s="1">
        <v>0</v>
      </c>
      <c r="H473" s="1">
        <v>0</v>
      </c>
      <c r="I473" s="1">
        <v>0</v>
      </c>
      <c r="J473" s="1">
        <v>0</v>
      </c>
      <c r="K473" s="1">
        <v>0</v>
      </c>
      <c r="L473" s="1">
        <v>0</v>
      </c>
      <c r="M473" s="1">
        <v>0</v>
      </c>
      <c r="N473" s="1">
        <v>0</v>
      </c>
      <c r="O473" s="1">
        <v>0</v>
      </c>
      <c r="P473" s="1">
        <v>1</v>
      </c>
      <c r="Q473" s="24">
        <f t="shared" si="21"/>
        <v>1</v>
      </c>
      <c r="R473" s="23">
        <v>0</v>
      </c>
      <c r="S473" s="1">
        <v>0</v>
      </c>
      <c r="T473" s="1">
        <v>0</v>
      </c>
      <c r="U473" s="1">
        <v>0</v>
      </c>
      <c r="V473" s="1">
        <v>0</v>
      </c>
      <c r="W473" s="1">
        <v>0</v>
      </c>
      <c r="X473" s="1">
        <v>0</v>
      </c>
      <c r="Y473" s="1">
        <v>0</v>
      </c>
      <c r="Z473" s="1">
        <v>0</v>
      </c>
      <c r="AA473" s="1">
        <v>0</v>
      </c>
      <c r="AB473" s="1">
        <v>0</v>
      </c>
      <c r="AC473" s="1">
        <v>0</v>
      </c>
      <c r="AD473" s="24">
        <f t="shared" si="22"/>
        <v>0</v>
      </c>
      <c r="AE473" s="23">
        <v>0</v>
      </c>
      <c r="AF473" s="1">
        <v>0</v>
      </c>
      <c r="AG473" s="1">
        <v>0</v>
      </c>
      <c r="AH473" s="1">
        <v>0</v>
      </c>
      <c r="AI473" s="1">
        <v>0</v>
      </c>
      <c r="AJ473" s="1">
        <v>0</v>
      </c>
      <c r="AK473" s="1">
        <v>0</v>
      </c>
      <c r="AL473" s="1">
        <v>0</v>
      </c>
      <c r="AM473" s="1">
        <v>0</v>
      </c>
      <c r="AN473" s="1">
        <v>0</v>
      </c>
      <c r="AO473" s="1">
        <v>0</v>
      </c>
      <c r="AP473" s="1">
        <v>39648</v>
      </c>
      <c r="AQ473" s="24">
        <f t="shared" si="23"/>
        <v>39648</v>
      </c>
    </row>
    <row r="474" spans="1:43" ht="17.25" customHeight="1" x14ac:dyDescent="0.45">
      <c r="A474" s="12" t="s">
        <v>14</v>
      </c>
      <c r="B474" s="12" t="s">
        <v>66</v>
      </c>
      <c r="C474" s="12" t="s">
        <v>191</v>
      </c>
      <c r="D474" s="12" t="s">
        <v>192</v>
      </c>
      <c r="E474" s="25">
        <v>0</v>
      </c>
      <c r="F474" s="10">
        <v>0</v>
      </c>
      <c r="G474" s="10">
        <v>0</v>
      </c>
      <c r="H474" s="10">
        <v>0</v>
      </c>
      <c r="I474" s="10">
        <v>0</v>
      </c>
      <c r="J474" s="10">
        <v>9</v>
      </c>
      <c r="K474" s="10">
        <v>2</v>
      </c>
      <c r="L474" s="10">
        <v>1</v>
      </c>
      <c r="M474" s="10">
        <v>6</v>
      </c>
      <c r="N474" s="10">
        <v>0</v>
      </c>
      <c r="O474" s="10">
        <v>4</v>
      </c>
      <c r="P474" s="10">
        <v>0</v>
      </c>
      <c r="Q474" s="26">
        <f t="shared" si="21"/>
        <v>22</v>
      </c>
      <c r="R474" s="25">
        <v>0</v>
      </c>
      <c r="S474" s="10">
        <v>0</v>
      </c>
      <c r="T474" s="10">
        <v>0</v>
      </c>
      <c r="U474" s="10">
        <v>0</v>
      </c>
      <c r="V474" s="10">
        <v>0</v>
      </c>
      <c r="W474" s="10">
        <v>0</v>
      </c>
      <c r="X474" s="10">
        <v>0</v>
      </c>
      <c r="Y474" s="10">
        <v>0</v>
      </c>
      <c r="Z474" s="10">
        <v>0</v>
      </c>
      <c r="AA474" s="10">
        <v>0</v>
      </c>
      <c r="AB474" s="10">
        <v>0</v>
      </c>
      <c r="AC474" s="10">
        <v>0</v>
      </c>
      <c r="AD474" s="26">
        <f t="shared" si="22"/>
        <v>0</v>
      </c>
      <c r="AE474" s="25">
        <v>0</v>
      </c>
      <c r="AF474" s="10">
        <v>0</v>
      </c>
      <c r="AG474" s="10">
        <v>0</v>
      </c>
      <c r="AH474" s="10">
        <v>0</v>
      </c>
      <c r="AI474" s="10">
        <v>0</v>
      </c>
      <c r="AJ474" s="10">
        <v>341843</v>
      </c>
      <c r="AK474" s="10">
        <v>65137</v>
      </c>
      <c r="AL474" s="10">
        <v>7132</v>
      </c>
      <c r="AM474" s="10">
        <v>49372</v>
      </c>
      <c r="AN474" s="10">
        <v>0</v>
      </c>
      <c r="AO474" s="10">
        <v>74731</v>
      </c>
      <c r="AP474" s="10">
        <v>0</v>
      </c>
      <c r="AQ474" s="26">
        <f t="shared" si="23"/>
        <v>538215</v>
      </c>
    </row>
    <row r="475" spans="1:43" ht="17.25" customHeight="1" x14ac:dyDescent="0.45">
      <c r="A475" s="2" t="s">
        <v>14</v>
      </c>
      <c r="B475" s="2" t="s">
        <v>66</v>
      </c>
      <c r="C475" s="2" t="s">
        <v>252</v>
      </c>
      <c r="D475" s="2" t="s">
        <v>237</v>
      </c>
      <c r="E475" s="23">
        <v>12</v>
      </c>
      <c r="F475" s="1">
        <v>10</v>
      </c>
      <c r="G475" s="1">
        <v>13</v>
      </c>
      <c r="H475" s="1">
        <v>11</v>
      </c>
      <c r="I475" s="1">
        <v>14</v>
      </c>
      <c r="J475" s="1">
        <v>13</v>
      </c>
      <c r="K475" s="1">
        <v>13</v>
      </c>
      <c r="L475" s="1">
        <v>12</v>
      </c>
      <c r="M475" s="1">
        <v>11</v>
      </c>
      <c r="N475" s="1">
        <v>9</v>
      </c>
      <c r="O475" s="1">
        <v>14</v>
      </c>
      <c r="P475" s="1">
        <v>8</v>
      </c>
      <c r="Q475" s="24">
        <f t="shared" si="21"/>
        <v>140</v>
      </c>
      <c r="R475" s="23">
        <v>0</v>
      </c>
      <c r="S475" s="1">
        <v>0</v>
      </c>
      <c r="T475" s="1">
        <v>0</v>
      </c>
      <c r="U475" s="1">
        <v>0</v>
      </c>
      <c r="V475" s="1">
        <v>0</v>
      </c>
      <c r="W475" s="1">
        <v>0</v>
      </c>
      <c r="X475" s="1">
        <v>0</v>
      </c>
      <c r="Y475" s="1">
        <v>0</v>
      </c>
      <c r="Z475" s="1">
        <v>0</v>
      </c>
      <c r="AA475" s="1">
        <v>0</v>
      </c>
      <c r="AB475" s="1">
        <v>0</v>
      </c>
      <c r="AC475" s="1">
        <v>0</v>
      </c>
      <c r="AD475" s="24">
        <f t="shared" si="22"/>
        <v>0</v>
      </c>
      <c r="AE475" s="23">
        <v>144979</v>
      </c>
      <c r="AF475" s="1">
        <v>153064</v>
      </c>
      <c r="AG475" s="1">
        <v>102954</v>
      </c>
      <c r="AH475" s="1">
        <v>193354</v>
      </c>
      <c r="AI475" s="1">
        <v>235147</v>
      </c>
      <c r="AJ475" s="1">
        <v>157773</v>
      </c>
      <c r="AK475" s="1">
        <v>189590</v>
      </c>
      <c r="AL475" s="1">
        <v>270041</v>
      </c>
      <c r="AM475" s="1">
        <v>278222</v>
      </c>
      <c r="AN475" s="1">
        <v>237123</v>
      </c>
      <c r="AO475" s="1">
        <v>320121</v>
      </c>
      <c r="AP475" s="1">
        <v>174335</v>
      </c>
      <c r="AQ475" s="24">
        <f t="shared" si="23"/>
        <v>2456703</v>
      </c>
    </row>
    <row r="476" spans="1:43" ht="17.25" customHeight="1" x14ac:dyDescent="0.45">
      <c r="A476" s="12" t="s">
        <v>14</v>
      </c>
      <c r="B476" s="12" t="s">
        <v>66</v>
      </c>
      <c r="C476" s="12" t="s">
        <v>311</v>
      </c>
      <c r="D476" s="12" t="s">
        <v>312</v>
      </c>
      <c r="E476" s="25">
        <v>0</v>
      </c>
      <c r="F476" s="10">
        <v>0</v>
      </c>
      <c r="G476" s="10">
        <v>0</v>
      </c>
      <c r="H476" s="10">
        <v>0</v>
      </c>
      <c r="I476" s="10">
        <v>0</v>
      </c>
      <c r="J476" s="10">
        <v>0</v>
      </c>
      <c r="K476" s="10">
        <v>2</v>
      </c>
      <c r="L476" s="10">
        <v>2</v>
      </c>
      <c r="M476" s="10">
        <v>2</v>
      </c>
      <c r="N476" s="10">
        <v>1</v>
      </c>
      <c r="O476" s="10">
        <v>0</v>
      </c>
      <c r="P476" s="10">
        <v>0</v>
      </c>
      <c r="Q476" s="26">
        <f t="shared" si="21"/>
        <v>7</v>
      </c>
      <c r="R476" s="25">
        <v>0</v>
      </c>
      <c r="S476" s="10">
        <v>0</v>
      </c>
      <c r="T476" s="10">
        <v>0</v>
      </c>
      <c r="U476" s="10">
        <v>0</v>
      </c>
      <c r="V476" s="10">
        <v>0</v>
      </c>
      <c r="W476" s="10">
        <v>0</v>
      </c>
      <c r="X476" s="10">
        <v>578</v>
      </c>
      <c r="Y476" s="10">
        <v>568</v>
      </c>
      <c r="Z476" s="10">
        <v>599</v>
      </c>
      <c r="AA476" s="10">
        <v>316</v>
      </c>
      <c r="AB476" s="10">
        <v>0</v>
      </c>
      <c r="AC476" s="10">
        <v>0</v>
      </c>
      <c r="AD476" s="26">
        <f t="shared" si="22"/>
        <v>2061</v>
      </c>
      <c r="AE476" s="25">
        <v>0</v>
      </c>
      <c r="AF476" s="10">
        <v>0</v>
      </c>
      <c r="AG476" s="10">
        <v>0</v>
      </c>
      <c r="AH476" s="10">
        <v>0</v>
      </c>
      <c r="AI476" s="10">
        <v>0</v>
      </c>
      <c r="AJ476" s="10">
        <v>0</v>
      </c>
      <c r="AK476" s="10">
        <v>0</v>
      </c>
      <c r="AL476" s="10">
        <v>0</v>
      </c>
      <c r="AM476" s="10">
        <v>0</v>
      </c>
      <c r="AN476" s="10">
        <v>0</v>
      </c>
      <c r="AO476" s="10">
        <v>0</v>
      </c>
      <c r="AP476" s="10">
        <v>0</v>
      </c>
      <c r="AQ476" s="26">
        <f t="shared" si="23"/>
        <v>0</v>
      </c>
    </row>
    <row r="477" spans="1:43" ht="17.25" customHeight="1" x14ac:dyDescent="0.45">
      <c r="A477" s="2" t="s">
        <v>14</v>
      </c>
      <c r="B477" s="2" t="s">
        <v>66</v>
      </c>
      <c r="C477" s="2" t="s">
        <v>276</v>
      </c>
      <c r="D477" s="2" t="s">
        <v>68</v>
      </c>
      <c r="E477" s="23">
        <v>0</v>
      </c>
      <c r="F477" s="1">
        <v>0</v>
      </c>
      <c r="G477" s="1">
        <v>1</v>
      </c>
      <c r="H477" s="1">
        <v>0</v>
      </c>
      <c r="I477" s="1">
        <v>0</v>
      </c>
      <c r="J477" s="1">
        <v>0</v>
      </c>
      <c r="K477" s="1">
        <v>0</v>
      </c>
      <c r="L477" s="1">
        <v>0</v>
      </c>
      <c r="M477" s="1">
        <v>0</v>
      </c>
      <c r="N477" s="1">
        <v>0</v>
      </c>
      <c r="O477" s="1">
        <v>0</v>
      </c>
      <c r="P477" s="1">
        <v>0</v>
      </c>
      <c r="Q477" s="24">
        <f t="shared" si="21"/>
        <v>1</v>
      </c>
      <c r="R477" s="23">
        <v>0</v>
      </c>
      <c r="S477" s="1">
        <v>0</v>
      </c>
      <c r="T477" s="1">
        <v>0</v>
      </c>
      <c r="U477" s="1">
        <v>0</v>
      </c>
      <c r="V477" s="1">
        <v>0</v>
      </c>
      <c r="W477" s="1">
        <v>0</v>
      </c>
      <c r="X477" s="1">
        <v>0</v>
      </c>
      <c r="Y477" s="1">
        <v>0</v>
      </c>
      <c r="Z477" s="1">
        <v>0</v>
      </c>
      <c r="AA477" s="1">
        <v>0</v>
      </c>
      <c r="AB477" s="1">
        <v>0</v>
      </c>
      <c r="AC477" s="1">
        <v>0</v>
      </c>
      <c r="AD477" s="24">
        <f t="shared" si="22"/>
        <v>0</v>
      </c>
      <c r="AE477" s="23">
        <v>0</v>
      </c>
      <c r="AF477" s="1">
        <v>0</v>
      </c>
      <c r="AG477" s="1">
        <v>973</v>
      </c>
      <c r="AH477" s="1">
        <v>0</v>
      </c>
      <c r="AI477" s="1">
        <v>0</v>
      </c>
      <c r="AJ477" s="1">
        <v>0</v>
      </c>
      <c r="AK477" s="1">
        <v>0</v>
      </c>
      <c r="AL477" s="1">
        <v>0</v>
      </c>
      <c r="AM477" s="1">
        <v>0</v>
      </c>
      <c r="AN477" s="1">
        <v>0</v>
      </c>
      <c r="AO477" s="1">
        <v>0</v>
      </c>
      <c r="AP477" s="1">
        <v>0</v>
      </c>
      <c r="AQ477" s="24">
        <f t="shared" si="23"/>
        <v>973</v>
      </c>
    </row>
    <row r="478" spans="1:43" ht="17.25" customHeight="1" x14ac:dyDescent="0.45">
      <c r="A478" s="12" t="s">
        <v>14</v>
      </c>
      <c r="B478" s="12" t="s">
        <v>66</v>
      </c>
      <c r="C478" s="12" t="s">
        <v>71</v>
      </c>
      <c r="D478" s="12" t="s">
        <v>65</v>
      </c>
      <c r="E478" s="25">
        <v>0</v>
      </c>
      <c r="F478" s="10">
        <v>0</v>
      </c>
      <c r="G478" s="10">
        <v>0</v>
      </c>
      <c r="H478" s="10">
        <v>0</v>
      </c>
      <c r="I478" s="10">
        <v>0</v>
      </c>
      <c r="J478" s="10">
        <v>0</v>
      </c>
      <c r="K478" s="10">
        <v>0</v>
      </c>
      <c r="L478" s="10">
        <v>1</v>
      </c>
      <c r="M478" s="10">
        <v>0</v>
      </c>
      <c r="N478" s="10">
        <v>1</v>
      </c>
      <c r="O478" s="10">
        <v>0</v>
      </c>
      <c r="P478" s="10">
        <v>0</v>
      </c>
      <c r="Q478" s="26">
        <f t="shared" si="21"/>
        <v>2</v>
      </c>
      <c r="R478" s="25">
        <v>0</v>
      </c>
      <c r="S478" s="10">
        <v>0</v>
      </c>
      <c r="T478" s="10">
        <v>0</v>
      </c>
      <c r="U478" s="10">
        <v>0</v>
      </c>
      <c r="V478" s="10">
        <v>0</v>
      </c>
      <c r="W478" s="10">
        <v>0</v>
      </c>
      <c r="X478" s="10">
        <v>0</v>
      </c>
      <c r="Y478" s="10">
        <v>0</v>
      </c>
      <c r="Z478" s="10">
        <v>0</v>
      </c>
      <c r="AA478" s="10">
        <v>0</v>
      </c>
      <c r="AB478" s="10">
        <v>0</v>
      </c>
      <c r="AC478" s="10">
        <v>0</v>
      </c>
      <c r="AD478" s="26">
        <f t="shared" si="22"/>
        <v>0</v>
      </c>
      <c r="AE478" s="25">
        <v>0</v>
      </c>
      <c r="AF478" s="10">
        <v>0</v>
      </c>
      <c r="AG478" s="10">
        <v>0</v>
      </c>
      <c r="AH478" s="10">
        <v>0</v>
      </c>
      <c r="AI478" s="10">
        <v>0</v>
      </c>
      <c r="AJ478" s="10">
        <v>0</v>
      </c>
      <c r="AK478" s="10">
        <v>0</v>
      </c>
      <c r="AL478" s="10">
        <v>2803</v>
      </c>
      <c r="AM478" s="10">
        <v>0</v>
      </c>
      <c r="AN478" s="10">
        <v>2013</v>
      </c>
      <c r="AO478" s="10">
        <v>0</v>
      </c>
      <c r="AP478" s="10">
        <v>0</v>
      </c>
      <c r="AQ478" s="26">
        <f t="shared" si="23"/>
        <v>4816</v>
      </c>
    </row>
    <row r="479" spans="1:43" ht="17.25" customHeight="1" x14ac:dyDescent="0.45">
      <c r="A479" s="2" t="s">
        <v>14</v>
      </c>
      <c r="B479" s="2" t="s">
        <v>66</v>
      </c>
      <c r="C479" s="2" t="s">
        <v>334</v>
      </c>
      <c r="D479" s="2" t="s">
        <v>81</v>
      </c>
      <c r="E479" s="23">
        <v>0</v>
      </c>
      <c r="F479" s="1">
        <v>0</v>
      </c>
      <c r="G479" s="1">
        <v>0</v>
      </c>
      <c r="H479" s="1">
        <v>0</v>
      </c>
      <c r="I479" s="1">
        <v>0</v>
      </c>
      <c r="J479" s="1">
        <v>0</v>
      </c>
      <c r="K479" s="1">
        <v>0</v>
      </c>
      <c r="L479" s="1">
        <v>0</v>
      </c>
      <c r="M479" s="1">
        <v>0</v>
      </c>
      <c r="N479" s="1">
        <v>1</v>
      </c>
      <c r="O479" s="1">
        <v>0</v>
      </c>
      <c r="P479" s="1">
        <v>0</v>
      </c>
      <c r="Q479" s="24">
        <f t="shared" si="21"/>
        <v>1</v>
      </c>
      <c r="R479" s="23">
        <v>0</v>
      </c>
      <c r="S479" s="1">
        <v>0</v>
      </c>
      <c r="T479" s="1">
        <v>0</v>
      </c>
      <c r="U479" s="1">
        <v>0</v>
      </c>
      <c r="V479" s="1">
        <v>0</v>
      </c>
      <c r="W479" s="1">
        <v>0</v>
      </c>
      <c r="X479" s="1">
        <v>0</v>
      </c>
      <c r="Y479" s="1">
        <v>0</v>
      </c>
      <c r="Z479" s="1">
        <v>0</v>
      </c>
      <c r="AA479" s="1">
        <v>56</v>
      </c>
      <c r="AB479" s="1">
        <v>0</v>
      </c>
      <c r="AC479" s="1">
        <v>0</v>
      </c>
      <c r="AD479" s="24">
        <f t="shared" si="22"/>
        <v>56</v>
      </c>
      <c r="AE479" s="23">
        <v>0</v>
      </c>
      <c r="AF479" s="1">
        <v>0</v>
      </c>
      <c r="AG479" s="1">
        <v>0</v>
      </c>
      <c r="AH479" s="1">
        <v>0</v>
      </c>
      <c r="AI479" s="1">
        <v>0</v>
      </c>
      <c r="AJ479" s="1">
        <v>0</v>
      </c>
      <c r="AK479" s="1">
        <v>0</v>
      </c>
      <c r="AL479" s="1">
        <v>0</v>
      </c>
      <c r="AM479" s="1">
        <v>0</v>
      </c>
      <c r="AN479" s="1">
        <v>0</v>
      </c>
      <c r="AO479" s="1">
        <v>0</v>
      </c>
      <c r="AP479" s="1">
        <v>0</v>
      </c>
      <c r="AQ479" s="24">
        <f t="shared" si="23"/>
        <v>0</v>
      </c>
    </row>
    <row r="480" spans="1:43" ht="17.25" customHeight="1" x14ac:dyDescent="0.45">
      <c r="A480" s="12" t="s">
        <v>14</v>
      </c>
      <c r="B480" s="12" t="s">
        <v>66</v>
      </c>
      <c r="C480" s="12" t="s">
        <v>167</v>
      </c>
      <c r="D480" s="12" t="s">
        <v>68</v>
      </c>
      <c r="E480" s="25">
        <v>0</v>
      </c>
      <c r="F480" s="10">
        <v>0</v>
      </c>
      <c r="G480" s="10">
        <v>0</v>
      </c>
      <c r="H480" s="10">
        <v>0</v>
      </c>
      <c r="I480" s="10">
        <v>0</v>
      </c>
      <c r="J480" s="10">
        <v>0</v>
      </c>
      <c r="K480" s="10">
        <v>0</v>
      </c>
      <c r="L480" s="10">
        <v>0</v>
      </c>
      <c r="M480" s="10">
        <v>0</v>
      </c>
      <c r="N480" s="10">
        <v>0</v>
      </c>
      <c r="O480" s="10">
        <v>1</v>
      </c>
      <c r="P480" s="10">
        <v>0</v>
      </c>
      <c r="Q480" s="26">
        <f t="shared" si="21"/>
        <v>1</v>
      </c>
      <c r="R480" s="25">
        <v>0</v>
      </c>
      <c r="S480" s="10">
        <v>0</v>
      </c>
      <c r="T480" s="10">
        <v>0</v>
      </c>
      <c r="U480" s="10">
        <v>0</v>
      </c>
      <c r="V480" s="10">
        <v>0</v>
      </c>
      <c r="W480" s="10">
        <v>0</v>
      </c>
      <c r="X480" s="10">
        <v>0</v>
      </c>
      <c r="Y480" s="10">
        <v>0</v>
      </c>
      <c r="Z480" s="10">
        <v>0</v>
      </c>
      <c r="AA480" s="10">
        <v>0</v>
      </c>
      <c r="AB480" s="10">
        <v>67</v>
      </c>
      <c r="AC480" s="10">
        <v>0</v>
      </c>
      <c r="AD480" s="26">
        <f t="shared" si="22"/>
        <v>67</v>
      </c>
      <c r="AE480" s="25">
        <v>0</v>
      </c>
      <c r="AF480" s="10">
        <v>0</v>
      </c>
      <c r="AG480" s="10">
        <v>0</v>
      </c>
      <c r="AH480" s="10">
        <v>0</v>
      </c>
      <c r="AI480" s="10">
        <v>0</v>
      </c>
      <c r="AJ480" s="10">
        <v>0</v>
      </c>
      <c r="AK480" s="10">
        <v>0</v>
      </c>
      <c r="AL480" s="10">
        <v>0</v>
      </c>
      <c r="AM480" s="10">
        <v>0</v>
      </c>
      <c r="AN480" s="10">
        <v>0</v>
      </c>
      <c r="AO480" s="10">
        <v>0</v>
      </c>
      <c r="AP480" s="10">
        <v>0</v>
      </c>
      <c r="AQ480" s="26">
        <f t="shared" si="23"/>
        <v>0</v>
      </c>
    </row>
    <row r="481" spans="1:43" ht="17.25" customHeight="1" x14ac:dyDescent="0.45">
      <c r="A481" s="2" t="s">
        <v>14</v>
      </c>
      <c r="B481" s="2" t="s">
        <v>66</v>
      </c>
      <c r="C481" s="2" t="s">
        <v>205</v>
      </c>
      <c r="D481" s="2" t="s">
        <v>81</v>
      </c>
      <c r="E481" s="23">
        <v>0</v>
      </c>
      <c r="F481" s="1">
        <v>0</v>
      </c>
      <c r="G481" s="1">
        <v>0</v>
      </c>
      <c r="H481" s="1">
        <v>0</v>
      </c>
      <c r="I481" s="1">
        <v>0</v>
      </c>
      <c r="J481" s="1">
        <v>0</v>
      </c>
      <c r="K481" s="1">
        <v>0</v>
      </c>
      <c r="L481" s="1">
        <v>1</v>
      </c>
      <c r="M481" s="1">
        <v>0</v>
      </c>
      <c r="N481" s="1">
        <v>0</v>
      </c>
      <c r="O481" s="1">
        <v>1</v>
      </c>
      <c r="P481" s="1">
        <v>1</v>
      </c>
      <c r="Q481" s="24">
        <f t="shared" si="21"/>
        <v>3</v>
      </c>
      <c r="R481" s="23">
        <v>0</v>
      </c>
      <c r="S481" s="1">
        <v>0</v>
      </c>
      <c r="T481" s="1">
        <v>0</v>
      </c>
      <c r="U481" s="1">
        <v>0</v>
      </c>
      <c r="V481" s="1">
        <v>0</v>
      </c>
      <c r="W481" s="1">
        <v>0</v>
      </c>
      <c r="X481" s="1">
        <v>0</v>
      </c>
      <c r="Y481" s="1">
        <v>0</v>
      </c>
      <c r="Z481" s="1">
        <v>0</v>
      </c>
      <c r="AA481" s="1">
        <v>0</v>
      </c>
      <c r="AB481" s="1">
        <v>0</v>
      </c>
      <c r="AC481" s="1">
        <v>0</v>
      </c>
      <c r="AD481" s="24">
        <f t="shared" si="22"/>
        <v>0</v>
      </c>
      <c r="AE481" s="23">
        <v>0</v>
      </c>
      <c r="AF481" s="1">
        <v>0</v>
      </c>
      <c r="AG481" s="1">
        <v>0</v>
      </c>
      <c r="AH481" s="1">
        <v>0</v>
      </c>
      <c r="AI481" s="1">
        <v>0</v>
      </c>
      <c r="AJ481" s="1">
        <v>0</v>
      </c>
      <c r="AK481" s="1">
        <v>0</v>
      </c>
      <c r="AL481" s="1">
        <v>1750</v>
      </c>
      <c r="AM481" s="1">
        <v>0</v>
      </c>
      <c r="AN481" s="1">
        <v>0</v>
      </c>
      <c r="AO481" s="1">
        <v>4283</v>
      </c>
      <c r="AP481" s="1">
        <v>51760</v>
      </c>
      <c r="AQ481" s="24">
        <f t="shared" si="23"/>
        <v>57793</v>
      </c>
    </row>
    <row r="482" spans="1:43" ht="17.25" customHeight="1" x14ac:dyDescent="0.45">
      <c r="A482" s="12" t="s">
        <v>156</v>
      </c>
      <c r="B482" s="12" t="s">
        <v>157</v>
      </c>
      <c r="C482" s="12" t="s">
        <v>14</v>
      </c>
      <c r="D482" s="12" t="s">
        <v>66</v>
      </c>
      <c r="E482" s="25">
        <v>0</v>
      </c>
      <c r="F482" s="10">
        <v>0</v>
      </c>
      <c r="G482" s="10">
        <v>0</v>
      </c>
      <c r="H482" s="10">
        <v>0</v>
      </c>
      <c r="I482" s="10">
        <v>0</v>
      </c>
      <c r="J482" s="10">
        <v>0</v>
      </c>
      <c r="K482" s="10">
        <v>0</v>
      </c>
      <c r="L482" s="10">
        <v>0</v>
      </c>
      <c r="M482" s="10">
        <v>0</v>
      </c>
      <c r="N482" s="10">
        <v>0</v>
      </c>
      <c r="O482" s="10">
        <v>2</v>
      </c>
      <c r="P482" s="10">
        <v>1</v>
      </c>
      <c r="Q482" s="26">
        <f t="shared" si="21"/>
        <v>3</v>
      </c>
      <c r="R482" s="25">
        <v>0</v>
      </c>
      <c r="S482" s="10">
        <v>0</v>
      </c>
      <c r="T482" s="10">
        <v>0</v>
      </c>
      <c r="U482" s="10">
        <v>0</v>
      </c>
      <c r="V482" s="10">
        <v>0</v>
      </c>
      <c r="W482" s="10">
        <v>0</v>
      </c>
      <c r="X482" s="10">
        <v>0</v>
      </c>
      <c r="Y482" s="10">
        <v>0</v>
      </c>
      <c r="Z482" s="10">
        <v>0</v>
      </c>
      <c r="AA482" s="10">
        <v>0</v>
      </c>
      <c r="AB482" s="10">
        <v>0</v>
      </c>
      <c r="AC482" s="10">
        <v>0</v>
      </c>
      <c r="AD482" s="26">
        <f t="shared" si="22"/>
        <v>0</v>
      </c>
      <c r="AE482" s="25">
        <v>0</v>
      </c>
      <c r="AF482" s="10">
        <v>0</v>
      </c>
      <c r="AG482" s="10">
        <v>0</v>
      </c>
      <c r="AH482" s="10">
        <v>0</v>
      </c>
      <c r="AI482" s="10">
        <v>0</v>
      </c>
      <c r="AJ482" s="10">
        <v>0</v>
      </c>
      <c r="AK482" s="10">
        <v>0</v>
      </c>
      <c r="AL482" s="10">
        <v>0</v>
      </c>
      <c r="AM482" s="10">
        <v>0</v>
      </c>
      <c r="AN482" s="10">
        <v>0</v>
      </c>
      <c r="AO482" s="10">
        <v>118211</v>
      </c>
      <c r="AP482" s="10">
        <v>48000</v>
      </c>
      <c r="AQ482" s="26">
        <f t="shared" si="23"/>
        <v>166211</v>
      </c>
    </row>
    <row r="483" spans="1:43" ht="17.25" customHeight="1" x14ac:dyDescent="0.45">
      <c r="A483" s="2" t="s">
        <v>335</v>
      </c>
      <c r="B483" s="2" t="s">
        <v>89</v>
      </c>
      <c r="C483" s="2" t="s">
        <v>13</v>
      </c>
      <c r="D483" s="2" t="s">
        <v>66</v>
      </c>
      <c r="E483" s="23">
        <v>0</v>
      </c>
      <c r="F483" s="1">
        <v>0</v>
      </c>
      <c r="G483" s="1">
        <v>0</v>
      </c>
      <c r="H483" s="1">
        <v>0</v>
      </c>
      <c r="I483" s="1">
        <v>0</v>
      </c>
      <c r="J483" s="1">
        <v>0</v>
      </c>
      <c r="K483" s="1">
        <v>0</v>
      </c>
      <c r="L483" s="1">
        <v>0</v>
      </c>
      <c r="M483" s="1">
        <v>0</v>
      </c>
      <c r="N483" s="1">
        <v>1</v>
      </c>
      <c r="O483" s="1">
        <v>0</v>
      </c>
      <c r="P483" s="1">
        <v>0</v>
      </c>
      <c r="Q483" s="24">
        <f t="shared" si="21"/>
        <v>1</v>
      </c>
      <c r="R483" s="23">
        <v>0</v>
      </c>
      <c r="S483" s="1">
        <v>0</v>
      </c>
      <c r="T483" s="1">
        <v>0</v>
      </c>
      <c r="U483" s="1">
        <v>0</v>
      </c>
      <c r="V483" s="1">
        <v>0</v>
      </c>
      <c r="W483" s="1">
        <v>0</v>
      </c>
      <c r="X483" s="1">
        <v>0</v>
      </c>
      <c r="Y483" s="1">
        <v>0</v>
      </c>
      <c r="Z483" s="1">
        <v>0</v>
      </c>
      <c r="AA483" s="1">
        <v>0</v>
      </c>
      <c r="AB483" s="1">
        <v>0</v>
      </c>
      <c r="AC483" s="1">
        <v>0</v>
      </c>
      <c r="AD483" s="24">
        <f t="shared" si="22"/>
        <v>0</v>
      </c>
      <c r="AE483" s="23">
        <v>0</v>
      </c>
      <c r="AF483" s="1">
        <v>0</v>
      </c>
      <c r="AG483" s="1">
        <v>0</v>
      </c>
      <c r="AH483" s="1">
        <v>0</v>
      </c>
      <c r="AI483" s="1">
        <v>0</v>
      </c>
      <c r="AJ483" s="1">
        <v>0</v>
      </c>
      <c r="AK483" s="1">
        <v>0</v>
      </c>
      <c r="AL483" s="1">
        <v>0</v>
      </c>
      <c r="AM483" s="1">
        <v>0</v>
      </c>
      <c r="AN483" s="1">
        <v>112486</v>
      </c>
      <c r="AO483" s="1">
        <v>0</v>
      </c>
      <c r="AP483" s="1">
        <v>0</v>
      </c>
      <c r="AQ483" s="24">
        <f t="shared" si="23"/>
        <v>112486</v>
      </c>
    </row>
    <row r="484" spans="1:43" ht="17.25" customHeight="1" x14ac:dyDescent="0.45">
      <c r="A484" s="12" t="s">
        <v>386</v>
      </c>
      <c r="B484" s="12" t="s">
        <v>68</v>
      </c>
      <c r="C484" s="12" t="s">
        <v>55</v>
      </c>
      <c r="D484" s="12" t="s">
        <v>66</v>
      </c>
      <c r="E484" s="25">
        <v>0</v>
      </c>
      <c r="F484" s="10">
        <v>1</v>
      </c>
      <c r="G484" s="10">
        <v>0</v>
      </c>
      <c r="H484" s="10">
        <v>0</v>
      </c>
      <c r="I484" s="10">
        <v>0</v>
      </c>
      <c r="J484" s="10">
        <v>0</v>
      </c>
      <c r="K484" s="10">
        <v>0</v>
      </c>
      <c r="L484" s="10">
        <v>0</v>
      </c>
      <c r="M484" s="10">
        <v>0</v>
      </c>
      <c r="N484" s="10">
        <v>0</v>
      </c>
      <c r="O484" s="10">
        <v>0</v>
      </c>
      <c r="P484" s="10">
        <v>0</v>
      </c>
      <c r="Q484" s="26">
        <f t="shared" si="21"/>
        <v>1</v>
      </c>
      <c r="R484" s="25">
        <v>0</v>
      </c>
      <c r="S484" s="10">
        <v>7</v>
      </c>
      <c r="T484" s="10">
        <v>0</v>
      </c>
      <c r="U484" s="10">
        <v>0</v>
      </c>
      <c r="V484" s="10">
        <v>0</v>
      </c>
      <c r="W484" s="10">
        <v>0</v>
      </c>
      <c r="X484" s="10">
        <v>0</v>
      </c>
      <c r="Y484" s="10">
        <v>0</v>
      </c>
      <c r="Z484" s="10">
        <v>0</v>
      </c>
      <c r="AA484" s="10">
        <v>0</v>
      </c>
      <c r="AB484" s="10">
        <v>0</v>
      </c>
      <c r="AC484" s="10">
        <v>0</v>
      </c>
      <c r="AD484" s="26">
        <f t="shared" si="22"/>
        <v>7</v>
      </c>
      <c r="AE484" s="25">
        <v>0</v>
      </c>
      <c r="AF484" s="10">
        <v>0</v>
      </c>
      <c r="AG484" s="10">
        <v>0</v>
      </c>
      <c r="AH484" s="10">
        <v>0</v>
      </c>
      <c r="AI484" s="10">
        <v>0</v>
      </c>
      <c r="AJ484" s="10">
        <v>0</v>
      </c>
      <c r="AK484" s="10">
        <v>0</v>
      </c>
      <c r="AL484" s="10">
        <v>0</v>
      </c>
      <c r="AM484" s="10">
        <v>0</v>
      </c>
      <c r="AN484" s="10">
        <v>0</v>
      </c>
      <c r="AO484" s="10">
        <v>0</v>
      </c>
      <c r="AP484" s="10">
        <v>0</v>
      </c>
      <c r="AQ484" s="26">
        <f t="shared" si="23"/>
        <v>0</v>
      </c>
    </row>
    <row r="485" spans="1:43" ht="17.25" customHeight="1" x14ac:dyDescent="0.45">
      <c r="A485" s="2" t="s">
        <v>161</v>
      </c>
      <c r="B485" s="2" t="s">
        <v>68</v>
      </c>
      <c r="C485" s="2" t="s">
        <v>48</v>
      </c>
      <c r="D485" s="2" t="s">
        <v>66</v>
      </c>
      <c r="E485" s="23">
        <v>0</v>
      </c>
      <c r="F485" s="1">
        <v>0</v>
      </c>
      <c r="G485" s="1">
        <v>0</v>
      </c>
      <c r="H485" s="1">
        <v>0</v>
      </c>
      <c r="I485" s="1">
        <v>0</v>
      </c>
      <c r="J485" s="1">
        <v>0</v>
      </c>
      <c r="K485" s="1">
        <v>0</v>
      </c>
      <c r="L485" s="1">
        <v>0</v>
      </c>
      <c r="M485" s="1">
        <v>0</v>
      </c>
      <c r="N485" s="1">
        <v>0</v>
      </c>
      <c r="O485" s="1">
        <v>0</v>
      </c>
      <c r="P485" s="1">
        <v>2</v>
      </c>
      <c r="Q485" s="24">
        <f t="shared" si="21"/>
        <v>2</v>
      </c>
      <c r="R485" s="23">
        <v>0</v>
      </c>
      <c r="S485" s="1">
        <v>0</v>
      </c>
      <c r="T485" s="1">
        <v>0</v>
      </c>
      <c r="U485" s="1">
        <v>0</v>
      </c>
      <c r="V485" s="1">
        <v>0</v>
      </c>
      <c r="W485" s="1">
        <v>0</v>
      </c>
      <c r="X485" s="1">
        <v>0</v>
      </c>
      <c r="Y485" s="1">
        <v>0</v>
      </c>
      <c r="Z485" s="1">
        <v>0</v>
      </c>
      <c r="AA485" s="1">
        <v>0</v>
      </c>
      <c r="AB485" s="1">
        <v>0</v>
      </c>
      <c r="AC485" s="1">
        <v>14</v>
      </c>
      <c r="AD485" s="24">
        <f t="shared" si="22"/>
        <v>14</v>
      </c>
      <c r="AE485" s="23">
        <v>0</v>
      </c>
      <c r="AF485" s="1">
        <v>0</v>
      </c>
      <c r="AG485" s="1">
        <v>0</v>
      </c>
      <c r="AH485" s="1">
        <v>0</v>
      </c>
      <c r="AI485" s="1">
        <v>0</v>
      </c>
      <c r="AJ485" s="1">
        <v>0</v>
      </c>
      <c r="AK485" s="1">
        <v>0</v>
      </c>
      <c r="AL485" s="1">
        <v>0</v>
      </c>
      <c r="AM485" s="1">
        <v>0</v>
      </c>
      <c r="AN485" s="1">
        <v>0</v>
      </c>
      <c r="AO485" s="1">
        <v>0</v>
      </c>
      <c r="AP485" s="1">
        <v>0</v>
      </c>
      <c r="AQ485" s="24">
        <f t="shared" si="23"/>
        <v>0</v>
      </c>
    </row>
    <row r="486" spans="1:43" ht="17.25" customHeight="1" x14ac:dyDescent="0.45">
      <c r="A486" s="12" t="s">
        <v>161</v>
      </c>
      <c r="B486" s="12" t="s">
        <v>68</v>
      </c>
      <c r="C486" s="12" t="s">
        <v>14</v>
      </c>
      <c r="D486" s="12" t="s">
        <v>66</v>
      </c>
      <c r="E486" s="25">
        <v>0</v>
      </c>
      <c r="F486" s="10">
        <v>0</v>
      </c>
      <c r="G486" s="10">
        <v>0</v>
      </c>
      <c r="H486" s="10">
        <v>0</v>
      </c>
      <c r="I486" s="10">
        <v>0</v>
      </c>
      <c r="J486" s="10">
        <v>0</v>
      </c>
      <c r="K486" s="10">
        <v>0</v>
      </c>
      <c r="L486" s="10">
        <v>1</v>
      </c>
      <c r="M486" s="10">
        <v>0</v>
      </c>
      <c r="N486" s="10">
        <v>0</v>
      </c>
      <c r="O486" s="10">
        <v>0</v>
      </c>
      <c r="P486" s="10">
        <v>0</v>
      </c>
      <c r="Q486" s="26">
        <f t="shared" si="21"/>
        <v>1</v>
      </c>
      <c r="R486" s="25">
        <v>0</v>
      </c>
      <c r="S486" s="10">
        <v>0</v>
      </c>
      <c r="T486" s="10">
        <v>0</v>
      </c>
      <c r="U486" s="10">
        <v>0</v>
      </c>
      <c r="V486" s="10">
        <v>0</v>
      </c>
      <c r="W486" s="10">
        <v>0</v>
      </c>
      <c r="X486" s="10">
        <v>0</v>
      </c>
      <c r="Y486" s="10">
        <v>53</v>
      </c>
      <c r="Z486" s="10">
        <v>0</v>
      </c>
      <c r="AA486" s="10">
        <v>0</v>
      </c>
      <c r="AB486" s="10">
        <v>0</v>
      </c>
      <c r="AC486" s="10">
        <v>0</v>
      </c>
      <c r="AD486" s="26">
        <f t="shared" si="22"/>
        <v>53</v>
      </c>
      <c r="AE486" s="25">
        <v>0</v>
      </c>
      <c r="AF486" s="10">
        <v>0</v>
      </c>
      <c r="AG486" s="10">
        <v>0</v>
      </c>
      <c r="AH486" s="10">
        <v>0</v>
      </c>
      <c r="AI486" s="10">
        <v>0</v>
      </c>
      <c r="AJ486" s="10">
        <v>0</v>
      </c>
      <c r="AK486" s="10">
        <v>0</v>
      </c>
      <c r="AL486" s="10">
        <v>0</v>
      </c>
      <c r="AM486" s="10">
        <v>0</v>
      </c>
      <c r="AN486" s="10">
        <v>0</v>
      </c>
      <c r="AO486" s="10">
        <v>0</v>
      </c>
      <c r="AP486" s="10">
        <v>0</v>
      </c>
      <c r="AQ486" s="26">
        <f t="shared" si="23"/>
        <v>0</v>
      </c>
    </row>
    <row r="487" spans="1:43" ht="17.25" customHeight="1" x14ac:dyDescent="0.45">
      <c r="A487" s="2" t="s">
        <v>191</v>
      </c>
      <c r="B487" s="2" t="s">
        <v>192</v>
      </c>
      <c r="C487" s="2" t="s">
        <v>14</v>
      </c>
      <c r="D487" s="2" t="s">
        <v>66</v>
      </c>
      <c r="E487" s="23">
        <v>0</v>
      </c>
      <c r="F487" s="1">
        <v>0</v>
      </c>
      <c r="G487" s="1">
        <v>0</v>
      </c>
      <c r="H487" s="1">
        <v>0</v>
      </c>
      <c r="I487" s="1">
        <v>17</v>
      </c>
      <c r="J487" s="1">
        <v>12</v>
      </c>
      <c r="K487" s="1">
        <v>14</v>
      </c>
      <c r="L487" s="1">
        <v>13</v>
      </c>
      <c r="M487" s="1">
        <v>14</v>
      </c>
      <c r="N487" s="1">
        <v>13</v>
      </c>
      <c r="O487" s="1">
        <v>13</v>
      </c>
      <c r="P487" s="1">
        <v>13</v>
      </c>
      <c r="Q487" s="24">
        <f t="shared" si="21"/>
        <v>109</v>
      </c>
      <c r="R487" s="23">
        <v>0</v>
      </c>
      <c r="S487" s="1">
        <v>0</v>
      </c>
      <c r="T487" s="1">
        <v>0</v>
      </c>
      <c r="U487" s="1">
        <v>0</v>
      </c>
      <c r="V487" s="1">
        <v>0</v>
      </c>
      <c r="W487" s="1">
        <v>0</v>
      </c>
      <c r="X487" s="1">
        <v>0</v>
      </c>
      <c r="Y487" s="1">
        <v>0</v>
      </c>
      <c r="Z487" s="1">
        <v>0</v>
      </c>
      <c r="AA487" s="1">
        <v>0</v>
      </c>
      <c r="AB487" s="1">
        <v>0</v>
      </c>
      <c r="AC487" s="1">
        <v>0</v>
      </c>
      <c r="AD487" s="24">
        <f t="shared" si="22"/>
        <v>0</v>
      </c>
      <c r="AE487" s="23">
        <v>0</v>
      </c>
      <c r="AF487" s="1">
        <v>0</v>
      </c>
      <c r="AG487" s="1">
        <v>0</v>
      </c>
      <c r="AH487" s="1">
        <v>0</v>
      </c>
      <c r="AI487" s="1">
        <v>1700811</v>
      </c>
      <c r="AJ487" s="1">
        <v>1311130</v>
      </c>
      <c r="AK487" s="1">
        <v>1465503</v>
      </c>
      <c r="AL487" s="1">
        <v>1350738</v>
      </c>
      <c r="AM487" s="1">
        <v>1412751</v>
      </c>
      <c r="AN487" s="1">
        <v>1359183</v>
      </c>
      <c r="AO487" s="1">
        <v>1363827</v>
      </c>
      <c r="AP487" s="1">
        <v>1384178</v>
      </c>
      <c r="AQ487" s="24">
        <f t="shared" si="23"/>
        <v>11348121</v>
      </c>
    </row>
    <row r="488" spans="1:43" ht="17.25" customHeight="1" x14ac:dyDescent="0.45">
      <c r="A488" s="12" t="s">
        <v>236</v>
      </c>
      <c r="B488" s="12" t="s">
        <v>237</v>
      </c>
      <c r="C488" s="12" t="s">
        <v>11</v>
      </c>
      <c r="D488" s="12" t="s">
        <v>66</v>
      </c>
      <c r="E488" s="25">
        <v>3</v>
      </c>
      <c r="F488" s="10">
        <v>2</v>
      </c>
      <c r="G488" s="10">
        <v>4</v>
      </c>
      <c r="H488" s="10">
        <v>4</v>
      </c>
      <c r="I488" s="10">
        <v>5</v>
      </c>
      <c r="J488" s="10">
        <v>4</v>
      </c>
      <c r="K488" s="10">
        <v>4</v>
      </c>
      <c r="L488" s="10">
        <v>5</v>
      </c>
      <c r="M488" s="10">
        <v>4</v>
      </c>
      <c r="N488" s="10">
        <v>5</v>
      </c>
      <c r="O488" s="10">
        <v>4</v>
      </c>
      <c r="P488" s="10">
        <v>4</v>
      </c>
      <c r="Q488" s="26">
        <f t="shared" si="21"/>
        <v>48</v>
      </c>
      <c r="R488" s="25">
        <v>0</v>
      </c>
      <c r="S488" s="10">
        <v>0</v>
      </c>
      <c r="T488" s="10">
        <v>0</v>
      </c>
      <c r="U488" s="10">
        <v>0</v>
      </c>
      <c r="V488" s="10">
        <v>0</v>
      </c>
      <c r="W488" s="10">
        <v>0</v>
      </c>
      <c r="X488" s="10">
        <v>0</v>
      </c>
      <c r="Y488" s="10">
        <v>0</v>
      </c>
      <c r="Z488" s="10">
        <v>0</v>
      </c>
      <c r="AA488" s="10">
        <v>0</v>
      </c>
      <c r="AB488" s="10">
        <v>0</v>
      </c>
      <c r="AC488" s="10">
        <v>0</v>
      </c>
      <c r="AD488" s="26">
        <f t="shared" si="22"/>
        <v>0</v>
      </c>
      <c r="AE488" s="25">
        <v>279420</v>
      </c>
      <c r="AF488" s="10">
        <v>188182</v>
      </c>
      <c r="AG488" s="10">
        <v>360054</v>
      </c>
      <c r="AH488" s="10">
        <v>377853</v>
      </c>
      <c r="AI488" s="10">
        <v>501757</v>
      </c>
      <c r="AJ488" s="10">
        <v>399856</v>
      </c>
      <c r="AK488" s="10">
        <v>320998</v>
      </c>
      <c r="AL488" s="10">
        <v>518448</v>
      </c>
      <c r="AM488" s="10">
        <v>389891</v>
      </c>
      <c r="AN488" s="10">
        <v>493491</v>
      </c>
      <c r="AO488" s="10">
        <v>401778</v>
      </c>
      <c r="AP488" s="10">
        <v>390511</v>
      </c>
      <c r="AQ488" s="26">
        <f t="shared" si="23"/>
        <v>4622239</v>
      </c>
    </row>
    <row r="489" spans="1:43" ht="17.25" customHeight="1" x14ac:dyDescent="0.45">
      <c r="A489" s="2" t="s">
        <v>236</v>
      </c>
      <c r="B489" s="2" t="s">
        <v>237</v>
      </c>
      <c r="C489" s="2" t="s">
        <v>14</v>
      </c>
      <c r="D489" s="2" t="s">
        <v>66</v>
      </c>
      <c r="E489" s="23">
        <v>0</v>
      </c>
      <c r="F489" s="1">
        <v>0</v>
      </c>
      <c r="G489" s="1">
        <v>1</v>
      </c>
      <c r="H489" s="1">
        <v>0</v>
      </c>
      <c r="I489" s="1">
        <v>0</v>
      </c>
      <c r="J489" s="1">
        <v>0</v>
      </c>
      <c r="K489" s="1">
        <v>0</v>
      </c>
      <c r="L489" s="1">
        <v>0</v>
      </c>
      <c r="M489" s="1">
        <v>0</v>
      </c>
      <c r="N489" s="1">
        <v>0</v>
      </c>
      <c r="O489" s="1">
        <v>0</v>
      </c>
      <c r="P489" s="1">
        <v>0</v>
      </c>
      <c r="Q489" s="24">
        <f t="shared" si="21"/>
        <v>1</v>
      </c>
      <c r="R489" s="23">
        <v>0</v>
      </c>
      <c r="S489" s="1">
        <v>0</v>
      </c>
      <c r="T489" s="1">
        <v>0</v>
      </c>
      <c r="U489" s="1">
        <v>0</v>
      </c>
      <c r="V489" s="1">
        <v>0</v>
      </c>
      <c r="W489" s="1">
        <v>0</v>
      </c>
      <c r="X489" s="1">
        <v>0</v>
      </c>
      <c r="Y489" s="1">
        <v>0</v>
      </c>
      <c r="Z489" s="1">
        <v>0</v>
      </c>
      <c r="AA489" s="1">
        <v>0</v>
      </c>
      <c r="AB489" s="1">
        <v>0</v>
      </c>
      <c r="AC489" s="1">
        <v>0</v>
      </c>
      <c r="AD489" s="24">
        <f t="shared" si="22"/>
        <v>0</v>
      </c>
      <c r="AE489" s="23">
        <v>0</v>
      </c>
      <c r="AF489" s="1">
        <v>0</v>
      </c>
      <c r="AG489" s="1">
        <v>49715</v>
      </c>
      <c r="AH489" s="1">
        <v>0</v>
      </c>
      <c r="AI489" s="1">
        <v>0</v>
      </c>
      <c r="AJ489" s="1">
        <v>0</v>
      </c>
      <c r="AK489" s="1">
        <v>0</v>
      </c>
      <c r="AL489" s="1">
        <v>0</v>
      </c>
      <c r="AM489" s="1">
        <v>0</v>
      </c>
      <c r="AN489" s="1">
        <v>0</v>
      </c>
      <c r="AO489" s="1">
        <v>0</v>
      </c>
      <c r="AP489" s="1">
        <v>0</v>
      </c>
      <c r="AQ489" s="24">
        <f t="shared" si="23"/>
        <v>49715</v>
      </c>
    </row>
    <row r="490" spans="1:43" ht="17.25" customHeight="1" x14ac:dyDescent="0.45">
      <c r="A490" s="12" t="s">
        <v>252</v>
      </c>
      <c r="B490" s="12" t="s">
        <v>237</v>
      </c>
      <c r="C490" s="12" t="s">
        <v>14</v>
      </c>
      <c r="D490" s="12" t="s">
        <v>66</v>
      </c>
      <c r="E490" s="25">
        <v>12</v>
      </c>
      <c r="F490" s="10">
        <v>11</v>
      </c>
      <c r="G490" s="10">
        <v>13</v>
      </c>
      <c r="H490" s="10">
        <v>12</v>
      </c>
      <c r="I490" s="10">
        <v>17</v>
      </c>
      <c r="J490" s="10">
        <v>15</v>
      </c>
      <c r="K490" s="10">
        <v>14</v>
      </c>
      <c r="L490" s="10">
        <v>13</v>
      </c>
      <c r="M490" s="10">
        <v>10</v>
      </c>
      <c r="N490" s="10">
        <v>12</v>
      </c>
      <c r="O490" s="10">
        <v>14</v>
      </c>
      <c r="P490" s="10">
        <v>12</v>
      </c>
      <c r="Q490" s="26">
        <f t="shared" si="21"/>
        <v>155</v>
      </c>
      <c r="R490" s="25">
        <v>0</v>
      </c>
      <c r="S490" s="10">
        <v>0</v>
      </c>
      <c r="T490" s="10">
        <v>0</v>
      </c>
      <c r="U490" s="10">
        <v>0</v>
      </c>
      <c r="V490" s="10">
        <v>0</v>
      </c>
      <c r="W490" s="10">
        <v>0</v>
      </c>
      <c r="X490" s="10">
        <v>0</v>
      </c>
      <c r="Y490" s="10">
        <v>0</v>
      </c>
      <c r="Z490" s="10">
        <v>0</v>
      </c>
      <c r="AA490" s="10">
        <v>0</v>
      </c>
      <c r="AB490" s="10">
        <v>0</v>
      </c>
      <c r="AC490" s="10">
        <v>0</v>
      </c>
      <c r="AD490" s="26">
        <f t="shared" si="22"/>
        <v>0</v>
      </c>
      <c r="AE490" s="25">
        <v>1034234</v>
      </c>
      <c r="AF490" s="10">
        <v>915042</v>
      </c>
      <c r="AG490" s="10">
        <v>1094514</v>
      </c>
      <c r="AH490" s="10">
        <v>1092502</v>
      </c>
      <c r="AI490" s="10">
        <v>1664170</v>
      </c>
      <c r="AJ490" s="10">
        <v>1461546</v>
      </c>
      <c r="AK490" s="10">
        <v>1322218</v>
      </c>
      <c r="AL490" s="10">
        <v>1231179</v>
      </c>
      <c r="AM490" s="10">
        <v>906716</v>
      </c>
      <c r="AN490" s="10">
        <v>1122967</v>
      </c>
      <c r="AO490" s="10">
        <v>1314306</v>
      </c>
      <c r="AP490" s="10">
        <v>1112080</v>
      </c>
      <c r="AQ490" s="26">
        <f t="shared" si="23"/>
        <v>14271474</v>
      </c>
    </row>
    <row r="491" spans="1:43" ht="17.25" customHeight="1" x14ac:dyDescent="0.45">
      <c r="A491" s="2" t="s">
        <v>226</v>
      </c>
      <c r="B491" s="2" t="s">
        <v>68</v>
      </c>
      <c r="C491" s="2" t="s">
        <v>19</v>
      </c>
      <c r="D491" s="2" t="s">
        <v>66</v>
      </c>
      <c r="E491" s="23">
        <v>0</v>
      </c>
      <c r="F491" s="1">
        <v>0</v>
      </c>
      <c r="G491" s="1">
        <v>8</v>
      </c>
      <c r="H491" s="1">
        <v>0</v>
      </c>
      <c r="I491" s="1">
        <v>2</v>
      </c>
      <c r="J491" s="1">
        <v>0</v>
      </c>
      <c r="K491" s="1">
        <v>0</v>
      </c>
      <c r="L491" s="1">
        <v>2</v>
      </c>
      <c r="M491" s="1">
        <v>0</v>
      </c>
      <c r="N491" s="1">
        <v>2</v>
      </c>
      <c r="O491" s="1">
        <v>0</v>
      </c>
      <c r="P491" s="1">
        <v>0</v>
      </c>
      <c r="Q491" s="24">
        <f t="shared" si="21"/>
        <v>14</v>
      </c>
      <c r="R491" s="23">
        <v>0</v>
      </c>
      <c r="S491" s="1">
        <v>0</v>
      </c>
      <c r="T491" s="1">
        <v>0</v>
      </c>
      <c r="U491" s="1">
        <v>0</v>
      </c>
      <c r="V491" s="1">
        <v>0</v>
      </c>
      <c r="W491" s="1">
        <v>0</v>
      </c>
      <c r="X491" s="1">
        <v>0</v>
      </c>
      <c r="Y491" s="1">
        <v>0</v>
      </c>
      <c r="Z491" s="1">
        <v>0</v>
      </c>
      <c r="AA491" s="1">
        <v>0</v>
      </c>
      <c r="AB491" s="1">
        <v>0</v>
      </c>
      <c r="AC491" s="1">
        <v>0</v>
      </c>
      <c r="AD491" s="24">
        <f t="shared" si="22"/>
        <v>0</v>
      </c>
      <c r="AE491" s="23">
        <v>0</v>
      </c>
      <c r="AF491" s="1">
        <v>0</v>
      </c>
      <c r="AG491" s="1">
        <v>241345</v>
      </c>
      <c r="AH491" s="1">
        <v>0</v>
      </c>
      <c r="AI491" s="1">
        <v>5099</v>
      </c>
      <c r="AJ491" s="1">
        <v>0</v>
      </c>
      <c r="AK491" s="1">
        <v>0</v>
      </c>
      <c r="AL491" s="1">
        <v>2246</v>
      </c>
      <c r="AM491" s="1">
        <v>0</v>
      </c>
      <c r="AN491" s="1">
        <v>2400</v>
      </c>
      <c r="AO491" s="1">
        <v>0</v>
      </c>
      <c r="AP491" s="1">
        <v>0</v>
      </c>
      <c r="AQ491" s="24">
        <f t="shared" si="23"/>
        <v>251090</v>
      </c>
    </row>
    <row r="492" spans="1:43" ht="17.25" customHeight="1" x14ac:dyDescent="0.45">
      <c r="A492" s="12" t="s">
        <v>226</v>
      </c>
      <c r="B492" s="12" t="s">
        <v>68</v>
      </c>
      <c r="C492" s="12" t="s">
        <v>22</v>
      </c>
      <c r="D492" s="12" t="s">
        <v>66</v>
      </c>
      <c r="E492" s="25">
        <v>1</v>
      </c>
      <c r="F492" s="10">
        <v>3</v>
      </c>
      <c r="G492" s="10">
        <v>2</v>
      </c>
      <c r="H492" s="10">
        <v>4</v>
      </c>
      <c r="I492" s="10">
        <v>5</v>
      </c>
      <c r="J492" s="10">
        <v>2</v>
      </c>
      <c r="K492" s="10">
        <v>0</v>
      </c>
      <c r="L492" s="10">
        <v>5</v>
      </c>
      <c r="M492" s="10">
        <v>0</v>
      </c>
      <c r="N492" s="10">
        <v>5</v>
      </c>
      <c r="O492" s="10">
        <v>4</v>
      </c>
      <c r="P492" s="10">
        <v>8</v>
      </c>
      <c r="Q492" s="26">
        <f t="shared" si="21"/>
        <v>39</v>
      </c>
      <c r="R492" s="25">
        <v>0</v>
      </c>
      <c r="S492" s="10">
        <v>0</v>
      </c>
      <c r="T492" s="10">
        <v>0</v>
      </c>
      <c r="U492" s="10">
        <v>0</v>
      </c>
      <c r="V492" s="10">
        <v>0</v>
      </c>
      <c r="W492" s="10">
        <v>0</v>
      </c>
      <c r="X492" s="10">
        <v>0</v>
      </c>
      <c r="Y492" s="10">
        <v>0</v>
      </c>
      <c r="Z492" s="10">
        <v>0</v>
      </c>
      <c r="AA492" s="10">
        <v>0</v>
      </c>
      <c r="AB492" s="10">
        <v>0</v>
      </c>
      <c r="AC492" s="10">
        <v>0</v>
      </c>
      <c r="AD492" s="26">
        <f t="shared" si="22"/>
        <v>0</v>
      </c>
      <c r="AE492" s="25">
        <v>1000</v>
      </c>
      <c r="AF492" s="10">
        <v>1525</v>
      </c>
      <c r="AG492" s="10">
        <v>3822</v>
      </c>
      <c r="AH492" s="10">
        <v>23926</v>
      </c>
      <c r="AI492" s="10">
        <v>21176</v>
      </c>
      <c r="AJ492" s="10">
        <v>3708</v>
      </c>
      <c r="AK492" s="10">
        <v>0</v>
      </c>
      <c r="AL492" s="10">
        <v>215328</v>
      </c>
      <c r="AM492" s="10">
        <v>0</v>
      </c>
      <c r="AN492" s="10">
        <v>11793</v>
      </c>
      <c r="AO492" s="10">
        <v>18148</v>
      </c>
      <c r="AP492" s="10">
        <v>276539</v>
      </c>
      <c r="AQ492" s="26">
        <f t="shared" si="23"/>
        <v>576965</v>
      </c>
    </row>
    <row r="493" spans="1:43" ht="17.25" customHeight="1" x14ac:dyDescent="0.45">
      <c r="A493" s="2" t="s">
        <v>226</v>
      </c>
      <c r="B493" s="2" t="s">
        <v>68</v>
      </c>
      <c r="C493" s="2" t="s">
        <v>11</v>
      </c>
      <c r="D493" s="2" t="s">
        <v>66</v>
      </c>
      <c r="E493" s="23">
        <v>1</v>
      </c>
      <c r="F493" s="1">
        <v>1</v>
      </c>
      <c r="G493" s="1">
        <v>3</v>
      </c>
      <c r="H493" s="1">
        <v>3</v>
      </c>
      <c r="I493" s="1">
        <v>1</v>
      </c>
      <c r="J493" s="1">
        <v>1</v>
      </c>
      <c r="K493" s="1">
        <v>0</v>
      </c>
      <c r="L493" s="1">
        <v>0</v>
      </c>
      <c r="M493" s="1">
        <v>0</v>
      </c>
      <c r="N493" s="1">
        <v>1</v>
      </c>
      <c r="O493" s="1">
        <v>0</v>
      </c>
      <c r="P493" s="1">
        <v>0</v>
      </c>
      <c r="Q493" s="24">
        <f t="shared" si="21"/>
        <v>11</v>
      </c>
      <c r="R493" s="23">
        <v>0</v>
      </c>
      <c r="S493" s="1">
        <v>0</v>
      </c>
      <c r="T493" s="1">
        <v>0</v>
      </c>
      <c r="U493" s="1">
        <v>0</v>
      </c>
      <c r="V493" s="1">
        <v>0</v>
      </c>
      <c r="W493" s="1">
        <v>0</v>
      </c>
      <c r="X493" s="1">
        <v>0</v>
      </c>
      <c r="Y493" s="1">
        <v>0</v>
      </c>
      <c r="Z493" s="1">
        <v>0</v>
      </c>
      <c r="AA493" s="1">
        <v>0</v>
      </c>
      <c r="AB493" s="1">
        <v>0</v>
      </c>
      <c r="AC493" s="1">
        <v>0</v>
      </c>
      <c r="AD493" s="24">
        <f t="shared" si="22"/>
        <v>0</v>
      </c>
      <c r="AE493" s="23">
        <v>3045</v>
      </c>
      <c r="AF493" s="1">
        <v>6000</v>
      </c>
      <c r="AG493" s="1">
        <v>17920</v>
      </c>
      <c r="AH493" s="1">
        <v>35675</v>
      </c>
      <c r="AI493" s="1">
        <v>12200</v>
      </c>
      <c r="AJ493" s="1">
        <v>7500</v>
      </c>
      <c r="AK493" s="1">
        <v>0</v>
      </c>
      <c r="AL493" s="1">
        <v>0</v>
      </c>
      <c r="AM493" s="1">
        <v>0</v>
      </c>
      <c r="AN493" s="1">
        <v>1100</v>
      </c>
      <c r="AO493" s="1">
        <v>0</v>
      </c>
      <c r="AP493" s="1">
        <v>0</v>
      </c>
      <c r="AQ493" s="24">
        <f t="shared" si="23"/>
        <v>83440</v>
      </c>
    </row>
    <row r="494" spans="1:43" ht="17.25" customHeight="1" x14ac:dyDescent="0.45">
      <c r="A494" s="12" t="s">
        <v>226</v>
      </c>
      <c r="B494" s="12" t="s">
        <v>68</v>
      </c>
      <c r="C494" s="12" t="s">
        <v>38</v>
      </c>
      <c r="D494" s="12" t="s">
        <v>66</v>
      </c>
      <c r="E494" s="25">
        <v>2</v>
      </c>
      <c r="F494" s="10">
        <v>0</v>
      </c>
      <c r="G494" s="10">
        <v>0</v>
      </c>
      <c r="H494" s="10">
        <v>0</v>
      </c>
      <c r="I494" s="10">
        <v>0</v>
      </c>
      <c r="J494" s="10">
        <v>1</v>
      </c>
      <c r="K494" s="10">
        <v>0</v>
      </c>
      <c r="L494" s="10">
        <v>0</v>
      </c>
      <c r="M494" s="10">
        <v>2</v>
      </c>
      <c r="N494" s="10">
        <v>1</v>
      </c>
      <c r="O494" s="10">
        <v>4</v>
      </c>
      <c r="P494" s="10">
        <v>0</v>
      </c>
      <c r="Q494" s="26">
        <f t="shared" si="21"/>
        <v>10</v>
      </c>
      <c r="R494" s="25">
        <v>0</v>
      </c>
      <c r="S494" s="10">
        <v>0</v>
      </c>
      <c r="T494" s="10">
        <v>0</v>
      </c>
      <c r="U494" s="10">
        <v>0</v>
      </c>
      <c r="V494" s="10">
        <v>0</v>
      </c>
      <c r="W494" s="10">
        <v>0</v>
      </c>
      <c r="X494" s="10">
        <v>0</v>
      </c>
      <c r="Y494" s="10">
        <v>0</v>
      </c>
      <c r="Z494" s="10">
        <v>0</v>
      </c>
      <c r="AA494" s="10">
        <v>0</v>
      </c>
      <c r="AB494" s="10">
        <v>0</v>
      </c>
      <c r="AC494" s="10">
        <v>0</v>
      </c>
      <c r="AD494" s="26">
        <f t="shared" si="22"/>
        <v>0</v>
      </c>
      <c r="AE494" s="25">
        <v>2160</v>
      </c>
      <c r="AF494" s="10">
        <v>0</v>
      </c>
      <c r="AG494" s="10">
        <v>0</v>
      </c>
      <c r="AH494" s="10">
        <v>0</v>
      </c>
      <c r="AI494" s="10">
        <v>0</v>
      </c>
      <c r="AJ494" s="10">
        <v>5045</v>
      </c>
      <c r="AK494" s="10">
        <v>0</v>
      </c>
      <c r="AL494" s="10">
        <v>0</v>
      </c>
      <c r="AM494" s="10">
        <v>59136</v>
      </c>
      <c r="AN494" s="10">
        <v>49862</v>
      </c>
      <c r="AO494" s="10">
        <v>7971</v>
      </c>
      <c r="AP494" s="10">
        <v>0</v>
      </c>
      <c r="AQ494" s="26">
        <f t="shared" si="23"/>
        <v>124174</v>
      </c>
    </row>
    <row r="495" spans="1:43" ht="17.25" customHeight="1" x14ac:dyDescent="0.45">
      <c r="A495" s="2" t="s">
        <v>226</v>
      </c>
      <c r="B495" s="2" t="s">
        <v>68</v>
      </c>
      <c r="C495" s="2" t="s">
        <v>23</v>
      </c>
      <c r="D495" s="2" t="s">
        <v>66</v>
      </c>
      <c r="E495" s="23">
        <v>1</v>
      </c>
      <c r="F495" s="1">
        <v>0</v>
      </c>
      <c r="G495" s="1">
        <v>0</v>
      </c>
      <c r="H495" s="1">
        <v>0</v>
      </c>
      <c r="I495" s="1">
        <v>0</v>
      </c>
      <c r="J495" s="1">
        <v>0</v>
      </c>
      <c r="K495" s="1">
        <v>0</v>
      </c>
      <c r="L495" s="1">
        <v>0</v>
      </c>
      <c r="M495" s="1">
        <v>0</v>
      </c>
      <c r="N495" s="1">
        <v>1</v>
      </c>
      <c r="O495" s="1">
        <v>0</v>
      </c>
      <c r="P495" s="1">
        <v>0</v>
      </c>
      <c r="Q495" s="24">
        <f t="shared" si="21"/>
        <v>2</v>
      </c>
      <c r="R495" s="23">
        <v>0</v>
      </c>
      <c r="S495" s="1">
        <v>0</v>
      </c>
      <c r="T495" s="1">
        <v>0</v>
      </c>
      <c r="U495" s="1">
        <v>0</v>
      </c>
      <c r="V495" s="1">
        <v>0</v>
      </c>
      <c r="W495" s="1">
        <v>0</v>
      </c>
      <c r="X495" s="1">
        <v>0</v>
      </c>
      <c r="Y495" s="1">
        <v>0</v>
      </c>
      <c r="Z495" s="1">
        <v>0</v>
      </c>
      <c r="AA495" s="1">
        <v>0</v>
      </c>
      <c r="AB495" s="1">
        <v>0</v>
      </c>
      <c r="AC495" s="1">
        <v>0</v>
      </c>
      <c r="AD495" s="24">
        <f t="shared" si="22"/>
        <v>0</v>
      </c>
      <c r="AE495" s="23">
        <v>1600</v>
      </c>
      <c r="AF495" s="1">
        <v>0</v>
      </c>
      <c r="AG495" s="1">
        <v>0</v>
      </c>
      <c r="AH495" s="1">
        <v>0</v>
      </c>
      <c r="AI495" s="1">
        <v>0</v>
      </c>
      <c r="AJ495" s="1">
        <v>0</v>
      </c>
      <c r="AK495" s="1">
        <v>0</v>
      </c>
      <c r="AL495" s="1">
        <v>0</v>
      </c>
      <c r="AM495" s="1">
        <v>0</v>
      </c>
      <c r="AN495" s="1">
        <v>2794</v>
      </c>
      <c r="AO495" s="1">
        <v>0</v>
      </c>
      <c r="AP495" s="1">
        <v>0</v>
      </c>
      <c r="AQ495" s="24">
        <f t="shared" si="23"/>
        <v>4394</v>
      </c>
    </row>
    <row r="496" spans="1:43" ht="17.25" customHeight="1" x14ac:dyDescent="0.45">
      <c r="A496" s="12" t="s">
        <v>226</v>
      </c>
      <c r="B496" s="12" t="s">
        <v>68</v>
      </c>
      <c r="C496" s="12" t="s">
        <v>13</v>
      </c>
      <c r="D496" s="12" t="s">
        <v>66</v>
      </c>
      <c r="E496" s="25">
        <v>1</v>
      </c>
      <c r="F496" s="10">
        <v>0</v>
      </c>
      <c r="G496" s="10">
        <v>0</v>
      </c>
      <c r="H496" s="10">
        <v>0</v>
      </c>
      <c r="I496" s="10">
        <v>0</v>
      </c>
      <c r="J496" s="10">
        <v>0</v>
      </c>
      <c r="K496" s="10">
        <v>0</v>
      </c>
      <c r="L496" s="10">
        <v>0</v>
      </c>
      <c r="M496" s="10">
        <v>0</v>
      </c>
      <c r="N496" s="10">
        <v>0</v>
      </c>
      <c r="O496" s="10">
        <v>0</v>
      </c>
      <c r="P496" s="10">
        <v>0</v>
      </c>
      <c r="Q496" s="26">
        <f t="shared" si="21"/>
        <v>1</v>
      </c>
      <c r="R496" s="25">
        <v>0</v>
      </c>
      <c r="S496" s="10">
        <v>0</v>
      </c>
      <c r="T496" s="10">
        <v>0</v>
      </c>
      <c r="U496" s="10">
        <v>0</v>
      </c>
      <c r="V496" s="10">
        <v>0</v>
      </c>
      <c r="W496" s="10">
        <v>0</v>
      </c>
      <c r="X496" s="10">
        <v>0</v>
      </c>
      <c r="Y496" s="10">
        <v>0</v>
      </c>
      <c r="Z496" s="10">
        <v>0</v>
      </c>
      <c r="AA496" s="10">
        <v>0</v>
      </c>
      <c r="AB496" s="10">
        <v>0</v>
      </c>
      <c r="AC496" s="10">
        <v>0</v>
      </c>
      <c r="AD496" s="26">
        <f t="shared" si="22"/>
        <v>0</v>
      </c>
      <c r="AE496" s="25">
        <v>1500</v>
      </c>
      <c r="AF496" s="10">
        <v>0</v>
      </c>
      <c r="AG496" s="10">
        <v>0</v>
      </c>
      <c r="AH496" s="10">
        <v>0</v>
      </c>
      <c r="AI496" s="10">
        <v>0</v>
      </c>
      <c r="AJ496" s="10">
        <v>0</v>
      </c>
      <c r="AK496" s="10">
        <v>0</v>
      </c>
      <c r="AL496" s="10">
        <v>0</v>
      </c>
      <c r="AM496" s="10">
        <v>0</v>
      </c>
      <c r="AN496" s="10">
        <v>0</v>
      </c>
      <c r="AO496" s="10">
        <v>0</v>
      </c>
      <c r="AP496" s="10">
        <v>0</v>
      </c>
      <c r="AQ496" s="26">
        <f t="shared" si="23"/>
        <v>1500</v>
      </c>
    </row>
    <row r="497" spans="1:43" ht="17.25" customHeight="1" x14ac:dyDescent="0.45">
      <c r="A497" s="2" t="s">
        <v>226</v>
      </c>
      <c r="B497" s="2" t="s">
        <v>68</v>
      </c>
      <c r="C497" s="2" t="s">
        <v>27</v>
      </c>
      <c r="D497" s="2" t="s">
        <v>66</v>
      </c>
      <c r="E497" s="23">
        <v>0</v>
      </c>
      <c r="F497" s="1">
        <v>0</v>
      </c>
      <c r="G497" s="1">
        <v>0</v>
      </c>
      <c r="H497" s="1">
        <v>0</v>
      </c>
      <c r="I497" s="1">
        <v>0</v>
      </c>
      <c r="J497" s="1">
        <v>0</v>
      </c>
      <c r="K497" s="1">
        <v>0</v>
      </c>
      <c r="L497" s="1">
        <v>0</v>
      </c>
      <c r="M497" s="1">
        <v>0</v>
      </c>
      <c r="N497" s="1">
        <v>0</v>
      </c>
      <c r="O497" s="1">
        <v>0</v>
      </c>
      <c r="P497" s="1">
        <v>1</v>
      </c>
      <c r="Q497" s="24">
        <f t="shared" si="21"/>
        <v>1</v>
      </c>
      <c r="R497" s="23">
        <v>0</v>
      </c>
      <c r="S497" s="1">
        <v>0</v>
      </c>
      <c r="T497" s="1">
        <v>0</v>
      </c>
      <c r="U497" s="1">
        <v>0</v>
      </c>
      <c r="V497" s="1">
        <v>0</v>
      </c>
      <c r="W497" s="1">
        <v>0</v>
      </c>
      <c r="X497" s="1">
        <v>0</v>
      </c>
      <c r="Y497" s="1">
        <v>0</v>
      </c>
      <c r="Z497" s="1">
        <v>0</v>
      </c>
      <c r="AA497" s="1">
        <v>0</v>
      </c>
      <c r="AB497" s="1">
        <v>0</v>
      </c>
      <c r="AC497" s="1">
        <v>0</v>
      </c>
      <c r="AD497" s="24">
        <f t="shared" si="22"/>
        <v>0</v>
      </c>
      <c r="AE497" s="23">
        <v>0</v>
      </c>
      <c r="AF497" s="1">
        <v>0</v>
      </c>
      <c r="AG497" s="1">
        <v>0</v>
      </c>
      <c r="AH497" s="1">
        <v>0</v>
      </c>
      <c r="AI497" s="1">
        <v>0</v>
      </c>
      <c r="AJ497" s="1">
        <v>0</v>
      </c>
      <c r="AK497" s="1">
        <v>0</v>
      </c>
      <c r="AL497" s="1">
        <v>0</v>
      </c>
      <c r="AM497" s="1">
        <v>0</v>
      </c>
      <c r="AN497" s="1">
        <v>0</v>
      </c>
      <c r="AO497" s="1">
        <v>0</v>
      </c>
      <c r="AP497" s="1">
        <v>2300</v>
      </c>
      <c r="AQ497" s="24">
        <f t="shared" si="23"/>
        <v>2300</v>
      </c>
    </row>
    <row r="498" spans="1:43" ht="17.25" customHeight="1" x14ac:dyDescent="0.45">
      <c r="A498" s="12" t="s">
        <v>226</v>
      </c>
      <c r="B498" s="12" t="s">
        <v>68</v>
      </c>
      <c r="C498" s="12" t="s">
        <v>28</v>
      </c>
      <c r="D498" s="12" t="s">
        <v>66</v>
      </c>
      <c r="E498" s="25">
        <v>21</v>
      </c>
      <c r="F498" s="10">
        <v>12</v>
      </c>
      <c r="G498" s="10">
        <v>5</v>
      </c>
      <c r="H498" s="10">
        <v>6</v>
      </c>
      <c r="I498" s="10">
        <v>7</v>
      </c>
      <c r="J498" s="10">
        <v>3</v>
      </c>
      <c r="K498" s="10">
        <v>2</v>
      </c>
      <c r="L498" s="10">
        <v>1</v>
      </c>
      <c r="M498" s="10">
        <v>2</v>
      </c>
      <c r="N498" s="10">
        <v>8</v>
      </c>
      <c r="O498" s="10">
        <v>1</v>
      </c>
      <c r="P498" s="10">
        <v>2</v>
      </c>
      <c r="Q498" s="26">
        <f t="shared" si="21"/>
        <v>70</v>
      </c>
      <c r="R498" s="25">
        <v>0</v>
      </c>
      <c r="S498" s="10">
        <v>0</v>
      </c>
      <c r="T498" s="10">
        <v>0</v>
      </c>
      <c r="U498" s="10">
        <v>0</v>
      </c>
      <c r="V498" s="10">
        <v>0</v>
      </c>
      <c r="W498" s="10">
        <v>0</v>
      </c>
      <c r="X498" s="10">
        <v>0</v>
      </c>
      <c r="Y498" s="10">
        <v>0</v>
      </c>
      <c r="Z498" s="10">
        <v>0</v>
      </c>
      <c r="AA498" s="10">
        <v>0</v>
      </c>
      <c r="AB498" s="10">
        <v>0</v>
      </c>
      <c r="AC498" s="10">
        <v>0</v>
      </c>
      <c r="AD498" s="26">
        <f t="shared" si="22"/>
        <v>0</v>
      </c>
      <c r="AE498" s="25">
        <v>43855</v>
      </c>
      <c r="AF498" s="10">
        <v>36362</v>
      </c>
      <c r="AG498" s="10">
        <v>79428</v>
      </c>
      <c r="AH498" s="10">
        <v>12339</v>
      </c>
      <c r="AI498" s="10">
        <v>40262</v>
      </c>
      <c r="AJ498" s="10">
        <v>2079</v>
      </c>
      <c r="AK498" s="10">
        <v>1856</v>
      </c>
      <c r="AL498" s="10">
        <v>52598</v>
      </c>
      <c r="AM498" s="10">
        <v>1200</v>
      </c>
      <c r="AN498" s="10">
        <v>23149</v>
      </c>
      <c r="AO498" s="10">
        <v>2000</v>
      </c>
      <c r="AP498" s="10">
        <v>3281</v>
      </c>
      <c r="AQ498" s="26">
        <f t="shared" si="23"/>
        <v>298409</v>
      </c>
    </row>
    <row r="499" spans="1:43" ht="17.25" customHeight="1" x14ac:dyDescent="0.45">
      <c r="A499" s="2" t="s">
        <v>226</v>
      </c>
      <c r="B499" s="2" t="s">
        <v>68</v>
      </c>
      <c r="C499" s="2" t="s">
        <v>206</v>
      </c>
      <c r="D499" s="2" t="s">
        <v>66</v>
      </c>
      <c r="E499" s="23">
        <v>25</v>
      </c>
      <c r="F499" s="1">
        <v>17</v>
      </c>
      <c r="G499" s="1">
        <v>11</v>
      </c>
      <c r="H499" s="1">
        <v>14</v>
      </c>
      <c r="I499" s="1">
        <v>17</v>
      </c>
      <c r="J499" s="1">
        <v>2</v>
      </c>
      <c r="K499" s="1">
        <v>2</v>
      </c>
      <c r="L499" s="1">
        <v>1</v>
      </c>
      <c r="M499" s="1">
        <v>1</v>
      </c>
      <c r="N499" s="1">
        <v>4</v>
      </c>
      <c r="O499" s="1">
        <v>0</v>
      </c>
      <c r="P499" s="1">
        <v>4</v>
      </c>
      <c r="Q499" s="24">
        <f t="shared" si="21"/>
        <v>98</v>
      </c>
      <c r="R499" s="23">
        <v>0</v>
      </c>
      <c r="S499" s="1">
        <v>0</v>
      </c>
      <c r="T499" s="1">
        <v>0</v>
      </c>
      <c r="U499" s="1">
        <v>0</v>
      </c>
      <c r="V499" s="1">
        <v>0</v>
      </c>
      <c r="W499" s="1">
        <v>0</v>
      </c>
      <c r="X499" s="1">
        <v>0</v>
      </c>
      <c r="Y499" s="1">
        <v>0</v>
      </c>
      <c r="Z499" s="1">
        <v>0</v>
      </c>
      <c r="AA499" s="1">
        <v>0</v>
      </c>
      <c r="AB499" s="1">
        <v>0</v>
      </c>
      <c r="AC499" s="1">
        <v>0</v>
      </c>
      <c r="AD499" s="24">
        <f t="shared" si="22"/>
        <v>0</v>
      </c>
      <c r="AE499" s="23">
        <v>60165</v>
      </c>
      <c r="AF499" s="1">
        <v>82731</v>
      </c>
      <c r="AG499" s="1">
        <v>52759</v>
      </c>
      <c r="AH499" s="1">
        <v>104516</v>
      </c>
      <c r="AI499" s="1">
        <v>143372</v>
      </c>
      <c r="AJ499" s="1">
        <v>970</v>
      </c>
      <c r="AK499" s="1">
        <v>4669</v>
      </c>
      <c r="AL499" s="1">
        <v>3882</v>
      </c>
      <c r="AM499" s="1">
        <v>4000</v>
      </c>
      <c r="AN499" s="1">
        <v>14853</v>
      </c>
      <c r="AO499" s="1">
        <v>0</v>
      </c>
      <c r="AP499" s="1">
        <v>13985</v>
      </c>
      <c r="AQ499" s="24">
        <f t="shared" si="23"/>
        <v>485902</v>
      </c>
    </row>
    <row r="500" spans="1:43" ht="17.25" customHeight="1" x14ac:dyDescent="0.45">
      <c r="A500" s="12" t="s">
        <v>226</v>
      </c>
      <c r="B500" s="12" t="s">
        <v>68</v>
      </c>
      <c r="C500" s="12" t="s">
        <v>30</v>
      </c>
      <c r="D500" s="12" t="s">
        <v>66</v>
      </c>
      <c r="E500" s="25">
        <v>1</v>
      </c>
      <c r="F500" s="10">
        <v>2</v>
      </c>
      <c r="G500" s="10">
        <v>6</v>
      </c>
      <c r="H500" s="10">
        <v>11</v>
      </c>
      <c r="I500" s="10">
        <v>8</v>
      </c>
      <c r="J500" s="10">
        <v>8</v>
      </c>
      <c r="K500" s="10">
        <v>6</v>
      </c>
      <c r="L500" s="10">
        <v>1</v>
      </c>
      <c r="M500" s="10">
        <v>1</v>
      </c>
      <c r="N500" s="10">
        <v>4</v>
      </c>
      <c r="O500" s="10">
        <v>0</v>
      </c>
      <c r="P500" s="10">
        <v>1</v>
      </c>
      <c r="Q500" s="26">
        <f t="shared" si="21"/>
        <v>49</v>
      </c>
      <c r="R500" s="25">
        <v>0</v>
      </c>
      <c r="S500" s="10">
        <v>0</v>
      </c>
      <c r="T500" s="10">
        <v>0</v>
      </c>
      <c r="U500" s="10">
        <v>0</v>
      </c>
      <c r="V500" s="10">
        <v>0</v>
      </c>
      <c r="W500" s="10">
        <v>0</v>
      </c>
      <c r="X500" s="10">
        <v>0</v>
      </c>
      <c r="Y500" s="10">
        <v>0</v>
      </c>
      <c r="Z500" s="10">
        <v>0</v>
      </c>
      <c r="AA500" s="10">
        <v>0</v>
      </c>
      <c r="AB500" s="10">
        <v>0</v>
      </c>
      <c r="AC500" s="10">
        <v>0</v>
      </c>
      <c r="AD500" s="26">
        <f t="shared" si="22"/>
        <v>0</v>
      </c>
      <c r="AE500" s="25">
        <v>2400</v>
      </c>
      <c r="AF500" s="10">
        <v>8105</v>
      </c>
      <c r="AG500" s="10">
        <v>44556</v>
      </c>
      <c r="AH500" s="10">
        <v>65080</v>
      </c>
      <c r="AI500" s="10">
        <v>53705</v>
      </c>
      <c r="AJ500" s="10">
        <v>7404</v>
      </c>
      <c r="AK500" s="10">
        <v>169397</v>
      </c>
      <c r="AL500" s="10">
        <v>150</v>
      </c>
      <c r="AM500" s="10">
        <v>350</v>
      </c>
      <c r="AN500" s="10">
        <v>24410</v>
      </c>
      <c r="AO500" s="10">
        <v>0</v>
      </c>
      <c r="AP500" s="10">
        <v>3100</v>
      </c>
      <c r="AQ500" s="26">
        <f t="shared" si="23"/>
        <v>378657</v>
      </c>
    </row>
    <row r="501" spans="1:43" ht="17.25" customHeight="1" x14ac:dyDescent="0.45">
      <c r="A501" s="2" t="s">
        <v>226</v>
      </c>
      <c r="B501" s="2" t="s">
        <v>68</v>
      </c>
      <c r="C501" s="2" t="s">
        <v>15</v>
      </c>
      <c r="D501" s="2" t="s">
        <v>66</v>
      </c>
      <c r="E501" s="23">
        <v>0</v>
      </c>
      <c r="F501" s="1">
        <v>0</v>
      </c>
      <c r="G501" s="1">
        <v>0</v>
      </c>
      <c r="H501" s="1">
        <v>0</v>
      </c>
      <c r="I501" s="1">
        <v>0</v>
      </c>
      <c r="J501" s="1">
        <v>0</v>
      </c>
      <c r="K501" s="1">
        <v>0</v>
      </c>
      <c r="L501" s="1">
        <v>0</v>
      </c>
      <c r="M501" s="1">
        <v>0</v>
      </c>
      <c r="N501" s="1">
        <v>0</v>
      </c>
      <c r="O501" s="1">
        <v>1</v>
      </c>
      <c r="P501" s="1">
        <v>0</v>
      </c>
      <c r="Q501" s="24">
        <f t="shared" si="21"/>
        <v>1</v>
      </c>
      <c r="R501" s="23">
        <v>0</v>
      </c>
      <c r="S501" s="1">
        <v>0</v>
      </c>
      <c r="T501" s="1">
        <v>0</v>
      </c>
      <c r="U501" s="1">
        <v>0</v>
      </c>
      <c r="V501" s="1">
        <v>0</v>
      </c>
      <c r="W501" s="1">
        <v>0</v>
      </c>
      <c r="X501" s="1">
        <v>0</v>
      </c>
      <c r="Y501" s="1">
        <v>0</v>
      </c>
      <c r="Z501" s="1">
        <v>0</v>
      </c>
      <c r="AA501" s="1">
        <v>0</v>
      </c>
      <c r="AB501" s="1">
        <v>0</v>
      </c>
      <c r="AC501" s="1">
        <v>0</v>
      </c>
      <c r="AD501" s="24">
        <f t="shared" si="22"/>
        <v>0</v>
      </c>
      <c r="AE501" s="23">
        <v>0</v>
      </c>
      <c r="AF501" s="1">
        <v>0</v>
      </c>
      <c r="AG501" s="1">
        <v>0</v>
      </c>
      <c r="AH501" s="1">
        <v>0</v>
      </c>
      <c r="AI501" s="1">
        <v>0</v>
      </c>
      <c r="AJ501" s="1">
        <v>0</v>
      </c>
      <c r="AK501" s="1">
        <v>0</v>
      </c>
      <c r="AL501" s="1">
        <v>0</v>
      </c>
      <c r="AM501" s="1">
        <v>0</v>
      </c>
      <c r="AN501" s="1">
        <v>0</v>
      </c>
      <c r="AO501" s="1">
        <v>2500</v>
      </c>
      <c r="AP501" s="1">
        <v>0</v>
      </c>
      <c r="AQ501" s="24">
        <f t="shared" si="23"/>
        <v>2500</v>
      </c>
    </row>
    <row r="502" spans="1:43" ht="17.25" customHeight="1" x14ac:dyDescent="0.45">
      <c r="A502" s="12" t="s">
        <v>226</v>
      </c>
      <c r="B502" s="12" t="s">
        <v>68</v>
      </c>
      <c r="C502" s="12" t="s">
        <v>32</v>
      </c>
      <c r="D502" s="12" t="s">
        <v>66</v>
      </c>
      <c r="E502" s="25">
        <v>0</v>
      </c>
      <c r="F502" s="10">
        <v>0</v>
      </c>
      <c r="G502" s="10">
        <v>3</v>
      </c>
      <c r="H502" s="10">
        <v>1</v>
      </c>
      <c r="I502" s="10">
        <v>2</v>
      </c>
      <c r="J502" s="10">
        <v>0</v>
      </c>
      <c r="K502" s="10">
        <v>0</v>
      </c>
      <c r="L502" s="10">
        <v>0</v>
      </c>
      <c r="M502" s="10">
        <v>2</v>
      </c>
      <c r="N502" s="10">
        <v>0</v>
      </c>
      <c r="O502" s="10">
        <v>0</v>
      </c>
      <c r="P502" s="10">
        <v>2</v>
      </c>
      <c r="Q502" s="26">
        <f t="shared" si="21"/>
        <v>10</v>
      </c>
      <c r="R502" s="25">
        <v>0</v>
      </c>
      <c r="S502" s="10">
        <v>0</v>
      </c>
      <c r="T502" s="10">
        <v>0</v>
      </c>
      <c r="U502" s="10">
        <v>0</v>
      </c>
      <c r="V502" s="10">
        <v>0</v>
      </c>
      <c r="W502" s="10">
        <v>0</v>
      </c>
      <c r="X502" s="10">
        <v>0</v>
      </c>
      <c r="Y502" s="10">
        <v>0</v>
      </c>
      <c r="Z502" s="10">
        <v>0</v>
      </c>
      <c r="AA502" s="10">
        <v>0</v>
      </c>
      <c r="AB502" s="10">
        <v>0</v>
      </c>
      <c r="AC502" s="10">
        <v>0</v>
      </c>
      <c r="AD502" s="26">
        <f t="shared" si="22"/>
        <v>0</v>
      </c>
      <c r="AE502" s="25">
        <v>0</v>
      </c>
      <c r="AF502" s="10">
        <v>0</v>
      </c>
      <c r="AG502" s="10">
        <v>4424</v>
      </c>
      <c r="AH502" s="10">
        <v>3343</v>
      </c>
      <c r="AI502" s="10">
        <v>4016</v>
      </c>
      <c r="AJ502" s="10">
        <v>0</v>
      </c>
      <c r="AK502" s="10">
        <v>0</v>
      </c>
      <c r="AL502" s="10">
        <v>0</v>
      </c>
      <c r="AM502" s="10">
        <v>13100</v>
      </c>
      <c r="AN502" s="10">
        <v>0</v>
      </c>
      <c r="AO502" s="10">
        <v>0</v>
      </c>
      <c r="AP502" s="10">
        <v>3797</v>
      </c>
      <c r="AQ502" s="26">
        <f t="shared" si="23"/>
        <v>28680</v>
      </c>
    </row>
    <row r="503" spans="1:43" ht="17.25" customHeight="1" x14ac:dyDescent="0.45">
      <c r="A503" s="2" t="s">
        <v>268</v>
      </c>
      <c r="B503" s="2" t="s">
        <v>68</v>
      </c>
      <c r="C503" s="2" t="s">
        <v>10</v>
      </c>
      <c r="D503" s="2" t="s">
        <v>66</v>
      </c>
      <c r="E503" s="23">
        <v>0</v>
      </c>
      <c r="F503" s="1">
        <v>1</v>
      </c>
      <c r="G503" s="1">
        <v>0</v>
      </c>
      <c r="H503" s="1">
        <v>0</v>
      </c>
      <c r="I503" s="1">
        <v>0</v>
      </c>
      <c r="J503" s="1">
        <v>0</v>
      </c>
      <c r="K503" s="1">
        <v>0</v>
      </c>
      <c r="L503" s="1">
        <v>0</v>
      </c>
      <c r="M503" s="1">
        <v>0</v>
      </c>
      <c r="N503" s="1">
        <v>0</v>
      </c>
      <c r="O503" s="1">
        <v>0</v>
      </c>
      <c r="P503" s="1">
        <v>0</v>
      </c>
      <c r="Q503" s="24">
        <f t="shared" si="21"/>
        <v>1</v>
      </c>
      <c r="R503" s="23">
        <v>0</v>
      </c>
      <c r="S503" s="1">
        <v>155</v>
      </c>
      <c r="T503" s="1">
        <v>0</v>
      </c>
      <c r="U503" s="1">
        <v>0</v>
      </c>
      <c r="V503" s="1">
        <v>0</v>
      </c>
      <c r="W503" s="1">
        <v>0</v>
      </c>
      <c r="X503" s="1">
        <v>0</v>
      </c>
      <c r="Y503" s="1">
        <v>0</v>
      </c>
      <c r="Z503" s="1">
        <v>0</v>
      </c>
      <c r="AA503" s="1">
        <v>0</v>
      </c>
      <c r="AB503" s="1">
        <v>0</v>
      </c>
      <c r="AC503" s="1">
        <v>0</v>
      </c>
      <c r="AD503" s="24">
        <f t="shared" si="22"/>
        <v>155</v>
      </c>
      <c r="AE503" s="23">
        <v>0</v>
      </c>
      <c r="AF503" s="1">
        <v>0</v>
      </c>
      <c r="AG503" s="1">
        <v>0</v>
      </c>
      <c r="AH503" s="1">
        <v>0</v>
      </c>
      <c r="AI503" s="1">
        <v>0</v>
      </c>
      <c r="AJ503" s="1">
        <v>0</v>
      </c>
      <c r="AK503" s="1">
        <v>0</v>
      </c>
      <c r="AL503" s="1">
        <v>0</v>
      </c>
      <c r="AM503" s="1">
        <v>0</v>
      </c>
      <c r="AN503" s="1">
        <v>0</v>
      </c>
      <c r="AO503" s="1">
        <v>0</v>
      </c>
      <c r="AP503" s="1">
        <v>0</v>
      </c>
      <c r="AQ503" s="24">
        <f t="shared" si="23"/>
        <v>0</v>
      </c>
    </row>
    <row r="504" spans="1:43" ht="17.25" customHeight="1" x14ac:dyDescent="0.45">
      <c r="A504" s="12" t="s">
        <v>277</v>
      </c>
      <c r="B504" s="12" t="s">
        <v>68</v>
      </c>
      <c r="C504" s="12" t="s">
        <v>27</v>
      </c>
      <c r="D504" s="12" t="s">
        <v>66</v>
      </c>
      <c r="E504" s="25">
        <v>0</v>
      </c>
      <c r="F504" s="10">
        <v>0</v>
      </c>
      <c r="G504" s="10">
        <v>0</v>
      </c>
      <c r="H504" s="10">
        <v>1</v>
      </c>
      <c r="I504" s="10">
        <v>0</v>
      </c>
      <c r="J504" s="10">
        <v>0</v>
      </c>
      <c r="K504" s="10">
        <v>0</v>
      </c>
      <c r="L504" s="10">
        <v>0</v>
      </c>
      <c r="M504" s="10">
        <v>0</v>
      </c>
      <c r="N504" s="10">
        <v>0</v>
      </c>
      <c r="O504" s="10">
        <v>0</v>
      </c>
      <c r="P504" s="10">
        <v>0</v>
      </c>
      <c r="Q504" s="26">
        <f t="shared" si="21"/>
        <v>1</v>
      </c>
      <c r="R504" s="25">
        <v>0</v>
      </c>
      <c r="S504" s="10">
        <v>0</v>
      </c>
      <c r="T504" s="10">
        <v>0</v>
      </c>
      <c r="U504" s="10">
        <v>0</v>
      </c>
      <c r="V504" s="10">
        <v>0</v>
      </c>
      <c r="W504" s="10">
        <v>0</v>
      </c>
      <c r="X504" s="10">
        <v>0</v>
      </c>
      <c r="Y504" s="10">
        <v>0</v>
      </c>
      <c r="Z504" s="10">
        <v>0</v>
      </c>
      <c r="AA504" s="10">
        <v>0</v>
      </c>
      <c r="AB504" s="10">
        <v>0</v>
      </c>
      <c r="AC504" s="10">
        <v>0</v>
      </c>
      <c r="AD504" s="26">
        <f t="shared" si="22"/>
        <v>0</v>
      </c>
      <c r="AE504" s="25">
        <v>0</v>
      </c>
      <c r="AF504" s="10">
        <v>0</v>
      </c>
      <c r="AG504" s="10">
        <v>0</v>
      </c>
      <c r="AH504" s="10">
        <v>9743</v>
      </c>
      <c r="AI504" s="10">
        <v>0</v>
      </c>
      <c r="AJ504" s="10">
        <v>0</v>
      </c>
      <c r="AK504" s="10">
        <v>0</v>
      </c>
      <c r="AL504" s="10">
        <v>0</v>
      </c>
      <c r="AM504" s="10">
        <v>0</v>
      </c>
      <c r="AN504" s="10">
        <v>0</v>
      </c>
      <c r="AO504" s="10">
        <v>0</v>
      </c>
      <c r="AP504" s="10">
        <v>0</v>
      </c>
      <c r="AQ504" s="26">
        <f t="shared" si="23"/>
        <v>9743</v>
      </c>
    </row>
    <row r="505" spans="1:43" ht="17.25" customHeight="1" x14ac:dyDescent="0.45">
      <c r="A505" s="2" t="s">
        <v>277</v>
      </c>
      <c r="B505" s="2" t="s">
        <v>68</v>
      </c>
      <c r="C505" s="2" t="s">
        <v>28</v>
      </c>
      <c r="D505" s="2" t="s">
        <v>66</v>
      </c>
      <c r="E505" s="23">
        <v>0</v>
      </c>
      <c r="F505" s="1">
        <v>0</v>
      </c>
      <c r="G505" s="1">
        <v>1</v>
      </c>
      <c r="H505" s="1">
        <v>0</v>
      </c>
      <c r="I505" s="1">
        <v>0</v>
      </c>
      <c r="J505" s="1">
        <v>0</v>
      </c>
      <c r="K505" s="1">
        <v>0</v>
      </c>
      <c r="L505" s="1">
        <v>0</v>
      </c>
      <c r="M505" s="1">
        <v>4</v>
      </c>
      <c r="N505" s="1">
        <v>0</v>
      </c>
      <c r="O505" s="1">
        <v>0</v>
      </c>
      <c r="P505" s="1">
        <v>0</v>
      </c>
      <c r="Q505" s="24">
        <f t="shared" si="21"/>
        <v>5</v>
      </c>
      <c r="R505" s="23">
        <v>0</v>
      </c>
      <c r="S505" s="1">
        <v>0</v>
      </c>
      <c r="T505" s="1">
        <v>0</v>
      </c>
      <c r="U505" s="1">
        <v>0</v>
      </c>
      <c r="V505" s="1">
        <v>0</v>
      </c>
      <c r="W505" s="1">
        <v>0</v>
      </c>
      <c r="X505" s="1">
        <v>0</v>
      </c>
      <c r="Y505" s="1">
        <v>0</v>
      </c>
      <c r="Z505" s="1">
        <v>0</v>
      </c>
      <c r="AA505" s="1">
        <v>0</v>
      </c>
      <c r="AB505" s="1">
        <v>0</v>
      </c>
      <c r="AC505" s="1">
        <v>0</v>
      </c>
      <c r="AD505" s="24">
        <f t="shared" si="22"/>
        <v>0</v>
      </c>
      <c r="AE505" s="23">
        <v>0</v>
      </c>
      <c r="AF505" s="1">
        <v>0</v>
      </c>
      <c r="AG505" s="1">
        <v>28635</v>
      </c>
      <c r="AH505" s="1">
        <v>0</v>
      </c>
      <c r="AI505" s="1">
        <v>0</v>
      </c>
      <c r="AJ505" s="1">
        <v>0</v>
      </c>
      <c r="AK505" s="1">
        <v>0</v>
      </c>
      <c r="AL505" s="1">
        <v>0</v>
      </c>
      <c r="AM505" s="1">
        <v>199529</v>
      </c>
      <c r="AN505" s="1">
        <v>0</v>
      </c>
      <c r="AO505" s="1">
        <v>0</v>
      </c>
      <c r="AP505" s="1">
        <v>0</v>
      </c>
      <c r="AQ505" s="24">
        <f t="shared" si="23"/>
        <v>228164</v>
      </c>
    </row>
    <row r="506" spans="1:43" ht="17.25" customHeight="1" x14ac:dyDescent="0.45">
      <c r="A506" s="12" t="s">
        <v>277</v>
      </c>
      <c r="B506" s="12" t="s">
        <v>68</v>
      </c>
      <c r="C506" s="12" t="s">
        <v>206</v>
      </c>
      <c r="D506" s="12" t="s">
        <v>66</v>
      </c>
      <c r="E506" s="25">
        <v>0</v>
      </c>
      <c r="F506" s="10">
        <v>0</v>
      </c>
      <c r="G506" s="10">
        <v>1</v>
      </c>
      <c r="H506" s="10">
        <v>0</v>
      </c>
      <c r="I506" s="10">
        <v>0</v>
      </c>
      <c r="J506" s="10">
        <v>0</v>
      </c>
      <c r="K506" s="10">
        <v>0</v>
      </c>
      <c r="L506" s="10">
        <v>1</v>
      </c>
      <c r="M506" s="10">
        <v>0</v>
      </c>
      <c r="N506" s="10">
        <v>0</v>
      </c>
      <c r="O506" s="10">
        <v>0</v>
      </c>
      <c r="P506" s="10">
        <v>0</v>
      </c>
      <c r="Q506" s="26">
        <f t="shared" si="21"/>
        <v>2</v>
      </c>
      <c r="R506" s="25">
        <v>0</v>
      </c>
      <c r="S506" s="10">
        <v>0</v>
      </c>
      <c r="T506" s="10">
        <v>0</v>
      </c>
      <c r="U506" s="10">
        <v>0</v>
      </c>
      <c r="V506" s="10">
        <v>0</v>
      </c>
      <c r="W506" s="10">
        <v>0</v>
      </c>
      <c r="X506" s="10">
        <v>0</v>
      </c>
      <c r="Y506" s="10">
        <v>0</v>
      </c>
      <c r="Z506" s="10">
        <v>0</v>
      </c>
      <c r="AA506" s="10">
        <v>0</v>
      </c>
      <c r="AB506" s="10">
        <v>0</v>
      </c>
      <c r="AC506" s="10">
        <v>0</v>
      </c>
      <c r="AD506" s="26">
        <f t="shared" si="22"/>
        <v>0</v>
      </c>
      <c r="AE506" s="25">
        <v>0</v>
      </c>
      <c r="AF506" s="10">
        <v>0</v>
      </c>
      <c r="AG506" s="10">
        <v>30064</v>
      </c>
      <c r="AH506" s="10">
        <v>0</v>
      </c>
      <c r="AI506" s="10">
        <v>0</v>
      </c>
      <c r="AJ506" s="10">
        <v>0</v>
      </c>
      <c r="AK506" s="10">
        <v>0</v>
      </c>
      <c r="AL506" s="10">
        <v>490</v>
      </c>
      <c r="AM506" s="10">
        <v>0</v>
      </c>
      <c r="AN506" s="10">
        <v>0</v>
      </c>
      <c r="AO506" s="10">
        <v>0</v>
      </c>
      <c r="AP506" s="10">
        <v>0</v>
      </c>
      <c r="AQ506" s="26">
        <f t="shared" si="23"/>
        <v>30554</v>
      </c>
    </row>
    <row r="507" spans="1:43" ht="17.25" customHeight="1" x14ac:dyDescent="0.45">
      <c r="A507" s="2" t="s">
        <v>277</v>
      </c>
      <c r="B507" s="2" t="s">
        <v>68</v>
      </c>
      <c r="C507" s="2" t="s">
        <v>30</v>
      </c>
      <c r="D507" s="2" t="s">
        <v>66</v>
      </c>
      <c r="E507" s="23">
        <v>0</v>
      </c>
      <c r="F507" s="1">
        <v>0</v>
      </c>
      <c r="G507" s="1">
        <v>0</v>
      </c>
      <c r="H507" s="1">
        <v>0</v>
      </c>
      <c r="I507" s="1">
        <v>0</v>
      </c>
      <c r="J507" s="1">
        <v>1</v>
      </c>
      <c r="K507" s="1">
        <v>0</v>
      </c>
      <c r="L507" s="1">
        <v>0</v>
      </c>
      <c r="M507" s="1">
        <v>0</v>
      </c>
      <c r="N507" s="1">
        <v>0</v>
      </c>
      <c r="O507" s="1">
        <v>0</v>
      </c>
      <c r="P507" s="1">
        <v>0</v>
      </c>
      <c r="Q507" s="24">
        <f t="shared" si="21"/>
        <v>1</v>
      </c>
      <c r="R507" s="23">
        <v>0</v>
      </c>
      <c r="S507" s="1">
        <v>0</v>
      </c>
      <c r="T507" s="1">
        <v>0</v>
      </c>
      <c r="U507" s="1">
        <v>0</v>
      </c>
      <c r="V507" s="1">
        <v>0</v>
      </c>
      <c r="W507" s="1">
        <v>0</v>
      </c>
      <c r="X507" s="1">
        <v>0</v>
      </c>
      <c r="Y507" s="1">
        <v>0</v>
      </c>
      <c r="Z507" s="1">
        <v>0</v>
      </c>
      <c r="AA507" s="1">
        <v>0</v>
      </c>
      <c r="AB507" s="1">
        <v>0</v>
      </c>
      <c r="AC507" s="1">
        <v>0</v>
      </c>
      <c r="AD507" s="24">
        <f t="shared" si="22"/>
        <v>0</v>
      </c>
      <c r="AE507" s="23">
        <v>0</v>
      </c>
      <c r="AF507" s="1">
        <v>0</v>
      </c>
      <c r="AG507" s="1">
        <v>0</v>
      </c>
      <c r="AH507" s="1">
        <v>0</v>
      </c>
      <c r="AI507" s="1">
        <v>0</v>
      </c>
      <c r="AJ507" s="1">
        <v>48760</v>
      </c>
      <c r="AK507" s="1">
        <v>0</v>
      </c>
      <c r="AL507" s="1">
        <v>0</v>
      </c>
      <c r="AM507" s="1">
        <v>0</v>
      </c>
      <c r="AN507" s="1">
        <v>0</v>
      </c>
      <c r="AO507" s="1">
        <v>0</v>
      </c>
      <c r="AP507" s="1">
        <v>0</v>
      </c>
      <c r="AQ507" s="24">
        <f t="shared" si="23"/>
        <v>48760</v>
      </c>
    </row>
    <row r="508" spans="1:43" ht="17.25" customHeight="1" x14ac:dyDescent="0.45">
      <c r="A508" s="12" t="s">
        <v>311</v>
      </c>
      <c r="B508" s="12" t="s">
        <v>312</v>
      </c>
      <c r="C508" s="12" t="s">
        <v>14</v>
      </c>
      <c r="D508" s="12" t="s">
        <v>66</v>
      </c>
      <c r="E508" s="25">
        <v>0</v>
      </c>
      <c r="F508" s="10">
        <v>0</v>
      </c>
      <c r="G508" s="10">
        <v>0</v>
      </c>
      <c r="H508" s="10">
        <v>0</v>
      </c>
      <c r="I508" s="10">
        <v>0</v>
      </c>
      <c r="J508" s="10">
        <v>0</v>
      </c>
      <c r="K508" s="10">
        <v>2</v>
      </c>
      <c r="L508" s="10">
        <v>2</v>
      </c>
      <c r="M508" s="10">
        <v>2</v>
      </c>
      <c r="N508" s="10">
        <v>2</v>
      </c>
      <c r="O508" s="10">
        <v>0</v>
      </c>
      <c r="P508" s="10">
        <v>0</v>
      </c>
      <c r="Q508" s="26">
        <f t="shared" si="21"/>
        <v>8</v>
      </c>
      <c r="R508" s="25">
        <v>0</v>
      </c>
      <c r="S508" s="10">
        <v>0</v>
      </c>
      <c r="T508" s="10">
        <v>0</v>
      </c>
      <c r="U508" s="10">
        <v>0</v>
      </c>
      <c r="V508" s="10">
        <v>0</v>
      </c>
      <c r="W508" s="10">
        <v>0</v>
      </c>
      <c r="X508" s="10">
        <v>574</v>
      </c>
      <c r="Y508" s="10">
        <v>550</v>
      </c>
      <c r="Z508" s="10">
        <v>563</v>
      </c>
      <c r="AA508" s="10">
        <v>618</v>
      </c>
      <c r="AB508" s="10">
        <v>0</v>
      </c>
      <c r="AC508" s="10">
        <v>0</v>
      </c>
      <c r="AD508" s="26">
        <f t="shared" si="22"/>
        <v>2305</v>
      </c>
      <c r="AE508" s="25">
        <v>0</v>
      </c>
      <c r="AF508" s="10">
        <v>0</v>
      </c>
      <c r="AG508" s="10">
        <v>0</v>
      </c>
      <c r="AH508" s="10">
        <v>0</v>
      </c>
      <c r="AI508" s="10">
        <v>0</v>
      </c>
      <c r="AJ508" s="10">
        <v>0</v>
      </c>
      <c r="AK508" s="10">
        <v>0</v>
      </c>
      <c r="AL508" s="10">
        <v>0</v>
      </c>
      <c r="AM508" s="10">
        <v>0</v>
      </c>
      <c r="AN508" s="10">
        <v>0</v>
      </c>
      <c r="AO508" s="10">
        <v>0</v>
      </c>
      <c r="AP508" s="10">
        <v>0</v>
      </c>
      <c r="AQ508" s="26">
        <f t="shared" si="23"/>
        <v>0</v>
      </c>
    </row>
    <row r="509" spans="1:43" ht="17.25" customHeight="1" x14ac:dyDescent="0.45">
      <c r="A509" s="2" t="s">
        <v>279</v>
      </c>
      <c r="B509" s="2" t="s">
        <v>65</v>
      </c>
      <c r="C509" s="2" t="s">
        <v>14</v>
      </c>
      <c r="D509" s="2" t="s">
        <v>66</v>
      </c>
      <c r="E509" s="23">
        <v>0</v>
      </c>
      <c r="F509" s="1">
        <v>0</v>
      </c>
      <c r="G509" s="1">
        <v>0</v>
      </c>
      <c r="H509" s="1">
        <v>0</v>
      </c>
      <c r="I509" s="1">
        <v>0</v>
      </c>
      <c r="J509" s="1">
        <v>0</v>
      </c>
      <c r="K509" s="1">
        <v>0</v>
      </c>
      <c r="L509" s="1">
        <v>0</v>
      </c>
      <c r="M509" s="1">
        <v>0</v>
      </c>
      <c r="N509" s="1">
        <v>1</v>
      </c>
      <c r="O509" s="1">
        <v>0</v>
      </c>
      <c r="P509" s="1">
        <v>0</v>
      </c>
      <c r="Q509" s="24">
        <f t="shared" si="21"/>
        <v>1</v>
      </c>
      <c r="R509" s="23">
        <v>0</v>
      </c>
      <c r="S509" s="1">
        <v>0</v>
      </c>
      <c r="T509" s="1">
        <v>0</v>
      </c>
      <c r="U509" s="1">
        <v>0</v>
      </c>
      <c r="V509" s="1">
        <v>0</v>
      </c>
      <c r="W509" s="1">
        <v>0</v>
      </c>
      <c r="X509" s="1">
        <v>0</v>
      </c>
      <c r="Y509" s="1">
        <v>0</v>
      </c>
      <c r="Z509" s="1">
        <v>0</v>
      </c>
      <c r="AA509" s="1">
        <v>0</v>
      </c>
      <c r="AB509" s="1">
        <v>0</v>
      </c>
      <c r="AC509" s="1">
        <v>0</v>
      </c>
      <c r="AD509" s="24">
        <f t="shared" si="22"/>
        <v>0</v>
      </c>
      <c r="AE509" s="23">
        <v>0</v>
      </c>
      <c r="AF509" s="1">
        <v>0</v>
      </c>
      <c r="AG509" s="1">
        <v>0</v>
      </c>
      <c r="AH509" s="1">
        <v>0</v>
      </c>
      <c r="AI509" s="1">
        <v>0</v>
      </c>
      <c r="AJ509" s="1">
        <v>0</v>
      </c>
      <c r="AK509" s="1">
        <v>0</v>
      </c>
      <c r="AL509" s="1">
        <v>0</v>
      </c>
      <c r="AM509" s="1">
        <v>0</v>
      </c>
      <c r="AN509" s="1">
        <v>102649</v>
      </c>
      <c r="AO509" s="1">
        <v>0</v>
      </c>
      <c r="AP509" s="1">
        <v>0</v>
      </c>
      <c r="AQ509" s="24">
        <f t="shared" si="23"/>
        <v>102649</v>
      </c>
    </row>
    <row r="510" spans="1:43" ht="17.25" customHeight="1" x14ac:dyDescent="0.45">
      <c r="A510" s="12" t="s">
        <v>162</v>
      </c>
      <c r="B510" s="12" t="s">
        <v>68</v>
      </c>
      <c r="C510" s="12" t="s">
        <v>28</v>
      </c>
      <c r="D510" s="12" t="s">
        <v>66</v>
      </c>
      <c r="E510" s="25">
        <v>0</v>
      </c>
      <c r="F510" s="10">
        <v>0</v>
      </c>
      <c r="G510" s="10">
        <v>0</v>
      </c>
      <c r="H510" s="10">
        <v>0</v>
      </c>
      <c r="I510" s="10">
        <v>0</v>
      </c>
      <c r="J510" s="10">
        <v>1</v>
      </c>
      <c r="K510" s="10">
        <v>0</v>
      </c>
      <c r="L510" s="10">
        <v>0</v>
      </c>
      <c r="M510" s="10">
        <v>0</v>
      </c>
      <c r="N510" s="10">
        <v>0</v>
      </c>
      <c r="O510" s="10">
        <v>0</v>
      </c>
      <c r="P510" s="10">
        <v>0</v>
      </c>
      <c r="Q510" s="26">
        <f t="shared" si="21"/>
        <v>1</v>
      </c>
      <c r="R510" s="25">
        <v>0</v>
      </c>
      <c r="S510" s="10">
        <v>0</v>
      </c>
      <c r="T510" s="10">
        <v>0</v>
      </c>
      <c r="U510" s="10">
        <v>0</v>
      </c>
      <c r="V510" s="10">
        <v>0</v>
      </c>
      <c r="W510" s="10">
        <v>0</v>
      </c>
      <c r="X510" s="10">
        <v>0</v>
      </c>
      <c r="Y510" s="10">
        <v>0</v>
      </c>
      <c r="Z510" s="10">
        <v>0</v>
      </c>
      <c r="AA510" s="10">
        <v>0</v>
      </c>
      <c r="AB510" s="10">
        <v>0</v>
      </c>
      <c r="AC510" s="10">
        <v>0</v>
      </c>
      <c r="AD510" s="26">
        <f t="shared" si="22"/>
        <v>0</v>
      </c>
      <c r="AE510" s="25">
        <v>0</v>
      </c>
      <c r="AF510" s="10">
        <v>0</v>
      </c>
      <c r="AG510" s="10">
        <v>0</v>
      </c>
      <c r="AH510" s="10">
        <v>0</v>
      </c>
      <c r="AI510" s="10">
        <v>0</v>
      </c>
      <c r="AJ510" s="10">
        <v>10975</v>
      </c>
      <c r="AK510" s="10">
        <v>0</v>
      </c>
      <c r="AL510" s="10">
        <v>0</v>
      </c>
      <c r="AM510" s="10">
        <v>0</v>
      </c>
      <c r="AN510" s="10">
        <v>0</v>
      </c>
      <c r="AO510" s="10">
        <v>0</v>
      </c>
      <c r="AP510" s="10">
        <v>0</v>
      </c>
      <c r="AQ510" s="26">
        <f t="shared" si="23"/>
        <v>10975</v>
      </c>
    </row>
    <row r="511" spans="1:43" ht="17.25" customHeight="1" x14ac:dyDescent="0.45">
      <c r="A511" s="2" t="s">
        <v>162</v>
      </c>
      <c r="B511" s="2" t="s">
        <v>68</v>
      </c>
      <c r="C511" s="2" t="s">
        <v>206</v>
      </c>
      <c r="D511" s="2" t="s">
        <v>66</v>
      </c>
      <c r="E511" s="23">
        <v>0</v>
      </c>
      <c r="F511" s="1">
        <v>1</v>
      </c>
      <c r="G511" s="1">
        <v>0</v>
      </c>
      <c r="H511" s="1">
        <v>0</v>
      </c>
      <c r="I511" s="1">
        <v>0</v>
      </c>
      <c r="J511" s="1">
        <v>0</v>
      </c>
      <c r="K511" s="1">
        <v>0</v>
      </c>
      <c r="L511" s="1">
        <v>0</v>
      </c>
      <c r="M511" s="1">
        <v>0</v>
      </c>
      <c r="N511" s="1">
        <v>0</v>
      </c>
      <c r="O511" s="1">
        <v>1</v>
      </c>
      <c r="P511" s="1">
        <v>0</v>
      </c>
      <c r="Q511" s="24">
        <f t="shared" si="21"/>
        <v>2</v>
      </c>
      <c r="R511" s="23">
        <v>0</v>
      </c>
      <c r="S511" s="1">
        <v>0</v>
      </c>
      <c r="T511" s="1">
        <v>0</v>
      </c>
      <c r="U511" s="1">
        <v>0</v>
      </c>
      <c r="V511" s="1">
        <v>0</v>
      </c>
      <c r="W511" s="1">
        <v>0</v>
      </c>
      <c r="X511" s="1">
        <v>0</v>
      </c>
      <c r="Y511" s="1">
        <v>0</v>
      </c>
      <c r="Z511" s="1">
        <v>0</v>
      </c>
      <c r="AA511" s="1">
        <v>0</v>
      </c>
      <c r="AB511" s="1">
        <v>0</v>
      </c>
      <c r="AC511" s="1">
        <v>0</v>
      </c>
      <c r="AD511" s="24">
        <f t="shared" si="22"/>
        <v>0</v>
      </c>
      <c r="AE511" s="23">
        <v>0</v>
      </c>
      <c r="AF511" s="1">
        <v>32865</v>
      </c>
      <c r="AG511" s="1">
        <v>0</v>
      </c>
      <c r="AH511" s="1">
        <v>0</v>
      </c>
      <c r="AI511" s="1">
        <v>0</v>
      </c>
      <c r="AJ511" s="1">
        <v>0</v>
      </c>
      <c r="AK511" s="1">
        <v>0</v>
      </c>
      <c r="AL511" s="1">
        <v>0</v>
      </c>
      <c r="AM511" s="1">
        <v>0</v>
      </c>
      <c r="AN511" s="1">
        <v>0</v>
      </c>
      <c r="AO511" s="1">
        <v>9268</v>
      </c>
      <c r="AP511" s="1">
        <v>0</v>
      </c>
      <c r="AQ511" s="24">
        <f t="shared" si="23"/>
        <v>42133</v>
      </c>
    </row>
    <row r="512" spans="1:43" ht="17.25" customHeight="1" x14ac:dyDescent="0.45">
      <c r="A512" s="12" t="s">
        <v>163</v>
      </c>
      <c r="B512" s="12" t="s">
        <v>68</v>
      </c>
      <c r="C512" s="12" t="s">
        <v>14</v>
      </c>
      <c r="D512" s="12" t="s">
        <v>66</v>
      </c>
      <c r="E512" s="25">
        <v>0</v>
      </c>
      <c r="F512" s="10">
        <v>0</v>
      </c>
      <c r="G512" s="10">
        <v>1</v>
      </c>
      <c r="H512" s="10">
        <v>0</v>
      </c>
      <c r="I512" s="10">
        <v>0</v>
      </c>
      <c r="J512" s="10">
        <v>0</v>
      </c>
      <c r="K512" s="10">
        <v>0</v>
      </c>
      <c r="L512" s="10">
        <v>0</v>
      </c>
      <c r="M512" s="10">
        <v>0</v>
      </c>
      <c r="N512" s="10">
        <v>0</v>
      </c>
      <c r="O512" s="10">
        <v>0</v>
      </c>
      <c r="P512" s="10">
        <v>0</v>
      </c>
      <c r="Q512" s="26">
        <f t="shared" si="21"/>
        <v>1</v>
      </c>
      <c r="R512" s="25">
        <v>0</v>
      </c>
      <c r="S512" s="10">
        <v>0</v>
      </c>
      <c r="T512" s="10">
        <v>69</v>
      </c>
      <c r="U512" s="10">
        <v>0</v>
      </c>
      <c r="V512" s="10">
        <v>0</v>
      </c>
      <c r="W512" s="10">
        <v>0</v>
      </c>
      <c r="X512" s="10">
        <v>0</v>
      </c>
      <c r="Y512" s="10">
        <v>0</v>
      </c>
      <c r="Z512" s="10">
        <v>0</v>
      </c>
      <c r="AA512" s="10">
        <v>0</v>
      </c>
      <c r="AB512" s="10">
        <v>0</v>
      </c>
      <c r="AC512" s="10">
        <v>0</v>
      </c>
      <c r="AD512" s="26">
        <f t="shared" si="22"/>
        <v>69</v>
      </c>
      <c r="AE512" s="25">
        <v>0</v>
      </c>
      <c r="AF512" s="10">
        <v>0</v>
      </c>
      <c r="AG512" s="10">
        <v>0</v>
      </c>
      <c r="AH512" s="10">
        <v>0</v>
      </c>
      <c r="AI512" s="10">
        <v>0</v>
      </c>
      <c r="AJ512" s="10">
        <v>0</v>
      </c>
      <c r="AK512" s="10">
        <v>0</v>
      </c>
      <c r="AL512" s="10">
        <v>0</v>
      </c>
      <c r="AM512" s="10">
        <v>0</v>
      </c>
      <c r="AN512" s="10">
        <v>0</v>
      </c>
      <c r="AO512" s="10">
        <v>0</v>
      </c>
      <c r="AP512" s="10">
        <v>0</v>
      </c>
      <c r="AQ512" s="26">
        <f t="shared" si="23"/>
        <v>0</v>
      </c>
    </row>
    <row r="513" spans="1:43" ht="17.25" customHeight="1" x14ac:dyDescent="0.45">
      <c r="A513" s="2" t="s">
        <v>31</v>
      </c>
      <c r="B513" s="2" t="s">
        <v>66</v>
      </c>
      <c r="C513" s="2" t="s">
        <v>194</v>
      </c>
      <c r="D513" s="2" t="s">
        <v>68</v>
      </c>
      <c r="E513" s="23">
        <v>0</v>
      </c>
      <c r="F513" s="1">
        <v>0</v>
      </c>
      <c r="G513" s="1">
        <v>0</v>
      </c>
      <c r="H513" s="1">
        <v>1</v>
      </c>
      <c r="I513" s="1">
        <v>0</v>
      </c>
      <c r="J513" s="1">
        <v>0</v>
      </c>
      <c r="K513" s="1">
        <v>0</v>
      </c>
      <c r="L513" s="1">
        <v>0</v>
      </c>
      <c r="M513" s="1">
        <v>0</v>
      </c>
      <c r="N513" s="1">
        <v>0</v>
      </c>
      <c r="O513" s="1">
        <v>0</v>
      </c>
      <c r="P513" s="1">
        <v>0</v>
      </c>
      <c r="Q513" s="24">
        <f t="shared" si="21"/>
        <v>1</v>
      </c>
      <c r="R513" s="23">
        <v>0</v>
      </c>
      <c r="S513" s="1">
        <v>0</v>
      </c>
      <c r="T513" s="1">
        <v>0</v>
      </c>
      <c r="U513" s="1">
        <v>28</v>
      </c>
      <c r="V513" s="1">
        <v>0</v>
      </c>
      <c r="W513" s="1">
        <v>0</v>
      </c>
      <c r="X513" s="1">
        <v>0</v>
      </c>
      <c r="Y513" s="1">
        <v>0</v>
      </c>
      <c r="Z513" s="1">
        <v>0</v>
      </c>
      <c r="AA513" s="1">
        <v>0</v>
      </c>
      <c r="AB513" s="1">
        <v>0</v>
      </c>
      <c r="AC513" s="1">
        <v>0</v>
      </c>
      <c r="AD513" s="24">
        <f t="shared" si="22"/>
        <v>28</v>
      </c>
      <c r="AE513" s="23">
        <v>0</v>
      </c>
      <c r="AF513" s="1">
        <v>0</v>
      </c>
      <c r="AG513" s="1">
        <v>0</v>
      </c>
      <c r="AH513" s="1">
        <v>0</v>
      </c>
      <c r="AI513" s="1">
        <v>0</v>
      </c>
      <c r="AJ513" s="1">
        <v>0</v>
      </c>
      <c r="AK513" s="1">
        <v>0</v>
      </c>
      <c r="AL513" s="1">
        <v>0</v>
      </c>
      <c r="AM513" s="1">
        <v>0</v>
      </c>
      <c r="AN513" s="1">
        <v>0</v>
      </c>
      <c r="AO513" s="1">
        <v>0</v>
      </c>
      <c r="AP513" s="1">
        <v>0</v>
      </c>
      <c r="AQ513" s="24">
        <f t="shared" si="23"/>
        <v>0</v>
      </c>
    </row>
    <row r="514" spans="1:43" ht="17.25" customHeight="1" x14ac:dyDescent="0.45">
      <c r="A514" s="12" t="s">
        <v>50</v>
      </c>
      <c r="B514" s="12" t="s">
        <v>66</v>
      </c>
      <c r="C514" s="12" t="s">
        <v>108</v>
      </c>
      <c r="D514" s="12" t="s">
        <v>104</v>
      </c>
      <c r="E514" s="25">
        <v>1</v>
      </c>
      <c r="F514" s="10">
        <v>1</v>
      </c>
      <c r="G514" s="10">
        <v>0</v>
      </c>
      <c r="H514" s="10">
        <v>0</v>
      </c>
      <c r="I514" s="10">
        <v>0</v>
      </c>
      <c r="J514" s="10">
        <v>0</v>
      </c>
      <c r="K514" s="10">
        <v>0</v>
      </c>
      <c r="L514" s="10">
        <v>0</v>
      </c>
      <c r="M514" s="10">
        <v>0</v>
      </c>
      <c r="N514" s="10">
        <v>0</v>
      </c>
      <c r="O514" s="10">
        <v>0</v>
      </c>
      <c r="P514" s="10">
        <v>0</v>
      </c>
      <c r="Q514" s="26">
        <f t="shared" si="21"/>
        <v>2</v>
      </c>
      <c r="R514" s="25">
        <v>135</v>
      </c>
      <c r="S514" s="10">
        <v>6</v>
      </c>
      <c r="T514" s="10">
        <v>0</v>
      </c>
      <c r="U514" s="10">
        <v>0</v>
      </c>
      <c r="V514" s="10">
        <v>0</v>
      </c>
      <c r="W514" s="10">
        <v>0</v>
      </c>
      <c r="X514" s="10">
        <v>0</v>
      </c>
      <c r="Y514" s="10">
        <v>0</v>
      </c>
      <c r="Z514" s="10">
        <v>0</v>
      </c>
      <c r="AA514" s="10">
        <v>0</v>
      </c>
      <c r="AB514" s="10">
        <v>0</v>
      </c>
      <c r="AC514" s="10">
        <v>0</v>
      </c>
      <c r="AD514" s="26">
        <f t="shared" si="22"/>
        <v>141</v>
      </c>
      <c r="AE514" s="25">
        <v>0</v>
      </c>
      <c r="AF514" s="10">
        <v>0</v>
      </c>
      <c r="AG514" s="10">
        <v>0</v>
      </c>
      <c r="AH514" s="10">
        <v>0</v>
      </c>
      <c r="AI514" s="10">
        <v>0</v>
      </c>
      <c r="AJ514" s="10">
        <v>0</v>
      </c>
      <c r="AK514" s="10">
        <v>0</v>
      </c>
      <c r="AL514" s="10">
        <v>0</v>
      </c>
      <c r="AM514" s="10">
        <v>0</v>
      </c>
      <c r="AN514" s="10">
        <v>0</v>
      </c>
      <c r="AO514" s="10">
        <v>0</v>
      </c>
      <c r="AP514" s="10">
        <v>0</v>
      </c>
      <c r="AQ514" s="26">
        <f t="shared" si="23"/>
        <v>0</v>
      </c>
    </row>
    <row r="515" spans="1:43" ht="17.25" customHeight="1" x14ac:dyDescent="0.45">
      <c r="A515" s="2" t="s">
        <v>50</v>
      </c>
      <c r="B515" s="2" t="s">
        <v>66</v>
      </c>
      <c r="C515" s="2" t="s">
        <v>200</v>
      </c>
      <c r="D515" s="2" t="s">
        <v>172</v>
      </c>
      <c r="E515" s="23">
        <v>0</v>
      </c>
      <c r="F515" s="1">
        <v>2</v>
      </c>
      <c r="G515" s="1">
        <v>0</v>
      </c>
      <c r="H515" s="1">
        <v>0</v>
      </c>
      <c r="I515" s="1">
        <v>0</v>
      </c>
      <c r="J515" s="1">
        <v>0</v>
      </c>
      <c r="K515" s="1">
        <v>0</v>
      </c>
      <c r="L515" s="1">
        <v>0</v>
      </c>
      <c r="M515" s="1">
        <v>0</v>
      </c>
      <c r="N515" s="1">
        <v>0</v>
      </c>
      <c r="O515" s="1">
        <v>0</v>
      </c>
      <c r="P515" s="1">
        <v>0</v>
      </c>
      <c r="Q515" s="24">
        <f t="shared" si="21"/>
        <v>2</v>
      </c>
      <c r="R515" s="23">
        <v>0</v>
      </c>
      <c r="S515" s="1">
        <v>257</v>
      </c>
      <c r="T515" s="1">
        <v>0</v>
      </c>
      <c r="U515" s="1">
        <v>0</v>
      </c>
      <c r="V515" s="1">
        <v>0</v>
      </c>
      <c r="W515" s="1">
        <v>0</v>
      </c>
      <c r="X515" s="1">
        <v>0</v>
      </c>
      <c r="Y515" s="1">
        <v>0</v>
      </c>
      <c r="Z515" s="1">
        <v>0</v>
      </c>
      <c r="AA515" s="1">
        <v>0</v>
      </c>
      <c r="AB515" s="1">
        <v>0</v>
      </c>
      <c r="AC515" s="1">
        <v>0</v>
      </c>
      <c r="AD515" s="24">
        <f t="shared" si="22"/>
        <v>257</v>
      </c>
      <c r="AE515" s="23">
        <v>0</v>
      </c>
      <c r="AF515" s="1">
        <v>0</v>
      </c>
      <c r="AG515" s="1">
        <v>0</v>
      </c>
      <c r="AH515" s="1">
        <v>0</v>
      </c>
      <c r="AI515" s="1">
        <v>0</v>
      </c>
      <c r="AJ515" s="1">
        <v>0</v>
      </c>
      <c r="AK515" s="1">
        <v>0</v>
      </c>
      <c r="AL515" s="1">
        <v>0</v>
      </c>
      <c r="AM515" s="1">
        <v>0</v>
      </c>
      <c r="AN515" s="1">
        <v>0</v>
      </c>
      <c r="AO515" s="1">
        <v>0</v>
      </c>
      <c r="AP515" s="1">
        <v>0</v>
      </c>
      <c r="AQ515" s="24">
        <f t="shared" si="23"/>
        <v>0</v>
      </c>
    </row>
    <row r="516" spans="1:43" ht="17.25" customHeight="1" x14ac:dyDescent="0.45">
      <c r="A516" s="12" t="s">
        <v>50</v>
      </c>
      <c r="B516" s="12" t="s">
        <v>66</v>
      </c>
      <c r="C516" s="12" t="s">
        <v>154</v>
      </c>
      <c r="D516" s="12" t="s">
        <v>155</v>
      </c>
      <c r="E516" s="25">
        <v>0</v>
      </c>
      <c r="F516" s="10">
        <v>0</v>
      </c>
      <c r="G516" s="10">
        <v>0</v>
      </c>
      <c r="H516" s="10">
        <v>0</v>
      </c>
      <c r="I516" s="10">
        <v>0</v>
      </c>
      <c r="J516" s="10">
        <v>0</v>
      </c>
      <c r="K516" s="10">
        <v>0</v>
      </c>
      <c r="L516" s="10">
        <v>0</v>
      </c>
      <c r="M516" s="10">
        <v>1</v>
      </c>
      <c r="N516" s="10">
        <v>0</v>
      </c>
      <c r="O516" s="10">
        <v>0</v>
      </c>
      <c r="P516" s="10">
        <v>0</v>
      </c>
      <c r="Q516" s="26">
        <f t="shared" si="21"/>
        <v>1</v>
      </c>
      <c r="R516" s="25">
        <v>0</v>
      </c>
      <c r="S516" s="10">
        <v>0</v>
      </c>
      <c r="T516" s="10">
        <v>0</v>
      </c>
      <c r="U516" s="10">
        <v>0</v>
      </c>
      <c r="V516" s="10">
        <v>0</v>
      </c>
      <c r="W516" s="10">
        <v>0</v>
      </c>
      <c r="X516" s="10">
        <v>0</v>
      </c>
      <c r="Y516" s="10">
        <v>0</v>
      </c>
      <c r="Z516" s="10">
        <v>0</v>
      </c>
      <c r="AA516" s="10">
        <v>0</v>
      </c>
      <c r="AB516" s="10">
        <v>0</v>
      </c>
      <c r="AC516" s="10">
        <v>0</v>
      </c>
      <c r="AD516" s="26">
        <f t="shared" si="22"/>
        <v>0</v>
      </c>
      <c r="AE516" s="25">
        <v>0</v>
      </c>
      <c r="AF516" s="10">
        <v>0</v>
      </c>
      <c r="AG516" s="10">
        <v>0</v>
      </c>
      <c r="AH516" s="10">
        <v>0</v>
      </c>
      <c r="AI516" s="10">
        <v>0</v>
      </c>
      <c r="AJ516" s="10">
        <v>0</v>
      </c>
      <c r="AK516" s="10">
        <v>0</v>
      </c>
      <c r="AL516" s="10">
        <v>0</v>
      </c>
      <c r="AM516" s="10">
        <v>2740</v>
      </c>
      <c r="AN516" s="10">
        <v>0</v>
      </c>
      <c r="AO516" s="10">
        <v>0</v>
      </c>
      <c r="AP516" s="10">
        <v>0</v>
      </c>
      <c r="AQ516" s="26">
        <f t="shared" si="23"/>
        <v>2740</v>
      </c>
    </row>
    <row r="517" spans="1:43" ht="17.25" customHeight="1" x14ac:dyDescent="0.45">
      <c r="A517" s="2" t="s">
        <v>316</v>
      </c>
      <c r="B517" s="2" t="s">
        <v>172</v>
      </c>
      <c r="C517" s="2" t="s">
        <v>32</v>
      </c>
      <c r="D517" s="2" t="s">
        <v>66</v>
      </c>
      <c r="E517" s="23">
        <v>0</v>
      </c>
      <c r="F517" s="1">
        <v>0</v>
      </c>
      <c r="G517" s="1">
        <v>0</v>
      </c>
      <c r="H517" s="1">
        <v>0</v>
      </c>
      <c r="I517" s="1">
        <v>0</v>
      </c>
      <c r="J517" s="1">
        <v>0</v>
      </c>
      <c r="K517" s="1">
        <v>0</v>
      </c>
      <c r="L517" s="1">
        <v>1</v>
      </c>
      <c r="M517" s="1">
        <v>0</v>
      </c>
      <c r="N517" s="1">
        <v>0</v>
      </c>
      <c r="O517" s="1">
        <v>1</v>
      </c>
      <c r="P517" s="1">
        <v>0</v>
      </c>
      <c r="Q517" s="24">
        <f t="shared" si="21"/>
        <v>2</v>
      </c>
      <c r="R517" s="23">
        <v>0</v>
      </c>
      <c r="S517" s="1">
        <v>0</v>
      </c>
      <c r="T517" s="1">
        <v>0</v>
      </c>
      <c r="U517" s="1">
        <v>0</v>
      </c>
      <c r="V517" s="1">
        <v>0</v>
      </c>
      <c r="W517" s="1">
        <v>0</v>
      </c>
      <c r="X517" s="1">
        <v>0</v>
      </c>
      <c r="Y517" s="1">
        <v>29</v>
      </c>
      <c r="Z517" s="1">
        <v>0</v>
      </c>
      <c r="AA517" s="1">
        <v>0</v>
      </c>
      <c r="AB517" s="1">
        <v>1</v>
      </c>
      <c r="AC517" s="1">
        <v>0</v>
      </c>
      <c r="AD517" s="24">
        <f t="shared" si="22"/>
        <v>30</v>
      </c>
      <c r="AE517" s="23">
        <v>0</v>
      </c>
      <c r="AF517" s="1">
        <v>0</v>
      </c>
      <c r="AG517" s="1">
        <v>0</v>
      </c>
      <c r="AH517" s="1">
        <v>0</v>
      </c>
      <c r="AI517" s="1">
        <v>0</v>
      </c>
      <c r="AJ517" s="1">
        <v>0</v>
      </c>
      <c r="AK517" s="1">
        <v>0</v>
      </c>
      <c r="AL517" s="1">
        <v>0</v>
      </c>
      <c r="AM517" s="1">
        <v>0</v>
      </c>
      <c r="AN517" s="1">
        <v>0</v>
      </c>
      <c r="AO517" s="1">
        <v>0</v>
      </c>
      <c r="AP517" s="1">
        <v>0</v>
      </c>
      <c r="AQ517" s="24">
        <f t="shared" si="23"/>
        <v>0</v>
      </c>
    </row>
    <row r="518" spans="1:43" ht="17.25" customHeight="1" x14ac:dyDescent="0.45">
      <c r="A518" s="12" t="s">
        <v>274</v>
      </c>
      <c r="B518" s="12" t="s">
        <v>68</v>
      </c>
      <c r="C518" s="12" t="s">
        <v>13</v>
      </c>
      <c r="D518" s="12" t="s">
        <v>66</v>
      </c>
      <c r="E518" s="25">
        <v>0</v>
      </c>
      <c r="F518" s="10">
        <v>0</v>
      </c>
      <c r="G518" s="10">
        <v>0</v>
      </c>
      <c r="H518" s="10">
        <v>0</v>
      </c>
      <c r="I518" s="10">
        <v>0</v>
      </c>
      <c r="J518" s="10">
        <v>0</v>
      </c>
      <c r="K518" s="10">
        <v>1</v>
      </c>
      <c r="L518" s="10">
        <v>0</v>
      </c>
      <c r="M518" s="10">
        <v>0</v>
      </c>
      <c r="N518" s="10">
        <v>0</v>
      </c>
      <c r="O518" s="10">
        <v>0</v>
      </c>
      <c r="P518" s="10">
        <v>0</v>
      </c>
      <c r="Q518" s="26">
        <f t="shared" si="21"/>
        <v>1</v>
      </c>
      <c r="R518" s="25">
        <v>0</v>
      </c>
      <c r="S518" s="10">
        <v>0</v>
      </c>
      <c r="T518" s="10">
        <v>0</v>
      </c>
      <c r="U518" s="10">
        <v>0</v>
      </c>
      <c r="V518" s="10">
        <v>0</v>
      </c>
      <c r="W518" s="10">
        <v>0</v>
      </c>
      <c r="X518" s="10">
        <v>2</v>
      </c>
      <c r="Y518" s="10">
        <v>0</v>
      </c>
      <c r="Z518" s="10">
        <v>0</v>
      </c>
      <c r="AA518" s="10">
        <v>0</v>
      </c>
      <c r="AB518" s="10">
        <v>0</v>
      </c>
      <c r="AC518" s="10">
        <v>0</v>
      </c>
      <c r="AD518" s="26">
        <f t="shared" si="22"/>
        <v>2</v>
      </c>
      <c r="AE518" s="25">
        <v>0</v>
      </c>
      <c r="AF518" s="10">
        <v>0</v>
      </c>
      <c r="AG518" s="10">
        <v>0</v>
      </c>
      <c r="AH518" s="10">
        <v>0</v>
      </c>
      <c r="AI518" s="10">
        <v>0</v>
      </c>
      <c r="AJ518" s="10">
        <v>0</v>
      </c>
      <c r="AK518" s="10">
        <v>0</v>
      </c>
      <c r="AL518" s="10">
        <v>0</v>
      </c>
      <c r="AM518" s="10">
        <v>0</v>
      </c>
      <c r="AN518" s="10">
        <v>0</v>
      </c>
      <c r="AO518" s="10">
        <v>0</v>
      </c>
      <c r="AP518" s="10">
        <v>0</v>
      </c>
      <c r="AQ518" s="26">
        <f t="shared" si="23"/>
        <v>0</v>
      </c>
    </row>
    <row r="519" spans="1:43" ht="17.25" customHeight="1" x14ac:dyDescent="0.45">
      <c r="A519" s="2" t="s">
        <v>274</v>
      </c>
      <c r="B519" s="2" t="s">
        <v>68</v>
      </c>
      <c r="C519" s="2" t="s">
        <v>48</v>
      </c>
      <c r="D519" s="2" t="s">
        <v>66</v>
      </c>
      <c r="E519" s="23">
        <v>1</v>
      </c>
      <c r="F519" s="1">
        <v>0</v>
      </c>
      <c r="G519" s="1">
        <v>0</v>
      </c>
      <c r="H519" s="1">
        <v>0</v>
      </c>
      <c r="I519" s="1">
        <v>0</v>
      </c>
      <c r="J519" s="1">
        <v>0</v>
      </c>
      <c r="K519" s="1">
        <v>0</v>
      </c>
      <c r="L519" s="1">
        <v>0</v>
      </c>
      <c r="M519" s="1">
        <v>0</v>
      </c>
      <c r="N519" s="1">
        <v>1</v>
      </c>
      <c r="O519" s="1">
        <v>0</v>
      </c>
      <c r="P519" s="1">
        <v>0</v>
      </c>
      <c r="Q519" s="24">
        <f t="shared" si="21"/>
        <v>2</v>
      </c>
      <c r="R519" s="23">
        <v>11</v>
      </c>
      <c r="S519" s="1">
        <v>0</v>
      </c>
      <c r="T519" s="1">
        <v>0</v>
      </c>
      <c r="U519" s="1">
        <v>0</v>
      </c>
      <c r="V519" s="1">
        <v>0</v>
      </c>
      <c r="W519" s="1">
        <v>0</v>
      </c>
      <c r="X519" s="1">
        <v>0</v>
      </c>
      <c r="Y519" s="1">
        <v>0</v>
      </c>
      <c r="Z519" s="1">
        <v>0</v>
      </c>
      <c r="AA519" s="1">
        <v>3</v>
      </c>
      <c r="AB519" s="1">
        <v>0</v>
      </c>
      <c r="AC519" s="1">
        <v>0</v>
      </c>
      <c r="AD519" s="24">
        <f t="shared" si="22"/>
        <v>14</v>
      </c>
      <c r="AE519" s="23">
        <v>0</v>
      </c>
      <c r="AF519" s="1">
        <v>0</v>
      </c>
      <c r="AG519" s="1">
        <v>0</v>
      </c>
      <c r="AH519" s="1">
        <v>0</v>
      </c>
      <c r="AI519" s="1">
        <v>0</v>
      </c>
      <c r="AJ519" s="1">
        <v>0</v>
      </c>
      <c r="AK519" s="1">
        <v>0</v>
      </c>
      <c r="AL519" s="1">
        <v>0</v>
      </c>
      <c r="AM519" s="1">
        <v>0</v>
      </c>
      <c r="AN519" s="1">
        <v>0</v>
      </c>
      <c r="AO519" s="1">
        <v>0</v>
      </c>
      <c r="AP519" s="1">
        <v>0</v>
      </c>
      <c r="AQ519" s="24">
        <f t="shared" si="23"/>
        <v>0</v>
      </c>
    </row>
    <row r="520" spans="1:43" ht="17.25" customHeight="1" x14ac:dyDescent="0.45">
      <c r="A520" s="12" t="s">
        <v>274</v>
      </c>
      <c r="B520" s="12" t="s">
        <v>68</v>
      </c>
      <c r="C520" s="12" t="s">
        <v>32</v>
      </c>
      <c r="D520" s="12" t="s">
        <v>66</v>
      </c>
      <c r="E520" s="25">
        <v>0</v>
      </c>
      <c r="F520" s="10">
        <v>0</v>
      </c>
      <c r="G520" s="10">
        <v>1</v>
      </c>
      <c r="H520" s="10">
        <v>0</v>
      </c>
      <c r="I520" s="10">
        <v>0</v>
      </c>
      <c r="J520" s="10">
        <v>0</v>
      </c>
      <c r="K520" s="10">
        <v>0</v>
      </c>
      <c r="L520" s="10">
        <v>0</v>
      </c>
      <c r="M520" s="10">
        <v>0</v>
      </c>
      <c r="N520" s="10">
        <v>0</v>
      </c>
      <c r="O520" s="10">
        <v>0</v>
      </c>
      <c r="P520" s="10">
        <v>0</v>
      </c>
      <c r="Q520" s="26">
        <f t="shared" ref="Q520:Q577" si="24">SUM(E520:P520)</f>
        <v>1</v>
      </c>
      <c r="R520" s="25">
        <v>0</v>
      </c>
      <c r="S520" s="10">
        <v>0</v>
      </c>
      <c r="T520" s="10">
        <v>4</v>
      </c>
      <c r="U520" s="10">
        <v>0</v>
      </c>
      <c r="V520" s="10">
        <v>0</v>
      </c>
      <c r="W520" s="10">
        <v>0</v>
      </c>
      <c r="X520" s="10">
        <v>0</v>
      </c>
      <c r="Y520" s="10">
        <v>0</v>
      </c>
      <c r="Z520" s="10">
        <v>0</v>
      </c>
      <c r="AA520" s="10">
        <v>0</v>
      </c>
      <c r="AB520" s="10">
        <v>0</v>
      </c>
      <c r="AC520" s="10">
        <v>0</v>
      </c>
      <c r="AD520" s="26">
        <f t="shared" ref="AD520:AD577" si="25">SUM(R520:AC520)</f>
        <v>4</v>
      </c>
      <c r="AE520" s="25">
        <v>0</v>
      </c>
      <c r="AF520" s="10">
        <v>0</v>
      </c>
      <c r="AG520" s="10">
        <v>0</v>
      </c>
      <c r="AH520" s="10">
        <v>0</v>
      </c>
      <c r="AI520" s="10">
        <v>0</v>
      </c>
      <c r="AJ520" s="10">
        <v>0</v>
      </c>
      <c r="AK520" s="10">
        <v>0</v>
      </c>
      <c r="AL520" s="10">
        <v>0</v>
      </c>
      <c r="AM520" s="10">
        <v>0</v>
      </c>
      <c r="AN520" s="10">
        <v>0</v>
      </c>
      <c r="AO520" s="10">
        <v>0</v>
      </c>
      <c r="AP520" s="10">
        <v>0</v>
      </c>
      <c r="AQ520" s="26">
        <f t="shared" ref="AQ520:AQ577" si="26">SUM(AE520:AP520)</f>
        <v>0</v>
      </c>
    </row>
    <row r="521" spans="1:43" ht="17.25" customHeight="1" x14ac:dyDescent="0.45">
      <c r="A521" s="2" t="s">
        <v>15</v>
      </c>
      <c r="B521" s="2" t="s">
        <v>66</v>
      </c>
      <c r="C521" s="2" t="s">
        <v>194</v>
      </c>
      <c r="D521" s="2" t="s">
        <v>68</v>
      </c>
      <c r="E521" s="23">
        <v>0</v>
      </c>
      <c r="F521" s="1">
        <v>0</v>
      </c>
      <c r="G521" s="1">
        <v>0</v>
      </c>
      <c r="H521" s="1">
        <v>0</v>
      </c>
      <c r="I521" s="1">
        <v>0</v>
      </c>
      <c r="J521" s="1">
        <v>0</v>
      </c>
      <c r="K521" s="1">
        <v>0</v>
      </c>
      <c r="L521" s="1">
        <v>1</v>
      </c>
      <c r="M521" s="1">
        <v>0</v>
      </c>
      <c r="N521" s="1">
        <v>0</v>
      </c>
      <c r="O521" s="1">
        <v>0</v>
      </c>
      <c r="P521" s="1">
        <v>0</v>
      </c>
      <c r="Q521" s="24">
        <f t="shared" si="24"/>
        <v>1</v>
      </c>
      <c r="R521" s="23">
        <v>0</v>
      </c>
      <c r="S521" s="1">
        <v>0</v>
      </c>
      <c r="T521" s="1">
        <v>0</v>
      </c>
      <c r="U521" s="1">
        <v>0</v>
      </c>
      <c r="V521" s="1">
        <v>0</v>
      </c>
      <c r="W521" s="1">
        <v>0</v>
      </c>
      <c r="X521" s="1">
        <v>0</v>
      </c>
      <c r="Y521" s="1">
        <v>31</v>
      </c>
      <c r="Z521" s="1">
        <v>0</v>
      </c>
      <c r="AA521" s="1">
        <v>0</v>
      </c>
      <c r="AB521" s="1">
        <v>0</v>
      </c>
      <c r="AC521" s="1">
        <v>0</v>
      </c>
      <c r="AD521" s="24">
        <f t="shared" si="25"/>
        <v>31</v>
      </c>
      <c r="AE521" s="23">
        <v>0</v>
      </c>
      <c r="AF521" s="1">
        <v>0</v>
      </c>
      <c r="AG521" s="1">
        <v>0</v>
      </c>
      <c r="AH521" s="1">
        <v>0</v>
      </c>
      <c r="AI521" s="1">
        <v>0</v>
      </c>
      <c r="AJ521" s="1">
        <v>0</v>
      </c>
      <c r="AK521" s="1">
        <v>0</v>
      </c>
      <c r="AL521" s="1">
        <v>0</v>
      </c>
      <c r="AM521" s="1">
        <v>0</v>
      </c>
      <c r="AN521" s="1">
        <v>0</v>
      </c>
      <c r="AO521" s="1">
        <v>0</v>
      </c>
      <c r="AP521" s="1">
        <v>0</v>
      </c>
      <c r="AQ521" s="24">
        <f t="shared" si="26"/>
        <v>0</v>
      </c>
    </row>
    <row r="522" spans="1:43" ht="17.25" customHeight="1" x14ac:dyDescent="0.45">
      <c r="A522" s="12" t="s">
        <v>15</v>
      </c>
      <c r="B522" s="12" t="s">
        <v>66</v>
      </c>
      <c r="C522" s="12" t="s">
        <v>126</v>
      </c>
      <c r="D522" s="12" t="s">
        <v>68</v>
      </c>
      <c r="E522" s="25">
        <v>0</v>
      </c>
      <c r="F522" s="10">
        <v>0</v>
      </c>
      <c r="G522" s="10">
        <v>0</v>
      </c>
      <c r="H522" s="10">
        <v>0</v>
      </c>
      <c r="I522" s="10">
        <v>22</v>
      </c>
      <c r="J522" s="10">
        <v>0</v>
      </c>
      <c r="K522" s="10">
        <v>0</v>
      </c>
      <c r="L522" s="10">
        <v>0</v>
      </c>
      <c r="M522" s="10">
        <v>0</v>
      </c>
      <c r="N522" s="10">
        <v>0</v>
      </c>
      <c r="O522" s="10">
        <v>0</v>
      </c>
      <c r="P522" s="10">
        <v>0</v>
      </c>
      <c r="Q522" s="26">
        <f t="shared" si="24"/>
        <v>22</v>
      </c>
      <c r="R522" s="25">
        <v>0</v>
      </c>
      <c r="S522" s="10">
        <v>0</v>
      </c>
      <c r="T522" s="10">
        <v>0</v>
      </c>
      <c r="U522" s="10">
        <v>0</v>
      </c>
      <c r="V522" s="10">
        <v>0</v>
      </c>
      <c r="W522" s="10">
        <v>0</v>
      </c>
      <c r="X522" s="10">
        <v>0</v>
      </c>
      <c r="Y522" s="10">
        <v>0</v>
      </c>
      <c r="Z522" s="10">
        <v>0</v>
      </c>
      <c r="AA522" s="10">
        <v>0</v>
      </c>
      <c r="AB522" s="10">
        <v>0</v>
      </c>
      <c r="AC522" s="10">
        <v>0</v>
      </c>
      <c r="AD522" s="26">
        <f t="shared" si="25"/>
        <v>0</v>
      </c>
      <c r="AE522" s="25">
        <v>0</v>
      </c>
      <c r="AF522" s="10">
        <v>0</v>
      </c>
      <c r="AG522" s="10">
        <v>0</v>
      </c>
      <c r="AH522" s="10">
        <v>0</v>
      </c>
      <c r="AI522" s="10">
        <v>19270</v>
      </c>
      <c r="AJ522" s="10">
        <v>0</v>
      </c>
      <c r="AK522" s="10">
        <v>0</v>
      </c>
      <c r="AL522" s="10">
        <v>0</v>
      </c>
      <c r="AM522" s="10">
        <v>0</v>
      </c>
      <c r="AN522" s="10">
        <v>0</v>
      </c>
      <c r="AO522" s="10">
        <v>0</v>
      </c>
      <c r="AP522" s="10">
        <v>0</v>
      </c>
      <c r="AQ522" s="26">
        <f t="shared" si="26"/>
        <v>19270</v>
      </c>
    </row>
    <row r="523" spans="1:43" ht="17.25" customHeight="1" x14ac:dyDescent="0.45">
      <c r="A523" s="2" t="s">
        <v>15</v>
      </c>
      <c r="B523" s="2" t="s">
        <v>66</v>
      </c>
      <c r="C523" s="2" t="s">
        <v>189</v>
      </c>
      <c r="D523" s="2" t="s">
        <v>68</v>
      </c>
      <c r="E523" s="23">
        <v>0</v>
      </c>
      <c r="F523" s="1">
        <v>1</v>
      </c>
      <c r="G523" s="1">
        <v>0</v>
      </c>
      <c r="H523" s="1">
        <v>0</v>
      </c>
      <c r="I523" s="1">
        <v>0</v>
      </c>
      <c r="J523" s="1">
        <v>0</v>
      </c>
      <c r="K523" s="1">
        <v>0</v>
      </c>
      <c r="L523" s="1">
        <v>12</v>
      </c>
      <c r="M523" s="1">
        <v>4</v>
      </c>
      <c r="N523" s="1">
        <v>3</v>
      </c>
      <c r="O523" s="1">
        <v>1</v>
      </c>
      <c r="P523" s="1">
        <v>5</v>
      </c>
      <c r="Q523" s="24">
        <f t="shared" si="24"/>
        <v>26</v>
      </c>
      <c r="R523" s="23">
        <v>0</v>
      </c>
      <c r="S523" s="1">
        <v>0</v>
      </c>
      <c r="T523" s="1">
        <v>0</v>
      </c>
      <c r="U523" s="1">
        <v>0</v>
      </c>
      <c r="V523" s="1">
        <v>0</v>
      </c>
      <c r="W523" s="1">
        <v>0</v>
      </c>
      <c r="X523" s="1">
        <v>0</v>
      </c>
      <c r="Y523" s="1">
        <v>0</v>
      </c>
      <c r="Z523" s="1">
        <v>0</v>
      </c>
      <c r="AA523" s="1">
        <v>0</v>
      </c>
      <c r="AB523" s="1">
        <v>0</v>
      </c>
      <c r="AC523" s="1">
        <v>0</v>
      </c>
      <c r="AD523" s="24">
        <f t="shared" si="25"/>
        <v>0</v>
      </c>
      <c r="AE523" s="23">
        <v>0</v>
      </c>
      <c r="AF523" s="1">
        <v>600</v>
      </c>
      <c r="AG523" s="1">
        <v>0</v>
      </c>
      <c r="AH523" s="1">
        <v>0</v>
      </c>
      <c r="AI523" s="1">
        <v>0</v>
      </c>
      <c r="AJ523" s="1">
        <v>0</v>
      </c>
      <c r="AK523" s="1">
        <v>0</v>
      </c>
      <c r="AL523" s="1">
        <v>9600</v>
      </c>
      <c r="AM523" s="1">
        <v>4000</v>
      </c>
      <c r="AN523" s="1">
        <v>1693</v>
      </c>
      <c r="AO523" s="1">
        <v>900</v>
      </c>
      <c r="AP523" s="1">
        <v>3890</v>
      </c>
      <c r="AQ523" s="24">
        <f t="shared" si="26"/>
        <v>20683</v>
      </c>
    </row>
    <row r="524" spans="1:43" ht="17.25" customHeight="1" x14ac:dyDescent="0.45">
      <c r="A524" s="12" t="s">
        <v>15</v>
      </c>
      <c r="B524" s="12" t="s">
        <v>66</v>
      </c>
      <c r="C524" s="12" t="s">
        <v>149</v>
      </c>
      <c r="D524" s="12" t="s">
        <v>68</v>
      </c>
      <c r="E524" s="25">
        <v>0</v>
      </c>
      <c r="F524" s="10">
        <v>0</v>
      </c>
      <c r="G524" s="10">
        <v>0</v>
      </c>
      <c r="H524" s="10">
        <v>0</v>
      </c>
      <c r="I524" s="10">
        <v>0</v>
      </c>
      <c r="J524" s="10">
        <v>1</v>
      </c>
      <c r="K524" s="10">
        <v>1</v>
      </c>
      <c r="L524" s="10">
        <v>0</v>
      </c>
      <c r="M524" s="10">
        <v>0</v>
      </c>
      <c r="N524" s="10">
        <v>0</v>
      </c>
      <c r="O524" s="10">
        <v>0</v>
      </c>
      <c r="P524" s="10">
        <v>0</v>
      </c>
      <c r="Q524" s="26">
        <f t="shared" si="24"/>
        <v>2</v>
      </c>
      <c r="R524" s="25">
        <v>0</v>
      </c>
      <c r="S524" s="10">
        <v>0</v>
      </c>
      <c r="T524" s="10">
        <v>0</v>
      </c>
      <c r="U524" s="10">
        <v>0</v>
      </c>
      <c r="V524" s="10">
        <v>0</v>
      </c>
      <c r="W524" s="10">
        <v>0</v>
      </c>
      <c r="X524" s="10">
        <v>0</v>
      </c>
      <c r="Y524" s="10">
        <v>0</v>
      </c>
      <c r="Z524" s="10">
        <v>0</v>
      </c>
      <c r="AA524" s="10">
        <v>0</v>
      </c>
      <c r="AB524" s="10">
        <v>0</v>
      </c>
      <c r="AC524" s="10">
        <v>0</v>
      </c>
      <c r="AD524" s="26">
        <f t="shared" si="25"/>
        <v>0</v>
      </c>
      <c r="AE524" s="25">
        <v>0</v>
      </c>
      <c r="AF524" s="10">
        <v>0</v>
      </c>
      <c r="AG524" s="10">
        <v>0</v>
      </c>
      <c r="AH524" s="10">
        <v>0</v>
      </c>
      <c r="AI524" s="10">
        <v>0</v>
      </c>
      <c r="AJ524" s="10">
        <v>2047</v>
      </c>
      <c r="AK524" s="10">
        <v>2089</v>
      </c>
      <c r="AL524" s="10">
        <v>0</v>
      </c>
      <c r="AM524" s="10">
        <v>0</v>
      </c>
      <c r="AN524" s="10">
        <v>0</v>
      </c>
      <c r="AO524" s="10">
        <v>0</v>
      </c>
      <c r="AP524" s="10">
        <v>0</v>
      </c>
      <c r="AQ524" s="26">
        <f t="shared" si="26"/>
        <v>4136</v>
      </c>
    </row>
    <row r="525" spans="1:43" ht="17.25" customHeight="1" x14ac:dyDescent="0.45">
      <c r="A525" s="2" t="s">
        <v>15</v>
      </c>
      <c r="B525" s="2" t="s">
        <v>66</v>
      </c>
      <c r="C525" s="2" t="s">
        <v>150</v>
      </c>
      <c r="D525" s="2" t="s">
        <v>68</v>
      </c>
      <c r="E525" s="23">
        <v>22</v>
      </c>
      <c r="F525" s="1">
        <v>14</v>
      </c>
      <c r="G525" s="1">
        <v>23</v>
      </c>
      <c r="H525" s="1">
        <v>0</v>
      </c>
      <c r="I525" s="1">
        <v>0</v>
      </c>
      <c r="J525" s="1">
        <v>20</v>
      </c>
      <c r="K525" s="1">
        <v>21</v>
      </c>
      <c r="L525" s="1">
        <v>23</v>
      </c>
      <c r="M525" s="1">
        <v>18</v>
      </c>
      <c r="N525" s="1">
        <v>22</v>
      </c>
      <c r="O525" s="1">
        <v>22</v>
      </c>
      <c r="P525" s="1">
        <v>23</v>
      </c>
      <c r="Q525" s="24">
        <f t="shared" si="24"/>
        <v>208</v>
      </c>
      <c r="R525" s="23">
        <v>0</v>
      </c>
      <c r="S525" s="1">
        <v>0</v>
      </c>
      <c r="T525" s="1">
        <v>0</v>
      </c>
      <c r="U525" s="1">
        <v>0</v>
      </c>
      <c r="V525" s="1">
        <v>0</v>
      </c>
      <c r="W525" s="1">
        <v>0</v>
      </c>
      <c r="X525" s="1">
        <v>0</v>
      </c>
      <c r="Y525" s="1">
        <v>0</v>
      </c>
      <c r="Z525" s="1">
        <v>0</v>
      </c>
      <c r="AA525" s="1">
        <v>0</v>
      </c>
      <c r="AB525" s="1">
        <v>0</v>
      </c>
      <c r="AC525" s="1">
        <v>0</v>
      </c>
      <c r="AD525" s="24">
        <f t="shared" si="25"/>
        <v>0</v>
      </c>
      <c r="AE525" s="23">
        <v>21361</v>
      </c>
      <c r="AF525" s="1">
        <v>12453</v>
      </c>
      <c r="AG525" s="1">
        <v>18273</v>
      </c>
      <c r="AH525" s="1">
        <v>0</v>
      </c>
      <c r="AI525" s="1">
        <v>0</v>
      </c>
      <c r="AJ525" s="1">
        <v>51742</v>
      </c>
      <c r="AK525" s="1">
        <v>43851</v>
      </c>
      <c r="AL525" s="1">
        <v>22640</v>
      </c>
      <c r="AM525" s="1">
        <v>33713</v>
      </c>
      <c r="AN525" s="1">
        <v>43687</v>
      </c>
      <c r="AO525" s="1">
        <v>27104</v>
      </c>
      <c r="AP525" s="1">
        <v>48237</v>
      </c>
      <c r="AQ525" s="24">
        <f t="shared" si="26"/>
        <v>323061</v>
      </c>
    </row>
    <row r="526" spans="1:43" ht="17.25" customHeight="1" x14ac:dyDescent="0.45">
      <c r="A526" s="12" t="s">
        <v>225</v>
      </c>
      <c r="B526" s="12" t="s">
        <v>68</v>
      </c>
      <c r="C526" s="12" t="s">
        <v>22</v>
      </c>
      <c r="D526" s="12" t="s">
        <v>66</v>
      </c>
      <c r="E526" s="25">
        <v>1</v>
      </c>
      <c r="F526" s="10">
        <v>0</v>
      </c>
      <c r="G526" s="10">
        <v>0</v>
      </c>
      <c r="H526" s="10">
        <v>0</v>
      </c>
      <c r="I526" s="10">
        <v>0</v>
      </c>
      <c r="J526" s="10">
        <v>0</v>
      </c>
      <c r="K526" s="10">
        <v>0</v>
      </c>
      <c r="L526" s="10">
        <v>0</v>
      </c>
      <c r="M526" s="10">
        <v>0</v>
      </c>
      <c r="N526" s="10">
        <v>0</v>
      </c>
      <c r="O526" s="10">
        <v>0</v>
      </c>
      <c r="P526" s="10">
        <v>0</v>
      </c>
      <c r="Q526" s="26">
        <f t="shared" si="24"/>
        <v>1</v>
      </c>
      <c r="R526" s="25">
        <v>0</v>
      </c>
      <c r="S526" s="10">
        <v>0</v>
      </c>
      <c r="T526" s="10">
        <v>0</v>
      </c>
      <c r="U526" s="10">
        <v>0</v>
      </c>
      <c r="V526" s="10">
        <v>0</v>
      </c>
      <c r="W526" s="10">
        <v>0</v>
      </c>
      <c r="X526" s="10">
        <v>0</v>
      </c>
      <c r="Y526" s="10">
        <v>0</v>
      </c>
      <c r="Z526" s="10">
        <v>0</v>
      </c>
      <c r="AA526" s="10">
        <v>0</v>
      </c>
      <c r="AB526" s="10">
        <v>0</v>
      </c>
      <c r="AC526" s="10">
        <v>0</v>
      </c>
      <c r="AD526" s="26">
        <f t="shared" si="25"/>
        <v>0</v>
      </c>
      <c r="AE526" s="25">
        <v>7800</v>
      </c>
      <c r="AF526" s="10">
        <v>0</v>
      </c>
      <c r="AG526" s="10">
        <v>0</v>
      </c>
      <c r="AH526" s="10">
        <v>0</v>
      </c>
      <c r="AI526" s="10">
        <v>0</v>
      </c>
      <c r="AJ526" s="10">
        <v>0</v>
      </c>
      <c r="AK526" s="10">
        <v>0</v>
      </c>
      <c r="AL526" s="10">
        <v>0</v>
      </c>
      <c r="AM526" s="10">
        <v>0</v>
      </c>
      <c r="AN526" s="10">
        <v>0</v>
      </c>
      <c r="AO526" s="10">
        <v>0</v>
      </c>
      <c r="AP526" s="10">
        <v>0</v>
      </c>
      <c r="AQ526" s="26">
        <f t="shared" si="26"/>
        <v>7800</v>
      </c>
    </row>
    <row r="527" spans="1:43" ht="17.25" customHeight="1" x14ac:dyDescent="0.45">
      <c r="A527" s="2" t="s">
        <v>225</v>
      </c>
      <c r="B527" s="2" t="s">
        <v>68</v>
      </c>
      <c r="C527" s="2" t="s">
        <v>23</v>
      </c>
      <c r="D527" s="2" t="s">
        <v>66</v>
      </c>
      <c r="E527" s="23">
        <v>0</v>
      </c>
      <c r="F527" s="1">
        <v>0</v>
      </c>
      <c r="G527" s="1">
        <v>0</v>
      </c>
      <c r="H527" s="1">
        <v>4</v>
      </c>
      <c r="I527" s="1">
        <v>6</v>
      </c>
      <c r="J527" s="1">
        <v>7</v>
      </c>
      <c r="K527" s="1">
        <v>1</v>
      </c>
      <c r="L527" s="1">
        <v>0</v>
      </c>
      <c r="M527" s="1">
        <v>3</v>
      </c>
      <c r="N527" s="1">
        <v>3</v>
      </c>
      <c r="O527" s="1">
        <v>2</v>
      </c>
      <c r="P527" s="1">
        <v>0</v>
      </c>
      <c r="Q527" s="24">
        <f t="shared" si="24"/>
        <v>26</v>
      </c>
      <c r="R527" s="23">
        <v>0</v>
      </c>
      <c r="S527" s="1">
        <v>0</v>
      </c>
      <c r="T527" s="1">
        <v>0</v>
      </c>
      <c r="U527" s="1">
        <v>0</v>
      </c>
      <c r="V527" s="1">
        <v>0</v>
      </c>
      <c r="W527" s="1">
        <v>0</v>
      </c>
      <c r="X527" s="1">
        <v>0</v>
      </c>
      <c r="Y527" s="1">
        <v>0</v>
      </c>
      <c r="Z527" s="1">
        <v>0</v>
      </c>
      <c r="AA527" s="1">
        <v>0</v>
      </c>
      <c r="AB527" s="1">
        <v>0</v>
      </c>
      <c r="AC527" s="1">
        <v>0</v>
      </c>
      <c r="AD527" s="24">
        <f t="shared" si="25"/>
        <v>0</v>
      </c>
      <c r="AE527" s="23">
        <v>0</v>
      </c>
      <c r="AF527" s="1">
        <v>0</v>
      </c>
      <c r="AG527" s="1">
        <v>0</v>
      </c>
      <c r="AH527" s="1">
        <v>59446</v>
      </c>
      <c r="AI527" s="1">
        <v>110168</v>
      </c>
      <c r="AJ527" s="1">
        <v>263997</v>
      </c>
      <c r="AK527" s="1">
        <v>13689</v>
      </c>
      <c r="AL527" s="1">
        <v>0</v>
      </c>
      <c r="AM527" s="1">
        <v>185497</v>
      </c>
      <c r="AN527" s="1">
        <v>169413</v>
      </c>
      <c r="AO527" s="1">
        <v>154471</v>
      </c>
      <c r="AP527" s="1">
        <v>0</v>
      </c>
      <c r="AQ527" s="24">
        <f t="shared" si="26"/>
        <v>956681</v>
      </c>
    </row>
    <row r="528" spans="1:43" ht="17.25" customHeight="1" x14ac:dyDescent="0.45">
      <c r="A528" s="12" t="s">
        <v>225</v>
      </c>
      <c r="B528" s="12" t="s">
        <v>68</v>
      </c>
      <c r="C528" s="12" t="s">
        <v>13</v>
      </c>
      <c r="D528" s="12" t="s">
        <v>66</v>
      </c>
      <c r="E528" s="25">
        <v>0</v>
      </c>
      <c r="F528" s="10">
        <v>0</v>
      </c>
      <c r="G528" s="10">
        <v>0</v>
      </c>
      <c r="H528" s="10">
        <v>0</v>
      </c>
      <c r="I528" s="10">
        <v>0</v>
      </c>
      <c r="J528" s="10">
        <v>1</v>
      </c>
      <c r="K528" s="10">
        <v>0</v>
      </c>
      <c r="L528" s="10">
        <v>0</v>
      </c>
      <c r="M528" s="10">
        <v>0</v>
      </c>
      <c r="N528" s="10">
        <v>0</v>
      </c>
      <c r="O528" s="10">
        <v>0</v>
      </c>
      <c r="P528" s="10">
        <v>0</v>
      </c>
      <c r="Q528" s="26">
        <f t="shared" si="24"/>
        <v>1</v>
      </c>
      <c r="R528" s="25">
        <v>0</v>
      </c>
      <c r="S528" s="10">
        <v>0</v>
      </c>
      <c r="T528" s="10">
        <v>0</v>
      </c>
      <c r="U528" s="10">
        <v>0</v>
      </c>
      <c r="V528" s="10">
        <v>0</v>
      </c>
      <c r="W528" s="10">
        <v>0</v>
      </c>
      <c r="X528" s="10">
        <v>0</v>
      </c>
      <c r="Y528" s="10">
        <v>0</v>
      </c>
      <c r="Z528" s="10">
        <v>0</v>
      </c>
      <c r="AA528" s="10">
        <v>0</v>
      </c>
      <c r="AB528" s="10">
        <v>0</v>
      </c>
      <c r="AC528" s="10">
        <v>0</v>
      </c>
      <c r="AD528" s="26">
        <f t="shared" si="25"/>
        <v>0</v>
      </c>
      <c r="AE528" s="25">
        <v>0</v>
      </c>
      <c r="AF528" s="10">
        <v>0</v>
      </c>
      <c r="AG528" s="10">
        <v>0</v>
      </c>
      <c r="AH528" s="10">
        <v>0</v>
      </c>
      <c r="AI528" s="10">
        <v>0</v>
      </c>
      <c r="AJ528" s="10">
        <v>2332</v>
      </c>
      <c r="AK528" s="10">
        <v>0</v>
      </c>
      <c r="AL528" s="10">
        <v>0</v>
      </c>
      <c r="AM528" s="10">
        <v>0</v>
      </c>
      <c r="AN528" s="10">
        <v>0</v>
      </c>
      <c r="AO528" s="10">
        <v>0</v>
      </c>
      <c r="AP528" s="10">
        <v>0</v>
      </c>
      <c r="AQ528" s="26">
        <f t="shared" si="26"/>
        <v>2332</v>
      </c>
    </row>
    <row r="529" spans="1:43" ht="17.25" customHeight="1" x14ac:dyDescent="0.45">
      <c r="A529" s="2" t="s">
        <v>225</v>
      </c>
      <c r="B529" s="2" t="s">
        <v>68</v>
      </c>
      <c r="C529" s="2" t="s">
        <v>27</v>
      </c>
      <c r="D529" s="2" t="s">
        <v>66</v>
      </c>
      <c r="E529" s="23">
        <v>0</v>
      </c>
      <c r="F529" s="1">
        <v>0</v>
      </c>
      <c r="G529" s="1">
        <v>0</v>
      </c>
      <c r="H529" s="1">
        <v>0</v>
      </c>
      <c r="I529" s="1">
        <v>0</v>
      </c>
      <c r="J529" s="1">
        <v>0</v>
      </c>
      <c r="K529" s="1">
        <v>0</v>
      </c>
      <c r="L529" s="1">
        <v>0</v>
      </c>
      <c r="M529" s="1">
        <v>0</v>
      </c>
      <c r="N529" s="1">
        <v>0</v>
      </c>
      <c r="O529" s="1">
        <v>0</v>
      </c>
      <c r="P529" s="1">
        <v>1</v>
      </c>
      <c r="Q529" s="24">
        <f t="shared" si="24"/>
        <v>1</v>
      </c>
      <c r="R529" s="23">
        <v>0</v>
      </c>
      <c r="S529" s="1">
        <v>0</v>
      </c>
      <c r="T529" s="1">
        <v>0</v>
      </c>
      <c r="U529" s="1">
        <v>0</v>
      </c>
      <c r="V529" s="1">
        <v>0</v>
      </c>
      <c r="W529" s="1">
        <v>0</v>
      </c>
      <c r="X529" s="1">
        <v>0</v>
      </c>
      <c r="Y529" s="1">
        <v>0</v>
      </c>
      <c r="Z529" s="1">
        <v>0</v>
      </c>
      <c r="AA529" s="1">
        <v>0</v>
      </c>
      <c r="AB529" s="1">
        <v>0</v>
      </c>
      <c r="AC529" s="1">
        <v>0</v>
      </c>
      <c r="AD529" s="24">
        <f t="shared" si="25"/>
        <v>0</v>
      </c>
      <c r="AE529" s="23">
        <v>0</v>
      </c>
      <c r="AF529" s="1">
        <v>0</v>
      </c>
      <c r="AG529" s="1">
        <v>0</v>
      </c>
      <c r="AH529" s="1">
        <v>0</v>
      </c>
      <c r="AI529" s="1">
        <v>0</v>
      </c>
      <c r="AJ529" s="1">
        <v>0</v>
      </c>
      <c r="AK529" s="1">
        <v>0</v>
      </c>
      <c r="AL529" s="1">
        <v>0</v>
      </c>
      <c r="AM529" s="1">
        <v>0</v>
      </c>
      <c r="AN529" s="1">
        <v>0</v>
      </c>
      <c r="AO529" s="1">
        <v>0</v>
      </c>
      <c r="AP529" s="1">
        <v>42785</v>
      </c>
      <c r="AQ529" s="24">
        <f t="shared" si="26"/>
        <v>42785</v>
      </c>
    </row>
    <row r="530" spans="1:43" ht="17.25" customHeight="1" x14ac:dyDescent="0.45">
      <c r="A530" s="12" t="s">
        <v>225</v>
      </c>
      <c r="B530" s="12" t="s">
        <v>68</v>
      </c>
      <c r="C530" s="12" t="s">
        <v>28</v>
      </c>
      <c r="D530" s="12" t="s">
        <v>66</v>
      </c>
      <c r="E530" s="25">
        <v>1</v>
      </c>
      <c r="F530" s="10">
        <v>0</v>
      </c>
      <c r="G530" s="10">
        <v>1</v>
      </c>
      <c r="H530" s="10">
        <v>0</v>
      </c>
      <c r="I530" s="10">
        <v>0</v>
      </c>
      <c r="J530" s="10">
        <v>0</v>
      </c>
      <c r="K530" s="10">
        <v>0</v>
      </c>
      <c r="L530" s="10">
        <v>0</v>
      </c>
      <c r="M530" s="10">
        <v>0</v>
      </c>
      <c r="N530" s="10">
        <v>2</v>
      </c>
      <c r="O530" s="10">
        <v>0</v>
      </c>
      <c r="P530" s="10">
        <v>4</v>
      </c>
      <c r="Q530" s="26">
        <f t="shared" si="24"/>
        <v>8</v>
      </c>
      <c r="R530" s="25">
        <v>0</v>
      </c>
      <c r="S530" s="10">
        <v>0</v>
      </c>
      <c r="T530" s="10">
        <v>0</v>
      </c>
      <c r="U530" s="10">
        <v>0</v>
      </c>
      <c r="V530" s="10">
        <v>0</v>
      </c>
      <c r="W530" s="10">
        <v>0</v>
      </c>
      <c r="X530" s="10">
        <v>0</v>
      </c>
      <c r="Y530" s="10">
        <v>0</v>
      </c>
      <c r="Z530" s="10">
        <v>0</v>
      </c>
      <c r="AA530" s="10">
        <v>0</v>
      </c>
      <c r="AB530" s="10">
        <v>0</v>
      </c>
      <c r="AC530" s="10">
        <v>0</v>
      </c>
      <c r="AD530" s="26">
        <f t="shared" si="25"/>
        <v>0</v>
      </c>
      <c r="AE530" s="25">
        <v>2400</v>
      </c>
      <c r="AF530" s="10">
        <v>0</v>
      </c>
      <c r="AG530" s="10">
        <v>11976</v>
      </c>
      <c r="AH530" s="10">
        <v>0</v>
      </c>
      <c r="AI530" s="10">
        <v>0</v>
      </c>
      <c r="AJ530" s="10">
        <v>0</v>
      </c>
      <c r="AK530" s="10">
        <v>0</v>
      </c>
      <c r="AL530" s="10">
        <v>0</v>
      </c>
      <c r="AM530" s="10">
        <v>0</v>
      </c>
      <c r="AN530" s="10">
        <v>5100</v>
      </c>
      <c r="AO530" s="10">
        <v>0</v>
      </c>
      <c r="AP530" s="10">
        <v>154304</v>
      </c>
      <c r="AQ530" s="26">
        <f t="shared" si="26"/>
        <v>173780</v>
      </c>
    </row>
    <row r="531" spans="1:43" ht="17.25" customHeight="1" x14ac:dyDescent="0.45">
      <c r="A531" s="2" t="s">
        <v>225</v>
      </c>
      <c r="B531" s="2" t="s">
        <v>68</v>
      </c>
      <c r="C531" s="2" t="s">
        <v>206</v>
      </c>
      <c r="D531" s="2" t="s">
        <v>66</v>
      </c>
      <c r="E531" s="23">
        <v>0</v>
      </c>
      <c r="F531" s="1">
        <v>0</v>
      </c>
      <c r="G531" s="1">
        <v>0</v>
      </c>
      <c r="H531" s="1">
        <v>1</v>
      </c>
      <c r="I531" s="1">
        <v>0</v>
      </c>
      <c r="J531" s="1">
        <v>1</v>
      </c>
      <c r="K531" s="1">
        <v>1</v>
      </c>
      <c r="L531" s="1">
        <v>1</v>
      </c>
      <c r="M531" s="1">
        <v>20</v>
      </c>
      <c r="N531" s="1">
        <v>47</v>
      </c>
      <c r="O531" s="1">
        <v>12</v>
      </c>
      <c r="P531" s="1">
        <v>10</v>
      </c>
      <c r="Q531" s="24">
        <f t="shared" si="24"/>
        <v>93</v>
      </c>
      <c r="R531" s="23">
        <v>0</v>
      </c>
      <c r="S531" s="1">
        <v>0</v>
      </c>
      <c r="T531" s="1">
        <v>0</v>
      </c>
      <c r="U531" s="1">
        <v>0</v>
      </c>
      <c r="V531" s="1">
        <v>0</v>
      </c>
      <c r="W531" s="1">
        <v>0</v>
      </c>
      <c r="X531" s="1">
        <v>0</v>
      </c>
      <c r="Y531" s="1">
        <v>0</v>
      </c>
      <c r="Z531" s="1">
        <v>0</v>
      </c>
      <c r="AA531" s="1">
        <v>0</v>
      </c>
      <c r="AB531" s="1">
        <v>0</v>
      </c>
      <c r="AC531" s="1">
        <v>0</v>
      </c>
      <c r="AD531" s="24">
        <f t="shared" si="25"/>
        <v>0</v>
      </c>
      <c r="AE531" s="23">
        <v>0</v>
      </c>
      <c r="AF531" s="1">
        <v>0</v>
      </c>
      <c r="AG531" s="1">
        <v>0</v>
      </c>
      <c r="AH531" s="1">
        <v>439</v>
      </c>
      <c r="AI531" s="1">
        <v>0</v>
      </c>
      <c r="AJ531" s="1">
        <v>2680</v>
      </c>
      <c r="AK531" s="1">
        <v>4230</v>
      </c>
      <c r="AL531" s="1">
        <v>114</v>
      </c>
      <c r="AM531" s="1">
        <v>51098</v>
      </c>
      <c r="AN531" s="1">
        <v>119600</v>
      </c>
      <c r="AO531" s="1">
        <v>31192</v>
      </c>
      <c r="AP531" s="1">
        <v>25305</v>
      </c>
      <c r="AQ531" s="24">
        <f t="shared" si="26"/>
        <v>234658</v>
      </c>
    </row>
    <row r="532" spans="1:43" ht="17.25" customHeight="1" x14ac:dyDescent="0.45">
      <c r="A532" s="12" t="s">
        <v>225</v>
      </c>
      <c r="B532" s="12" t="s">
        <v>68</v>
      </c>
      <c r="C532" s="12" t="s">
        <v>30</v>
      </c>
      <c r="D532" s="12" t="s">
        <v>66</v>
      </c>
      <c r="E532" s="25">
        <v>0</v>
      </c>
      <c r="F532" s="10">
        <v>0</v>
      </c>
      <c r="G532" s="10">
        <v>1</v>
      </c>
      <c r="H532" s="10">
        <v>0</v>
      </c>
      <c r="I532" s="10">
        <v>0</v>
      </c>
      <c r="J532" s="10">
        <v>0</v>
      </c>
      <c r="K532" s="10">
        <v>1</v>
      </c>
      <c r="L532" s="10">
        <v>0</v>
      </c>
      <c r="M532" s="10">
        <v>0</v>
      </c>
      <c r="N532" s="10">
        <v>0</v>
      </c>
      <c r="O532" s="10">
        <v>0</v>
      </c>
      <c r="P532" s="10">
        <v>0</v>
      </c>
      <c r="Q532" s="26">
        <f t="shared" si="24"/>
        <v>2</v>
      </c>
      <c r="R532" s="25">
        <v>0</v>
      </c>
      <c r="S532" s="10">
        <v>0</v>
      </c>
      <c r="T532" s="10">
        <v>0</v>
      </c>
      <c r="U532" s="10">
        <v>0</v>
      </c>
      <c r="V532" s="10">
        <v>0</v>
      </c>
      <c r="W532" s="10">
        <v>0</v>
      </c>
      <c r="X532" s="10">
        <v>0</v>
      </c>
      <c r="Y532" s="10">
        <v>0</v>
      </c>
      <c r="Z532" s="10">
        <v>0</v>
      </c>
      <c r="AA532" s="10">
        <v>0</v>
      </c>
      <c r="AB532" s="10">
        <v>0</v>
      </c>
      <c r="AC532" s="10">
        <v>0</v>
      </c>
      <c r="AD532" s="26">
        <f t="shared" si="25"/>
        <v>0</v>
      </c>
      <c r="AE532" s="25">
        <v>0</v>
      </c>
      <c r="AF532" s="10">
        <v>0</v>
      </c>
      <c r="AG532" s="10">
        <v>8750</v>
      </c>
      <c r="AH532" s="10">
        <v>0</v>
      </c>
      <c r="AI532" s="10">
        <v>0</v>
      </c>
      <c r="AJ532" s="10">
        <v>0</v>
      </c>
      <c r="AK532" s="10">
        <v>600</v>
      </c>
      <c r="AL532" s="10">
        <v>0</v>
      </c>
      <c r="AM532" s="10">
        <v>0</v>
      </c>
      <c r="AN532" s="10">
        <v>0</v>
      </c>
      <c r="AO532" s="10">
        <v>0</v>
      </c>
      <c r="AP532" s="10">
        <v>0</v>
      </c>
      <c r="AQ532" s="26">
        <f t="shared" si="26"/>
        <v>9350</v>
      </c>
    </row>
    <row r="533" spans="1:43" ht="17.25" customHeight="1" x14ac:dyDescent="0.45">
      <c r="A533" s="2" t="s">
        <v>32</v>
      </c>
      <c r="B533" s="2" t="s">
        <v>66</v>
      </c>
      <c r="C533" s="2" t="s">
        <v>324</v>
      </c>
      <c r="D533" s="2" t="s">
        <v>138</v>
      </c>
      <c r="E533" s="23">
        <v>0</v>
      </c>
      <c r="F533" s="1">
        <v>0</v>
      </c>
      <c r="G533" s="1">
        <v>0</v>
      </c>
      <c r="H533" s="1">
        <v>0</v>
      </c>
      <c r="I533" s="1">
        <v>0</v>
      </c>
      <c r="J533" s="1">
        <v>0</v>
      </c>
      <c r="K533" s="1">
        <v>0</v>
      </c>
      <c r="L533" s="1">
        <v>0</v>
      </c>
      <c r="M533" s="1">
        <v>1</v>
      </c>
      <c r="N533" s="1">
        <v>1</v>
      </c>
      <c r="O533" s="1">
        <v>0</v>
      </c>
      <c r="P533" s="1">
        <v>0</v>
      </c>
      <c r="Q533" s="24">
        <f t="shared" si="24"/>
        <v>2</v>
      </c>
      <c r="R533" s="23">
        <v>0</v>
      </c>
      <c r="S533" s="1">
        <v>0</v>
      </c>
      <c r="T533" s="1">
        <v>0</v>
      </c>
      <c r="U533" s="1">
        <v>0</v>
      </c>
      <c r="V533" s="1">
        <v>0</v>
      </c>
      <c r="W533" s="1">
        <v>0</v>
      </c>
      <c r="X533" s="1">
        <v>0</v>
      </c>
      <c r="Y533" s="1">
        <v>0</v>
      </c>
      <c r="Z533" s="1">
        <v>23</v>
      </c>
      <c r="AA533" s="1">
        <v>5</v>
      </c>
      <c r="AB533" s="1">
        <v>0</v>
      </c>
      <c r="AC533" s="1">
        <v>0</v>
      </c>
      <c r="AD533" s="24">
        <f t="shared" si="25"/>
        <v>28</v>
      </c>
      <c r="AE533" s="23">
        <v>0</v>
      </c>
      <c r="AF533" s="1">
        <v>0</v>
      </c>
      <c r="AG533" s="1">
        <v>0</v>
      </c>
      <c r="AH533" s="1">
        <v>0</v>
      </c>
      <c r="AI533" s="1">
        <v>0</v>
      </c>
      <c r="AJ533" s="1">
        <v>0</v>
      </c>
      <c r="AK533" s="1">
        <v>0</v>
      </c>
      <c r="AL533" s="1">
        <v>0</v>
      </c>
      <c r="AM533" s="1">
        <v>0</v>
      </c>
      <c r="AN533" s="1">
        <v>0</v>
      </c>
      <c r="AO533" s="1">
        <v>0</v>
      </c>
      <c r="AP533" s="1">
        <v>0</v>
      </c>
      <c r="AQ533" s="24">
        <f t="shared" si="26"/>
        <v>0</v>
      </c>
    </row>
    <row r="534" spans="1:43" ht="17.25" customHeight="1" x14ac:dyDescent="0.45">
      <c r="A534" s="12" t="s">
        <v>32</v>
      </c>
      <c r="B534" s="12" t="s">
        <v>66</v>
      </c>
      <c r="C534" s="12" t="s">
        <v>336</v>
      </c>
      <c r="D534" s="12" t="s">
        <v>89</v>
      </c>
      <c r="E534" s="25">
        <v>0</v>
      </c>
      <c r="F534" s="10">
        <v>0</v>
      </c>
      <c r="G534" s="10">
        <v>0</v>
      </c>
      <c r="H534" s="10">
        <v>0</v>
      </c>
      <c r="I534" s="10">
        <v>0</v>
      </c>
      <c r="J534" s="10">
        <v>0</v>
      </c>
      <c r="K534" s="10">
        <v>0</v>
      </c>
      <c r="L534" s="10">
        <v>0</v>
      </c>
      <c r="M534" s="10">
        <v>0</v>
      </c>
      <c r="N534" s="10">
        <v>1</v>
      </c>
      <c r="O534" s="10">
        <v>0</v>
      </c>
      <c r="P534" s="10">
        <v>0</v>
      </c>
      <c r="Q534" s="26">
        <f t="shared" si="24"/>
        <v>1</v>
      </c>
      <c r="R534" s="25">
        <v>0</v>
      </c>
      <c r="S534" s="10">
        <v>0</v>
      </c>
      <c r="T534" s="10">
        <v>0</v>
      </c>
      <c r="U534" s="10">
        <v>0</v>
      </c>
      <c r="V534" s="10">
        <v>0</v>
      </c>
      <c r="W534" s="10">
        <v>0</v>
      </c>
      <c r="X534" s="10">
        <v>0</v>
      </c>
      <c r="Y534" s="10">
        <v>0</v>
      </c>
      <c r="Z534" s="10">
        <v>0</v>
      </c>
      <c r="AA534" s="10">
        <v>31</v>
      </c>
      <c r="AB534" s="10">
        <v>0</v>
      </c>
      <c r="AC534" s="10">
        <v>0</v>
      </c>
      <c r="AD534" s="26">
        <f t="shared" si="25"/>
        <v>31</v>
      </c>
      <c r="AE534" s="25">
        <v>0</v>
      </c>
      <c r="AF534" s="10">
        <v>0</v>
      </c>
      <c r="AG534" s="10">
        <v>0</v>
      </c>
      <c r="AH534" s="10">
        <v>0</v>
      </c>
      <c r="AI534" s="10">
        <v>0</v>
      </c>
      <c r="AJ534" s="10">
        <v>0</v>
      </c>
      <c r="AK534" s="10">
        <v>0</v>
      </c>
      <c r="AL534" s="10">
        <v>0</v>
      </c>
      <c r="AM534" s="10">
        <v>0</v>
      </c>
      <c r="AN534" s="10">
        <v>0</v>
      </c>
      <c r="AO534" s="10">
        <v>0</v>
      </c>
      <c r="AP534" s="10">
        <v>0</v>
      </c>
      <c r="AQ534" s="26">
        <f t="shared" si="26"/>
        <v>0</v>
      </c>
    </row>
    <row r="535" spans="1:43" ht="17.25" customHeight="1" x14ac:dyDescent="0.45">
      <c r="A535" s="2" t="s">
        <v>32</v>
      </c>
      <c r="B535" s="2" t="s">
        <v>66</v>
      </c>
      <c r="C535" s="2" t="s">
        <v>207</v>
      </c>
      <c r="D535" s="2" t="s">
        <v>68</v>
      </c>
      <c r="E535" s="23">
        <v>1</v>
      </c>
      <c r="F535" s="1">
        <v>3</v>
      </c>
      <c r="G535" s="1">
        <v>2</v>
      </c>
      <c r="H535" s="1">
        <v>0</v>
      </c>
      <c r="I535" s="1">
        <v>0</v>
      </c>
      <c r="J535" s="1">
        <v>0</v>
      </c>
      <c r="K535" s="1">
        <v>0</v>
      </c>
      <c r="L535" s="1">
        <v>0</v>
      </c>
      <c r="M535" s="1">
        <v>0</v>
      </c>
      <c r="N535" s="1">
        <v>0</v>
      </c>
      <c r="O535" s="1">
        <v>0</v>
      </c>
      <c r="P535" s="1">
        <v>2</v>
      </c>
      <c r="Q535" s="24">
        <f t="shared" si="24"/>
        <v>8</v>
      </c>
      <c r="R535" s="23">
        <v>37</v>
      </c>
      <c r="S535" s="1">
        <v>103</v>
      </c>
      <c r="T535" s="1">
        <v>80</v>
      </c>
      <c r="U535" s="1">
        <v>0</v>
      </c>
      <c r="V535" s="1">
        <v>0</v>
      </c>
      <c r="W535" s="1">
        <v>0</v>
      </c>
      <c r="X535" s="1">
        <v>0</v>
      </c>
      <c r="Y535" s="1">
        <v>0</v>
      </c>
      <c r="Z535" s="1">
        <v>0</v>
      </c>
      <c r="AA535" s="1">
        <v>0</v>
      </c>
      <c r="AB535" s="1">
        <v>0</v>
      </c>
      <c r="AC535" s="1">
        <v>40</v>
      </c>
      <c r="AD535" s="24">
        <f t="shared" si="25"/>
        <v>260</v>
      </c>
      <c r="AE535" s="23">
        <v>0</v>
      </c>
      <c r="AF535" s="1">
        <v>0</v>
      </c>
      <c r="AG535" s="1">
        <v>0</v>
      </c>
      <c r="AH535" s="1">
        <v>0</v>
      </c>
      <c r="AI535" s="1">
        <v>0</v>
      </c>
      <c r="AJ535" s="1">
        <v>0</v>
      </c>
      <c r="AK535" s="1">
        <v>0</v>
      </c>
      <c r="AL535" s="1">
        <v>0</v>
      </c>
      <c r="AM535" s="1">
        <v>0</v>
      </c>
      <c r="AN535" s="1">
        <v>0</v>
      </c>
      <c r="AO535" s="1">
        <v>0</v>
      </c>
      <c r="AP535" s="1">
        <v>0</v>
      </c>
      <c r="AQ535" s="24">
        <f t="shared" si="26"/>
        <v>0</v>
      </c>
    </row>
    <row r="536" spans="1:43" ht="17.25" customHeight="1" x14ac:dyDescent="0.45">
      <c r="A536" s="12" t="s">
        <v>32</v>
      </c>
      <c r="B536" s="12" t="s">
        <v>66</v>
      </c>
      <c r="C536" s="12" t="s">
        <v>259</v>
      </c>
      <c r="D536" s="12" t="s">
        <v>68</v>
      </c>
      <c r="E536" s="25">
        <v>0</v>
      </c>
      <c r="F536" s="10">
        <v>0</v>
      </c>
      <c r="G536" s="10">
        <v>0</v>
      </c>
      <c r="H536" s="10">
        <v>0</v>
      </c>
      <c r="I536" s="10">
        <v>0</v>
      </c>
      <c r="J536" s="10">
        <v>0</v>
      </c>
      <c r="K536" s="10">
        <v>1</v>
      </c>
      <c r="L536" s="10">
        <v>0</v>
      </c>
      <c r="M536" s="10">
        <v>1</v>
      </c>
      <c r="N536" s="10">
        <v>0</v>
      </c>
      <c r="O536" s="10">
        <v>0</v>
      </c>
      <c r="P536" s="10">
        <v>0</v>
      </c>
      <c r="Q536" s="26">
        <f t="shared" si="24"/>
        <v>2</v>
      </c>
      <c r="R536" s="25">
        <v>0</v>
      </c>
      <c r="S536" s="10">
        <v>0</v>
      </c>
      <c r="T536" s="10">
        <v>0</v>
      </c>
      <c r="U536" s="10">
        <v>0</v>
      </c>
      <c r="V536" s="10">
        <v>0</v>
      </c>
      <c r="W536" s="10">
        <v>0</v>
      </c>
      <c r="X536" s="10">
        <v>102</v>
      </c>
      <c r="Y536" s="10">
        <v>0</v>
      </c>
      <c r="Z536" s="10">
        <v>56</v>
      </c>
      <c r="AA536" s="10">
        <v>0</v>
      </c>
      <c r="AB536" s="10">
        <v>0</v>
      </c>
      <c r="AC536" s="10">
        <v>0</v>
      </c>
      <c r="AD536" s="26">
        <f t="shared" si="25"/>
        <v>158</v>
      </c>
      <c r="AE536" s="25">
        <v>0</v>
      </c>
      <c r="AF536" s="10">
        <v>0</v>
      </c>
      <c r="AG536" s="10">
        <v>0</v>
      </c>
      <c r="AH536" s="10">
        <v>0</v>
      </c>
      <c r="AI536" s="10">
        <v>0</v>
      </c>
      <c r="AJ536" s="10">
        <v>0</v>
      </c>
      <c r="AK536" s="10">
        <v>0</v>
      </c>
      <c r="AL536" s="10">
        <v>0</v>
      </c>
      <c r="AM536" s="10">
        <v>0</v>
      </c>
      <c r="AN536" s="10">
        <v>0</v>
      </c>
      <c r="AO536" s="10">
        <v>0</v>
      </c>
      <c r="AP536" s="10">
        <v>0</v>
      </c>
      <c r="AQ536" s="26">
        <f t="shared" si="26"/>
        <v>0</v>
      </c>
    </row>
    <row r="537" spans="1:43" ht="17.25" customHeight="1" x14ac:dyDescent="0.45">
      <c r="A537" s="2" t="s">
        <v>32</v>
      </c>
      <c r="B537" s="2" t="s">
        <v>66</v>
      </c>
      <c r="C537" s="2" t="s">
        <v>235</v>
      </c>
      <c r="D537" s="2" t="s">
        <v>68</v>
      </c>
      <c r="E537" s="23">
        <v>0</v>
      </c>
      <c r="F537" s="1">
        <v>0</v>
      </c>
      <c r="G537" s="1">
        <v>0</v>
      </c>
      <c r="H537" s="1">
        <v>1</v>
      </c>
      <c r="I537" s="1">
        <v>0</v>
      </c>
      <c r="J537" s="1">
        <v>0</v>
      </c>
      <c r="K537" s="1">
        <v>0</v>
      </c>
      <c r="L537" s="1">
        <v>0</v>
      </c>
      <c r="M537" s="1">
        <v>0</v>
      </c>
      <c r="N537" s="1">
        <v>0</v>
      </c>
      <c r="O537" s="1">
        <v>0</v>
      </c>
      <c r="P537" s="1">
        <v>0</v>
      </c>
      <c r="Q537" s="24">
        <f t="shared" si="24"/>
        <v>1</v>
      </c>
      <c r="R537" s="23">
        <v>0</v>
      </c>
      <c r="S537" s="1">
        <v>0</v>
      </c>
      <c r="T537" s="1">
        <v>0</v>
      </c>
      <c r="U537" s="1">
        <v>9</v>
      </c>
      <c r="V537" s="1">
        <v>0</v>
      </c>
      <c r="W537" s="1">
        <v>0</v>
      </c>
      <c r="X537" s="1">
        <v>0</v>
      </c>
      <c r="Y537" s="1">
        <v>0</v>
      </c>
      <c r="Z537" s="1">
        <v>0</v>
      </c>
      <c r="AA537" s="1">
        <v>0</v>
      </c>
      <c r="AB537" s="1">
        <v>0</v>
      </c>
      <c r="AC537" s="1">
        <v>0</v>
      </c>
      <c r="AD537" s="24">
        <f t="shared" si="25"/>
        <v>9</v>
      </c>
      <c r="AE537" s="23">
        <v>0</v>
      </c>
      <c r="AF537" s="1">
        <v>0</v>
      </c>
      <c r="AG537" s="1">
        <v>0</v>
      </c>
      <c r="AH537" s="1">
        <v>0</v>
      </c>
      <c r="AI537" s="1">
        <v>0</v>
      </c>
      <c r="AJ537" s="1">
        <v>0</v>
      </c>
      <c r="AK537" s="1">
        <v>0</v>
      </c>
      <c r="AL537" s="1">
        <v>0</v>
      </c>
      <c r="AM537" s="1">
        <v>0</v>
      </c>
      <c r="AN537" s="1">
        <v>0</v>
      </c>
      <c r="AO537" s="1">
        <v>0</v>
      </c>
      <c r="AP537" s="1">
        <v>0</v>
      </c>
      <c r="AQ537" s="24">
        <f t="shared" si="26"/>
        <v>0</v>
      </c>
    </row>
    <row r="538" spans="1:43" ht="17.25" customHeight="1" x14ac:dyDescent="0.45">
      <c r="A538" s="12" t="s">
        <v>32</v>
      </c>
      <c r="B538" s="12" t="s">
        <v>66</v>
      </c>
      <c r="C538" s="12" t="s">
        <v>67</v>
      </c>
      <c r="D538" s="12" t="s">
        <v>68</v>
      </c>
      <c r="E538" s="25">
        <v>0</v>
      </c>
      <c r="F538" s="10">
        <v>0</v>
      </c>
      <c r="G538" s="10">
        <v>0</v>
      </c>
      <c r="H538" s="10">
        <v>0</v>
      </c>
      <c r="I538" s="10">
        <v>0</v>
      </c>
      <c r="J538" s="10">
        <v>0</v>
      </c>
      <c r="K538" s="10">
        <v>0</v>
      </c>
      <c r="L538" s="10">
        <v>0</v>
      </c>
      <c r="M538" s="10">
        <v>0</v>
      </c>
      <c r="N538" s="10">
        <v>0</v>
      </c>
      <c r="O538" s="10">
        <v>0</v>
      </c>
      <c r="P538" s="10">
        <v>1</v>
      </c>
      <c r="Q538" s="26">
        <f t="shared" si="24"/>
        <v>1</v>
      </c>
      <c r="R538" s="25">
        <v>0</v>
      </c>
      <c r="S538" s="10">
        <v>0</v>
      </c>
      <c r="T538" s="10">
        <v>0</v>
      </c>
      <c r="U538" s="10">
        <v>0</v>
      </c>
      <c r="V538" s="10">
        <v>0</v>
      </c>
      <c r="W538" s="10">
        <v>0</v>
      </c>
      <c r="X538" s="10">
        <v>0</v>
      </c>
      <c r="Y538" s="10">
        <v>0</v>
      </c>
      <c r="Z538" s="10">
        <v>0</v>
      </c>
      <c r="AA538" s="10">
        <v>0</v>
      </c>
      <c r="AB538" s="10">
        <v>0</v>
      </c>
      <c r="AC538" s="10">
        <v>4</v>
      </c>
      <c r="AD538" s="26">
        <f t="shared" si="25"/>
        <v>4</v>
      </c>
      <c r="AE538" s="25">
        <v>0</v>
      </c>
      <c r="AF538" s="10">
        <v>0</v>
      </c>
      <c r="AG538" s="10">
        <v>0</v>
      </c>
      <c r="AH538" s="10">
        <v>0</v>
      </c>
      <c r="AI538" s="10">
        <v>0</v>
      </c>
      <c r="AJ538" s="10">
        <v>0</v>
      </c>
      <c r="AK538" s="10">
        <v>0</v>
      </c>
      <c r="AL538" s="10">
        <v>0</v>
      </c>
      <c r="AM538" s="10">
        <v>0</v>
      </c>
      <c r="AN538" s="10">
        <v>0</v>
      </c>
      <c r="AO538" s="10">
        <v>0</v>
      </c>
      <c r="AP538" s="10">
        <v>0</v>
      </c>
      <c r="AQ538" s="26">
        <f t="shared" si="26"/>
        <v>0</v>
      </c>
    </row>
    <row r="539" spans="1:43" ht="17.25" customHeight="1" x14ac:dyDescent="0.45">
      <c r="A539" s="2" t="s">
        <v>32</v>
      </c>
      <c r="B539" s="2" t="s">
        <v>66</v>
      </c>
      <c r="C539" s="2" t="s">
        <v>101</v>
      </c>
      <c r="D539" s="2" t="s">
        <v>68</v>
      </c>
      <c r="E539" s="23">
        <v>0</v>
      </c>
      <c r="F539" s="1">
        <v>0</v>
      </c>
      <c r="G539" s="1">
        <v>0</v>
      </c>
      <c r="H539" s="1">
        <v>0</v>
      </c>
      <c r="I539" s="1">
        <v>4</v>
      </c>
      <c r="J539" s="1">
        <v>1</v>
      </c>
      <c r="K539" s="1">
        <v>0</v>
      </c>
      <c r="L539" s="1">
        <v>0</v>
      </c>
      <c r="M539" s="1">
        <v>0</v>
      </c>
      <c r="N539" s="1">
        <v>0</v>
      </c>
      <c r="O539" s="1">
        <v>0</v>
      </c>
      <c r="P539" s="1">
        <v>0</v>
      </c>
      <c r="Q539" s="24">
        <f t="shared" si="24"/>
        <v>5</v>
      </c>
      <c r="R539" s="23">
        <v>0</v>
      </c>
      <c r="S539" s="1">
        <v>0</v>
      </c>
      <c r="T539" s="1">
        <v>0</v>
      </c>
      <c r="U539" s="1">
        <v>0</v>
      </c>
      <c r="V539" s="1">
        <v>0</v>
      </c>
      <c r="W539" s="1">
        <v>0</v>
      </c>
      <c r="X539" s="1">
        <v>0</v>
      </c>
      <c r="Y539" s="1">
        <v>0</v>
      </c>
      <c r="Z539" s="1">
        <v>0</v>
      </c>
      <c r="AA539" s="1">
        <v>0</v>
      </c>
      <c r="AB539" s="1">
        <v>0</v>
      </c>
      <c r="AC539" s="1">
        <v>0</v>
      </c>
      <c r="AD539" s="24">
        <f t="shared" si="25"/>
        <v>0</v>
      </c>
      <c r="AE539" s="23">
        <v>0</v>
      </c>
      <c r="AF539" s="1">
        <v>0</v>
      </c>
      <c r="AG539" s="1">
        <v>0</v>
      </c>
      <c r="AH539" s="1">
        <v>0</v>
      </c>
      <c r="AI539" s="1">
        <v>10313</v>
      </c>
      <c r="AJ539" s="1">
        <v>1827</v>
      </c>
      <c r="AK539" s="1">
        <v>0</v>
      </c>
      <c r="AL539" s="1">
        <v>0</v>
      </c>
      <c r="AM539" s="1">
        <v>0</v>
      </c>
      <c r="AN539" s="1">
        <v>0</v>
      </c>
      <c r="AO539" s="1">
        <v>0</v>
      </c>
      <c r="AP539" s="1">
        <v>0</v>
      </c>
      <c r="AQ539" s="24">
        <f t="shared" si="26"/>
        <v>12140</v>
      </c>
    </row>
    <row r="540" spans="1:43" ht="17.25" customHeight="1" x14ac:dyDescent="0.45">
      <c r="A540" s="12" t="s">
        <v>32</v>
      </c>
      <c r="B540" s="12" t="s">
        <v>66</v>
      </c>
      <c r="C540" s="12" t="s">
        <v>250</v>
      </c>
      <c r="D540" s="12" t="s">
        <v>68</v>
      </c>
      <c r="E540" s="25">
        <v>0</v>
      </c>
      <c r="F540" s="10">
        <v>0</v>
      </c>
      <c r="G540" s="10">
        <v>1</v>
      </c>
      <c r="H540" s="10">
        <v>0</v>
      </c>
      <c r="I540" s="10">
        <v>0</v>
      </c>
      <c r="J540" s="10">
        <v>0</v>
      </c>
      <c r="K540" s="10">
        <v>0</v>
      </c>
      <c r="L540" s="10">
        <v>0</v>
      </c>
      <c r="M540" s="10">
        <v>0</v>
      </c>
      <c r="N540" s="10">
        <v>0</v>
      </c>
      <c r="O540" s="10">
        <v>0</v>
      </c>
      <c r="P540" s="10">
        <v>0</v>
      </c>
      <c r="Q540" s="26">
        <f t="shared" si="24"/>
        <v>1</v>
      </c>
      <c r="R540" s="25">
        <v>0</v>
      </c>
      <c r="S540" s="10">
        <v>0</v>
      </c>
      <c r="T540" s="10">
        <v>2</v>
      </c>
      <c r="U540" s="10">
        <v>0</v>
      </c>
      <c r="V540" s="10">
        <v>0</v>
      </c>
      <c r="W540" s="10">
        <v>0</v>
      </c>
      <c r="X540" s="10">
        <v>0</v>
      </c>
      <c r="Y540" s="10">
        <v>0</v>
      </c>
      <c r="Z540" s="10">
        <v>0</v>
      </c>
      <c r="AA540" s="10">
        <v>0</v>
      </c>
      <c r="AB540" s="10">
        <v>0</v>
      </c>
      <c r="AC540" s="10">
        <v>0</v>
      </c>
      <c r="AD540" s="26">
        <f t="shared" si="25"/>
        <v>2</v>
      </c>
      <c r="AE540" s="25">
        <v>0</v>
      </c>
      <c r="AF540" s="10">
        <v>0</v>
      </c>
      <c r="AG540" s="10">
        <v>0</v>
      </c>
      <c r="AH540" s="10">
        <v>0</v>
      </c>
      <c r="AI540" s="10">
        <v>0</v>
      </c>
      <c r="AJ540" s="10">
        <v>0</v>
      </c>
      <c r="AK540" s="10">
        <v>0</v>
      </c>
      <c r="AL540" s="10">
        <v>0</v>
      </c>
      <c r="AM540" s="10">
        <v>0</v>
      </c>
      <c r="AN540" s="10">
        <v>0</v>
      </c>
      <c r="AO540" s="10">
        <v>0</v>
      </c>
      <c r="AP540" s="10">
        <v>0</v>
      </c>
      <c r="AQ540" s="26">
        <f t="shared" si="26"/>
        <v>0</v>
      </c>
    </row>
    <row r="541" spans="1:43" ht="17.25" customHeight="1" x14ac:dyDescent="0.45">
      <c r="A541" s="2" t="s">
        <v>32</v>
      </c>
      <c r="B541" s="2" t="s">
        <v>66</v>
      </c>
      <c r="C541" s="2" t="s">
        <v>103</v>
      </c>
      <c r="D541" s="2" t="s">
        <v>104</v>
      </c>
      <c r="E541" s="23">
        <v>0</v>
      </c>
      <c r="F541" s="1">
        <v>0</v>
      </c>
      <c r="G541" s="1">
        <v>0</v>
      </c>
      <c r="H541" s="1">
        <v>0</v>
      </c>
      <c r="I541" s="1">
        <v>2</v>
      </c>
      <c r="J541" s="1">
        <v>0</v>
      </c>
      <c r="K541" s="1">
        <v>0</v>
      </c>
      <c r="L541" s="1">
        <v>0</v>
      </c>
      <c r="M541" s="1">
        <v>0</v>
      </c>
      <c r="N541" s="1">
        <v>0</v>
      </c>
      <c r="O541" s="1">
        <v>0</v>
      </c>
      <c r="P541" s="1">
        <v>0</v>
      </c>
      <c r="Q541" s="24">
        <f t="shared" si="24"/>
        <v>2</v>
      </c>
      <c r="R541" s="23">
        <v>0</v>
      </c>
      <c r="S541" s="1">
        <v>0</v>
      </c>
      <c r="T541" s="1">
        <v>0</v>
      </c>
      <c r="U541" s="1">
        <v>0</v>
      </c>
      <c r="V541" s="1">
        <v>79</v>
      </c>
      <c r="W541" s="1">
        <v>0</v>
      </c>
      <c r="X541" s="1">
        <v>0</v>
      </c>
      <c r="Y541" s="1">
        <v>0</v>
      </c>
      <c r="Z541" s="1">
        <v>0</v>
      </c>
      <c r="AA541" s="1">
        <v>0</v>
      </c>
      <c r="AB541" s="1">
        <v>0</v>
      </c>
      <c r="AC541" s="1">
        <v>0</v>
      </c>
      <c r="AD541" s="24">
        <f t="shared" si="25"/>
        <v>79</v>
      </c>
      <c r="AE541" s="23">
        <v>0</v>
      </c>
      <c r="AF541" s="1">
        <v>0</v>
      </c>
      <c r="AG541" s="1">
        <v>0</v>
      </c>
      <c r="AH541" s="1">
        <v>0</v>
      </c>
      <c r="AI541" s="1">
        <v>0</v>
      </c>
      <c r="AJ541" s="1">
        <v>0</v>
      </c>
      <c r="AK541" s="1">
        <v>0</v>
      </c>
      <c r="AL541" s="1">
        <v>0</v>
      </c>
      <c r="AM541" s="1">
        <v>0</v>
      </c>
      <c r="AN541" s="1">
        <v>0</v>
      </c>
      <c r="AO541" s="1">
        <v>0</v>
      </c>
      <c r="AP541" s="1">
        <v>0</v>
      </c>
      <c r="AQ541" s="24">
        <f t="shared" si="26"/>
        <v>0</v>
      </c>
    </row>
    <row r="542" spans="1:43" ht="17.25" customHeight="1" x14ac:dyDescent="0.45">
      <c r="A542" s="12" t="s">
        <v>32</v>
      </c>
      <c r="B542" s="12" t="s">
        <v>66</v>
      </c>
      <c r="C542" s="12" t="s">
        <v>108</v>
      </c>
      <c r="D542" s="12" t="s">
        <v>104</v>
      </c>
      <c r="E542" s="25">
        <v>0</v>
      </c>
      <c r="F542" s="10">
        <v>1</v>
      </c>
      <c r="G542" s="10">
        <v>0</v>
      </c>
      <c r="H542" s="10">
        <v>0</v>
      </c>
      <c r="I542" s="10">
        <v>1</v>
      </c>
      <c r="J542" s="10">
        <v>0</v>
      </c>
      <c r="K542" s="10">
        <v>0</v>
      </c>
      <c r="L542" s="10">
        <v>0</v>
      </c>
      <c r="M542" s="10">
        <v>0</v>
      </c>
      <c r="N542" s="10">
        <v>0</v>
      </c>
      <c r="O542" s="10">
        <v>2</v>
      </c>
      <c r="P542" s="10">
        <v>0</v>
      </c>
      <c r="Q542" s="26">
        <f t="shared" si="24"/>
        <v>4</v>
      </c>
      <c r="R542" s="25">
        <v>0</v>
      </c>
      <c r="S542" s="10">
        <v>46</v>
      </c>
      <c r="T542" s="10">
        <v>0</v>
      </c>
      <c r="U542" s="10">
        <v>0</v>
      </c>
      <c r="V542" s="10">
        <v>30</v>
      </c>
      <c r="W542" s="10">
        <v>0</v>
      </c>
      <c r="X542" s="10">
        <v>0</v>
      </c>
      <c r="Y542" s="10">
        <v>0</v>
      </c>
      <c r="Z542" s="10">
        <v>0</v>
      </c>
      <c r="AA542" s="10">
        <v>0</v>
      </c>
      <c r="AB542" s="10">
        <v>42</v>
      </c>
      <c r="AC542" s="10">
        <v>0</v>
      </c>
      <c r="AD542" s="26">
        <f t="shared" si="25"/>
        <v>118</v>
      </c>
      <c r="AE542" s="25">
        <v>0</v>
      </c>
      <c r="AF542" s="10">
        <v>0</v>
      </c>
      <c r="AG542" s="10">
        <v>0</v>
      </c>
      <c r="AH542" s="10">
        <v>0</v>
      </c>
      <c r="AI542" s="10">
        <v>0</v>
      </c>
      <c r="AJ542" s="10">
        <v>0</v>
      </c>
      <c r="AK542" s="10">
        <v>0</v>
      </c>
      <c r="AL542" s="10">
        <v>0</v>
      </c>
      <c r="AM542" s="10">
        <v>0</v>
      </c>
      <c r="AN542" s="10">
        <v>0</v>
      </c>
      <c r="AO542" s="10">
        <v>0</v>
      </c>
      <c r="AP542" s="10">
        <v>0</v>
      </c>
      <c r="AQ542" s="26">
        <f t="shared" si="26"/>
        <v>0</v>
      </c>
    </row>
    <row r="543" spans="1:43" ht="17.25" customHeight="1" x14ac:dyDescent="0.45">
      <c r="A543" s="2" t="s">
        <v>32</v>
      </c>
      <c r="B543" s="2" t="s">
        <v>66</v>
      </c>
      <c r="C543" s="2" t="s">
        <v>69</v>
      </c>
      <c r="D543" s="2" t="s">
        <v>68</v>
      </c>
      <c r="E543" s="23">
        <v>0</v>
      </c>
      <c r="F543" s="1">
        <v>0</v>
      </c>
      <c r="G543" s="1">
        <v>0</v>
      </c>
      <c r="H543" s="1">
        <v>0</v>
      </c>
      <c r="I543" s="1">
        <v>1</v>
      </c>
      <c r="J543" s="1">
        <v>1</v>
      </c>
      <c r="K543" s="1">
        <v>1</v>
      </c>
      <c r="L543" s="1">
        <v>1</v>
      </c>
      <c r="M543" s="1">
        <v>0</v>
      </c>
      <c r="N543" s="1">
        <v>0</v>
      </c>
      <c r="O543" s="1">
        <v>0</v>
      </c>
      <c r="P543" s="1">
        <v>2</v>
      </c>
      <c r="Q543" s="24">
        <f t="shared" si="24"/>
        <v>6</v>
      </c>
      <c r="R543" s="23">
        <v>0</v>
      </c>
      <c r="S543" s="1">
        <v>0</v>
      </c>
      <c r="T543" s="1">
        <v>0</v>
      </c>
      <c r="U543" s="1">
        <v>0</v>
      </c>
      <c r="V543" s="1">
        <v>5</v>
      </c>
      <c r="W543" s="1">
        <v>7</v>
      </c>
      <c r="X543" s="1">
        <v>4</v>
      </c>
      <c r="Y543" s="1">
        <v>1</v>
      </c>
      <c r="Z543" s="1">
        <v>0</v>
      </c>
      <c r="AA543" s="1">
        <v>0</v>
      </c>
      <c r="AB543" s="1">
        <v>0</v>
      </c>
      <c r="AC543" s="1">
        <v>11</v>
      </c>
      <c r="AD543" s="24">
        <f t="shared" si="25"/>
        <v>28</v>
      </c>
      <c r="AE543" s="23">
        <v>0</v>
      </c>
      <c r="AF543" s="1">
        <v>0</v>
      </c>
      <c r="AG543" s="1">
        <v>0</v>
      </c>
      <c r="AH543" s="1">
        <v>0</v>
      </c>
      <c r="AI543" s="1">
        <v>0</v>
      </c>
      <c r="AJ543" s="1">
        <v>0</v>
      </c>
      <c r="AK543" s="1">
        <v>0</v>
      </c>
      <c r="AL543" s="1">
        <v>0</v>
      </c>
      <c r="AM543" s="1">
        <v>0</v>
      </c>
      <c r="AN543" s="1">
        <v>0</v>
      </c>
      <c r="AO543" s="1">
        <v>0</v>
      </c>
      <c r="AP543" s="1">
        <v>0</v>
      </c>
      <c r="AQ543" s="24">
        <f t="shared" si="26"/>
        <v>0</v>
      </c>
    </row>
    <row r="544" spans="1:43" ht="17.25" customHeight="1" x14ac:dyDescent="0.45">
      <c r="A544" s="12" t="s">
        <v>32</v>
      </c>
      <c r="B544" s="12" t="s">
        <v>66</v>
      </c>
      <c r="C544" s="12" t="s">
        <v>194</v>
      </c>
      <c r="D544" s="12" t="s">
        <v>68</v>
      </c>
      <c r="E544" s="25">
        <v>4</v>
      </c>
      <c r="F544" s="10">
        <v>8</v>
      </c>
      <c r="G544" s="10">
        <v>1</v>
      </c>
      <c r="H544" s="10">
        <v>8</v>
      </c>
      <c r="I544" s="10">
        <v>19</v>
      </c>
      <c r="J544" s="10">
        <v>12</v>
      </c>
      <c r="K544" s="10">
        <v>0</v>
      </c>
      <c r="L544" s="10">
        <v>1</v>
      </c>
      <c r="M544" s="10">
        <v>5</v>
      </c>
      <c r="N544" s="10">
        <v>1</v>
      </c>
      <c r="O544" s="10">
        <v>3</v>
      </c>
      <c r="P544" s="10">
        <v>3</v>
      </c>
      <c r="Q544" s="26">
        <f t="shared" si="24"/>
        <v>65</v>
      </c>
      <c r="R544" s="25">
        <v>0</v>
      </c>
      <c r="S544" s="10">
        <v>0</v>
      </c>
      <c r="T544" s="10">
        <v>0</v>
      </c>
      <c r="U544" s="10">
        <v>0</v>
      </c>
      <c r="V544" s="10">
        <v>0</v>
      </c>
      <c r="W544" s="10">
        <v>0</v>
      </c>
      <c r="X544" s="10">
        <v>0</v>
      </c>
      <c r="Y544" s="10">
        <v>0</v>
      </c>
      <c r="Z544" s="10">
        <v>0</v>
      </c>
      <c r="AA544" s="10">
        <v>0</v>
      </c>
      <c r="AB544" s="10">
        <v>0</v>
      </c>
      <c r="AC544" s="10">
        <v>0</v>
      </c>
      <c r="AD544" s="26">
        <f t="shared" si="25"/>
        <v>0</v>
      </c>
      <c r="AE544" s="25">
        <v>6576</v>
      </c>
      <c r="AF544" s="10">
        <v>16565</v>
      </c>
      <c r="AG544" s="10">
        <v>281</v>
      </c>
      <c r="AH544" s="10">
        <v>17015</v>
      </c>
      <c r="AI544" s="10">
        <v>42319</v>
      </c>
      <c r="AJ544" s="10">
        <v>47222</v>
      </c>
      <c r="AK544" s="10">
        <v>0</v>
      </c>
      <c r="AL544" s="10">
        <v>1933</v>
      </c>
      <c r="AM544" s="10">
        <v>7534</v>
      </c>
      <c r="AN544" s="10">
        <v>3580</v>
      </c>
      <c r="AO544" s="10">
        <v>3096</v>
      </c>
      <c r="AP544" s="10">
        <v>4688</v>
      </c>
      <c r="AQ544" s="26">
        <f t="shared" si="26"/>
        <v>150809</v>
      </c>
    </row>
    <row r="545" spans="1:43" ht="17.25" customHeight="1" x14ac:dyDescent="0.45">
      <c r="A545" s="2" t="s">
        <v>32</v>
      </c>
      <c r="B545" s="2" t="s">
        <v>66</v>
      </c>
      <c r="C545" s="2" t="s">
        <v>73</v>
      </c>
      <c r="D545" s="2" t="s">
        <v>68</v>
      </c>
      <c r="E545" s="23">
        <v>0</v>
      </c>
      <c r="F545" s="1">
        <v>0</v>
      </c>
      <c r="G545" s="1">
        <v>0</v>
      </c>
      <c r="H545" s="1">
        <v>0</v>
      </c>
      <c r="I545" s="1">
        <v>0</v>
      </c>
      <c r="J545" s="1">
        <v>0</v>
      </c>
      <c r="K545" s="1">
        <v>0</v>
      </c>
      <c r="L545" s="1">
        <v>0</v>
      </c>
      <c r="M545" s="1">
        <v>1</v>
      </c>
      <c r="N545" s="1">
        <v>0</v>
      </c>
      <c r="O545" s="1">
        <v>0</v>
      </c>
      <c r="P545" s="1">
        <v>0</v>
      </c>
      <c r="Q545" s="24">
        <f t="shared" si="24"/>
        <v>1</v>
      </c>
      <c r="R545" s="23">
        <v>0</v>
      </c>
      <c r="S545" s="1">
        <v>0</v>
      </c>
      <c r="T545" s="1">
        <v>0</v>
      </c>
      <c r="U545" s="1">
        <v>0</v>
      </c>
      <c r="V545" s="1">
        <v>0</v>
      </c>
      <c r="W545" s="1">
        <v>0</v>
      </c>
      <c r="X545" s="1">
        <v>0</v>
      </c>
      <c r="Y545" s="1">
        <v>0</v>
      </c>
      <c r="Z545" s="1">
        <v>61</v>
      </c>
      <c r="AA545" s="1">
        <v>0</v>
      </c>
      <c r="AB545" s="1">
        <v>0</v>
      </c>
      <c r="AC545" s="1">
        <v>0</v>
      </c>
      <c r="AD545" s="24">
        <f t="shared" si="25"/>
        <v>61</v>
      </c>
      <c r="AE545" s="23">
        <v>0</v>
      </c>
      <c r="AF545" s="1">
        <v>0</v>
      </c>
      <c r="AG545" s="1">
        <v>0</v>
      </c>
      <c r="AH545" s="1">
        <v>0</v>
      </c>
      <c r="AI545" s="1">
        <v>0</v>
      </c>
      <c r="AJ545" s="1">
        <v>0</v>
      </c>
      <c r="AK545" s="1">
        <v>0</v>
      </c>
      <c r="AL545" s="1">
        <v>0</v>
      </c>
      <c r="AM545" s="1">
        <v>0</v>
      </c>
      <c r="AN545" s="1">
        <v>0</v>
      </c>
      <c r="AO545" s="1">
        <v>0</v>
      </c>
      <c r="AP545" s="1">
        <v>0</v>
      </c>
      <c r="AQ545" s="24">
        <f t="shared" si="26"/>
        <v>0</v>
      </c>
    </row>
    <row r="546" spans="1:43" ht="17.25" customHeight="1" x14ac:dyDescent="0.45">
      <c r="A546" s="12" t="s">
        <v>32</v>
      </c>
      <c r="B546" s="12" t="s">
        <v>66</v>
      </c>
      <c r="C546" s="12" t="s">
        <v>195</v>
      </c>
      <c r="D546" s="12" t="s">
        <v>196</v>
      </c>
      <c r="E546" s="25">
        <v>0</v>
      </c>
      <c r="F546" s="10">
        <v>1</v>
      </c>
      <c r="G546" s="10">
        <v>0</v>
      </c>
      <c r="H546" s="10">
        <v>0</v>
      </c>
      <c r="I546" s="10">
        <v>0</v>
      </c>
      <c r="J546" s="10">
        <v>0</v>
      </c>
      <c r="K546" s="10">
        <v>0</v>
      </c>
      <c r="L546" s="10">
        <v>0</v>
      </c>
      <c r="M546" s="10">
        <v>0</v>
      </c>
      <c r="N546" s="10">
        <v>0</v>
      </c>
      <c r="O546" s="10">
        <v>0</v>
      </c>
      <c r="P546" s="10">
        <v>0</v>
      </c>
      <c r="Q546" s="26">
        <f t="shared" si="24"/>
        <v>1</v>
      </c>
      <c r="R546" s="25">
        <v>0</v>
      </c>
      <c r="S546" s="10">
        <v>50</v>
      </c>
      <c r="T546" s="10">
        <v>0</v>
      </c>
      <c r="U546" s="10">
        <v>0</v>
      </c>
      <c r="V546" s="10">
        <v>0</v>
      </c>
      <c r="W546" s="10">
        <v>0</v>
      </c>
      <c r="X546" s="10">
        <v>0</v>
      </c>
      <c r="Y546" s="10">
        <v>0</v>
      </c>
      <c r="Z546" s="10">
        <v>0</v>
      </c>
      <c r="AA546" s="10">
        <v>0</v>
      </c>
      <c r="AB546" s="10">
        <v>0</v>
      </c>
      <c r="AC546" s="10">
        <v>0</v>
      </c>
      <c r="AD546" s="26">
        <f t="shared" si="25"/>
        <v>50</v>
      </c>
      <c r="AE546" s="25">
        <v>0</v>
      </c>
      <c r="AF546" s="10">
        <v>0</v>
      </c>
      <c r="AG546" s="10">
        <v>0</v>
      </c>
      <c r="AH546" s="10">
        <v>0</v>
      </c>
      <c r="AI546" s="10">
        <v>0</v>
      </c>
      <c r="AJ546" s="10">
        <v>0</v>
      </c>
      <c r="AK546" s="10">
        <v>0</v>
      </c>
      <c r="AL546" s="10">
        <v>0</v>
      </c>
      <c r="AM546" s="10">
        <v>0</v>
      </c>
      <c r="AN546" s="10">
        <v>0</v>
      </c>
      <c r="AO546" s="10">
        <v>0</v>
      </c>
      <c r="AP546" s="10">
        <v>0</v>
      </c>
      <c r="AQ546" s="26">
        <f t="shared" si="26"/>
        <v>0</v>
      </c>
    </row>
    <row r="547" spans="1:43" ht="17.25" customHeight="1" x14ac:dyDescent="0.45">
      <c r="A547" s="2" t="s">
        <v>32</v>
      </c>
      <c r="B547" s="2" t="s">
        <v>66</v>
      </c>
      <c r="C547" s="2" t="s">
        <v>137</v>
      </c>
      <c r="D547" s="2" t="s">
        <v>138</v>
      </c>
      <c r="E547" s="23">
        <v>0</v>
      </c>
      <c r="F547" s="1">
        <v>0</v>
      </c>
      <c r="G547" s="1">
        <v>0</v>
      </c>
      <c r="H547" s="1">
        <v>0</v>
      </c>
      <c r="I547" s="1">
        <v>0</v>
      </c>
      <c r="J547" s="1">
        <v>0</v>
      </c>
      <c r="K547" s="1">
        <v>0</v>
      </c>
      <c r="L547" s="1">
        <v>1</v>
      </c>
      <c r="M547" s="1">
        <v>0</v>
      </c>
      <c r="N547" s="1">
        <v>0</v>
      </c>
      <c r="O547" s="1">
        <v>0</v>
      </c>
      <c r="P547" s="1">
        <v>0</v>
      </c>
      <c r="Q547" s="24">
        <f t="shared" si="24"/>
        <v>1</v>
      </c>
      <c r="R547" s="23">
        <v>0</v>
      </c>
      <c r="S547" s="1">
        <v>0</v>
      </c>
      <c r="T547" s="1">
        <v>0</v>
      </c>
      <c r="U547" s="1">
        <v>0</v>
      </c>
      <c r="V547" s="1">
        <v>0</v>
      </c>
      <c r="W547" s="1">
        <v>0</v>
      </c>
      <c r="X547" s="1">
        <v>0</v>
      </c>
      <c r="Y547" s="1">
        <v>48</v>
      </c>
      <c r="Z547" s="1">
        <v>0</v>
      </c>
      <c r="AA547" s="1">
        <v>0</v>
      </c>
      <c r="AB547" s="1">
        <v>0</v>
      </c>
      <c r="AC547" s="1">
        <v>0</v>
      </c>
      <c r="AD547" s="24">
        <f t="shared" si="25"/>
        <v>48</v>
      </c>
      <c r="AE547" s="23">
        <v>0</v>
      </c>
      <c r="AF547" s="1">
        <v>0</v>
      </c>
      <c r="AG547" s="1">
        <v>0</v>
      </c>
      <c r="AH547" s="1">
        <v>0</v>
      </c>
      <c r="AI547" s="1">
        <v>0</v>
      </c>
      <c r="AJ547" s="1">
        <v>0</v>
      </c>
      <c r="AK547" s="1">
        <v>0</v>
      </c>
      <c r="AL547" s="1">
        <v>0</v>
      </c>
      <c r="AM547" s="1">
        <v>0</v>
      </c>
      <c r="AN547" s="1">
        <v>0</v>
      </c>
      <c r="AO547" s="1">
        <v>0</v>
      </c>
      <c r="AP547" s="1">
        <v>0</v>
      </c>
      <c r="AQ547" s="24">
        <f t="shared" si="26"/>
        <v>0</v>
      </c>
    </row>
    <row r="548" spans="1:43" ht="17.25" customHeight="1" x14ac:dyDescent="0.45">
      <c r="A548" s="12" t="s">
        <v>32</v>
      </c>
      <c r="B548" s="12" t="s">
        <v>66</v>
      </c>
      <c r="C548" s="12" t="s">
        <v>152</v>
      </c>
      <c r="D548" s="12" t="s">
        <v>153</v>
      </c>
      <c r="E548" s="25">
        <v>0</v>
      </c>
      <c r="F548" s="10">
        <v>1</v>
      </c>
      <c r="G548" s="10">
        <v>0</v>
      </c>
      <c r="H548" s="10">
        <v>0</v>
      </c>
      <c r="I548" s="10">
        <v>0</v>
      </c>
      <c r="J548" s="10">
        <v>1</v>
      </c>
      <c r="K548" s="10">
        <v>0</v>
      </c>
      <c r="L548" s="10">
        <v>0</v>
      </c>
      <c r="M548" s="10">
        <v>0</v>
      </c>
      <c r="N548" s="10">
        <v>0</v>
      </c>
      <c r="O548" s="10">
        <v>0</v>
      </c>
      <c r="P548" s="10">
        <v>0</v>
      </c>
      <c r="Q548" s="26">
        <f t="shared" si="24"/>
        <v>2</v>
      </c>
      <c r="R548" s="25">
        <v>0</v>
      </c>
      <c r="S548" s="10">
        <v>46</v>
      </c>
      <c r="T548" s="10">
        <v>0</v>
      </c>
      <c r="U548" s="10">
        <v>0</v>
      </c>
      <c r="V548" s="10">
        <v>0</v>
      </c>
      <c r="W548" s="10">
        <v>48</v>
      </c>
      <c r="X548" s="10">
        <v>0</v>
      </c>
      <c r="Y548" s="10">
        <v>0</v>
      </c>
      <c r="Z548" s="10">
        <v>0</v>
      </c>
      <c r="AA548" s="10">
        <v>0</v>
      </c>
      <c r="AB548" s="10">
        <v>0</v>
      </c>
      <c r="AC548" s="10">
        <v>0</v>
      </c>
      <c r="AD548" s="26">
        <f t="shared" si="25"/>
        <v>94</v>
      </c>
      <c r="AE548" s="25">
        <v>0</v>
      </c>
      <c r="AF548" s="10">
        <v>0</v>
      </c>
      <c r="AG548" s="10">
        <v>0</v>
      </c>
      <c r="AH548" s="10">
        <v>0</v>
      </c>
      <c r="AI548" s="10">
        <v>0</v>
      </c>
      <c r="AJ548" s="10">
        <v>0</v>
      </c>
      <c r="AK548" s="10">
        <v>0</v>
      </c>
      <c r="AL548" s="10">
        <v>0</v>
      </c>
      <c r="AM548" s="10">
        <v>0</v>
      </c>
      <c r="AN548" s="10">
        <v>0</v>
      </c>
      <c r="AO548" s="10">
        <v>0</v>
      </c>
      <c r="AP548" s="10">
        <v>0</v>
      </c>
      <c r="AQ548" s="26">
        <f t="shared" si="26"/>
        <v>0</v>
      </c>
    </row>
    <row r="549" spans="1:43" ht="17.25" customHeight="1" x14ac:dyDescent="0.45">
      <c r="A549" s="2" t="s">
        <v>32</v>
      </c>
      <c r="B549" s="2" t="s">
        <v>66</v>
      </c>
      <c r="C549" s="2" t="s">
        <v>200</v>
      </c>
      <c r="D549" s="2" t="s">
        <v>172</v>
      </c>
      <c r="E549" s="23">
        <v>0</v>
      </c>
      <c r="F549" s="1">
        <v>0</v>
      </c>
      <c r="G549" s="1">
        <v>0</v>
      </c>
      <c r="H549" s="1">
        <v>0</v>
      </c>
      <c r="I549" s="1">
        <v>0</v>
      </c>
      <c r="J549" s="1">
        <v>0</v>
      </c>
      <c r="K549" s="1">
        <v>0</v>
      </c>
      <c r="L549" s="1">
        <v>0</v>
      </c>
      <c r="M549" s="1">
        <v>0</v>
      </c>
      <c r="N549" s="1">
        <v>0</v>
      </c>
      <c r="O549" s="1">
        <v>1</v>
      </c>
      <c r="P549" s="1">
        <v>1</v>
      </c>
      <c r="Q549" s="24">
        <f t="shared" si="24"/>
        <v>2</v>
      </c>
      <c r="R549" s="23">
        <v>0</v>
      </c>
      <c r="S549" s="1">
        <v>0</v>
      </c>
      <c r="T549" s="1">
        <v>0</v>
      </c>
      <c r="U549" s="1">
        <v>0</v>
      </c>
      <c r="V549" s="1">
        <v>0</v>
      </c>
      <c r="W549" s="1">
        <v>0</v>
      </c>
      <c r="X549" s="1">
        <v>0</v>
      </c>
      <c r="Y549" s="1">
        <v>0</v>
      </c>
      <c r="Z549" s="1">
        <v>0</v>
      </c>
      <c r="AA549" s="1">
        <v>0</v>
      </c>
      <c r="AB549" s="1">
        <v>66</v>
      </c>
      <c r="AC549" s="1">
        <v>19</v>
      </c>
      <c r="AD549" s="24">
        <f t="shared" si="25"/>
        <v>85</v>
      </c>
      <c r="AE549" s="23">
        <v>0</v>
      </c>
      <c r="AF549" s="1">
        <v>0</v>
      </c>
      <c r="AG549" s="1">
        <v>0</v>
      </c>
      <c r="AH549" s="1">
        <v>0</v>
      </c>
      <c r="AI549" s="1">
        <v>0</v>
      </c>
      <c r="AJ549" s="1">
        <v>0</v>
      </c>
      <c r="AK549" s="1">
        <v>0</v>
      </c>
      <c r="AL549" s="1">
        <v>0</v>
      </c>
      <c r="AM549" s="1">
        <v>0</v>
      </c>
      <c r="AN549" s="1">
        <v>0</v>
      </c>
      <c r="AO549" s="1">
        <v>0</v>
      </c>
      <c r="AP549" s="1">
        <v>0</v>
      </c>
      <c r="AQ549" s="24">
        <f t="shared" si="26"/>
        <v>0</v>
      </c>
    </row>
    <row r="550" spans="1:43" ht="17.25" customHeight="1" x14ac:dyDescent="0.45">
      <c r="A550" s="12" t="s">
        <v>32</v>
      </c>
      <c r="B550" s="12" t="s">
        <v>66</v>
      </c>
      <c r="C550" s="12" t="s">
        <v>154</v>
      </c>
      <c r="D550" s="12" t="s">
        <v>155</v>
      </c>
      <c r="E550" s="25">
        <v>0</v>
      </c>
      <c r="F550" s="10">
        <v>0</v>
      </c>
      <c r="G550" s="10">
        <v>1</v>
      </c>
      <c r="H550" s="10">
        <v>1</v>
      </c>
      <c r="I550" s="10">
        <v>1</v>
      </c>
      <c r="J550" s="10">
        <v>0</v>
      </c>
      <c r="K550" s="10">
        <v>0</v>
      </c>
      <c r="L550" s="10">
        <v>1</v>
      </c>
      <c r="M550" s="10">
        <v>0</v>
      </c>
      <c r="N550" s="10">
        <v>0</v>
      </c>
      <c r="O550" s="10">
        <v>0</v>
      </c>
      <c r="P550" s="10">
        <v>0</v>
      </c>
      <c r="Q550" s="26">
        <f t="shared" si="24"/>
        <v>4</v>
      </c>
      <c r="R550" s="25">
        <v>0</v>
      </c>
      <c r="S550" s="10">
        <v>0</v>
      </c>
      <c r="T550" s="10">
        <v>19</v>
      </c>
      <c r="U550" s="10">
        <v>27</v>
      </c>
      <c r="V550" s="10">
        <v>34</v>
      </c>
      <c r="W550" s="10">
        <v>0</v>
      </c>
      <c r="X550" s="10">
        <v>0</v>
      </c>
      <c r="Y550" s="10">
        <v>50</v>
      </c>
      <c r="Z550" s="10">
        <v>0</v>
      </c>
      <c r="AA550" s="10">
        <v>0</v>
      </c>
      <c r="AB550" s="10">
        <v>0</v>
      </c>
      <c r="AC550" s="10">
        <v>0</v>
      </c>
      <c r="AD550" s="26">
        <f t="shared" si="25"/>
        <v>130</v>
      </c>
      <c r="AE550" s="25">
        <v>0</v>
      </c>
      <c r="AF550" s="10">
        <v>0</v>
      </c>
      <c r="AG550" s="10">
        <v>0</v>
      </c>
      <c r="AH550" s="10">
        <v>0</v>
      </c>
      <c r="AI550" s="10">
        <v>0</v>
      </c>
      <c r="AJ550" s="10">
        <v>0</v>
      </c>
      <c r="AK550" s="10">
        <v>0</v>
      </c>
      <c r="AL550" s="10">
        <v>0</v>
      </c>
      <c r="AM550" s="10">
        <v>0</v>
      </c>
      <c r="AN550" s="10">
        <v>0</v>
      </c>
      <c r="AO550" s="10">
        <v>0</v>
      </c>
      <c r="AP550" s="10">
        <v>0</v>
      </c>
      <c r="AQ550" s="26">
        <f t="shared" si="26"/>
        <v>0</v>
      </c>
    </row>
    <row r="551" spans="1:43" ht="17.25" customHeight="1" x14ac:dyDescent="0.45">
      <c r="A551" s="2" t="s">
        <v>32</v>
      </c>
      <c r="B551" s="2" t="s">
        <v>66</v>
      </c>
      <c r="C551" s="2" t="s">
        <v>316</v>
      </c>
      <c r="D551" s="2" t="s">
        <v>172</v>
      </c>
      <c r="E551" s="23">
        <v>0</v>
      </c>
      <c r="F551" s="1">
        <v>0</v>
      </c>
      <c r="G551" s="1">
        <v>0</v>
      </c>
      <c r="H551" s="1">
        <v>0</v>
      </c>
      <c r="I551" s="1">
        <v>0</v>
      </c>
      <c r="J551" s="1">
        <v>0</v>
      </c>
      <c r="K551" s="1">
        <v>0</v>
      </c>
      <c r="L551" s="1">
        <v>0</v>
      </c>
      <c r="M551" s="1">
        <v>0</v>
      </c>
      <c r="N551" s="1">
        <v>0</v>
      </c>
      <c r="O551" s="1">
        <v>1</v>
      </c>
      <c r="P551" s="1">
        <v>0</v>
      </c>
      <c r="Q551" s="24">
        <f t="shared" si="24"/>
        <v>1</v>
      </c>
      <c r="R551" s="23">
        <v>0</v>
      </c>
      <c r="S551" s="1">
        <v>0</v>
      </c>
      <c r="T551" s="1">
        <v>0</v>
      </c>
      <c r="U551" s="1">
        <v>0</v>
      </c>
      <c r="V551" s="1">
        <v>0</v>
      </c>
      <c r="W551" s="1">
        <v>0</v>
      </c>
      <c r="X551" s="1">
        <v>0</v>
      </c>
      <c r="Y551" s="1">
        <v>0</v>
      </c>
      <c r="Z551" s="1">
        <v>0</v>
      </c>
      <c r="AA551" s="1">
        <v>0</v>
      </c>
      <c r="AB551" s="1">
        <v>23</v>
      </c>
      <c r="AC551" s="1">
        <v>0</v>
      </c>
      <c r="AD551" s="24">
        <f t="shared" si="25"/>
        <v>23</v>
      </c>
      <c r="AE551" s="23">
        <v>0</v>
      </c>
      <c r="AF551" s="1">
        <v>0</v>
      </c>
      <c r="AG551" s="1">
        <v>0</v>
      </c>
      <c r="AH551" s="1">
        <v>0</v>
      </c>
      <c r="AI551" s="1">
        <v>0</v>
      </c>
      <c r="AJ551" s="1">
        <v>0</v>
      </c>
      <c r="AK551" s="1">
        <v>0</v>
      </c>
      <c r="AL551" s="1">
        <v>0</v>
      </c>
      <c r="AM551" s="1">
        <v>0</v>
      </c>
      <c r="AN551" s="1">
        <v>0</v>
      </c>
      <c r="AO551" s="1">
        <v>0</v>
      </c>
      <c r="AP551" s="1">
        <v>0</v>
      </c>
      <c r="AQ551" s="24">
        <f t="shared" si="26"/>
        <v>0</v>
      </c>
    </row>
    <row r="552" spans="1:43" ht="17.25" customHeight="1" x14ac:dyDescent="0.45">
      <c r="A552" s="12" t="s">
        <v>32</v>
      </c>
      <c r="B552" s="12" t="s">
        <v>66</v>
      </c>
      <c r="C552" s="12" t="s">
        <v>274</v>
      </c>
      <c r="D552" s="12" t="s">
        <v>68</v>
      </c>
      <c r="E552" s="25">
        <v>0</v>
      </c>
      <c r="F552" s="10">
        <v>0</v>
      </c>
      <c r="G552" s="10">
        <v>2</v>
      </c>
      <c r="H552" s="10">
        <v>0</v>
      </c>
      <c r="I552" s="10">
        <v>0</v>
      </c>
      <c r="J552" s="10">
        <v>0</v>
      </c>
      <c r="K552" s="10">
        <v>0</v>
      </c>
      <c r="L552" s="10">
        <v>0</v>
      </c>
      <c r="M552" s="10">
        <v>0</v>
      </c>
      <c r="N552" s="10">
        <v>0</v>
      </c>
      <c r="O552" s="10">
        <v>0</v>
      </c>
      <c r="P552" s="10">
        <v>0</v>
      </c>
      <c r="Q552" s="26">
        <f t="shared" si="24"/>
        <v>2</v>
      </c>
      <c r="R552" s="25">
        <v>0</v>
      </c>
      <c r="S552" s="10">
        <v>0</v>
      </c>
      <c r="T552" s="10">
        <v>5</v>
      </c>
      <c r="U552" s="10">
        <v>0</v>
      </c>
      <c r="V552" s="10">
        <v>0</v>
      </c>
      <c r="W552" s="10">
        <v>0</v>
      </c>
      <c r="X552" s="10">
        <v>0</v>
      </c>
      <c r="Y552" s="10">
        <v>0</v>
      </c>
      <c r="Z552" s="10">
        <v>0</v>
      </c>
      <c r="AA552" s="10">
        <v>0</v>
      </c>
      <c r="AB552" s="10">
        <v>0</v>
      </c>
      <c r="AC552" s="10">
        <v>0</v>
      </c>
      <c r="AD552" s="26">
        <f t="shared" si="25"/>
        <v>5</v>
      </c>
      <c r="AE552" s="25">
        <v>0</v>
      </c>
      <c r="AF552" s="10">
        <v>0</v>
      </c>
      <c r="AG552" s="10">
        <v>0</v>
      </c>
      <c r="AH552" s="10">
        <v>0</v>
      </c>
      <c r="AI552" s="10">
        <v>0</v>
      </c>
      <c r="AJ552" s="10">
        <v>0</v>
      </c>
      <c r="AK552" s="10">
        <v>0</v>
      </c>
      <c r="AL552" s="10">
        <v>0</v>
      </c>
      <c r="AM552" s="10">
        <v>0</v>
      </c>
      <c r="AN552" s="10">
        <v>0</v>
      </c>
      <c r="AO552" s="10">
        <v>0</v>
      </c>
      <c r="AP552" s="10">
        <v>0</v>
      </c>
      <c r="AQ552" s="26">
        <f t="shared" si="26"/>
        <v>0</v>
      </c>
    </row>
    <row r="553" spans="1:43" ht="17.25" customHeight="1" x14ac:dyDescent="0.45">
      <c r="A553" s="2" t="s">
        <v>32</v>
      </c>
      <c r="B553" s="2" t="s">
        <v>66</v>
      </c>
      <c r="C553" s="2" t="s">
        <v>278</v>
      </c>
      <c r="D553" s="2" t="s">
        <v>68</v>
      </c>
      <c r="E553" s="23">
        <v>0</v>
      </c>
      <c r="F553" s="1">
        <v>0</v>
      </c>
      <c r="G553" s="1">
        <v>0</v>
      </c>
      <c r="H553" s="1">
        <v>0</v>
      </c>
      <c r="I553" s="1">
        <v>0</v>
      </c>
      <c r="J553" s="1">
        <v>0</v>
      </c>
      <c r="K553" s="1">
        <v>1</v>
      </c>
      <c r="L553" s="1">
        <v>0</v>
      </c>
      <c r="M553" s="1">
        <v>0</v>
      </c>
      <c r="N553" s="1">
        <v>0</v>
      </c>
      <c r="O553" s="1">
        <v>0</v>
      </c>
      <c r="P553" s="1">
        <v>0</v>
      </c>
      <c r="Q553" s="24">
        <f t="shared" si="24"/>
        <v>1</v>
      </c>
      <c r="R553" s="23">
        <v>0</v>
      </c>
      <c r="S553" s="1">
        <v>0</v>
      </c>
      <c r="T553" s="1">
        <v>0</v>
      </c>
      <c r="U553" s="1">
        <v>0</v>
      </c>
      <c r="V553" s="1">
        <v>0</v>
      </c>
      <c r="W553" s="1">
        <v>0</v>
      </c>
      <c r="X553" s="1">
        <v>3</v>
      </c>
      <c r="Y553" s="1">
        <v>0</v>
      </c>
      <c r="Z553" s="1">
        <v>0</v>
      </c>
      <c r="AA553" s="1">
        <v>0</v>
      </c>
      <c r="AB553" s="1">
        <v>0</v>
      </c>
      <c r="AC553" s="1">
        <v>0</v>
      </c>
      <c r="AD553" s="24">
        <f t="shared" si="25"/>
        <v>3</v>
      </c>
      <c r="AE553" s="23">
        <v>0</v>
      </c>
      <c r="AF553" s="1">
        <v>0</v>
      </c>
      <c r="AG553" s="1">
        <v>0</v>
      </c>
      <c r="AH553" s="1">
        <v>0</v>
      </c>
      <c r="AI553" s="1">
        <v>0</v>
      </c>
      <c r="AJ553" s="1">
        <v>0</v>
      </c>
      <c r="AK553" s="1">
        <v>0</v>
      </c>
      <c r="AL553" s="1">
        <v>0</v>
      </c>
      <c r="AM553" s="1">
        <v>0</v>
      </c>
      <c r="AN553" s="1">
        <v>0</v>
      </c>
      <c r="AO553" s="1">
        <v>0</v>
      </c>
      <c r="AP553" s="1">
        <v>0</v>
      </c>
      <c r="AQ553" s="24">
        <f t="shared" si="26"/>
        <v>0</v>
      </c>
    </row>
    <row r="554" spans="1:43" ht="17.25" customHeight="1" x14ac:dyDescent="0.45">
      <c r="A554" s="12" t="s">
        <v>71</v>
      </c>
      <c r="B554" s="12" t="s">
        <v>65</v>
      </c>
      <c r="C554" s="12" t="s">
        <v>14</v>
      </c>
      <c r="D554" s="12" t="s">
        <v>66</v>
      </c>
      <c r="E554" s="25">
        <v>0</v>
      </c>
      <c r="F554" s="10">
        <v>0</v>
      </c>
      <c r="G554" s="10">
        <v>0</v>
      </c>
      <c r="H554" s="10">
        <v>0</v>
      </c>
      <c r="I554" s="10">
        <v>0</v>
      </c>
      <c r="J554" s="10">
        <v>0</v>
      </c>
      <c r="K554" s="10">
        <v>0</v>
      </c>
      <c r="L554" s="10">
        <v>2</v>
      </c>
      <c r="M554" s="10">
        <v>0</v>
      </c>
      <c r="N554" s="10">
        <v>0</v>
      </c>
      <c r="O554" s="10">
        <v>0</v>
      </c>
      <c r="P554" s="10">
        <v>0</v>
      </c>
      <c r="Q554" s="26">
        <f t="shared" si="24"/>
        <v>2</v>
      </c>
      <c r="R554" s="25">
        <v>0</v>
      </c>
      <c r="S554" s="10">
        <v>0</v>
      </c>
      <c r="T554" s="10">
        <v>0</v>
      </c>
      <c r="U554" s="10">
        <v>0</v>
      </c>
      <c r="V554" s="10">
        <v>0</v>
      </c>
      <c r="W554" s="10">
        <v>0</v>
      </c>
      <c r="X554" s="10">
        <v>0</v>
      </c>
      <c r="Y554" s="10">
        <v>0</v>
      </c>
      <c r="Z554" s="10">
        <v>0</v>
      </c>
      <c r="AA554" s="10">
        <v>0</v>
      </c>
      <c r="AB554" s="10">
        <v>0</v>
      </c>
      <c r="AC554" s="10">
        <v>0</v>
      </c>
      <c r="AD554" s="26">
        <f t="shared" si="25"/>
        <v>0</v>
      </c>
      <c r="AE554" s="25">
        <v>0</v>
      </c>
      <c r="AF554" s="10">
        <v>0</v>
      </c>
      <c r="AG554" s="10">
        <v>0</v>
      </c>
      <c r="AH554" s="10">
        <v>0</v>
      </c>
      <c r="AI554" s="10">
        <v>0</v>
      </c>
      <c r="AJ554" s="10">
        <v>0</v>
      </c>
      <c r="AK554" s="10">
        <v>0</v>
      </c>
      <c r="AL554" s="10">
        <v>218624</v>
      </c>
      <c r="AM554" s="10">
        <v>0</v>
      </c>
      <c r="AN554" s="10">
        <v>0</v>
      </c>
      <c r="AO554" s="10">
        <v>0</v>
      </c>
      <c r="AP554" s="10">
        <v>0</v>
      </c>
      <c r="AQ554" s="26">
        <f t="shared" si="26"/>
        <v>218624</v>
      </c>
    </row>
    <row r="555" spans="1:43" ht="17.25" customHeight="1" x14ac:dyDescent="0.45">
      <c r="A555" s="2" t="s">
        <v>33</v>
      </c>
      <c r="B555" s="2" t="s">
        <v>66</v>
      </c>
      <c r="C555" s="2" t="s">
        <v>221</v>
      </c>
      <c r="D555" s="2" t="s">
        <v>68</v>
      </c>
      <c r="E555" s="23">
        <v>0</v>
      </c>
      <c r="F555" s="1">
        <v>0</v>
      </c>
      <c r="G555" s="1">
        <v>0</v>
      </c>
      <c r="H555" s="1">
        <v>0</v>
      </c>
      <c r="I555" s="1">
        <v>1</v>
      </c>
      <c r="J555" s="1">
        <v>3</v>
      </c>
      <c r="K555" s="1">
        <v>0</v>
      </c>
      <c r="L555" s="1">
        <v>0</v>
      </c>
      <c r="M555" s="1">
        <v>0</v>
      </c>
      <c r="N555" s="1">
        <v>0</v>
      </c>
      <c r="O555" s="1">
        <v>0</v>
      </c>
      <c r="P555" s="1">
        <v>0</v>
      </c>
      <c r="Q555" s="24">
        <f t="shared" si="24"/>
        <v>4</v>
      </c>
      <c r="R555" s="23">
        <v>0</v>
      </c>
      <c r="S555" s="1">
        <v>0</v>
      </c>
      <c r="T555" s="1">
        <v>0</v>
      </c>
      <c r="U555" s="1">
        <v>0</v>
      </c>
      <c r="V555" s="1">
        <v>0</v>
      </c>
      <c r="W555" s="1">
        <v>0</v>
      </c>
      <c r="X555" s="1">
        <v>0</v>
      </c>
      <c r="Y555" s="1">
        <v>0</v>
      </c>
      <c r="Z555" s="1">
        <v>0</v>
      </c>
      <c r="AA555" s="1">
        <v>0</v>
      </c>
      <c r="AB555" s="1">
        <v>0</v>
      </c>
      <c r="AC555" s="1">
        <v>0</v>
      </c>
      <c r="AD555" s="24">
        <f t="shared" si="25"/>
        <v>0</v>
      </c>
      <c r="AE555" s="23">
        <v>0</v>
      </c>
      <c r="AF555" s="1">
        <v>0</v>
      </c>
      <c r="AG555" s="1">
        <v>0</v>
      </c>
      <c r="AH555" s="1">
        <v>0</v>
      </c>
      <c r="AI555" s="1">
        <v>1500</v>
      </c>
      <c r="AJ555" s="1">
        <v>200</v>
      </c>
      <c r="AK555" s="1">
        <v>0</v>
      </c>
      <c r="AL555" s="1">
        <v>0</v>
      </c>
      <c r="AM555" s="1">
        <v>0</v>
      </c>
      <c r="AN555" s="1">
        <v>0</v>
      </c>
      <c r="AO555" s="1">
        <v>0</v>
      </c>
      <c r="AP555" s="1">
        <v>0</v>
      </c>
      <c r="AQ555" s="24">
        <f t="shared" si="26"/>
        <v>1700</v>
      </c>
    </row>
    <row r="556" spans="1:43" ht="17.25" customHeight="1" x14ac:dyDescent="0.45">
      <c r="A556" s="12" t="s">
        <v>33</v>
      </c>
      <c r="B556" s="12" t="s">
        <v>66</v>
      </c>
      <c r="C556" s="12" t="s">
        <v>194</v>
      </c>
      <c r="D556" s="12" t="s">
        <v>68</v>
      </c>
      <c r="E556" s="25">
        <v>1</v>
      </c>
      <c r="F556" s="10">
        <v>21</v>
      </c>
      <c r="G556" s="10">
        <v>5</v>
      </c>
      <c r="H556" s="10">
        <v>18</v>
      </c>
      <c r="I556" s="10">
        <v>13</v>
      </c>
      <c r="J556" s="10">
        <v>6</v>
      </c>
      <c r="K556" s="10">
        <v>0</v>
      </c>
      <c r="L556" s="10">
        <v>0</v>
      </c>
      <c r="M556" s="10">
        <v>0</v>
      </c>
      <c r="N556" s="10">
        <v>0</v>
      </c>
      <c r="O556" s="10">
        <v>0</v>
      </c>
      <c r="P556" s="10">
        <v>1</v>
      </c>
      <c r="Q556" s="26">
        <f t="shared" si="24"/>
        <v>65</v>
      </c>
      <c r="R556" s="25">
        <v>0</v>
      </c>
      <c r="S556" s="10">
        <v>0</v>
      </c>
      <c r="T556" s="10">
        <v>0</v>
      </c>
      <c r="U556" s="10">
        <v>0</v>
      </c>
      <c r="V556" s="10">
        <v>0</v>
      </c>
      <c r="W556" s="10">
        <v>0</v>
      </c>
      <c r="X556" s="10">
        <v>0</v>
      </c>
      <c r="Y556" s="10">
        <v>0</v>
      </c>
      <c r="Z556" s="10">
        <v>0</v>
      </c>
      <c r="AA556" s="10">
        <v>0</v>
      </c>
      <c r="AB556" s="10">
        <v>0</v>
      </c>
      <c r="AC556" s="10">
        <v>0</v>
      </c>
      <c r="AD556" s="26">
        <f t="shared" si="25"/>
        <v>0</v>
      </c>
      <c r="AE556" s="25">
        <v>852</v>
      </c>
      <c r="AF556" s="10">
        <v>31058</v>
      </c>
      <c r="AG556" s="10">
        <v>7089</v>
      </c>
      <c r="AH556" s="10">
        <v>38413</v>
      </c>
      <c r="AI556" s="10">
        <v>15452</v>
      </c>
      <c r="AJ556" s="10">
        <v>5690</v>
      </c>
      <c r="AK556" s="10">
        <v>0</v>
      </c>
      <c r="AL556" s="10">
        <v>0</v>
      </c>
      <c r="AM556" s="10">
        <v>0</v>
      </c>
      <c r="AN556" s="10">
        <v>0</v>
      </c>
      <c r="AO556" s="10">
        <v>0</v>
      </c>
      <c r="AP556" s="10">
        <v>300</v>
      </c>
      <c r="AQ556" s="26">
        <f t="shared" si="26"/>
        <v>98854</v>
      </c>
    </row>
    <row r="557" spans="1:43" ht="17.25" customHeight="1" x14ac:dyDescent="0.45">
      <c r="A557" s="2" t="s">
        <v>278</v>
      </c>
      <c r="B557" s="2" t="s">
        <v>68</v>
      </c>
      <c r="C557" s="2" t="s">
        <v>19</v>
      </c>
      <c r="D557" s="2" t="s">
        <v>66</v>
      </c>
      <c r="E557" s="23">
        <v>0</v>
      </c>
      <c r="F557" s="1">
        <v>0</v>
      </c>
      <c r="G557" s="1">
        <v>2</v>
      </c>
      <c r="H557" s="1">
        <v>2</v>
      </c>
      <c r="I557" s="1">
        <v>1</v>
      </c>
      <c r="J557" s="1">
        <v>0</v>
      </c>
      <c r="K557" s="1">
        <v>0</v>
      </c>
      <c r="L557" s="1">
        <v>2</v>
      </c>
      <c r="M557" s="1">
        <v>0</v>
      </c>
      <c r="N557" s="1">
        <v>0</v>
      </c>
      <c r="O557" s="1">
        <v>0</v>
      </c>
      <c r="P557" s="1">
        <v>0</v>
      </c>
      <c r="Q557" s="24">
        <f t="shared" si="24"/>
        <v>7</v>
      </c>
      <c r="R557" s="23">
        <v>0</v>
      </c>
      <c r="S557" s="1">
        <v>0</v>
      </c>
      <c r="T557" s="1">
        <v>0</v>
      </c>
      <c r="U557" s="1">
        <v>0</v>
      </c>
      <c r="V557" s="1">
        <v>0</v>
      </c>
      <c r="W557" s="1">
        <v>0</v>
      </c>
      <c r="X557" s="1">
        <v>0</v>
      </c>
      <c r="Y557" s="1">
        <v>0</v>
      </c>
      <c r="Z557" s="1">
        <v>0</v>
      </c>
      <c r="AA557" s="1">
        <v>0</v>
      </c>
      <c r="AB557" s="1">
        <v>0</v>
      </c>
      <c r="AC557" s="1">
        <v>0</v>
      </c>
      <c r="AD557" s="24">
        <f t="shared" si="25"/>
        <v>0</v>
      </c>
      <c r="AE557" s="23">
        <v>0</v>
      </c>
      <c r="AF557" s="1">
        <v>0</v>
      </c>
      <c r="AG557" s="1">
        <v>31053</v>
      </c>
      <c r="AH557" s="1">
        <v>33929</v>
      </c>
      <c r="AI557" s="1">
        <v>1196</v>
      </c>
      <c r="AJ557" s="1">
        <v>0</v>
      </c>
      <c r="AK557" s="1">
        <v>0</v>
      </c>
      <c r="AL557" s="1">
        <v>54592</v>
      </c>
      <c r="AM557" s="1">
        <v>0</v>
      </c>
      <c r="AN557" s="1">
        <v>0</v>
      </c>
      <c r="AO557" s="1">
        <v>0</v>
      </c>
      <c r="AP557" s="1">
        <v>0</v>
      </c>
      <c r="AQ557" s="24">
        <f t="shared" si="26"/>
        <v>120770</v>
      </c>
    </row>
    <row r="558" spans="1:43" ht="17.25" customHeight="1" x14ac:dyDescent="0.45">
      <c r="A558" s="12" t="s">
        <v>278</v>
      </c>
      <c r="B558" s="12" t="s">
        <v>68</v>
      </c>
      <c r="C558" s="12" t="s">
        <v>22</v>
      </c>
      <c r="D558" s="12" t="s">
        <v>66</v>
      </c>
      <c r="E558" s="25">
        <v>0</v>
      </c>
      <c r="F558" s="10">
        <v>0</v>
      </c>
      <c r="G558" s="10">
        <v>0</v>
      </c>
      <c r="H558" s="10">
        <v>1</v>
      </c>
      <c r="I558" s="10">
        <v>0</v>
      </c>
      <c r="J558" s="10">
        <v>0</v>
      </c>
      <c r="K558" s="10">
        <v>0</v>
      </c>
      <c r="L558" s="10">
        <v>0</v>
      </c>
      <c r="M558" s="10">
        <v>0</v>
      </c>
      <c r="N558" s="10">
        <v>0</v>
      </c>
      <c r="O558" s="10">
        <v>0</v>
      </c>
      <c r="P558" s="10">
        <v>0</v>
      </c>
      <c r="Q558" s="26">
        <f t="shared" si="24"/>
        <v>1</v>
      </c>
      <c r="R558" s="25">
        <v>0</v>
      </c>
      <c r="S558" s="10">
        <v>0</v>
      </c>
      <c r="T558" s="10">
        <v>0</v>
      </c>
      <c r="U558" s="10">
        <v>0</v>
      </c>
      <c r="V558" s="10">
        <v>0</v>
      </c>
      <c r="W558" s="10">
        <v>0</v>
      </c>
      <c r="X558" s="10">
        <v>0</v>
      </c>
      <c r="Y558" s="10">
        <v>0</v>
      </c>
      <c r="Z558" s="10">
        <v>0</v>
      </c>
      <c r="AA558" s="10">
        <v>0</v>
      </c>
      <c r="AB558" s="10">
        <v>0</v>
      </c>
      <c r="AC558" s="10">
        <v>0</v>
      </c>
      <c r="AD558" s="26">
        <f t="shared" si="25"/>
        <v>0</v>
      </c>
      <c r="AE558" s="25">
        <v>0</v>
      </c>
      <c r="AF558" s="10">
        <v>0</v>
      </c>
      <c r="AG558" s="10">
        <v>0</v>
      </c>
      <c r="AH558" s="10">
        <v>2000</v>
      </c>
      <c r="AI558" s="10">
        <v>0</v>
      </c>
      <c r="AJ558" s="10">
        <v>0</v>
      </c>
      <c r="AK558" s="10">
        <v>0</v>
      </c>
      <c r="AL558" s="10">
        <v>0</v>
      </c>
      <c r="AM558" s="10">
        <v>0</v>
      </c>
      <c r="AN558" s="10">
        <v>0</v>
      </c>
      <c r="AO558" s="10">
        <v>0</v>
      </c>
      <c r="AP558" s="10">
        <v>0</v>
      </c>
      <c r="AQ558" s="26">
        <f t="shared" si="26"/>
        <v>2000</v>
      </c>
    </row>
    <row r="559" spans="1:43" ht="17.25" customHeight="1" x14ac:dyDescent="0.45">
      <c r="A559" s="2" t="s">
        <v>278</v>
      </c>
      <c r="B559" s="2" t="s">
        <v>68</v>
      </c>
      <c r="C559" s="2" t="s">
        <v>38</v>
      </c>
      <c r="D559" s="2" t="s">
        <v>66</v>
      </c>
      <c r="E559" s="23">
        <v>0</v>
      </c>
      <c r="F559" s="1">
        <v>0</v>
      </c>
      <c r="G559" s="1">
        <v>0</v>
      </c>
      <c r="H559" s="1">
        <v>0</v>
      </c>
      <c r="I559" s="1">
        <v>0</v>
      </c>
      <c r="J559" s="1">
        <v>0</v>
      </c>
      <c r="K559" s="1">
        <v>0</v>
      </c>
      <c r="L559" s="1">
        <v>0</v>
      </c>
      <c r="M559" s="1">
        <v>0</v>
      </c>
      <c r="N559" s="1">
        <v>0</v>
      </c>
      <c r="O559" s="1">
        <v>1</v>
      </c>
      <c r="P559" s="1">
        <v>0</v>
      </c>
      <c r="Q559" s="24">
        <f t="shared" si="24"/>
        <v>1</v>
      </c>
      <c r="R559" s="23">
        <v>0</v>
      </c>
      <c r="S559" s="1">
        <v>0</v>
      </c>
      <c r="T559" s="1">
        <v>0</v>
      </c>
      <c r="U559" s="1">
        <v>0</v>
      </c>
      <c r="V559" s="1">
        <v>0</v>
      </c>
      <c r="W559" s="1">
        <v>0</v>
      </c>
      <c r="X559" s="1">
        <v>0</v>
      </c>
      <c r="Y559" s="1">
        <v>0</v>
      </c>
      <c r="Z559" s="1">
        <v>0</v>
      </c>
      <c r="AA559" s="1">
        <v>0</v>
      </c>
      <c r="AB559" s="1">
        <v>0</v>
      </c>
      <c r="AC559" s="1">
        <v>0</v>
      </c>
      <c r="AD559" s="24">
        <f t="shared" si="25"/>
        <v>0</v>
      </c>
      <c r="AE559" s="23">
        <v>0</v>
      </c>
      <c r="AF559" s="1">
        <v>0</v>
      </c>
      <c r="AG559" s="1">
        <v>0</v>
      </c>
      <c r="AH559" s="1">
        <v>0</v>
      </c>
      <c r="AI559" s="1">
        <v>0</v>
      </c>
      <c r="AJ559" s="1">
        <v>0</v>
      </c>
      <c r="AK559" s="1">
        <v>0</v>
      </c>
      <c r="AL559" s="1">
        <v>0</v>
      </c>
      <c r="AM559" s="1">
        <v>0</v>
      </c>
      <c r="AN559" s="1">
        <v>0</v>
      </c>
      <c r="AO559" s="1">
        <v>47239</v>
      </c>
      <c r="AP559" s="1">
        <v>0</v>
      </c>
      <c r="AQ559" s="24">
        <f t="shared" si="26"/>
        <v>47239</v>
      </c>
    </row>
    <row r="560" spans="1:43" ht="17.25" customHeight="1" x14ac:dyDescent="0.45">
      <c r="A560" s="12" t="s">
        <v>278</v>
      </c>
      <c r="B560" s="12" t="s">
        <v>68</v>
      </c>
      <c r="C560" s="12" t="s">
        <v>206</v>
      </c>
      <c r="D560" s="12" t="s">
        <v>66</v>
      </c>
      <c r="E560" s="25">
        <v>0</v>
      </c>
      <c r="F560" s="10">
        <v>0</v>
      </c>
      <c r="G560" s="10">
        <v>0</v>
      </c>
      <c r="H560" s="10">
        <v>0</v>
      </c>
      <c r="I560" s="10">
        <v>0</v>
      </c>
      <c r="J560" s="10">
        <v>0</v>
      </c>
      <c r="K560" s="10">
        <v>0</v>
      </c>
      <c r="L560" s="10">
        <v>0</v>
      </c>
      <c r="M560" s="10">
        <v>0</v>
      </c>
      <c r="N560" s="10">
        <v>0</v>
      </c>
      <c r="O560" s="10">
        <v>1</v>
      </c>
      <c r="P560" s="10">
        <v>0</v>
      </c>
      <c r="Q560" s="26">
        <f t="shared" si="24"/>
        <v>1</v>
      </c>
      <c r="R560" s="25">
        <v>0</v>
      </c>
      <c r="S560" s="10">
        <v>0</v>
      </c>
      <c r="T560" s="10">
        <v>0</v>
      </c>
      <c r="U560" s="10">
        <v>0</v>
      </c>
      <c r="V560" s="10">
        <v>0</v>
      </c>
      <c r="W560" s="10">
        <v>0</v>
      </c>
      <c r="X560" s="10">
        <v>0</v>
      </c>
      <c r="Y560" s="10">
        <v>0</v>
      </c>
      <c r="Z560" s="10">
        <v>0</v>
      </c>
      <c r="AA560" s="10">
        <v>0</v>
      </c>
      <c r="AB560" s="10">
        <v>0</v>
      </c>
      <c r="AC560" s="10">
        <v>0</v>
      </c>
      <c r="AD560" s="26">
        <f t="shared" si="25"/>
        <v>0</v>
      </c>
      <c r="AE560" s="25">
        <v>0</v>
      </c>
      <c r="AF560" s="10">
        <v>0</v>
      </c>
      <c r="AG560" s="10">
        <v>0</v>
      </c>
      <c r="AH560" s="10">
        <v>0</v>
      </c>
      <c r="AI560" s="10">
        <v>0</v>
      </c>
      <c r="AJ560" s="10">
        <v>0</v>
      </c>
      <c r="AK560" s="10">
        <v>0</v>
      </c>
      <c r="AL560" s="10">
        <v>0</v>
      </c>
      <c r="AM560" s="10">
        <v>0</v>
      </c>
      <c r="AN560" s="10">
        <v>0</v>
      </c>
      <c r="AO560" s="10">
        <v>49867</v>
      </c>
      <c r="AP560" s="10">
        <v>0</v>
      </c>
      <c r="AQ560" s="26">
        <f t="shared" si="26"/>
        <v>49867</v>
      </c>
    </row>
    <row r="561" spans="1:43" ht="17.25" customHeight="1" x14ac:dyDescent="0.45">
      <c r="A561" s="2" t="s">
        <v>278</v>
      </c>
      <c r="B561" s="2" t="s">
        <v>68</v>
      </c>
      <c r="C561" s="2" t="s">
        <v>48</v>
      </c>
      <c r="D561" s="2" t="s">
        <v>66</v>
      </c>
      <c r="E561" s="23">
        <v>0</v>
      </c>
      <c r="F561" s="1">
        <v>0</v>
      </c>
      <c r="G561" s="1">
        <v>0</v>
      </c>
      <c r="H561" s="1">
        <v>0</v>
      </c>
      <c r="I561" s="1">
        <v>0</v>
      </c>
      <c r="J561" s="1">
        <v>0</v>
      </c>
      <c r="K561" s="1">
        <v>0</v>
      </c>
      <c r="L561" s="1">
        <v>0</v>
      </c>
      <c r="M561" s="1">
        <v>0</v>
      </c>
      <c r="N561" s="1">
        <v>0</v>
      </c>
      <c r="O561" s="1">
        <v>1</v>
      </c>
      <c r="P561" s="1">
        <v>0</v>
      </c>
      <c r="Q561" s="24">
        <f t="shared" si="24"/>
        <v>1</v>
      </c>
      <c r="R561" s="23">
        <v>0</v>
      </c>
      <c r="S561" s="1">
        <v>0</v>
      </c>
      <c r="T561" s="1">
        <v>0</v>
      </c>
      <c r="U561" s="1">
        <v>0</v>
      </c>
      <c r="V561" s="1">
        <v>0</v>
      </c>
      <c r="W561" s="1">
        <v>0</v>
      </c>
      <c r="X561" s="1">
        <v>0</v>
      </c>
      <c r="Y561" s="1">
        <v>0</v>
      </c>
      <c r="Z561" s="1">
        <v>0</v>
      </c>
      <c r="AA561" s="1">
        <v>0</v>
      </c>
      <c r="AB561" s="1">
        <v>2</v>
      </c>
      <c r="AC561" s="1">
        <v>0</v>
      </c>
      <c r="AD561" s="24">
        <f t="shared" si="25"/>
        <v>2</v>
      </c>
      <c r="AE561" s="23">
        <v>0</v>
      </c>
      <c r="AF561" s="1">
        <v>0</v>
      </c>
      <c r="AG561" s="1">
        <v>0</v>
      </c>
      <c r="AH561" s="1">
        <v>0</v>
      </c>
      <c r="AI561" s="1">
        <v>0</v>
      </c>
      <c r="AJ561" s="1">
        <v>0</v>
      </c>
      <c r="AK561" s="1">
        <v>0</v>
      </c>
      <c r="AL561" s="1">
        <v>0</v>
      </c>
      <c r="AM561" s="1">
        <v>0</v>
      </c>
      <c r="AN561" s="1">
        <v>0</v>
      </c>
      <c r="AO561" s="1">
        <v>0</v>
      </c>
      <c r="AP561" s="1">
        <v>0</v>
      </c>
      <c r="AQ561" s="24">
        <f t="shared" si="26"/>
        <v>0</v>
      </c>
    </row>
    <row r="562" spans="1:43" ht="17.25" customHeight="1" x14ac:dyDescent="0.45">
      <c r="A562" s="12" t="s">
        <v>245</v>
      </c>
      <c r="B562" s="12" t="s">
        <v>68</v>
      </c>
      <c r="C562" s="12" t="s">
        <v>28</v>
      </c>
      <c r="D562" s="12" t="s">
        <v>66</v>
      </c>
      <c r="E562" s="25">
        <v>1</v>
      </c>
      <c r="F562" s="10">
        <v>0</v>
      </c>
      <c r="G562" s="10">
        <v>0</v>
      </c>
      <c r="H562" s="10">
        <v>0</v>
      </c>
      <c r="I562" s="10">
        <v>0</v>
      </c>
      <c r="J562" s="10">
        <v>0</v>
      </c>
      <c r="K562" s="10">
        <v>0</v>
      </c>
      <c r="L562" s="10">
        <v>0</v>
      </c>
      <c r="M562" s="10">
        <v>0</v>
      </c>
      <c r="N562" s="10">
        <v>0</v>
      </c>
      <c r="O562" s="10">
        <v>0</v>
      </c>
      <c r="P562" s="10">
        <v>0</v>
      </c>
      <c r="Q562" s="26">
        <f t="shared" si="24"/>
        <v>1</v>
      </c>
      <c r="R562" s="25">
        <v>0</v>
      </c>
      <c r="S562" s="10">
        <v>0</v>
      </c>
      <c r="T562" s="10">
        <v>0</v>
      </c>
      <c r="U562" s="10">
        <v>0</v>
      </c>
      <c r="V562" s="10">
        <v>0</v>
      </c>
      <c r="W562" s="10">
        <v>0</v>
      </c>
      <c r="X562" s="10">
        <v>0</v>
      </c>
      <c r="Y562" s="10">
        <v>0</v>
      </c>
      <c r="Z562" s="10">
        <v>0</v>
      </c>
      <c r="AA562" s="10">
        <v>0</v>
      </c>
      <c r="AB562" s="10">
        <v>0</v>
      </c>
      <c r="AC562" s="10">
        <v>0</v>
      </c>
      <c r="AD562" s="26">
        <f t="shared" si="25"/>
        <v>0</v>
      </c>
      <c r="AE562" s="25">
        <v>7956</v>
      </c>
      <c r="AF562" s="10">
        <v>0</v>
      </c>
      <c r="AG562" s="10">
        <v>0</v>
      </c>
      <c r="AH562" s="10">
        <v>0</v>
      </c>
      <c r="AI562" s="10">
        <v>0</v>
      </c>
      <c r="AJ562" s="10">
        <v>0</v>
      </c>
      <c r="AK562" s="10">
        <v>0</v>
      </c>
      <c r="AL562" s="10">
        <v>0</v>
      </c>
      <c r="AM562" s="10">
        <v>0</v>
      </c>
      <c r="AN562" s="10">
        <v>0</v>
      </c>
      <c r="AO562" s="10">
        <v>0</v>
      </c>
      <c r="AP562" s="10">
        <v>0</v>
      </c>
      <c r="AQ562" s="26">
        <f t="shared" si="26"/>
        <v>7956</v>
      </c>
    </row>
    <row r="563" spans="1:43" ht="17.25" customHeight="1" x14ac:dyDescent="0.45">
      <c r="A563" s="2" t="s">
        <v>334</v>
      </c>
      <c r="B563" s="2" t="s">
        <v>81</v>
      </c>
      <c r="C563" s="2" t="s">
        <v>14</v>
      </c>
      <c r="D563" s="2" t="s">
        <v>66</v>
      </c>
      <c r="E563" s="23">
        <v>0</v>
      </c>
      <c r="F563" s="1">
        <v>0</v>
      </c>
      <c r="G563" s="1">
        <v>0</v>
      </c>
      <c r="H563" s="1">
        <v>0</v>
      </c>
      <c r="I563" s="1">
        <v>0</v>
      </c>
      <c r="J563" s="1">
        <v>0</v>
      </c>
      <c r="K563" s="1">
        <v>0</v>
      </c>
      <c r="L563" s="1">
        <v>0</v>
      </c>
      <c r="M563" s="1">
        <v>0</v>
      </c>
      <c r="N563" s="1">
        <v>1</v>
      </c>
      <c r="O563" s="1">
        <v>0</v>
      </c>
      <c r="P563" s="1">
        <v>0</v>
      </c>
      <c r="Q563" s="24">
        <f t="shared" si="24"/>
        <v>1</v>
      </c>
      <c r="R563" s="23">
        <v>0</v>
      </c>
      <c r="S563" s="1">
        <v>0</v>
      </c>
      <c r="T563" s="1">
        <v>0</v>
      </c>
      <c r="U563" s="1">
        <v>0</v>
      </c>
      <c r="V563" s="1">
        <v>0</v>
      </c>
      <c r="W563" s="1">
        <v>0</v>
      </c>
      <c r="X563" s="1">
        <v>0</v>
      </c>
      <c r="Y563" s="1">
        <v>0</v>
      </c>
      <c r="Z563" s="1">
        <v>0</v>
      </c>
      <c r="AA563" s="1">
        <v>56</v>
      </c>
      <c r="AB563" s="1">
        <v>0</v>
      </c>
      <c r="AC563" s="1">
        <v>0</v>
      </c>
      <c r="AD563" s="24">
        <f t="shared" si="25"/>
        <v>56</v>
      </c>
      <c r="AE563" s="23">
        <v>0</v>
      </c>
      <c r="AF563" s="1">
        <v>0</v>
      </c>
      <c r="AG563" s="1">
        <v>0</v>
      </c>
      <c r="AH563" s="1">
        <v>0</v>
      </c>
      <c r="AI563" s="1">
        <v>0</v>
      </c>
      <c r="AJ563" s="1">
        <v>0</v>
      </c>
      <c r="AK563" s="1">
        <v>0</v>
      </c>
      <c r="AL563" s="1">
        <v>0</v>
      </c>
      <c r="AM563" s="1">
        <v>0</v>
      </c>
      <c r="AN563" s="1">
        <v>0</v>
      </c>
      <c r="AO563" s="1">
        <v>0</v>
      </c>
      <c r="AP563" s="1">
        <v>0</v>
      </c>
      <c r="AQ563" s="24">
        <f t="shared" si="26"/>
        <v>0</v>
      </c>
    </row>
    <row r="564" spans="1:43" ht="17.25" customHeight="1" x14ac:dyDescent="0.45">
      <c r="A564" s="12" t="s">
        <v>317</v>
      </c>
      <c r="B564" s="12" t="s">
        <v>68</v>
      </c>
      <c r="C564" s="12" t="s">
        <v>42</v>
      </c>
      <c r="D564" s="12" t="s">
        <v>66</v>
      </c>
      <c r="E564" s="25">
        <v>0</v>
      </c>
      <c r="F564" s="10">
        <v>0</v>
      </c>
      <c r="G564" s="10">
        <v>0</v>
      </c>
      <c r="H564" s="10">
        <v>0</v>
      </c>
      <c r="I564" s="10">
        <v>0</v>
      </c>
      <c r="J564" s="10">
        <v>0</v>
      </c>
      <c r="K564" s="10">
        <v>0</v>
      </c>
      <c r="L564" s="10">
        <v>1</v>
      </c>
      <c r="M564" s="10">
        <v>0</v>
      </c>
      <c r="N564" s="10">
        <v>0</v>
      </c>
      <c r="O564" s="10">
        <v>0</v>
      </c>
      <c r="P564" s="10">
        <v>0</v>
      </c>
      <c r="Q564" s="26">
        <f t="shared" si="24"/>
        <v>1</v>
      </c>
      <c r="R564" s="25">
        <v>0</v>
      </c>
      <c r="S564" s="10">
        <v>0</v>
      </c>
      <c r="T564" s="10">
        <v>0</v>
      </c>
      <c r="U564" s="10">
        <v>0</v>
      </c>
      <c r="V564" s="10">
        <v>0</v>
      </c>
      <c r="W564" s="10">
        <v>0</v>
      </c>
      <c r="X564" s="10">
        <v>0</v>
      </c>
      <c r="Y564" s="10">
        <v>20</v>
      </c>
      <c r="Z564" s="10">
        <v>0</v>
      </c>
      <c r="AA564" s="10">
        <v>0</v>
      </c>
      <c r="AB564" s="10">
        <v>0</v>
      </c>
      <c r="AC564" s="10">
        <v>0</v>
      </c>
      <c r="AD564" s="26">
        <f t="shared" si="25"/>
        <v>20</v>
      </c>
      <c r="AE564" s="25">
        <v>0</v>
      </c>
      <c r="AF564" s="10">
        <v>0</v>
      </c>
      <c r="AG564" s="10">
        <v>0</v>
      </c>
      <c r="AH564" s="10">
        <v>0</v>
      </c>
      <c r="AI564" s="10">
        <v>0</v>
      </c>
      <c r="AJ564" s="10">
        <v>0</v>
      </c>
      <c r="AK564" s="10">
        <v>0</v>
      </c>
      <c r="AL564" s="10">
        <v>0</v>
      </c>
      <c r="AM564" s="10">
        <v>0</v>
      </c>
      <c r="AN564" s="10">
        <v>0</v>
      </c>
      <c r="AO564" s="10">
        <v>0</v>
      </c>
      <c r="AP564" s="10">
        <v>0</v>
      </c>
      <c r="AQ564" s="26">
        <f t="shared" si="26"/>
        <v>0</v>
      </c>
    </row>
    <row r="565" spans="1:43" ht="17.25" customHeight="1" x14ac:dyDescent="0.45">
      <c r="A565" s="2" t="s">
        <v>317</v>
      </c>
      <c r="B565" s="2" t="s">
        <v>68</v>
      </c>
      <c r="C565" s="2" t="s">
        <v>17</v>
      </c>
      <c r="D565" s="2" t="s">
        <v>66</v>
      </c>
      <c r="E565" s="23">
        <v>0</v>
      </c>
      <c r="F565" s="1">
        <v>1</v>
      </c>
      <c r="G565" s="1">
        <v>0</v>
      </c>
      <c r="H565" s="1">
        <v>0</v>
      </c>
      <c r="I565" s="1">
        <v>0</v>
      </c>
      <c r="J565" s="1">
        <v>0</v>
      </c>
      <c r="K565" s="1">
        <v>0</v>
      </c>
      <c r="L565" s="1">
        <v>1</v>
      </c>
      <c r="M565" s="1">
        <v>0</v>
      </c>
      <c r="N565" s="1">
        <v>0</v>
      </c>
      <c r="O565" s="1">
        <v>0</v>
      </c>
      <c r="P565" s="1">
        <v>0</v>
      </c>
      <c r="Q565" s="24">
        <f t="shared" si="24"/>
        <v>2</v>
      </c>
      <c r="R565" s="23">
        <v>0</v>
      </c>
      <c r="S565" s="1">
        <v>4</v>
      </c>
      <c r="T565" s="1">
        <v>0</v>
      </c>
      <c r="U565" s="1">
        <v>0</v>
      </c>
      <c r="V565" s="1">
        <v>0</v>
      </c>
      <c r="W565" s="1">
        <v>0</v>
      </c>
      <c r="X565" s="1">
        <v>0</v>
      </c>
      <c r="Y565" s="1">
        <v>2</v>
      </c>
      <c r="Z565" s="1">
        <v>0</v>
      </c>
      <c r="AA565" s="1">
        <v>0</v>
      </c>
      <c r="AB565" s="1">
        <v>0</v>
      </c>
      <c r="AC565" s="1">
        <v>0</v>
      </c>
      <c r="AD565" s="24">
        <f t="shared" si="25"/>
        <v>6</v>
      </c>
      <c r="AE565" s="23">
        <v>0</v>
      </c>
      <c r="AF565" s="1">
        <v>0</v>
      </c>
      <c r="AG565" s="1">
        <v>0</v>
      </c>
      <c r="AH565" s="1">
        <v>0</v>
      </c>
      <c r="AI565" s="1">
        <v>0</v>
      </c>
      <c r="AJ565" s="1">
        <v>0</v>
      </c>
      <c r="AK565" s="1">
        <v>0</v>
      </c>
      <c r="AL565" s="1">
        <v>0</v>
      </c>
      <c r="AM565" s="1">
        <v>0</v>
      </c>
      <c r="AN565" s="1">
        <v>0</v>
      </c>
      <c r="AO565" s="1">
        <v>0</v>
      </c>
      <c r="AP565" s="1">
        <v>0</v>
      </c>
      <c r="AQ565" s="24">
        <f t="shared" si="26"/>
        <v>0</v>
      </c>
    </row>
    <row r="566" spans="1:43" ht="17.25" customHeight="1" x14ac:dyDescent="0.45">
      <c r="A566" s="12" t="s">
        <v>165</v>
      </c>
      <c r="B566" s="12" t="s">
        <v>65</v>
      </c>
      <c r="C566" s="12" t="s">
        <v>12</v>
      </c>
      <c r="D566" s="12" t="s">
        <v>66</v>
      </c>
      <c r="E566" s="25">
        <v>0</v>
      </c>
      <c r="F566" s="10">
        <v>1</v>
      </c>
      <c r="G566" s="10">
        <v>0</v>
      </c>
      <c r="H566" s="10">
        <v>0</v>
      </c>
      <c r="I566" s="10">
        <v>0</v>
      </c>
      <c r="J566" s="10">
        <v>0</v>
      </c>
      <c r="K566" s="10">
        <v>0</v>
      </c>
      <c r="L566" s="10">
        <v>0</v>
      </c>
      <c r="M566" s="10">
        <v>0</v>
      </c>
      <c r="N566" s="10">
        <v>0</v>
      </c>
      <c r="O566" s="10">
        <v>0</v>
      </c>
      <c r="P566" s="10">
        <v>0</v>
      </c>
      <c r="Q566" s="26">
        <f t="shared" si="24"/>
        <v>1</v>
      </c>
      <c r="R566" s="25">
        <v>0</v>
      </c>
      <c r="S566" s="10">
        <v>158</v>
      </c>
      <c r="T566" s="10">
        <v>0</v>
      </c>
      <c r="U566" s="10">
        <v>0</v>
      </c>
      <c r="V566" s="10">
        <v>0</v>
      </c>
      <c r="W566" s="10">
        <v>0</v>
      </c>
      <c r="X566" s="10">
        <v>0</v>
      </c>
      <c r="Y566" s="10">
        <v>0</v>
      </c>
      <c r="Z566" s="10">
        <v>0</v>
      </c>
      <c r="AA566" s="10">
        <v>0</v>
      </c>
      <c r="AB566" s="10">
        <v>0</v>
      </c>
      <c r="AC566" s="10">
        <v>0</v>
      </c>
      <c r="AD566" s="26">
        <f t="shared" si="25"/>
        <v>158</v>
      </c>
      <c r="AE566" s="25">
        <v>0</v>
      </c>
      <c r="AF566" s="10">
        <v>0</v>
      </c>
      <c r="AG566" s="10">
        <v>0</v>
      </c>
      <c r="AH566" s="10">
        <v>0</v>
      </c>
      <c r="AI566" s="10">
        <v>0</v>
      </c>
      <c r="AJ566" s="10">
        <v>0</v>
      </c>
      <c r="AK566" s="10">
        <v>0</v>
      </c>
      <c r="AL566" s="10">
        <v>0</v>
      </c>
      <c r="AM566" s="10">
        <v>0</v>
      </c>
      <c r="AN566" s="10">
        <v>0</v>
      </c>
      <c r="AO566" s="10">
        <v>0</v>
      </c>
      <c r="AP566" s="10">
        <v>0</v>
      </c>
      <c r="AQ566" s="26">
        <f t="shared" si="26"/>
        <v>0</v>
      </c>
    </row>
    <row r="567" spans="1:43" ht="17.25" customHeight="1" x14ac:dyDescent="0.45">
      <c r="A567" s="2" t="s">
        <v>165</v>
      </c>
      <c r="B567" s="2" t="s">
        <v>65</v>
      </c>
      <c r="C567" s="2" t="s">
        <v>13</v>
      </c>
      <c r="D567" s="2" t="s">
        <v>66</v>
      </c>
      <c r="E567" s="23">
        <v>0</v>
      </c>
      <c r="F567" s="1">
        <v>1</v>
      </c>
      <c r="G567" s="1">
        <v>0</v>
      </c>
      <c r="H567" s="1">
        <v>0</v>
      </c>
      <c r="I567" s="1">
        <v>0</v>
      </c>
      <c r="J567" s="1">
        <v>0</v>
      </c>
      <c r="K567" s="1">
        <v>0</v>
      </c>
      <c r="L567" s="1">
        <v>0</v>
      </c>
      <c r="M567" s="1">
        <v>0</v>
      </c>
      <c r="N567" s="1">
        <v>0</v>
      </c>
      <c r="O567" s="1">
        <v>0</v>
      </c>
      <c r="P567" s="1">
        <v>0</v>
      </c>
      <c r="Q567" s="24">
        <f t="shared" si="24"/>
        <v>1</v>
      </c>
      <c r="R567" s="23">
        <v>0</v>
      </c>
      <c r="S567" s="1">
        <v>25</v>
      </c>
      <c r="T567" s="1">
        <v>0</v>
      </c>
      <c r="U567" s="1">
        <v>0</v>
      </c>
      <c r="V567" s="1">
        <v>0</v>
      </c>
      <c r="W567" s="1">
        <v>0</v>
      </c>
      <c r="X567" s="1">
        <v>0</v>
      </c>
      <c r="Y567" s="1">
        <v>0</v>
      </c>
      <c r="Z567" s="1">
        <v>0</v>
      </c>
      <c r="AA567" s="1">
        <v>0</v>
      </c>
      <c r="AB567" s="1">
        <v>0</v>
      </c>
      <c r="AC567" s="1">
        <v>0</v>
      </c>
      <c r="AD567" s="24">
        <f t="shared" si="25"/>
        <v>25</v>
      </c>
      <c r="AE567" s="23">
        <v>0</v>
      </c>
      <c r="AF567" s="1">
        <v>0</v>
      </c>
      <c r="AG567" s="1">
        <v>0</v>
      </c>
      <c r="AH567" s="1">
        <v>0</v>
      </c>
      <c r="AI567" s="1">
        <v>0</v>
      </c>
      <c r="AJ567" s="1">
        <v>0</v>
      </c>
      <c r="AK567" s="1">
        <v>0</v>
      </c>
      <c r="AL567" s="1">
        <v>0</v>
      </c>
      <c r="AM567" s="1">
        <v>0</v>
      </c>
      <c r="AN567" s="1">
        <v>0</v>
      </c>
      <c r="AO567" s="1">
        <v>0</v>
      </c>
      <c r="AP567" s="1">
        <v>0</v>
      </c>
      <c r="AQ567" s="24">
        <f t="shared" si="26"/>
        <v>0</v>
      </c>
    </row>
    <row r="568" spans="1:43" ht="17.25" customHeight="1" x14ac:dyDescent="0.45">
      <c r="A568" s="12" t="s">
        <v>218</v>
      </c>
      <c r="B568" s="12" t="s">
        <v>215</v>
      </c>
      <c r="C568" s="12" t="s">
        <v>10</v>
      </c>
      <c r="D568" s="12" t="s">
        <v>66</v>
      </c>
      <c r="E568" s="25">
        <v>7</v>
      </c>
      <c r="F568" s="10">
        <v>8</v>
      </c>
      <c r="G568" s="10">
        <v>4</v>
      </c>
      <c r="H568" s="10">
        <v>0</v>
      </c>
      <c r="I568" s="10">
        <v>0</v>
      </c>
      <c r="J568" s="10">
        <v>0</v>
      </c>
      <c r="K568" s="10">
        <v>0</v>
      </c>
      <c r="L568" s="10">
        <v>0</v>
      </c>
      <c r="M568" s="10">
        <v>0</v>
      </c>
      <c r="N568" s="10">
        <v>0</v>
      </c>
      <c r="O568" s="10">
        <v>5</v>
      </c>
      <c r="P568" s="10">
        <v>8</v>
      </c>
      <c r="Q568" s="26">
        <f t="shared" si="24"/>
        <v>32</v>
      </c>
      <c r="R568" s="25">
        <v>1912</v>
      </c>
      <c r="S568" s="10">
        <v>2197</v>
      </c>
      <c r="T568" s="10">
        <v>967</v>
      </c>
      <c r="U568" s="10">
        <v>0</v>
      </c>
      <c r="V568" s="10">
        <v>0</v>
      </c>
      <c r="W568" s="10">
        <v>0</v>
      </c>
      <c r="X568" s="10">
        <v>0</v>
      </c>
      <c r="Y568" s="10">
        <v>0</v>
      </c>
      <c r="Z568" s="10">
        <v>0</v>
      </c>
      <c r="AA568" s="10">
        <v>0</v>
      </c>
      <c r="AB568" s="10">
        <v>1299</v>
      </c>
      <c r="AC568" s="10">
        <v>2144</v>
      </c>
      <c r="AD568" s="26">
        <f t="shared" si="25"/>
        <v>8519</v>
      </c>
      <c r="AE568" s="25">
        <v>0</v>
      </c>
      <c r="AF568" s="10">
        <v>0</v>
      </c>
      <c r="AG568" s="10">
        <v>0</v>
      </c>
      <c r="AH568" s="10">
        <v>0</v>
      </c>
      <c r="AI568" s="10">
        <v>0</v>
      </c>
      <c r="AJ568" s="10">
        <v>0</v>
      </c>
      <c r="AK568" s="10">
        <v>0</v>
      </c>
      <c r="AL568" s="10">
        <v>0</v>
      </c>
      <c r="AM568" s="10">
        <v>0</v>
      </c>
      <c r="AN568" s="10">
        <v>0</v>
      </c>
      <c r="AO568" s="10">
        <v>0</v>
      </c>
      <c r="AP568" s="10">
        <v>0</v>
      </c>
      <c r="AQ568" s="26">
        <f t="shared" si="26"/>
        <v>0</v>
      </c>
    </row>
    <row r="569" spans="1:43" ht="17.25" customHeight="1" x14ac:dyDescent="0.45">
      <c r="A569" s="2" t="s">
        <v>166</v>
      </c>
      <c r="B569" s="2" t="s">
        <v>65</v>
      </c>
      <c r="C569" s="2" t="s">
        <v>13</v>
      </c>
      <c r="D569" s="2" t="s">
        <v>66</v>
      </c>
      <c r="E569" s="23">
        <v>0</v>
      </c>
      <c r="F569" s="1">
        <v>1</v>
      </c>
      <c r="G569" s="1">
        <v>0</v>
      </c>
      <c r="H569" s="1">
        <v>0</v>
      </c>
      <c r="I569" s="1">
        <v>0</v>
      </c>
      <c r="J569" s="1">
        <v>0</v>
      </c>
      <c r="K569" s="1">
        <v>0</v>
      </c>
      <c r="L569" s="1">
        <v>0</v>
      </c>
      <c r="M569" s="1">
        <v>0</v>
      </c>
      <c r="N569" s="1">
        <v>0</v>
      </c>
      <c r="O569" s="1">
        <v>0</v>
      </c>
      <c r="P569" s="1">
        <v>0</v>
      </c>
      <c r="Q569" s="24">
        <f t="shared" si="24"/>
        <v>1</v>
      </c>
      <c r="R569" s="23">
        <v>0</v>
      </c>
      <c r="S569" s="1">
        <v>51</v>
      </c>
      <c r="T569" s="1">
        <v>0</v>
      </c>
      <c r="U569" s="1">
        <v>0</v>
      </c>
      <c r="V569" s="1">
        <v>0</v>
      </c>
      <c r="W569" s="1">
        <v>0</v>
      </c>
      <c r="X569" s="1">
        <v>0</v>
      </c>
      <c r="Y569" s="1">
        <v>0</v>
      </c>
      <c r="Z569" s="1">
        <v>0</v>
      </c>
      <c r="AA569" s="1">
        <v>0</v>
      </c>
      <c r="AB569" s="1">
        <v>0</v>
      </c>
      <c r="AC569" s="1">
        <v>0</v>
      </c>
      <c r="AD569" s="24">
        <f t="shared" si="25"/>
        <v>51</v>
      </c>
      <c r="AE569" s="23">
        <v>0</v>
      </c>
      <c r="AF569" s="1">
        <v>0</v>
      </c>
      <c r="AG569" s="1">
        <v>0</v>
      </c>
      <c r="AH569" s="1">
        <v>0</v>
      </c>
      <c r="AI569" s="1">
        <v>0</v>
      </c>
      <c r="AJ569" s="1">
        <v>0</v>
      </c>
      <c r="AK569" s="1">
        <v>0</v>
      </c>
      <c r="AL569" s="1">
        <v>0</v>
      </c>
      <c r="AM569" s="1">
        <v>0</v>
      </c>
      <c r="AN569" s="1">
        <v>0</v>
      </c>
      <c r="AO569" s="1">
        <v>0</v>
      </c>
      <c r="AP569" s="1">
        <v>0</v>
      </c>
      <c r="AQ569" s="24">
        <f t="shared" si="26"/>
        <v>0</v>
      </c>
    </row>
    <row r="570" spans="1:43" ht="17.25" customHeight="1" x14ac:dyDescent="0.45">
      <c r="A570" s="12" t="s">
        <v>36</v>
      </c>
      <c r="B570" s="12" t="s">
        <v>66</v>
      </c>
      <c r="C570" s="12" t="s">
        <v>108</v>
      </c>
      <c r="D570" s="12" t="s">
        <v>104</v>
      </c>
      <c r="E570" s="25">
        <v>4</v>
      </c>
      <c r="F570" s="10">
        <v>3</v>
      </c>
      <c r="G570" s="10">
        <v>0</v>
      </c>
      <c r="H570" s="10">
        <v>3</v>
      </c>
      <c r="I570" s="10">
        <v>2</v>
      </c>
      <c r="J570" s="10">
        <v>0</v>
      </c>
      <c r="K570" s="10">
        <v>0</v>
      </c>
      <c r="L570" s="10">
        <v>0</v>
      </c>
      <c r="M570" s="10">
        <v>0</v>
      </c>
      <c r="N570" s="10">
        <v>0</v>
      </c>
      <c r="O570" s="10">
        <v>0</v>
      </c>
      <c r="P570" s="10">
        <v>0</v>
      </c>
      <c r="Q570" s="26">
        <f t="shared" si="24"/>
        <v>12</v>
      </c>
      <c r="R570" s="25">
        <v>545</v>
      </c>
      <c r="S570" s="10">
        <v>376</v>
      </c>
      <c r="T570" s="10">
        <v>0</v>
      </c>
      <c r="U570" s="10">
        <v>410</v>
      </c>
      <c r="V570" s="10">
        <v>237</v>
      </c>
      <c r="W570" s="10">
        <v>0</v>
      </c>
      <c r="X570" s="10">
        <v>0</v>
      </c>
      <c r="Y570" s="10">
        <v>0</v>
      </c>
      <c r="Z570" s="10">
        <v>0</v>
      </c>
      <c r="AA570" s="10">
        <v>0</v>
      </c>
      <c r="AB570" s="10">
        <v>0</v>
      </c>
      <c r="AC570" s="10">
        <v>0</v>
      </c>
      <c r="AD570" s="26">
        <f t="shared" si="25"/>
        <v>1568</v>
      </c>
      <c r="AE570" s="25">
        <v>0</v>
      </c>
      <c r="AF570" s="10">
        <v>0</v>
      </c>
      <c r="AG570" s="10">
        <v>0</v>
      </c>
      <c r="AH570" s="10">
        <v>0</v>
      </c>
      <c r="AI570" s="10">
        <v>0</v>
      </c>
      <c r="AJ570" s="10">
        <v>0</v>
      </c>
      <c r="AK570" s="10">
        <v>0</v>
      </c>
      <c r="AL570" s="10">
        <v>0</v>
      </c>
      <c r="AM570" s="10">
        <v>0</v>
      </c>
      <c r="AN570" s="10">
        <v>0</v>
      </c>
      <c r="AO570" s="10">
        <v>0</v>
      </c>
      <c r="AP570" s="10">
        <v>0</v>
      </c>
      <c r="AQ570" s="26">
        <f t="shared" si="26"/>
        <v>0</v>
      </c>
    </row>
    <row r="571" spans="1:43" ht="17.25" customHeight="1" x14ac:dyDescent="0.45">
      <c r="A571" s="2" t="s">
        <v>36</v>
      </c>
      <c r="B571" s="2" t="s">
        <v>66</v>
      </c>
      <c r="C571" s="2" t="s">
        <v>200</v>
      </c>
      <c r="D571" s="2" t="s">
        <v>172</v>
      </c>
      <c r="E571" s="23">
        <v>1</v>
      </c>
      <c r="F571" s="1">
        <v>49</v>
      </c>
      <c r="G571" s="1">
        <v>0</v>
      </c>
      <c r="H571" s="1">
        <v>2</v>
      </c>
      <c r="I571" s="1">
        <v>3</v>
      </c>
      <c r="J571" s="1">
        <v>0</v>
      </c>
      <c r="K571" s="1">
        <v>0</v>
      </c>
      <c r="L571" s="1">
        <v>0</v>
      </c>
      <c r="M571" s="1">
        <v>0</v>
      </c>
      <c r="N571" s="1">
        <v>0</v>
      </c>
      <c r="O571" s="1">
        <v>0</v>
      </c>
      <c r="P571" s="1">
        <v>0</v>
      </c>
      <c r="Q571" s="24">
        <f t="shared" si="24"/>
        <v>55</v>
      </c>
      <c r="R571" s="23">
        <v>138</v>
      </c>
      <c r="S571" s="1">
        <v>137</v>
      </c>
      <c r="T571" s="1">
        <v>0</v>
      </c>
      <c r="U571" s="1">
        <v>333</v>
      </c>
      <c r="V571" s="1">
        <v>438</v>
      </c>
      <c r="W571" s="1">
        <v>0</v>
      </c>
      <c r="X571" s="1">
        <v>0</v>
      </c>
      <c r="Y571" s="1">
        <v>0</v>
      </c>
      <c r="Z571" s="1">
        <v>0</v>
      </c>
      <c r="AA571" s="1">
        <v>0</v>
      </c>
      <c r="AB571" s="1">
        <v>0</v>
      </c>
      <c r="AC571" s="1">
        <v>0</v>
      </c>
      <c r="AD571" s="24">
        <f t="shared" si="25"/>
        <v>1046</v>
      </c>
      <c r="AE571" s="23">
        <v>0</v>
      </c>
      <c r="AF571" s="1">
        <v>0</v>
      </c>
      <c r="AG571" s="1">
        <v>0</v>
      </c>
      <c r="AH571" s="1">
        <v>0</v>
      </c>
      <c r="AI571" s="1">
        <v>0</v>
      </c>
      <c r="AJ571" s="1">
        <v>0</v>
      </c>
      <c r="AK571" s="1">
        <v>0</v>
      </c>
      <c r="AL571" s="1">
        <v>0</v>
      </c>
      <c r="AM571" s="1">
        <v>0</v>
      </c>
      <c r="AN571" s="1">
        <v>0</v>
      </c>
      <c r="AO571" s="1">
        <v>0</v>
      </c>
      <c r="AP571" s="1">
        <v>0</v>
      </c>
      <c r="AQ571" s="24">
        <f t="shared" si="26"/>
        <v>0</v>
      </c>
    </row>
    <row r="572" spans="1:43" ht="17.25" customHeight="1" x14ac:dyDescent="0.45">
      <c r="A572" s="12" t="s">
        <v>167</v>
      </c>
      <c r="B572" s="12" t="s">
        <v>68</v>
      </c>
      <c r="C572" s="12" t="s">
        <v>14</v>
      </c>
      <c r="D572" s="12" t="s">
        <v>66</v>
      </c>
      <c r="E572" s="25">
        <v>0</v>
      </c>
      <c r="F572" s="10">
        <v>0</v>
      </c>
      <c r="G572" s="10">
        <v>0</v>
      </c>
      <c r="H572" s="10">
        <v>0</v>
      </c>
      <c r="I572" s="10">
        <v>0</v>
      </c>
      <c r="J572" s="10">
        <v>0</v>
      </c>
      <c r="K572" s="10">
        <v>0</v>
      </c>
      <c r="L572" s="10">
        <v>1</v>
      </c>
      <c r="M572" s="10">
        <v>0</v>
      </c>
      <c r="N572" s="10">
        <v>1</v>
      </c>
      <c r="O572" s="10">
        <v>0</v>
      </c>
      <c r="P572" s="10">
        <v>0</v>
      </c>
      <c r="Q572" s="26">
        <f t="shared" si="24"/>
        <v>2</v>
      </c>
      <c r="R572" s="25">
        <v>0</v>
      </c>
      <c r="S572" s="10">
        <v>0</v>
      </c>
      <c r="T572" s="10">
        <v>0</v>
      </c>
      <c r="U572" s="10">
        <v>0</v>
      </c>
      <c r="V572" s="10">
        <v>0</v>
      </c>
      <c r="W572" s="10">
        <v>0</v>
      </c>
      <c r="X572" s="10">
        <v>0</v>
      </c>
      <c r="Y572" s="10">
        <v>49</v>
      </c>
      <c r="Z572" s="10">
        <v>0</v>
      </c>
      <c r="AA572" s="10">
        <v>64</v>
      </c>
      <c r="AB572" s="10">
        <v>0</v>
      </c>
      <c r="AC572" s="10">
        <v>0</v>
      </c>
      <c r="AD572" s="26">
        <f t="shared" si="25"/>
        <v>113</v>
      </c>
      <c r="AE572" s="25">
        <v>0</v>
      </c>
      <c r="AF572" s="10">
        <v>0</v>
      </c>
      <c r="AG572" s="10">
        <v>0</v>
      </c>
      <c r="AH572" s="10">
        <v>0</v>
      </c>
      <c r="AI572" s="10">
        <v>0</v>
      </c>
      <c r="AJ572" s="10">
        <v>0</v>
      </c>
      <c r="AK572" s="10">
        <v>0</v>
      </c>
      <c r="AL572" s="10">
        <v>0</v>
      </c>
      <c r="AM572" s="10">
        <v>0</v>
      </c>
      <c r="AN572" s="10">
        <v>0</v>
      </c>
      <c r="AO572" s="10">
        <v>0</v>
      </c>
      <c r="AP572" s="10">
        <v>0</v>
      </c>
      <c r="AQ572" s="26">
        <f t="shared" si="26"/>
        <v>0</v>
      </c>
    </row>
    <row r="573" spans="1:43" ht="17.25" customHeight="1" x14ac:dyDescent="0.45">
      <c r="A573" s="2" t="s">
        <v>238</v>
      </c>
      <c r="B573" s="2" t="s">
        <v>237</v>
      </c>
      <c r="C573" s="2" t="s">
        <v>14</v>
      </c>
      <c r="D573" s="2" t="s">
        <v>66</v>
      </c>
      <c r="E573" s="23">
        <v>12</v>
      </c>
      <c r="F573" s="1">
        <v>11</v>
      </c>
      <c r="G573" s="1">
        <v>14</v>
      </c>
      <c r="H573" s="1">
        <v>13</v>
      </c>
      <c r="I573" s="1">
        <v>13</v>
      </c>
      <c r="J573" s="1">
        <v>13</v>
      </c>
      <c r="K573" s="1">
        <v>13</v>
      </c>
      <c r="L573" s="1">
        <v>13</v>
      </c>
      <c r="M573" s="1">
        <v>13</v>
      </c>
      <c r="N573" s="1">
        <v>12</v>
      </c>
      <c r="O573" s="1">
        <v>13</v>
      </c>
      <c r="P573" s="1">
        <v>14</v>
      </c>
      <c r="Q573" s="24">
        <f t="shared" si="24"/>
        <v>154</v>
      </c>
      <c r="R573" s="23">
        <v>0</v>
      </c>
      <c r="S573" s="1">
        <v>0</v>
      </c>
      <c r="T573" s="1">
        <v>0</v>
      </c>
      <c r="U573" s="1">
        <v>0</v>
      </c>
      <c r="V573" s="1">
        <v>0</v>
      </c>
      <c r="W573" s="1">
        <v>0</v>
      </c>
      <c r="X573" s="1">
        <v>0</v>
      </c>
      <c r="Y573" s="1">
        <v>0</v>
      </c>
      <c r="Z573" s="1">
        <v>0</v>
      </c>
      <c r="AA573" s="1">
        <v>0</v>
      </c>
      <c r="AB573" s="1">
        <v>0</v>
      </c>
      <c r="AC573" s="1">
        <v>0</v>
      </c>
      <c r="AD573" s="24">
        <f t="shared" si="25"/>
        <v>0</v>
      </c>
      <c r="AE573" s="23">
        <v>1173581</v>
      </c>
      <c r="AF573" s="1">
        <v>1042710</v>
      </c>
      <c r="AG573" s="1">
        <v>1376919</v>
      </c>
      <c r="AH573" s="1">
        <v>1280840</v>
      </c>
      <c r="AI573" s="1">
        <v>1295114</v>
      </c>
      <c r="AJ573" s="1">
        <v>1276195</v>
      </c>
      <c r="AK573" s="1">
        <v>1259258</v>
      </c>
      <c r="AL573" s="1">
        <v>1263341</v>
      </c>
      <c r="AM573" s="1">
        <v>1265510</v>
      </c>
      <c r="AN573" s="1">
        <v>1184959</v>
      </c>
      <c r="AO573" s="1">
        <v>1283550</v>
      </c>
      <c r="AP573" s="1">
        <v>1378299</v>
      </c>
      <c r="AQ573" s="24">
        <f t="shared" si="26"/>
        <v>15080276</v>
      </c>
    </row>
    <row r="574" spans="1:43" ht="17.25" customHeight="1" x14ac:dyDescent="0.45">
      <c r="A574" s="12" t="s">
        <v>318</v>
      </c>
      <c r="B574" s="12" t="s">
        <v>68</v>
      </c>
      <c r="C574" s="12" t="s">
        <v>19</v>
      </c>
      <c r="D574" s="12" t="s">
        <v>66</v>
      </c>
      <c r="E574" s="25">
        <v>0</v>
      </c>
      <c r="F574" s="10">
        <v>0</v>
      </c>
      <c r="G574" s="10">
        <v>0</v>
      </c>
      <c r="H574" s="10">
        <v>0</v>
      </c>
      <c r="I574" s="10">
        <v>0</v>
      </c>
      <c r="J574" s="10">
        <v>0</v>
      </c>
      <c r="K574" s="10">
        <v>0</v>
      </c>
      <c r="L574" s="10">
        <v>1</v>
      </c>
      <c r="M574" s="10">
        <v>0</v>
      </c>
      <c r="N574" s="10">
        <v>0</v>
      </c>
      <c r="O574" s="10">
        <v>0</v>
      </c>
      <c r="P574" s="10">
        <v>0</v>
      </c>
      <c r="Q574" s="26">
        <f t="shared" si="24"/>
        <v>1</v>
      </c>
      <c r="R574" s="25">
        <v>0</v>
      </c>
      <c r="S574" s="10">
        <v>0</v>
      </c>
      <c r="T574" s="10">
        <v>0</v>
      </c>
      <c r="U574" s="10">
        <v>0</v>
      </c>
      <c r="V574" s="10">
        <v>0</v>
      </c>
      <c r="W574" s="10">
        <v>0</v>
      </c>
      <c r="X574" s="10">
        <v>0</v>
      </c>
      <c r="Y574" s="10">
        <v>0</v>
      </c>
      <c r="Z574" s="10">
        <v>0</v>
      </c>
      <c r="AA574" s="10">
        <v>0</v>
      </c>
      <c r="AB574" s="10">
        <v>0</v>
      </c>
      <c r="AC574" s="10">
        <v>0</v>
      </c>
      <c r="AD574" s="26">
        <f t="shared" si="25"/>
        <v>0</v>
      </c>
      <c r="AE574" s="25">
        <v>0</v>
      </c>
      <c r="AF574" s="10">
        <v>0</v>
      </c>
      <c r="AG574" s="10">
        <v>0</v>
      </c>
      <c r="AH574" s="10">
        <v>0</v>
      </c>
      <c r="AI574" s="10">
        <v>0</v>
      </c>
      <c r="AJ574" s="10">
        <v>0</v>
      </c>
      <c r="AK574" s="10">
        <v>0</v>
      </c>
      <c r="AL574" s="10">
        <v>250</v>
      </c>
      <c r="AM574" s="10">
        <v>0</v>
      </c>
      <c r="AN574" s="10">
        <v>0</v>
      </c>
      <c r="AO574" s="10">
        <v>0</v>
      </c>
      <c r="AP574" s="10">
        <v>0</v>
      </c>
      <c r="AQ574" s="26">
        <f t="shared" si="26"/>
        <v>250</v>
      </c>
    </row>
    <row r="575" spans="1:43" ht="17.25" customHeight="1" x14ac:dyDescent="0.45">
      <c r="A575" s="2" t="s">
        <v>300</v>
      </c>
      <c r="B575" s="2" t="s">
        <v>68</v>
      </c>
      <c r="C575" s="2" t="s">
        <v>19</v>
      </c>
      <c r="D575" s="2" t="s">
        <v>66</v>
      </c>
      <c r="E575" s="23">
        <v>0</v>
      </c>
      <c r="F575" s="1">
        <v>0</v>
      </c>
      <c r="G575" s="1">
        <v>0</v>
      </c>
      <c r="H575" s="1">
        <v>0</v>
      </c>
      <c r="I575" s="1">
        <v>1</v>
      </c>
      <c r="J575" s="1">
        <v>0</v>
      </c>
      <c r="K575" s="1">
        <v>0</v>
      </c>
      <c r="L575" s="1">
        <v>0</v>
      </c>
      <c r="M575" s="1">
        <v>0</v>
      </c>
      <c r="N575" s="1">
        <v>0</v>
      </c>
      <c r="O575" s="1">
        <v>0</v>
      </c>
      <c r="P575" s="1">
        <v>0</v>
      </c>
      <c r="Q575" s="24">
        <f t="shared" si="24"/>
        <v>1</v>
      </c>
      <c r="R575" s="23">
        <v>0</v>
      </c>
      <c r="S575" s="1">
        <v>0</v>
      </c>
      <c r="T575" s="1">
        <v>0</v>
      </c>
      <c r="U575" s="1">
        <v>0</v>
      </c>
      <c r="V575" s="1">
        <v>0</v>
      </c>
      <c r="W575" s="1">
        <v>0</v>
      </c>
      <c r="X575" s="1">
        <v>0</v>
      </c>
      <c r="Y575" s="1">
        <v>0</v>
      </c>
      <c r="Z575" s="1">
        <v>0</v>
      </c>
      <c r="AA575" s="1">
        <v>0</v>
      </c>
      <c r="AB575" s="1">
        <v>0</v>
      </c>
      <c r="AC575" s="1">
        <v>0</v>
      </c>
      <c r="AD575" s="24">
        <f t="shared" si="25"/>
        <v>0</v>
      </c>
      <c r="AE575" s="23">
        <v>0</v>
      </c>
      <c r="AF575" s="1">
        <v>0</v>
      </c>
      <c r="AG575" s="1">
        <v>0</v>
      </c>
      <c r="AH575" s="1">
        <v>0</v>
      </c>
      <c r="AI575" s="1">
        <v>15811</v>
      </c>
      <c r="AJ575" s="1">
        <v>0</v>
      </c>
      <c r="AK575" s="1">
        <v>0</v>
      </c>
      <c r="AL575" s="1">
        <v>0</v>
      </c>
      <c r="AM575" s="1">
        <v>0</v>
      </c>
      <c r="AN575" s="1">
        <v>0</v>
      </c>
      <c r="AO575" s="1">
        <v>0</v>
      </c>
      <c r="AP575" s="1">
        <v>0</v>
      </c>
      <c r="AQ575" s="24">
        <f t="shared" si="26"/>
        <v>15811</v>
      </c>
    </row>
    <row r="576" spans="1:43" ht="17.25" customHeight="1" x14ac:dyDescent="0.45">
      <c r="A576" s="12" t="s">
        <v>205</v>
      </c>
      <c r="B576" s="12" t="s">
        <v>81</v>
      </c>
      <c r="C576" s="12" t="s">
        <v>14</v>
      </c>
      <c r="D576" s="12" t="s">
        <v>66</v>
      </c>
      <c r="E576" s="25">
        <v>0</v>
      </c>
      <c r="F576" s="10">
        <v>3</v>
      </c>
      <c r="G576" s="10">
        <v>0</v>
      </c>
      <c r="H576" s="10">
        <v>0</v>
      </c>
      <c r="I576" s="10">
        <v>0</v>
      </c>
      <c r="J576" s="10">
        <v>0</v>
      </c>
      <c r="K576" s="10">
        <v>0</v>
      </c>
      <c r="L576" s="10">
        <v>3</v>
      </c>
      <c r="M576" s="10">
        <v>5</v>
      </c>
      <c r="N576" s="10">
        <v>6</v>
      </c>
      <c r="O576" s="10">
        <v>8</v>
      </c>
      <c r="P576" s="10">
        <v>12</v>
      </c>
      <c r="Q576" s="26">
        <f t="shared" si="24"/>
        <v>37</v>
      </c>
      <c r="R576" s="25">
        <v>0</v>
      </c>
      <c r="S576" s="10">
        <v>0</v>
      </c>
      <c r="T576" s="10">
        <v>0</v>
      </c>
      <c r="U576" s="10">
        <v>0</v>
      </c>
      <c r="V576" s="10">
        <v>0</v>
      </c>
      <c r="W576" s="10">
        <v>0</v>
      </c>
      <c r="X576" s="10">
        <v>0</v>
      </c>
      <c r="Y576" s="10">
        <v>0</v>
      </c>
      <c r="Z576" s="10">
        <v>0</v>
      </c>
      <c r="AA576" s="10">
        <v>0</v>
      </c>
      <c r="AB576" s="10">
        <v>0</v>
      </c>
      <c r="AC576" s="10">
        <v>0</v>
      </c>
      <c r="AD576" s="26">
        <f t="shared" si="25"/>
        <v>0</v>
      </c>
      <c r="AE576" s="25">
        <v>0</v>
      </c>
      <c r="AF576" s="10">
        <v>225668</v>
      </c>
      <c r="AG576" s="10">
        <v>0</v>
      </c>
      <c r="AH576" s="10">
        <v>0</v>
      </c>
      <c r="AI576" s="10">
        <v>0</v>
      </c>
      <c r="AJ576" s="10">
        <v>0</v>
      </c>
      <c r="AK576" s="10">
        <v>0</v>
      </c>
      <c r="AL576" s="10">
        <v>279006</v>
      </c>
      <c r="AM576" s="10">
        <v>434672</v>
      </c>
      <c r="AN576" s="10">
        <v>564009</v>
      </c>
      <c r="AO576" s="10">
        <v>548797</v>
      </c>
      <c r="AP576" s="10">
        <v>960563</v>
      </c>
      <c r="AQ576" s="26">
        <f t="shared" si="26"/>
        <v>3012715</v>
      </c>
    </row>
    <row r="577" spans="1:43" ht="17.25" customHeight="1" x14ac:dyDescent="0.45">
      <c r="A577" s="2" t="s">
        <v>246</v>
      </c>
      <c r="B577" s="2" t="s">
        <v>237</v>
      </c>
      <c r="C577" s="2" t="s">
        <v>14</v>
      </c>
      <c r="D577" s="2" t="s">
        <v>66</v>
      </c>
      <c r="E577" s="23">
        <v>1</v>
      </c>
      <c r="F577" s="1">
        <v>9</v>
      </c>
      <c r="G577" s="1">
        <v>14</v>
      </c>
      <c r="H577" s="1">
        <v>0</v>
      </c>
      <c r="I577" s="1">
        <v>0</v>
      </c>
      <c r="J577" s="1">
        <v>0</v>
      </c>
      <c r="K577" s="1">
        <v>0</v>
      </c>
      <c r="L577" s="1">
        <v>3</v>
      </c>
      <c r="M577" s="1">
        <v>7</v>
      </c>
      <c r="N577" s="1">
        <v>0</v>
      </c>
      <c r="O577" s="1">
        <v>0</v>
      </c>
      <c r="P577" s="1">
        <v>4</v>
      </c>
      <c r="Q577" s="24">
        <f t="shared" si="24"/>
        <v>38</v>
      </c>
      <c r="R577" s="23">
        <v>0</v>
      </c>
      <c r="S577" s="1">
        <v>0</v>
      </c>
      <c r="T577" s="1">
        <v>0</v>
      </c>
      <c r="U577" s="1">
        <v>0</v>
      </c>
      <c r="V577" s="1">
        <v>0</v>
      </c>
      <c r="W577" s="1">
        <v>0</v>
      </c>
      <c r="X577" s="1">
        <v>0</v>
      </c>
      <c r="Y577" s="1">
        <v>0</v>
      </c>
      <c r="Z577" s="1">
        <v>0</v>
      </c>
      <c r="AA577" s="1">
        <v>0</v>
      </c>
      <c r="AB577" s="1">
        <v>0</v>
      </c>
      <c r="AC577" s="1">
        <v>0</v>
      </c>
      <c r="AD577" s="24">
        <f t="shared" si="25"/>
        <v>0</v>
      </c>
      <c r="AE577" s="23">
        <v>88801</v>
      </c>
      <c r="AF577" s="1">
        <v>850088</v>
      </c>
      <c r="AG577" s="1">
        <v>1349989</v>
      </c>
      <c r="AH577" s="1">
        <v>0</v>
      </c>
      <c r="AI577" s="1">
        <v>0</v>
      </c>
      <c r="AJ577" s="1">
        <v>0</v>
      </c>
      <c r="AK577" s="1">
        <v>0</v>
      </c>
      <c r="AL577" s="1">
        <v>129834</v>
      </c>
      <c r="AM577" s="1">
        <v>295909</v>
      </c>
      <c r="AN577" s="1">
        <v>0</v>
      </c>
      <c r="AO577" s="1">
        <v>0</v>
      </c>
      <c r="AP577" s="1">
        <v>152317</v>
      </c>
      <c r="AQ577" s="24">
        <f t="shared" si="26"/>
        <v>2866938</v>
      </c>
    </row>
    <row r="578" spans="1:43" ht="17.25" customHeight="1" x14ac:dyDescent="0.45">
      <c r="E578" s="23"/>
      <c r="F578" s="1"/>
      <c r="G578" s="1"/>
      <c r="H578" s="1"/>
      <c r="I578" s="1"/>
      <c r="J578" s="1"/>
      <c r="K578" s="1"/>
      <c r="L578" s="1"/>
      <c r="M578" s="1"/>
      <c r="N578" s="1"/>
      <c r="O578" s="1"/>
      <c r="P578" s="1"/>
      <c r="Q578" s="24"/>
      <c r="R578" s="23"/>
      <c r="S578" s="1"/>
      <c r="T578" s="1"/>
      <c r="U578" s="1"/>
      <c r="V578" s="1"/>
      <c r="W578" s="1"/>
      <c r="X578" s="1"/>
      <c r="Y578" s="1"/>
      <c r="Z578" s="1"/>
      <c r="AA578" s="1"/>
      <c r="AB578" s="1"/>
      <c r="AC578" s="1"/>
      <c r="AD578" s="24"/>
      <c r="AE578" s="23"/>
      <c r="AF578" s="1"/>
      <c r="AG578" s="1"/>
      <c r="AH578" s="1"/>
      <c r="AI578" s="1"/>
      <c r="AJ578" s="1"/>
      <c r="AK578" s="1"/>
      <c r="AL578" s="1"/>
      <c r="AM578" s="1"/>
      <c r="AN578" s="1"/>
      <c r="AO578" s="1"/>
      <c r="AP578" s="1"/>
      <c r="AQ578" s="24"/>
    </row>
    <row r="579" spans="1:43" ht="17.25" customHeight="1" thickBot="1" x14ac:dyDescent="0.5">
      <c r="A579" s="63" t="s">
        <v>3</v>
      </c>
      <c r="B579" s="63"/>
      <c r="C579" s="63"/>
      <c r="D579" s="22"/>
      <c r="E579" s="27">
        <f>SUM(E7:E577)</f>
        <v>666</v>
      </c>
      <c r="F579" s="28">
        <f t="shared" ref="F579:AQ579" si="27">SUM(F7:F577)</f>
        <v>768</v>
      </c>
      <c r="G579" s="28">
        <f t="shared" si="27"/>
        <v>646</v>
      </c>
      <c r="H579" s="28">
        <f t="shared" si="27"/>
        <v>721</v>
      </c>
      <c r="I579" s="28">
        <f t="shared" si="27"/>
        <v>846</v>
      </c>
      <c r="J579" s="28">
        <f t="shared" si="27"/>
        <v>825</v>
      </c>
      <c r="K579" s="28">
        <f t="shared" si="27"/>
        <v>531</v>
      </c>
      <c r="L579" s="28">
        <f t="shared" si="27"/>
        <v>648</v>
      </c>
      <c r="M579" s="28">
        <f t="shared" si="27"/>
        <v>824</v>
      </c>
      <c r="N579" s="28">
        <f t="shared" si="27"/>
        <v>1144</v>
      </c>
      <c r="O579" s="28">
        <f t="shared" si="27"/>
        <v>1037</v>
      </c>
      <c r="P579" s="28">
        <f t="shared" si="27"/>
        <v>951</v>
      </c>
      <c r="Q579" s="29">
        <f t="shared" si="27"/>
        <v>9607</v>
      </c>
      <c r="R579" s="30">
        <f t="shared" si="27"/>
        <v>28282</v>
      </c>
      <c r="S579" s="31">
        <f t="shared" si="27"/>
        <v>32298</v>
      </c>
      <c r="T579" s="31">
        <f t="shared" si="27"/>
        <v>26227</v>
      </c>
      <c r="U579" s="31">
        <f t="shared" si="27"/>
        <v>18084</v>
      </c>
      <c r="V579" s="31">
        <f t="shared" si="27"/>
        <v>16341</v>
      </c>
      <c r="W579" s="31">
        <f t="shared" si="27"/>
        <v>20734</v>
      </c>
      <c r="X579" s="31">
        <f t="shared" si="27"/>
        <v>17455</v>
      </c>
      <c r="Y579" s="31">
        <f t="shared" si="27"/>
        <v>17560</v>
      </c>
      <c r="Z579" s="31">
        <f t="shared" si="27"/>
        <v>13304</v>
      </c>
      <c r="AA579" s="31">
        <f t="shared" si="27"/>
        <v>12215</v>
      </c>
      <c r="AB579" s="31">
        <f t="shared" si="27"/>
        <v>16655</v>
      </c>
      <c r="AC579" s="31">
        <f t="shared" si="27"/>
        <v>18492</v>
      </c>
      <c r="AD579" s="32">
        <f t="shared" si="27"/>
        <v>237647</v>
      </c>
      <c r="AE579" s="33">
        <f t="shared" si="27"/>
        <v>7479778</v>
      </c>
      <c r="AF579" s="34">
        <f t="shared" si="27"/>
        <v>8517009</v>
      </c>
      <c r="AG579" s="34">
        <f t="shared" si="27"/>
        <v>10501473</v>
      </c>
      <c r="AH579" s="34">
        <f t="shared" si="27"/>
        <v>11634080</v>
      </c>
      <c r="AI579" s="34">
        <f t="shared" si="27"/>
        <v>13844336</v>
      </c>
      <c r="AJ579" s="34">
        <f t="shared" si="27"/>
        <v>14932159</v>
      </c>
      <c r="AK579" s="34">
        <f t="shared" si="27"/>
        <v>11563067</v>
      </c>
      <c r="AL579" s="34">
        <f t="shared" si="27"/>
        <v>11631622.1</v>
      </c>
      <c r="AM579" s="34">
        <f t="shared" si="27"/>
        <v>15723503</v>
      </c>
      <c r="AN579" s="34">
        <f t="shared" si="27"/>
        <v>22463667</v>
      </c>
      <c r="AO579" s="34">
        <f t="shared" si="27"/>
        <v>19668559</v>
      </c>
      <c r="AP579" s="34">
        <f t="shared" si="27"/>
        <v>17304768</v>
      </c>
      <c r="AQ579" s="35">
        <f t="shared" si="27"/>
        <v>165264021.09999999</v>
      </c>
    </row>
    <row r="580" spans="1:43" ht="17.25" customHeight="1" x14ac:dyDescent="0.45">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spans="1:43" ht="17.25" customHeight="1" x14ac:dyDescent="0.45">
      <c r="A581" s="19" t="s">
        <v>319</v>
      </c>
      <c r="B581" s="19"/>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sheetData>
  <mergeCells count="7">
    <mergeCell ref="D2:P2"/>
    <mergeCell ref="D3:P3"/>
    <mergeCell ref="A5:D5"/>
    <mergeCell ref="AE5:AQ5"/>
    <mergeCell ref="A579:C579"/>
    <mergeCell ref="E5:Q5"/>
    <mergeCell ref="R5:AD5"/>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04F1C-CB23-4ED0-BF96-0104126EF5FA}">
  <sheetPr>
    <tabColor rgb="FFFF0000"/>
  </sheetPr>
  <dimension ref="A2:B17"/>
  <sheetViews>
    <sheetView workbookViewId="0"/>
  </sheetViews>
  <sheetFormatPr baseColWidth="10" defaultRowHeight="12.75" x14ac:dyDescent="0.2"/>
  <cols>
    <col min="1" max="16384" width="11.5546875" style="53"/>
  </cols>
  <sheetData>
    <row r="2" spans="1:2" x14ac:dyDescent="0.2">
      <c r="A2" s="52" t="s">
        <v>458</v>
      </c>
    </row>
    <row r="4" spans="1:2" x14ac:dyDescent="0.2">
      <c r="A4" s="53" t="s">
        <v>459</v>
      </c>
    </row>
    <row r="5" spans="1:2" x14ac:dyDescent="0.2">
      <c r="B5" s="53" t="s">
        <v>460</v>
      </c>
    </row>
    <row r="6" spans="1:2" x14ac:dyDescent="0.2">
      <c r="B6" s="53" t="s">
        <v>461</v>
      </c>
    </row>
    <row r="7" spans="1:2" x14ac:dyDescent="0.2">
      <c r="B7" s="53" t="s">
        <v>462</v>
      </c>
    </row>
    <row r="8" spans="1:2" x14ac:dyDescent="0.2">
      <c r="B8" s="53" t="s">
        <v>463</v>
      </c>
    </row>
    <row r="10" spans="1:2" x14ac:dyDescent="0.2">
      <c r="A10" s="53" t="s">
        <v>464</v>
      </c>
    </row>
    <row r="11" spans="1:2" x14ac:dyDescent="0.2">
      <c r="B11" s="53" t="s">
        <v>465</v>
      </c>
    </row>
    <row r="12" spans="1:2" x14ac:dyDescent="0.2">
      <c r="B12" s="53" t="s">
        <v>466</v>
      </c>
    </row>
    <row r="14" spans="1:2" x14ac:dyDescent="0.2">
      <c r="A14" s="52" t="s">
        <v>467</v>
      </c>
    </row>
    <row r="16" spans="1:2" x14ac:dyDescent="0.2">
      <c r="A16" s="53" t="s">
        <v>459</v>
      </c>
    </row>
    <row r="17" spans="2:2" x14ac:dyDescent="0.2">
      <c r="B17" s="53" t="s">
        <v>468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Hojas de cálculo</vt:lpstr>
      </vt:variant>
      <vt:variant>
        <vt:i4>6</vt:i4>
      </vt:variant>
    </vt:vector>
  </HeadingPairs>
  <TitlesOfParts>
    <vt:vector size="6" baseType="lpstr">
      <vt:lpstr>Top Ten O-D Reg</vt:lpstr>
      <vt:lpstr>REG NAC</vt:lpstr>
      <vt:lpstr>REG INT</vt:lpstr>
      <vt:lpstr>FLET NAC</vt:lpstr>
      <vt:lpstr>FLET INT</vt:lpstr>
      <vt:lpstr>Historial de revisiones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2014-02-20T20:37:08Z</dcterms:created>
  <dcterms:modified xsi:type="dcterms:W3CDTF">2026-01-22T20:51:04Z</dcterms:modified>
</cp:coreProperties>
</file>